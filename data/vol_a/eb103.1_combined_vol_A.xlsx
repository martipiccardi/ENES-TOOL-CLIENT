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03"/>
  <workbookPr/>
  <mc:AlternateContent xmlns:mc="http://schemas.openxmlformats.org/markup-compatibility/2006">
    <mc:Choice Requires="x15">
      <x15ac:absPath xmlns:x15ac="http://schemas.microsoft.com/office/spreadsheetml/2010/11/ac" url="C:\Users\Nikola.Yordanov\Downloads\comb+b\"/>
    </mc:Choice>
  </mc:AlternateContent>
  <xr:revisionPtr revIDLastSave="162" documentId="13_ncr:1_{8E4F1BC4-6B85-4684-9C7F-FEF42610BB8A}" xr6:coauthVersionLast="47" xr6:coauthVersionMax="47" xr10:uidLastSave="{C20EC03A-D3C9-4D56-8444-661B3D569597}"/>
  <bookViews>
    <workbookView xWindow="2325" yWindow="1725" windowWidth="25185" windowHeight="12810" firstSheet="176" activeTab="144" xr2:uid="{00000000-000D-0000-FFFF-FFFF00000000}"/>
  </bookViews>
  <sheets>
    <sheet name="Content" sheetId="1" r:id="rId1"/>
    <sheet name="B" sheetId="2" r:id="rId2"/>
    <sheet name="QA1" sheetId="3" r:id="rId3"/>
    <sheet name="QA2" sheetId="4" r:id="rId4"/>
    <sheet name="D78" sheetId="5" r:id="rId5"/>
    <sheet name="QA3" sheetId="6" r:id="rId6"/>
    <sheet name="QA4" sheetId="7" r:id="rId7"/>
    <sheet name="QA5a" sheetId="8" r:id="rId8"/>
    <sheet name="QA5b" sheetId="9" r:id="rId9"/>
    <sheet name="QA5ab" sheetId="10" r:id="rId10"/>
    <sheet name="QA6a" sheetId="11" r:id="rId11"/>
    <sheet name="QA6b" sheetId="12" r:id="rId12"/>
    <sheet name="QA6ab" sheetId="13" r:id="rId13"/>
    <sheet name="QA7" sheetId="14" r:id="rId14"/>
    <sheet name="QA8a" sheetId="15" r:id="rId15"/>
    <sheet name="QA8b" sheetId="16" r:id="rId16"/>
    <sheet name="QA8ab" sheetId="17" r:id="rId17"/>
    <sheet name="QA9a" sheetId="18" r:id="rId18"/>
    <sheet name="QA9b" sheetId="19" r:id="rId19"/>
    <sheet name="QA9ab" sheetId="20" r:id="rId20"/>
    <sheet name="QA10" sheetId="21" r:id="rId21"/>
    <sheet name="QA11a" sheetId="22" r:id="rId22"/>
    <sheet name="QA11b" sheetId="23" r:id="rId23"/>
    <sheet name="QA11ab" sheetId="24" r:id="rId24"/>
    <sheet name="QA12_1" sheetId="25" r:id="rId25"/>
    <sheet name="QA12_2" sheetId="26" r:id="rId26"/>
    <sheet name="QA13_1" sheetId="27" r:id="rId27"/>
    <sheet name="QA13_2" sheetId="28" r:id="rId28"/>
    <sheet name="QA13_3" sheetId="29" r:id="rId29"/>
    <sheet name="SD27" sheetId="30" r:id="rId30"/>
    <sheet name="QA14a" sheetId="31" r:id="rId31"/>
    <sheet name="QA14b" sheetId="32" r:id="rId32"/>
    <sheet name="QA14ab" sheetId="33" r:id="rId33"/>
    <sheet name="QB1_1" sheetId="34" r:id="rId34"/>
    <sheet name="QB1_2" sheetId="35" r:id="rId35"/>
    <sheet name="QB1_3" sheetId="36" r:id="rId36"/>
    <sheet name="QB1_4" sheetId="37" r:id="rId37"/>
    <sheet name="QB1_5" sheetId="38" r:id="rId38"/>
    <sheet name="QB2_1" sheetId="39" r:id="rId39"/>
    <sheet name="QB2_2" sheetId="40" r:id="rId40"/>
    <sheet name="QB2_3" sheetId="41" r:id="rId41"/>
    <sheet name="QB2_4" sheetId="42" r:id="rId42"/>
    <sheet name="QB2_5" sheetId="43" r:id="rId43"/>
    <sheet name="QB2_6" sheetId="44" r:id="rId44"/>
    <sheet name="QB2_7" sheetId="45" r:id="rId45"/>
    <sheet name="QB2_8" sheetId="46" r:id="rId46"/>
    <sheet name="D15a" sheetId="47" r:id="rId47"/>
    <sheet name="D15a2" sheetId="48" r:id="rId48"/>
    <sheet name="C14" sheetId="49" r:id="rId49"/>
    <sheet name="D15b" sheetId="50" r:id="rId50"/>
    <sheet name="D15b2" sheetId="51" r:id="rId51"/>
    <sheet name="SD3a" sheetId="52" r:id="rId52"/>
    <sheet name="SD3b" sheetId="53" r:id="rId53"/>
    <sheet name="QB4a_1" sheetId="54" r:id="rId54"/>
    <sheet name="QB4a_2" sheetId="55" r:id="rId55"/>
    <sheet name="QB4a_3" sheetId="56" r:id="rId56"/>
    <sheet name="QB4b_1" sheetId="57" r:id="rId57"/>
    <sheet name="QB4b_2" sheetId="58" r:id="rId58"/>
    <sheet name="QB4T_1" sheetId="59" r:id="rId59"/>
    <sheet name="QB4T_2" sheetId="60" r:id="rId60"/>
    <sheet name="QB5_1" sheetId="61" r:id="rId61"/>
    <sheet name="QB5_2" sheetId="62" r:id="rId62"/>
    <sheet name="QB6_1" sheetId="63" r:id="rId63"/>
    <sheet name="QB6_2" sheetId="64" r:id="rId64"/>
    <sheet name="QB7a" sheetId="65" r:id="rId65"/>
    <sheet name="QB7b" sheetId="66" r:id="rId66"/>
    <sheet name="QB7c" sheetId="67" r:id="rId67"/>
    <sheet name="QB7bc" sheetId="68" r:id="rId68"/>
    <sheet name="QB7d" sheetId="69" r:id="rId69"/>
    <sheet name="QB7e" sheetId="70" r:id="rId70"/>
    <sheet name="QB7de" sheetId="71" r:id="rId71"/>
    <sheet name="QB8_1" sheetId="72" r:id="rId72"/>
    <sheet name="QB8_2" sheetId="73" r:id="rId73"/>
    <sheet name="QB8_3" sheetId="74" r:id="rId74"/>
    <sheet name="QB9_1" sheetId="75" r:id="rId75"/>
    <sheet name="QB9_2" sheetId="76" r:id="rId76"/>
    <sheet name="QB9_3" sheetId="77" r:id="rId77"/>
    <sheet name="QB9_4" sheetId="78" r:id="rId78"/>
    <sheet name="QB9_5" sheetId="79" r:id="rId79"/>
    <sheet name="QB10_1" sheetId="80" r:id="rId80"/>
    <sheet name="QB10_2" sheetId="81" r:id="rId81"/>
    <sheet name="QB10_3" sheetId="82" r:id="rId82"/>
    <sheet name="QB10_4" sheetId="83" r:id="rId83"/>
    <sheet name="QB10_5" sheetId="84" r:id="rId84"/>
    <sheet name="QB11_1" sheetId="85" r:id="rId85"/>
    <sheet name="QB11_2" sheetId="86" r:id="rId86"/>
    <sheet name="QB11_3" sheetId="87" r:id="rId87"/>
    <sheet name="D43a" sheetId="88" r:id="rId88"/>
    <sheet name="D43b" sheetId="89" r:id="rId89"/>
    <sheet name="D43c" sheetId="90" r:id="rId90"/>
    <sheet name="D43T" sheetId="91" r:id="rId91"/>
    <sheet name="D62_1" sheetId="92" r:id="rId92"/>
    <sheet name="D62_2" sheetId="93" r:id="rId93"/>
    <sheet name="D62_3" sheetId="94" r:id="rId94"/>
    <sheet name="D62_4" sheetId="95" r:id="rId95"/>
    <sheet name="D62R" sheetId="96" r:id="rId96"/>
    <sheet name="QC1" sheetId="97" r:id="rId97"/>
    <sheet name="QC1T1" sheetId="98" r:id="rId98"/>
    <sheet name="QC1T2" sheetId="99" r:id="rId99"/>
    <sheet name="QC1T3" sheetId="100" r:id="rId100"/>
    <sheet name="QC1T4" sheetId="101" r:id="rId101"/>
    <sheet name="QC1T5" sheetId="102" r:id="rId102"/>
    <sheet name="QC2" sheetId="103" r:id="rId103"/>
    <sheet name="QC3" sheetId="104" r:id="rId104"/>
    <sheet name="QC4_1" sheetId="105" r:id="rId105"/>
    <sheet name="QC4_2" sheetId="106" r:id="rId106"/>
    <sheet name="QC5" sheetId="107" r:id="rId107"/>
    <sheet name="QC6" sheetId="108" r:id="rId108"/>
    <sheet name="QC7_1" sheetId="109" r:id="rId109"/>
    <sheet name="QC7_2" sheetId="110" r:id="rId110"/>
    <sheet name="QC8_1" sheetId="111" r:id="rId111"/>
    <sheet name="QC8_2" sheetId="112" r:id="rId112"/>
    <sheet name="QC8_3" sheetId="113" r:id="rId113"/>
    <sheet name="QC8_4" sheetId="114" r:id="rId114"/>
    <sheet name="QC8_5" sheetId="115" r:id="rId115"/>
    <sheet name="QC8_6" sheetId="116" r:id="rId116"/>
    <sheet name="QC8T1" sheetId="117" r:id="rId117"/>
    <sheet name="QC8T2" sheetId="118" r:id="rId118"/>
    <sheet name="QC8T3" sheetId="119" r:id="rId119"/>
    <sheet name="QC8T4" sheetId="120" r:id="rId120"/>
    <sheet name="QC8T5" sheetId="121" r:id="rId121"/>
    <sheet name="QC9_1" sheetId="122" r:id="rId122"/>
    <sheet name="QC9_2" sheetId="123" r:id="rId123"/>
    <sheet name="QC9_3" sheetId="124" r:id="rId124"/>
    <sheet name="QC9_4" sheetId="125" r:id="rId125"/>
    <sheet name="QC9_5" sheetId="126" r:id="rId126"/>
    <sheet name="QC10_1" sheetId="127" r:id="rId127"/>
    <sheet name="QC10_2" sheetId="128" r:id="rId128"/>
    <sheet name="QC11" sheetId="129" r:id="rId129"/>
    <sheet name="QC12" sheetId="130" r:id="rId130"/>
    <sheet name="QC12T" sheetId="131" r:id="rId131"/>
    <sheet name="QC13_1" sheetId="132" r:id="rId132"/>
    <sheet name="QC13_2" sheetId="133" r:id="rId133"/>
    <sheet name="QC13_3" sheetId="134" r:id="rId134"/>
    <sheet name="QC13_4" sheetId="135" r:id="rId135"/>
    <sheet name="QC13_5" sheetId="136" r:id="rId136"/>
    <sheet name="QC14_1" sheetId="137" r:id="rId137"/>
    <sheet name="QC14_2" sheetId="138" r:id="rId138"/>
    <sheet name="QC14_3" sheetId="139" r:id="rId139"/>
    <sheet name="QC14_4" sheetId="140" r:id="rId140"/>
    <sheet name="QC14_5" sheetId="141" r:id="rId141"/>
    <sheet name="QC14_6" sheetId="142" r:id="rId142"/>
    <sheet name="QC14NET_1" sheetId="143" r:id="rId143"/>
    <sheet name="QC14NET_2" sheetId="144" r:id="rId144"/>
    <sheet name="QC14NET_3" sheetId="145" r:id="rId145"/>
    <sheet name="QC14NET_4" sheetId="146" r:id="rId146"/>
    <sheet name="QC14NET_5" sheetId="147" r:id="rId147"/>
    <sheet name="QC14NET_6" sheetId="148" r:id="rId148"/>
    <sheet name="QD4_1" sheetId="149" r:id="rId149"/>
    <sheet name="QD4_2" sheetId="150" r:id="rId150"/>
    <sheet name="QD4_3" sheetId="151" r:id="rId151"/>
    <sheet name="QD4T" sheetId="152" r:id="rId152"/>
    <sheet name="QD5" sheetId="153" r:id="rId153"/>
    <sheet name="QD6" sheetId="154" r:id="rId154"/>
    <sheet name="QD7" sheetId="155" r:id="rId155"/>
    <sheet name="QD8" sheetId="156" r:id="rId156"/>
    <sheet name="QD9a" sheetId="157" r:id="rId157"/>
    <sheet name="QD9b" sheetId="158" r:id="rId158"/>
    <sheet name="QD9c1" sheetId="159" r:id="rId159"/>
    <sheet name="QD9c2" sheetId="160" r:id="rId160"/>
    <sheet name="QD9c3" sheetId="161" r:id="rId161"/>
    <sheet name="QD9c4" sheetId="162" r:id="rId162"/>
    <sheet name="QD9c5" sheetId="163" r:id="rId163"/>
    <sheet name="QD9c6" sheetId="164" r:id="rId164"/>
    <sheet name="QD9c7" sheetId="165" r:id="rId165"/>
    <sheet name="QD9c8" sheetId="166" r:id="rId166"/>
    <sheet name="QD9c9" sheetId="167" r:id="rId167"/>
    <sheet name="QD9c10" sheetId="168" r:id="rId168"/>
    <sheet name="QD9c11" sheetId="169" r:id="rId169"/>
    <sheet name="QD9c12" sheetId="170" r:id="rId170"/>
    <sheet name="QD9c13" sheetId="171" r:id="rId171"/>
    <sheet name="QD9c14" sheetId="172" r:id="rId172"/>
    <sheet name="QD9c15" sheetId="173" r:id="rId173"/>
    <sheet name="QD10" sheetId="174" r:id="rId174"/>
    <sheet name="QD11" sheetId="175" r:id="rId175"/>
    <sheet name="QD12a" sheetId="176" r:id="rId176"/>
    <sheet name="QD12b" sheetId="177" r:id="rId177"/>
    <sheet name="QD12c" sheetId="178" r:id="rId178"/>
    <sheet name="QD13" sheetId="179" r:id="rId179"/>
    <sheet name="QD14" sheetId="180" r:id="rId180"/>
    <sheet name="QD15a_1" sheetId="181" r:id="rId181"/>
    <sheet name="QD15a_2" sheetId="182" r:id="rId182"/>
    <sheet name="QD15a_3" sheetId="183" r:id="rId183"/>
    <sheet name="QD15a_4" sheetId="184" r:id="rId184"/>
    <sheet name="QD15a_5" sheetId="185" r:id="rId185"/>
    <sheet name="QD15a_6" sheetId="186" r:id="rId186"/>
    <sheet name="QD15a_7" sheetId="187" r:id="rId187"/>
    <sheet name="QD15a_8" sheetId="188" r:id="rId188"/>
    <sheet name="QD15a_9" sheetId="189" r:id="rId189"/>
    <sheet name="QD15a_10" sheetId="190" r:id="rId190"/>
    <sheet name="QD15a_11" sheetId="191" r:id="rId191"/>
    <sheet name="QD15a_12" sheetId="192" r:id="rId192"/>
    <sheet name="QD15a_13" sheetId="193" r:id="rId193"/>
    <sheet name="QD15b_1" sheetId="194" r:id="rId194"/>
    <sheet name="QD15b_2" sheetId="195" r:id="rId195"/>
    <sheet name="QD15b_3" sheetId="196" r:id="rId196"/>
    <sheet name="QD15b_4" sheetId="197" r:id="rId197"/>
    <sheet name="QD15b_5" sheetId="198" r:id="rId198"/>
    <sheet name="D11" sheetId="199" r:id="rId199"/>
    <sheet name="D11R" sheetId="200" r:id="rId200"/>
    <sheet name="D11bis" sheetId="201" r:id="rId201"/>
    <sheet name="D11G" sheetId="202" r:id="rId202"/>
    <sheet name="D28" sheetId="203" r:id="rId203"/>
    <sheet name="D73_1" sheetId="204" r:id="rId204"/>
    <sheet name="D73_2" sheetId="205" r:id="rId205"/>
    <sheet name="D73_3" sheetId="206" r:id="rId206"/>
    <sheet name="D73_4" sheetId="207" r:id="rId207"/>
    <sheet name="SD18a" sheetId="208" r:id="rId208"/>
    <sheet name="SD18b" sheetId="209" r:id="rId209"/>
    <sheet name="SD19a_1" sheetId="210" r:id="rId210"/>
    <sheet name="SD19a_2" sheetId="211" r:id="rId211"/>
    <sheet name="SD19a_3" sheetId="212" r:id="rId212"/>
    <sheet name="D8" sheetId="213" r:id="rId213"/>
    <sheet name="D8c" sheetId="214" r:id="rId214"/>
    <sheet name="D10" sheetId="215" r:id="rId215"/>
    <sheet name="D25" sheetId="216" r:id="rId216"/>
    <sheet name="D60" sheetId="217" r:id="rId217"/>
    <sheet name="D63" sheetId="218" r:id="rId218"/>
    <sheet name="D1" sheetId="219" r:id="rId219"/>
    <sheet name="D1R1" sheetId="220" r:id="rId220"/>
    <sheet name="D1R2" sheetId="221" r:id="rId22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23" i="177" l="1"/>
  <c r="S22" i="177"/>
  <c r="A184" i="1"/>
  <c r="A9" i="221"/>
  <c r="A9" i="220"/>
  <c r="A9" i="219"/>
  <c r="A9" i="218"/>
  <c r="A9" i="217"/>
  <c r="A9" i="216"/>
  <c r="A9" i="215"/>
  <c r="A9" i="214"/>
  <c r="A9" i="213"/>
  <c r="A9" i="212"/>
  <c r="A9" i="211"/>
  <c r="A9" i="210"/>
  <c r="A9" i="209"/>
  <c r="A9" i="208"/>
  <c r="A9" i="207"/>
  <c r="A9" i="206"/>
  <c r="A9" i="205"/>
  <c r="A9" i="204"/>
  <c r="A9" i="203"/>
  <c r="A9" i="202"/>
  <c r="A9" i="201"/>
  <c r="A9" i="200"/>
  <c r="A9" i="199"/>
  <c r="A9" i="198"/>
  <c r="A9" i="197"/>
  <c r="A9" i="196"/>
  <c r="A9" i="195"/>
  <c r="A9" i="194"/>
  <c r="A9" i="193"/>
  <c r="A9" i="192"/>
  <c r="A9" i="191"/>
  <c r="A9" i="190"/>
  <c r="A9" i="189"/>
  <c r="A9" i="188"/>
  <c r="A9" i="187"/>
  <c r="A9" i="186"/>
  <c r="A9" i="185"/>
  <c r="A9" i="184"/>
  <c r="A9" i="183"/>
  <c r="A9" i="182"/>
  <c r="A9" i="181"/>
  <c r="A9" i="180"/>
  <c r="A9" i="179"/>
  <c r="A9" i="178"/>
  <c r="A9" i="177"/>
  <c r="A9" i="176"/>
  <c r="A9" i="175"/>
  <c r="A9" i="174"/>
  <c r="A9" i="173"/>
  <c r="A9" i="172"/>
  <c r="A9" i="171"/>
  <c r="A9" i="170"/>
  <c r="A9" i="169"/>
  <c r="A9" i="168"/>
  <c r="A9" i="167"/>
  <c r="A9" i="166"/>
  <c r="A9" i="165"/>
  <c r="A9" i="164"/>
  <c r="A9" i="163"/>
  <c r="A9" i="162"/>
  <c r="A9" i="161"/>
  <c r="A9" i="160"/>
  <c r="A9" i="159"/>
  <c r="A9" i="158"/>
  <c r="A9" i="157"/>
  <c r="A9" i="156"/>
  <c r="A9" i="155"/>
  <c r="A9" i="154"/>
  <c r="A9" i="153"/>
  <c r="A9" i="152"/>
  <c r="A9" i="151"/>
  <c r="A9" i="150"/>
  <c r="A9" i="149"/>
  <c r="A9" i="148"/>
  <c r="A9" i="147"/>
  <c r="A9" i="146"/>
  <c r="A9" i="145"/>
  <c r="A9" i="144"/>
  <c r="A9" i="143"/>
  <c r="A9" i="142"/>
  <c r="A9" i="141"/>
  <c r="A9" i="140"/>
  <c r="A9" i="139"/>
  <c r="A9" i="138"/>
  <c r="A9" i="137"/>
  <c r="A9" i="136"/>
  <c r="A9" i="135"/>
  <c r="A9" i="134"/>
  <c r="A9" i="133"/>
  <c r="A9" i="132"/>
  <c r="A9" i="131"/>
  <c r="A9" i="130"/>
  <c r="A9" i="129"/>
  <c r="A9" i="128"/>
  <c r="A9" i="127"/>
  <c r="A9" i="126"/>
  <c r="A9" i="125"/>
  <c r="A9" i="124"/>
  <c r="A9" i="123"/>
  <c r="A9" i="122"/>
  <c r="A9" i="121"/>
  <c r="A9" i="120"/>
  <c r="A9" i="119"/>
  <c r="A9" i="118"/>
  <c r="A9" i="117"/>
  <c r="A9" i="116"/>
  <c r="A9" i="115"/>
  <c r="A9" i="114"/>
  <c r="A9" i="113"/>
  <c r="A9" i="112"/>
  <c r="A9" i="111"/>
  <c r="A9" i="110"/>
  <c r="A9" i="109"/>
  <c r="A9" i="108"/>
  <c r="A9" i="107"/>
  <c r="A9" i="106"/>
  <c r="A9" i="105"/>
  <c r="A9" i="104"/>
  <c r="A9" i="103"/>
  <c r="A9" i="102"/>
  <c r="A9" i="101"/>
  <c r="A9" i="100"/>
  <c r="A9" i="99"/>
  <c r="A9" i="98"/>
  <c r="A9" i="97"/>
  <c r="A9" i="96"/>
  <c r="A9" i="95"/>
  <c r="A9" i="94"/>
  <c r="A9" i="93"/>
  <c r="A9" i="92"/>
  <c r="A9" i="91"/>
  <c r="A9" i="90"/>
  <c r="A9" i="89"/>
  <c r="A9" i="88"/>
  <c r="A9" i="87"/>
  <c r="A9" i="86"/>
  <c r="A9" i="85"/>
  <c r="A9" i="84"/>
  <c r="A9" i="83"/>
  <c r="A9" i="82"/>
  <c r="A9" i="81"/>
  <c r="A9" i="80"/>
  <c r="A9" i="79"/>
  <c r="A9" i="78"/>
  <c r="A9" i="77"/>
  <c r="A9" i="76"/>
  <c r="A9" i="75"/>
  <c r="A9" i="74"/>
  <c r="A9" i="73"/>
  <c r="A9" i="72"/>
  <c r="A9" i="71"/>
  <c r="A9" i="70"/>
  <c r="A9" i="69"/>
  <c r="A9" i="68"/>
  <c r="A9" i="67"/>
  <c r="A9" i="66"/>
  <c r="A9" i="65"/>
  <c r="A9" i="64"/>
  <c r="A9" i="63"/>
  <c r="A9" i="62"/>
  <c r="A9" i="61"/>
  <c r="A9" i="60"/>
  <c r="A9" i="59"/>
  <c r="A9" i="58"/>
  <c r="A9" i="57"/>
  <c r="A9" i="56"/>
  <c r="A9" i="55"/>
  <c r="A9" i="54"/>
  <c r="A9" i="53"/>
  <c r="A9" i="52"/>
  <c r="A9" i="51"/>
  <c r="A9" i="50"/>
  <c r="A9" i="49"/>
  <c r="A9" i="48"/>
  <c r="A9" i="47"/>
  <c r="A9" i="46"/>
  <c r="A9" i="45"/>
  <c r="A9" i="44"/>
  <c r="A9" i="43"/>
  <c r="A9" i="42"/>
  <c r="A9" i="41"/>
  <c r="A9" i="40"/>
  <c r="A9" i="39"/>
  <c r="A9" i="38"/>
  <c r="A9" i="37"/>
  <c r="A9" i="36"/>
  <c r="A9" i="35"/>
  <c r="A9" i="34"/>
  <c r="A9" i="33"/>
  <c r="A9" i="32"/>
  <c r="A9" i="31"/>
  <c r="A9" i="30"/>
  <c r="A9" i="29"/>
  <c r="A9" i="28"/>
  <c r="A9" i="27"/>
  <c r="A9" i="26"/>
  <c r="A9" i="25"/>
  <c r="A9" i="24"/>
  <c r="A9" i="23"/>
  <c r="A9" i="22"/>
  <c r="A9" i="21"/>
  <c r="A9" i="20"/>
  <c r="A9" i="19"/>
  <c r="A9" i="18"/>
  <c r="A9" i="17"/>
  <c r="A9" i="16"/>
  <c r="A9" i="15"/>
  <c r="A9" i="14"/>
  <c r="A9" i="13"/>
  <c r="A9" i="12"/>
  <c r="A9" i="11"/>
  <c r="A9" i="10"/>
  <c r="A9" i="9"/>
  <c r="A9" i="8"/>
  <c r="A9" i="7"/>
  <c r="A9" i="6"/>
  <c r="A9" i="5"/>
  <c r="A9" i="4"/>
  <c r="A9" i="3"/>
  <c r="A9" i="2"/>
  <c r="A225" i="1"/>
  <c r="A224" i="1"/>
  <c r="A223" i="1"/>
  <c r="A222" i="1"/>
  <c r="A221" i="1"/>
  <c r="A220" i="1"/>
  <c r="A219" i="1"/>
  <c r="A218" i="1"/>
  <c r="A217" i="1"/>
  <c r="A216" i="1"/>
  <c r="A215" i="1"/>
  <c r="A214" i="1"/>
  <c r="A213" i="1"/>
  <c r="A212" i="1"/>
  <c r="A211" i="1"/>
  <c r="A210" i="1"/>
  <c r="A209" i="1"/>
  <c r="A208" i="1"/>
  <c r="A207" i="1"/>
  <c r="A206" i="1"/>
  <c r="A205" i="1"/>
  <c r="A204" i="1"/>
  <c r="A203" i="1"/>
  <c r="A202" i="1"/>
  <c r="A201" i="1"/>
  <c r="A200" i="1"/>
  <c r="A199" i="1"/>
  <c r="A198" i="1"/>
  <c r="A197" i="1"/>
  <c r="A196" i="1"/>
  <c r="A195" i="1"/>
  <c r="A194" i="1"/>
  <c r="A193" i="1"/>
  <c r="A192" i="1"/>
  <c r="A191" i="1"/>
  <c r="A190" i="1"/>
  <c r="A189" i="1"/>
  <c r="A188" i="1"/>
  <c r="A187" i="1"/>
  <c r="A186" i="1"/>
  <c r="A185" i="1"/>
  <c r="A183" i="1"/>
  <c r="A182" i="1"/>
  <c r="A181" i="1"/>
  <c r="A180" i="1"/>
  <c r="A179" i="1"/>
  <c r="A178" i="1"/>
  <c r="A177" i="1"/>
  <c r="A176" i="1"/>
  <c r="A175" i="1"/>
  <c r="A174" i="1"/>
  <c r="A173" i="1"/>
  <c r="A172" i="1"/>
  <c r="A171" i="1"/>
  <c r="A170" i="1"/>
  <c r="A169" i="1"/>
  <c r="A168" i="1"/>
  <c r="A167" i="1"/>
  <c r="A166" i="1"/>
  <c r="A165" i="1"/>
  <c r="A164" i="1"/>
  <c r="A163" i="1"/>
  <c r="A162" i="1"/>
  <c r="A161" i="1"/>
  <c r="A160" i="1"/>
  <c r="A159" i="1"/>
  <c r="A158" i="1"/>
  <c r="A157" i="1"/>
  <c r="A156" i="1"/>
  <c r="A155" i="1"/>
  <c r="A154" i="1"/>
  <c r="A153" i="1"/>
  <c r="A152" i="1"/>
  <c r="A151" i="1"/>
  <c r="A150" i="1"/>
  <c r="A149" i="1"/>
  <c r="A148" i="1"/>
  <c r="A147" i="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16" i="1"/>
  <c r="A115" i="1"/>
  <c r="A114" i="1"/>
  <c r="A113" i="1"/>
  <c r="A112" i="1"/>
  <c r="A111" i="1"/>
  <c r="A110" i="1"/>
  <c r="A109" i="1"/>
  <c r="A108" i="1"/>
  <c r="A107" i="1"/>
  <c r="A106" i="1"/>
  <c r="A105" i="1"/>
  <c r="A104" i="1"/>
  <c r="A103"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10" i="1"/>
  <c r="A9" i="1"/>
  <c r="A8" i="1"/>
  <c r="A7" i="1"/>
  <c r="A6" i="1"/>
</calcChain>
</file>

<file path=xl/sharedStrings.xml><?xml version="1.0" encoding="utf-8"?>
<sst xmlns="http://schemas.openxmlformats.org/spreadsheetml/2006/main" count="18536" uniqueCount="1831">
  <si>
    <t>Project:</t>
  </si>
  <si>
    <t>Eurobarometer</t>
  </si>
  <si>
    <t>Wave:</t>
  </si>
  <si>
    <t>103.1</t>
  </si>
  <si>
    <t>Fieldwork:</t>
  </si>
  <si>
    <t>09/01 - 04/02/2025</t>
  </si>
  <si>
    <t>Sheet</t>
  </si>
  <si>
    <t>Question French</t>
  </si>
  <si>
    <t>Question English</t>
  </si>
  <si>
    <t>B. Pays de terrain</t>
  </si>
  <si>
    <t>B. Fieldwork country</t>
  </si>
  <si>
    <t>QA1. En général, diriez-vous que vous avez une image très positive, plutôt positive, neutre, plutôt négative ou très négative du Parlement européen ?</t>
  </si>
  <si>
    <t>QA1. In general, do you have a very positive, fairly positive, neutral, fairly negative or very negative image of the European Parliament?</t>
  </si>
  <si>
    <t>QA2. Vous-même, souhaiteriez-vous voir le Parlement européen jouer un rôle plus important ou moins important ?</t>
  </si>
  <si>
    <t>QA2. Would you personally like to see the European Parliament play a more important or less important role?</t>
  </si>
  <si>
    <t>D78. En général, l’Union européenne évoque-t-elle pour vous une image très positive, assez positive, neutre, assez négative ou très négative ?</t>
  </si>
  <si>
    <t>D78. In general, does the EU conjure up for you a very positive, fairly positive, neutral, fairly negative or very negative image?</t>
  </si>
  <si>
    <t>QA3. Diriez-vous que les actions de l'UE ont un impact sur votre vie quotidienne ?</t>
  </si>
  <si>
    <t>QA3. Would you say the actions of the EU have an impact on your daily life?</t>
  </si>
  <si>
    <t>QA4. Tout bien considéré, estimez-vous que (NOTRE PAYS) a bénéficié ou non de son appartenance à l'Union européenne ?</t>
  </si>
  <si>
    <t>QA4. Taking everything into account, would you say that (OUR COUNTRY) has on balance benefited or not from being a member of the EU?</t>
  </si>
  <si>
    <t>QA5a. Que (NOTRE PAYS) ait bénéficié ou non selon vous de son appartenance à l'UE, parmi les raisons suivantes, quelles sont les principales raisons pour lesquelles les gens pensent que (NOTRE PAYS) a bénéficié de son appartenance à l'UE ? En premier ?</t>
  </si>
  <si>
    <t>QA5a. Regardless of whether you think (OUR COUNTRY) has benefited or not from being a member of the EU, which of the following are the main reasons why people think (OUR COUNTRY) has benefited from being a member of the EU? Firstly?</t>
  </si>
  <si>
    <t>QA5b. Et ensuite ? (2 RÉPONSES MAXIMUM)</t>
  </si>
  <si>
    <t>QA5b. And then? (MAX. 2 ANSWERS)</t>
  </si>
  <si>
    <t>QA5ab. Que (NOTRE PAYS) ait bénéficié ou non selon vous de son appartenance à l'UE, parmi les raisons suivantes, quelles sont les principales raisons pour lesquelles les gens pensent que (NOTRE PAYS) a bénéficié de son appartenance à l'UE ? En premier ? Et ensuite ?</t>
  </si>
  <si>
    <t>QA5ab. Regardless of whether you think (OUR COUNTRY) has benefited or not from being a member of the EU, which of the following are the main reasons why people think (OUR COUNTRY) has benefited from being a member of the EU? Firstly? And then?</t>
  </si>
  <si>
    <t xml:space="preserve">QA6a. Parmi les éléments suivants, sur lesquels souhaiteriez-vous personnellement recevoir plus d’informations ou en savoir plus, le cas échéant ? En premier ? </t>
  </si>
  <si>
    <t>QA6a. On which of the following aspects, if any, would you personally like to receive more information or know more about. Firstly?</t>
  </si>
  <si>
    <t>QA6b. Et ensuite ?  (PLUSIEURS RÉPONSES POSSIBLES)</t>
  </si>
  <si>
    <t>QA6b. And then? (MULTIPLE ANSWERS POSSIBLE)</t>
  </si>
  <si>
    <t>QA6ab. Parmi les éléments suivants, sur lesquels souhaiteriez-vous personnellement recevoir plus d’informations ou en savoir plus, le cas échéant ? En premier ? Et ensuite ?</t>
  </si>
  <si>
    <t>QA6ab. On which of the following aspects, if any, would you personally like to receive more information or know more about. Firstly? And then?</t>
  </si>
  <si>
    <t>QA7. Le(s)quel(s) des éléments suivants, le cas échéant, vous encouragerait à vous impliquer davantage dans les activités des députés européens (NATIONALITÉ) au sein du Parlement européen ?</t>
  </si>
  <si>
    <t>QA7. Which of the following, if any, would encourage you to get more engaged with the activities of (NATIONALITY) MEPs within the European Parliament?</t>
  </si>
  <si>
    <t>QA8a. Parmi les sujets suivants, lesquels souhaiteriez-vous que le Parlement européen traite en priorité ? En premier ?</t>
  </si>
  <si>
    <t>QA8a. Which of the following topics would you like to see addressed in priority by the European Parliament? Firstly?</t>
  </si>
  <si>
    <t>QA8b. Et ensuite ? (3 RÉPONSES MAXIMUM)</t>
  </si>
  <si>
    <t>QA8b. And then? (MAX. 3 ANSWERS)</t>
  </si>
  <si>
    <t>QA8ab. Parmi les sujets suivants, lesquels souhaiteriez-vous que le Parlement européen traite en priorité ? En premier ? Et ensuite ?</t>
  </si>
  <si>
    <t>QA8ab. Which of the following topics would you like to see addressed in priority by the European Parliament? Firstly? And then?</t>
  </si>
  <si>
    <t xml:space="preserve">QA9a. Parmi les propositions suivantes, quelles sont selon vous les valeurs que le Parlement européen devrait défendre en priorité ? En premier ? </t>
  </si>
  <si>
    <t>QA9a. In your opinion, which of the following values should the European Parliament defend as a matter of priority? Firstly?</t>
  </si>
  <si>
    <t>QA9b. Et ensuite ? (2 RÉPONSES MAXIMUM)</t>
  </si>
  <si>
    <t>QA9b. And then? (MAX. 2 ANSWERS)</t>
  </si>
  <si>
    <t>QA9ab. Parmi les propositions suivantes, quelles sont selon vous les valeurs que le Parlement européen devrait défendre en priorité ? En premier ? Et ensuite ?</t>
  </si>
  <si>
    <t>QA9ab. In your opinion, which of the following values should the European Parliament defend as a matter of priority? Firstly? And then?</t>
  </si>
  <si>
    <t xml:space="preserve">QA10. Selon vous, au cours des prochaines années, le rôle de l’Union européenne dans le monde va... ? </t>
  </si>
  <si>
    <t>QA10. Would you say that over the next years the role of the European Union in the world will become…?</t>
  </si>
  <si>
    <t>QA11a. En pensant à l'avenir, à quel aspect parmi les suivants l'UE devrait-elle accorder la priorité pour consolider sa position dans le monde ? En premier ?</t>
  </si>
  <si>
    <t xml:space="preserve">QA11a. Thinking about the future, which of the following aspects should the EU focus on in order to reinforce its position in the world? Firstly? </t>
  </si>
  <si>
    <t>QA11b. Et ensuite ? (2 RÉPONSES MAXIMUM)</t>
  </si>
  <si>
    <t>QA11b. And then? (MAX. 2 ANSWERS)</t>
  </si>
  <si>
    <t>QA11ab. En pensant à l'avenir, à quel aspect parmi les suivants l'UE devrait-elle accorder la priorité pour consolider sa position dans le monde ? En premier ? Et ensuite ?</t>
  </si>
  <si>
    <t>QA11ab. Thinking about the future, which of the following aspects should the EU focus on in order to reinforce its position in the world? Firstly? And then?</t>
  </si>
  <si>
    <t>QA12.1. Diriez-vous que : :-Au cours des dernières années, le rôle de l’Union européenne en matière de protection des citoyens européens contre les crises mondiales et les risques de sécurité a eu tendance à...</t>
  </si>
  <si>
    <t>QA12.1. Would you say that::-Over the past years, the role of the European Union to protect European citizens against global crises and security risks has become…</t>
  </si>
  <si>
    <t>QA12.2. Diriez-vous que : :-À l’avenir, le rôle de l’Union européenne en matière de protection des citoyens européens contre les crises mondiales et les risques de sécurité devrait...</t>
  </si>
  <si>
    <t>QA12.2. Would you say that::-In the future, the role of the European Union to protect European citizens against global crises and security risks should become…</t>
  </si>
  <si>
    <t>QA13.1. Dans quelle mesure êtes-vous d’accord ou pas d’accord avec chacune des affirmations suivantes ? :-Les États membres de l’UE devraient être plus unis pour faire face aux défis mondiaux actuels</t>
  </si>
  <si>
    <t>QA13.1. To what extent do you agree or not with each of the following statements?:-EU Member States should be more united to face current global challenges</t>
  </si>
  <si>
    <t>QA13.2. Dans quelle mesure êtes-vous d’accord ou pas d’accord avec chacune des affirmations suivantes ? :-Les États membres de l’UE ont besoin de plus de moyens pour faire face aux défis mondiaux actuels</t>
  </si>
  <si>
    <t>QA13.2. To what extent do you agree or not with each of the following statements?:-The European Union needs more means to face current global challenges</t>
  </si>
  <si>
    <t>QA13.3. Dans quelle mesure êtes-vous d’accord ou pas d’accord avec chacune des affirmations suivantes ? :-Les États membres de l’UE peuvent mieux faire face aux défis mondiaux en agissant seuls</t>
  </si>
  <si>
    <t>QA13.3. To what extent do you agree or not with each of the following statements?:-EU Member States can face global challenges better on their own</t>
  </si>
  <si>
    <t>SD27. En pensant à l'évolution de votre niveau de vie personnel ces cinq prochaines années, laquelle des affirmations suivantes décrit le mieux vos prévisions ?</t>
  </si>
  <si>
    <t>SD27. When you think about the way your personal standard of living will evolve over the next five years, which of the following statements best describes your expectations?</t>
  </si>
  <si>
    <t xml:space="preserve">QA14a. Parmi les propositions suivantes, quels médias avez-vous le plus utilisés pour vous informer sur l’actualité au cours des 7 derniers jours ? En premier ? </t>
  </si>
  <si>
    <t>QA14a. Among the following, what media have you used the most to access news in the past 7 days? Firstly?</t>
  </si>
  <si>
    <t>QA14b. Et ensuite ?  (PLUSIEURS RÉPONSES POSSIBLES)</t>
  </si>
  <si>
    <t>QA14b. And then? (MULTIPLE ANSWERS POSSIBLE)</t>
  </si>
  <si>
    <t>QA14ab. Parmi les propositions suivantes, quels médias avez-vous le plus utilisés pour vous informer sur l’actualité au cours des 7 derniers jours ? En premier ? Et ensuite ?</t>
  </si>
  <si>
    <t>QA14ab. Among the following, what media have you used the most to access news in the past 7 days? Firstly? And then?</t>
  </si>
  <si>
    <t>QB1.1. Dans quelle mesure chacun des problèmes suivants vous inquiète-t-il pour l’avenir de votre foyer ? :-La dévalorisation des compétences professionnelles en raison de la transformation numérique de la société</t>
  </si>
  <si>
    <t>QB1.1. To what extent are you worried or not about each of the following issues for the future of your household?:-Work skills becoming less valuable because of digital change in society</t>
  </si>
  <si>
    <t>QB1.2. Dans quelle mesure chacun des problèmes suivants vous inquiète-t-il pour l’avenir de votre foyer ? :-Le manque d’opportunités d’emploi</t>
  </si>
  <si>
    <t>QB1.2. To what extent are you worried or not about each of the following issues for the future of your household?:-Lack of job opportunities</t>
  </si>
  <si>
    <t>QB1.3. Dans quelle mesure chacun des problèmes suivants vous inquiète-t-il pour l’avenir de votre foyer ? :-Le coût de la vie quotidienne, par exemple la hausse des prix de l’alimentation, des logement, de l’énergie, des transports et d’autres produits de première nécessité</t>
  </si>
  <si>
    <t>QB1.3. To what extent are you worried or not about each of the following issues for the future of your household?:-Daily cost of living, for instance increased prices in food, housing, energy, transport and other household necessities</t>
  </si>
  <si>
    <t>QB1.4. Dans quelle mesure chacun des problèmes suivants vous inquiète-t-il pour l’avenir de votre foyer ? :-L’incapacité à payer un loyer ou à rembourser un prêt immobilier</t>
  </si>
  <si>
    <t>QB1.4. To what extent are you worried or not about each of the following issues for the future of your household?:-Not being able to pay rent or mortgage</t>
  </si>
  <si>
    <t>QB1.5. Dans quelle mesure chacun des problèmes suivants vous inquiète-t-il pour l’avenir de votre foyer ? :-Le fait de ne pas recevoir une rémunération juste, basée sur les compétences et l’expérience</t>
  </si>
  <si>
    <t>QB1.5. To what extent are you worried or not about each of the following issues for the future of your household?:-Not receiving a fair salary based on skillset and experience</t>
  </si>
  <si>
    <t>QB2.1. Dans quelle mesure chacun des problèmes suivants vous inquiète-t-il pour l’avenir de (NOTRE PAYS) ? :-Le changement climatique</t>
  </si>
  <si>
    <t>QB2.1. To what extent are you worried or not about each of the following issues for the future of (OUR COUNTRY)?:-Climate change</t>
  </si>
  <si>
    <t>QB2.2. Dans quelle mesure chacun des problèmes suivants vous inquiète-t-il pour l’avenir de (NOTRE PAYS) ? :-La polarisation politique</t>
  </si>
  <si>
    <t>QB2.2. To what extent are you worried or not about each of the following issues for the future of (OUR COUNTRY)?:-Political polarisation</t>
  </si>
  <si>
    <t>QB2.3. Dans quelle mesure chacun des problèmes suivants vous inquiète-t-il pour l’avenir de (NOTRE PAYS) ? :-Le vieillissement de la population</t>
  </si>
  <si>
    <t>QB2.3. To what extent are you worried or not about each of the following issues for the future of (OUR COUNTRY)?:-Population ageing</t>
  </si>
  <si>
    <t>QB2.4. Dans quelle mesure chacun des problèmes suivants vous inquiète-t-il pour l’avenir de (NOTRE PAYS) ? :-Le coût du logement</t>
  </si>
  <si>
    <t>QB2.4. To what extent are you worried or not about each of the following issues for the future of (OUR COUNTRY)?:-Affordability of housing</t>
  </si>
  <si>
    <t xml:space="preserve">QB2.5. Dans quelle mesure chacun des problèmes suivants vous inquiète-t-il pour l’avenir de (NOTRE PAYS) ? :-La détérioration de la qualité des services publics (par exemple les hôpitaux, les services de garde d’enfants, les écoles, etc.)  </t>
  </si>
  <si>
    <t xml:space="preserve">QB2.5. To what extent are you worried or not about each of the following issues for the future of (OUR COUNTRY)?:-Reduced quality of public services - think of hospitals, childcare, schools, etc. </t>
  </si>
  <si>
    <t>QB2.6. Dans quelle mesure chacun des problèmes suivants vous inquiète-t-il pour l’avenir de (NOTRE PAYS) ? :-Les enfants grandissant dans la pauvreté</t>
  </si>
  <si>
    <t>QB2.6. To what extent are you worried or not about each of the following issues for the future of (OUR COUNTRY)?:-Children growing up in poverty</t>
  </si>
  <si>
    <t>QB2.7. Dans quelle mesure chacun des problèmes suivants vous inquiète-t-il pour l’avenir de (NOTRE PAYS) ? :-La qualité de l’éducation</t>
  </si>
  <si>
    <t>QB2.7. To what extent are you worried or not about each of the following issues for the future of (OUR COUNTRY)?:-The quality of education</t>
  </si>
  <si>
    <t>QB2.8. Dans quelle mesure chacun des problèmes suivants vous inquiète-t-il pour l’avenir de (NOTRE PAYS) ? :-Le fait que trop peu de personnes parviennent à sortir de la pauvreté</t>
  </si>
  <si>
    <t>QB2.8. To what extent are you worried or not about each of the following issues for the future of (OUR COUNTRY)?:-Too few people are escaping poverty</t>
  </si>
  <si>
    <t>D15a. Quelle est votre profession actuelle ?</t>
  </si>
  <si>
    <t>D15a. What is your current occupation?</t>
  </si>
  <si>
    <t>D15a2. Catégorie socioprofessionnelle</t>
  </si>
  <si>
    <t>D15a2. Socio-professional category</t>
  </si>
  <si>
    <t>C14. Catégorie socioprofessionnelle</t>
  </si>
  <si>
    <t>C14. Socio-professional category</t>
  </si>
  <si>
    <t>D15b. Exerciez-vous une activité professionnelle rémunérée auparavant ? Laquelle en dernier lieu ?</t>
  </si>
  <si>
    <t>D15b. Did you do any paid work in the past? What was your last occupation?</t>
  </si>
  <si>
    <t>D15b2. Catégorie socioprofessionnelle précédente</t>
  </si>
  <si>
    <t>D15b2. Previous socio-professional category</t>
  </si>
  <si>
    <t xml:space="preserve">SD3a. Parmi les propositions suivantes, veuillez indiquer quelle situation vous correspond le mieux en matière d’activité professionnelle rémunérée. </t>
  </si>
  <si>
    <t>SD3a. Please indicate which of the following situations regarding paid work applies best to you.</t>
  </si>
  <si>
    <t xml:space="preserve">SD3b. De façon générale, dans quelle mesure êtes-vous satisfait(e) de votre emploi actuel ? </t>
  </si>
  <si>
    <t>SD3b. In general, how satisfied are you with your current job?</t>
  </si>
  <si>
    <t>QB4a.1. Concernant votre situation professionnelle, dans quelle mesure les types de soutien suivants sont-ils importants pour vous ? :-Bénéficier d’une formation pour vous préparer à des opportunités d’emploi futures</t>
  </si>
  <si>
    <t>QB4a.1. When thinking about your job situation, how important or not are the following ways of support to you?:-To receive training to equip you for future job opportunities</t>
  </si>
  <si>
    <t>QB4a.2. Concernant votre situation professionnelle, dans quelle mesure les types de soutien suivants sont-ils importants pour vous ? :-Bénéficier d’une formation pertinente pour votre emploi actuel</t>
  </si>
  <si>
    <t>QB4a.2. When thinking about your job situation, how important or not are the following ways of support to you?:-To receive training relevant to your current job role</t>
  </si>
  <si>
    <t>QB4a.3. Concernant votre situation professionnelle, dans quelle mesure les types de soutien suivants sont-ils importants pour vous ? :-Bénéficier d’une formation, de conseils ou d’une aide à l’orientation en cas de perte de votre emploi</t>
  </si>
  <si>
    <t>QB4a.3. When thinking about your job situation, how important or not are the following ways of support to you?:-To receive training and guidance or counselling support in case you lose your job</t>
  </si>
  <si>
    <t>QB4b.1. Concernant votre situation professionnelle future, dans quelle mesure les types de soutien suivants sont-ils importants pour vous ? :-Bénéficier d’une formation pour vous préparer à des opportunités d’emploi futures</t>
  </si>
  <si>
    <t>QB4b.1. When thinking about your future job situation, how important or not are the following ways of support to you?:-To receive training to equip you for future job opportunities</t>
  </si>
  <si>
    <t>QB4b.2. Concernant votre situation professionnelle future, dans quelle mesure les types de soutien suivants sont-ils importants pour vous ? :-Bénéficier d’une formation, de conseils ou d’une aide à l’orientation en cas de perte de votre emploi</t>
  </si>
  <si>
    <t>QB4b.2. When thinking about your future job situation, how important or not are the following ways of support to you?:-To receive training and guidance or counselling support in case you would lose your job</t>
  </si>
  <si>
    <t>QB4T.1. Concernant votre situation professionnelle actuelle ou future, dans quelle mesure les types de soutien suivants sont-ils importants pour vous ? :-Bénéficier d’une formation pour vous préparer à des opportunités d’emploi futures</t>
  </si>
  <si>
    <t>QB4T.1. When thinking about your current or future job situation, how important or not are the following ways of support to you?:-To receive training to equip you for future job opportunities</t>
  </si>
  <si>
    <t>QB4T.2. Concernant votre situation professionnelle actuelle ou future, dans quelle mesure les types de soutien suivants sont-ils importants pour vous ? :-Bénéficier d’une formation, de conseils ou d’une aide à l’orientation en cas de perte de votre emploi</t>
  </si>
  <si>
    <t>QB4T.2. When thinking about your current or future job situation, how important or not are the following ways of support to you?:-To receive training and guidance or counselling support in case you would lose your job</t>
  </si>
  <si>
    <t>QB5.1. Dans quelle mesure êtes-vous d’accord ou pas d’accord avec les affirmations suivantes ? :-Il est important de recevoir des formations pour développer ses capacités à utiliser les technologies numériques dans son travail quotidien</t>
  </si>
  <si>
    <t>QB5.1. To what extent do you agree or disagree with the following statements?:-It is important to receive education and training to develop your skills for using digital technologies in your daily work</t>
  </si>
  <si>
    <t>QB5.2. Dans quelle mesure êtes-vous d’accord ou pas d’accord avec les affirmations suivantes ? :-Vous seriez prêt(e) à participer à une formation pour développer vos capacités à utiliser les technologies numériques dans votre travail quotidien</t>
  </si>
  <si>
    <t>QB5.2. To what extent do you agree or disagree with the following statements?:-You would be willing to take part in training to develop your skills for using digital technologies in your daily work</t>
  </si>
  <si>
    <t>QB6.1. Dans quelle mesure êtes-vous d’accord ou pas d’accord avec les affirmations suivantes sur la transition écologique ? :-Occuper un emploi qui contribue à la transition écologique est important pour vous personnellement</t>
  </si>
  <si>
    <t>QB6.1. To what extent do you agree or disagree with the following statements about the green transition?:-Being in a job that contributes to the green transition is important to you personally</t>
  </si>
  <si>
    <t>QB6.2. Dans quelle mesure êtes-vous d’accord ou pas d’accord avec les affirmations suivantes sur la transition écologique ? :-Il est important pour vous de vous former à des compétences qui contribuent à la transition écologique</t>
  </si>
  <si>
    <t>QB6.2. To what extent do you agree or disagree with the following statements about the green transition?:-It is important to you to get training in skills that contribute to the green transition</t>
  </si>
  <si>
    <t xml:space="preserve">QB7a. Quelle serait la probabilité que vous utilisiez ce « budget personnel de formation » pour suivre une formation qui vous semble utile et que vous pourriez choisir vous-même ? </t>
  </si>
  <si>
    <t>QB7a. How likely would you be to use a ‘personal training budget’ for training that you find useful, and can select yourself?</t>
  </si>
  <si>
    <t xml:space="preserve">QB7b. Quelle serait la principale raison pour laquelle vous n’utiliseriez pas ce « budget personnel de formation » ? </t>
  </si>
  <si>
    <t>QB7b. What would be the main reason for you not to use a ‘personal training budget’?</t>
  </si>
  <si>
    <t xml:space="preserve">QB7c. Y a-t-il d’autres raisons qui vous empêcheraient d’utiliser ce « budget personnel de formation » ? Veuillez sélectionner toutes les réponses qui s’appliquent. </t>
  </si>
  <si>
    <t>QB7c. Would any other reasons prevent you from using a ‘personal training budget’? Please select all that apply.</t>
  </si>
  <si>
    <t xml:space="preserve">QB7bc. Y a-t-il d’autres raisons qui vous empêcheraient d’utiliser ce 'budget personnel de formation' ? Veuillez sélectionner toutes les réponses qui s’appliquent. </t>
  </si>
  <si>
    <t>QB7bc. Would any other reasons prevent you from using a 'personal training budget'? Please select all that apply.</t>
  </si>
  <si>
    <t xml:space="preserve">QB7d. Si vous disposiez d’un « budget personnel de formation », dans quel domaine seriez-vous le plus susceptible de l’utiliser ? </t>
  </si>
  <si>
    <t>QB7d. If you would have a ‘personal training budget’, on what would you be most likely to use the budget?</t>
  </si>
  <si>
    <t xml:space="preserve">QB7e. Seriez-vous susceptible d’utiliser le « budget personnel de formation » pour acquérir d’autres compétences ? Veuillez sélectionner toutes les réponses qui s’appliquent. </t>
  </si>
  <si>
    <t>QB7e. Would you be likely to use the ‘personal training budget’ on any other skills? Please select all that apply.</t>
  </si>
  <si>
    <t xml:space="preserve">QB7de. Seriez-vous susceptible d’utiliser le 'budget personnel de formation' pour acquérir d’autres compétences ? Veuillez sélectionner toutes les réponses qui s’appliquent. </t>
  </si>
  <si>
    <t>QB7de. Would you be likely to use the 'personal training budget' on any other skills? Please select all that apply.</t>
  </si>
  <si>
    <t>QB8.1. Dans quelle mesure pensez-vous que les programmes de développement des compétences suivants pourraient être bénéfiques pour les personnes habitant en (NOTRE PAYS) ? :-Un programme dans lequel chaque personne en âge de travailler disposerait d’un budget personnel pour suivre des formations utiles tout au long de sa carrière</t>
  </si>
  <si>
    <t>QB8.1. To what extent do you think that people in (OUR COUNTRY) can benefit from the following skills development programmes?:-A programme in which every person of working age would have a personal budget to complete useful training throughout their career</t>
  </si>
  <si>
    <t>QB8.2. Dans quelle mesure pensez-vous que les programmes de développement des compétences suivants pourraient être bénéfiques pour les personnes habitant en (NOTRE PAYS) ? :-Un programme qui formerait les gens aux métiers de l’industrie verte (par exemple pour les emplois liés aux matières premières, l’hydrogène et les technologies renouvelables)</t>
  </si>
  <si>
    <t>QB8.2. To what extent do you think that people in (OUR COUNTRY) can benefit from the following skills development programmes?:-A programme that would train people to work in green industries (for instance, for jobs related to raw materials, hydrogen and renewable technologies)</t>
  </si>
  <si>
    <t>QB8.3. Dans quelle mesure pensez-vous que les programmes de développement des compétences suivants pourraient être bénéfiques pour les personnes habitant en (NOTRE PAYS) ? :-Un programme qui offrirait des conseils, des formations ou une aide à l’orientation aux personnes qui ont arrêté de travailler afin de les aider à réintégrer le marché du travail</t>
  </si>
  <si>
    <t>QB8.3. To what extent do you think that people in (OUR COUNTRY) can benefit from the following skills development programmes?:-A programme that provides guidance, training or counselling to people who stopped working, that helps them to re-enter the workforce</t>
  </si>
  <si>
    <t>QB9.1. Concernant chacun des services suivants, dans quelle mesure êtes-vous satisfait(e) de la situation en (NOTRE PAYS) ? :-L’accès à des services de garde d’enfants de qualité</t>
  </si>
  <si>
    <t>QB9.1. For each of the following services, how satisfied are you with the situation in (OUR COUNTRY)?:-Access to quality childcare</t>
  </si>
  <si>
    <t>QB9.2. Concernant chacun des services suivants, dans quelle mesure êtes-vous satisfait(e) de la situation en (NOTRE PAYS) ? :-L’accès à une prise en charge de longue durée de qualité pour les personnes dépendantes</t>
  </si>
  <si>
    <t>QB9.2. For each of the following services, how satisfied are you with the situation in (OUR COUNTRY)?:-Access to quality long-term care for dependent persons</t>
  </si>
  <si>
    <t>QB9.3. Concernant chacun des services suivants, dans quelle mesure êtes-vous satisfait(e) de la situation en (NOTRE PAYS) ? :-L’accès à des logements à prix abordables, y compris des logements sociaux</t>
  </si>
  <si>
    <t>QB9.3. For each of the following services, how satisfied are you with the situation in (OUR COUNTRY)?:-Access to affordable housing, including social housing</t>
  </si>
  <si>
    <t>QB9.4. Concernant chacun des services suivants, dans quelle mesure êtes-vous satisfait(e) de la situation en (NOTRE PAYS) ? :-L’accès à des soins de santé de qualité</t>
  </si>
  <si>
    <t>QB9.4. For each of the following services, how satisfied are you with the situation in (OUR COUNTRY)?:-Access to quality health care</t>
  </si>
  <si>
    <t>QB9.5. Concernant chacun des services suivants, dans quelle mesure êtes-vous satisfait(e) de la situation en (NOTRE PAYS) ? :-L’accès à des services sociaux de qualité</t>
  </si>
  <si>
    <t>QB9.5. For each of the following services, how satisfied are you with the situation in (OUR COUNTRY)?:-Access to quality social services</t>
  </si>
  <si>
    <t>QB10.1. Dans quelle mesure êtes-vous d’accord avec les affirmations suivantes concernant les groupes défavorisés en (NOTRE PAYS) ? 
Les groupes défavorisés en (NOTRE PAYS) ont... :-un accès suffisant aux opportunités d’emploi</t>
  </si>
  <si>
    <t>QB10.1. To what extent do you agree with the following statements regarding disadvantaged groups in (OUR COUNTRY)? 
Disadvantaged groups in (OUR COUNTRY) have ...:-Sufficient access to job opportunities</t>
  </si>
  <si>
    <t>QB10.2. Dans quelle mesure êtes-vous d’accord avec les affirmations suivantes concernant les groupes défavorisés en (NOTRE PAYS) ? 
Les groupes défavorisés en (NOTRE PAYS) ont... :-un accès suffisant à une éducation et à des formations de qualité</t>
  </si>
  <si>
    <t>QB10.2. To what extent do you agree with the following statements regarding disadvantaged groups in (OUR COUNTRY)? 
Disadvantaged groups in (OUR COUNTRY) have ...:-Sufficient access to quality education and training</t>
  </si>
  <si>
    <t>QB10.3. Dans quelle mesure êtes-vous d’accord avec les affirmations suivantes concernant les groupes défavorisés en (NOTRE PAYS) ? 
Les groupes défavorisés en (NOTRE PAYS) ont... :-un accès suffisant à des logements à prix abordables</t>
  </si>
  <si>
    <t>QB10.3. To what extent do you agree with the following statements regarding disadvantaged groups in (OUR COUNTRY)? 
Disadvantaged groups in (OUR COUNTRY) have ...:-Sufficient access to affordable housing</t>
  </si>
  <si>
    <t>QB10.4. Dans quelle mesure êtes-vous d’accord avec les affirmations suivantes concernant les groupes défavorisés en (NOTRE PAYS) ? 
Les groupes défavorisés en (NOTRE PAYS) ont... :-un accès suffisant aux services sociaux</t>
  </si>
  <si>
    <t>QB10.4. To what extent do you agree with the following statements regarding disadvantaged groups in (OUR COUNTRY)? 
Disadvantaged groups in (OUR COUNTRY) have ...:-Sufficient access to social services</t>
  </si>
  <si>
    <t>QB10.5. Dans quelle mesure êtes-vous d’accord avec les affirmations suivantes concernant les groupes défavorisés en (NOTRE PAYS) ? 
Les groupes défavorisés en (NOTRE PAYS) ont... :-un accès suffisant aux services de soins de santé</t>
  </si>
  <si>
    <t>QB10.5. To what extent do you agree with the following statements regarding disadvantaged groups in (OUR COUNTRY)? 
Disadvantaged groups in (OUR COUNTRY) have ...:-Sufficient access to healthcare services</t>
  </si>
  <si>
    <t>QB11.1. Dans quelle mesure pensez-vous que les programmes suivants pourraient être bénéfiques pour les jeunes en (NOTRE PAYS) ? :-Un programme de soutien qui garantirait l’accès à un emploi, à une formation continue, à un apprentissage, une alternance ou un stage pour tous les jeunes de moins de 30 ans, dans les 4 mois suivant la fin de leur scolarité ou le début de leur période de chômage</t>
  </si>
  <si>
    <t xml:space="preserve">QB11.1. To what extent do you think young people of (OUR COUNTRY) can benefit from the following programmes?:-A support programme that would ensure access to a job, continued education, apprenticeship or traineeship, for all young people under the age of 30, within 4 months of leaving formal education or becoming unemployed </t>
  </si>
  <si>
    <t>QB11.2. Dans quelle mesure pensez-vous que les programmes suivants pourraient être bénéfiques pour les jeunes en (NOTRE PAYS) ? :-Un programme qui garantirait que les jeunes vulnérables aient accès à un logement abordable, décent et accessible</t>
  </si>
  <si>
    <t>QB11.2. To what extent do you think young people of (OUR COUNTRY) can benefit from the following programmes?:-A programme which would ensure vulnerable young people have access to affordable, decent and accessible housing</t>
  </si>
  <si>
    <t xml:space="preserve">QB11.3. Dans quelle mesure pensez-vous que les programmes suivants pourraient être bénéfiques pour les jeunes en (NOTRE PAYS) ? :-Un programme qui garantirait que tous les enfants exposés au risque de pauvreté ou d’exclusion sociale en Europe aient accès à une aide à la petite enfance. Cette aide engloberait l’éducation des jeunes enfants, les services de garde, les soins de santé, l’alimentation et le logement. </t>
  </si>
  <si>
    <t>QB11.3. To what extent do you think young people of (OUR COUNTRY) can benefit from the following programmes?:-A programme to ensure all children in Europe who are at risk of poverty or social exclusion, have access to early childhood support. This includes early education, care, healthcare, nutrition and housing.</t>
  </si>
  <si>
    <t>D43a. Possédez-vous un téléphone fixe dans votre foyer ?</t>
  </si>
  <si>
    <t>D43a. Do you own a fixed telephone in your household?</t>
  </si>
  <si>
    <t>D43b. Possédez-vous un téléphone mobile GSM portable personnel ?</t>
  </si>
  <si>
    <t>D43b. Do you own a personal mobile telephone?</t>
  </si>
  <si>
    <t>D43c. Disposez-vous d'une connexion Internet à la maison ?</t>
  </si>
  <si>
    <t>D43c. Do you have an Internet connection at home?</t>
  </si>
  <si>
    <t>D43T. Accès au téléphone fixe, au téléphone mobile et à une connexion internet fixe</t>
  </si>
  <si>
    <t>D43T. Access to fixed telephone, mobile telephone, and fixed internet connection</t>
  </si>
  <si>
    <t>D62.1. Pouvez-vous dire si… ?:-Vous utilisez Internet chez vous, à votre domicile</t>
  </si>
  <si>
    <t>D62.1. Could you tell if…?:-You use the Internet at home, in your home</t>
  </si>
  <si>
    <t>D62.2. Pouvez-vous dire si… ?:-Vous utilisez Internet sur votre lieu de travail</t>
  </si>
  <si>
    <t>D62.2. Could you tell if…?:-You use the Internet on your place of work</t>
  </si>
  <si>
    <t>D62.3. Pouvez-vous dire si… ?:-Vous utilisez Internet sur votre appareil mobile (ordinateur portable, smartphone, tablette, etc.)</t>
  </si>
  <si>
    <t>D62.3. Could you tell if…?:-You use the Internet on your mobile device (laptop, smartphone, tablet, etc.)</t>
  </si>
  <si>
    <t>D62.4. Pouvez-vous dire si… ?:-Vous utilisez Internet ailleurs (école, université, cyber-cafés, etc.)</t>
  </si>
  <si>
    <t>D62.4. Could you tell if…?:-You use the Internet somewhere else (school, university, cyber-café, etc.)</t>
  </si>
  <si>
    <t>D62R. Utilisation Internet</t>
  </si>
  <si>
    <t>D62R. Use of the Internet</t>
  </si>
  <si>
    <t>QC1. Votre foyer a-t-il souscrit à deux, ou plus de deux, des services suivants dans le cadre d’une offre groupée ? (PLUSIEURS RÉPONSES POSSIBLES)</t>
  </si>
  <si>
    <t>QC1. Has your household subscribed to two or more of the following services as part of a bundle? (MULTIPLE ANSWERS POSSIBLE)</t>
  </si>
  <si>
    <t>QC1T1. Votre foyer a-t-il souscrit à deux, ou plus de deux, des services suivants dans le cadre d’une offre groupée ? (PLUSIEURS RÉPONSES POSSIBLES)</t>
  </si>
  <si>
    <t>QC1T1. Has your household subscribed to two or more of the following services as part of a bundle?</t>
  </si>
  <si>
    <t>QC1T2. Nombre de services dans l'offre</t>
  </si>
  <si>
    <t xml:space="preserve">QC1T2. Number of services in package  </t>
  </si>
  <si>
    <t>QC1T3. Combinaisons de services dans l'offre</t>
  </si>
  <si>
    <t>QC1T3. Combinations of services in package</t>
  </si>
  <si>
    <t>QC1T4. Votre foyer a-t-il souscrit à deux, ou plus de deux, des services suivants dans le cadre d’une offre groupée ?</t>
  </si>
  <si>
    <t>QC1T4. Has your household subscribed to two or more of the following services as part of a bundle?</t>
  </si>
  <si>
    <t>QC1T5. Votre foyer a-t-il souscrit à deux, ou plus de deux, des services suivants dans le cadre d’une offre groupée ?</t>
  </si>
  <si>
    <t>QC1T5. Has your household subscribed to two or more of the following services as part of a bundle?</t>
  </si>
  <si>
    <t>QC2. Avez-vous, ou une personne de votre foyer, changé de fournisseur d'offre groupée ?</t>
  </si>
  <si>
    <t>QC2. Have you or someone in your household changed bundle service provider?</t>
  </si>
  <si>
    <t>QC3. Lorsque vous avez changé de fournisseur d'offre groupée, avez-vous rencontré un ou plusieurs des problèmes suivants ? (PLUSIEURS RÉPONSES POSSIBLES)</t>
  </si>
  <si>
    <t>QC3. When you changed your bundle service provider, did you experience any of the following problems? (MULTIPLE ANSWERS POSSIBLE)</t>
  </si>
  <si>
    <t>QC4.1. Concernant votre connexion Internet à la maison, dans quelle mesure êtes-vous satisfait(e) ou non des points suivants ?:-La vitesse de téléchargement (download)</t>
  </si>
  <si>
    <t>QC4.1. Thinking about your internet connection at home, to what extent are you satisfied with the following::-Download speed</t>
  </si>
  <si>
    <t>QC4.2. Concernant votre connexion Internet à la maison, dans quelle mesure êtes-vous satisfait(e) ou non des points suivants ?:-La vitesse d'envoi (upload)</t>
  </si>
  <si>
    <t>QC4.2. Thinking about your internet connection at home, to what extent are you satisfied with the following::-Upload speed</t>
  </si>
  <si>
    <t>QC5. Disposez-vous d’une connexion Internet gigabit fixe à votre domicile (plus de 1Gb/s) ? Une connexion gigabit à domicile est fournie via une connexion fixe par fibre optique.  (PLUSIEURS RÉPONSES POSSIBLES)</t>
  </si>
  <si>
    <t>QC5. Do you have a fixed Gigabit internet connection at home (over 1GB/s)? A gigabit connection at home is provided via a fixed fibre connection. (MULTIPLE ANSWERS POSSIBLE)</t>
  </si>
  <si>
    <t xml:space="preserve">QC6. Sous votre contrat actuel, votre fournisseur Internet (fixe ou mobile) vous a-t-il notifié une augmentation des prix ? </t>
  </si>
  <si>
    <t>QC6. During the course of your current contract, has the internet (fixed or mobile) provider notified you of an increase in price?</t>
  </si>
  <si>
    <t>QC7.1. Quel numéro de téléphone appelleriez-vous en cas d'urgence ; par exemple, si quelqu'un a besoin d'une aide médicale d'urgence ou au cas où vous auriez besoin de contacter la police ou les pompiers ? En (NOTRE PAYS)</t>
  </si>
  <si>
    <t>QC7.1. What telephone number would you call in the event of an emergency; for example, if someone needs urgent medical assistance or if you need to contact the police or the fire brigade? In (OUR COUNTRY)</t>
  </si>
  <si>
    <t>QC7.2. Quel numéro de téléphone appelleriez-vous en cas d'urgence ; par exemple, si quelqu'un a besoin d'une aide médicale d'urgence ou au cas où vous auriez besoin de contacter la police ou les pompiers ? Dans un autre pays de l'Union européenne</t>
  </si>
  <si>
    <t>QC7.2. What telephone number would you call in the event of an emergency; for example, if someone needs urgent medical assistance or if you need to contact the police or the fire brigade? In another EU country</t>
  </si>
  <si>
    <t>QC8.1. A quelle fréquence faites-vous les choses suivantes à partir de votre pays de résidence ?:-Effectuer des appels internationaux à partir d'un téléphone fixe au sein de l'Union еuropéenne</t>
  </si>
  <si>
    <t>QC8.1. How often do you do any of the following from the country where you live?:-Make international phone calls over a landline phone within the EU</t>
  </si>
  <si>
    <t>QC8.2. A quelle fréquence faites-vous les choses suivantes à partir de votre pays de résidence ?:-Effectuer des appels internationaux à partir d'un téléphone mobile au sein de l'Union еuropéenne</t>
  </si>
  <si>
    <t>QC8.2. How often do you do any of the following from the country where you live?:-Make international phone calls over a mobile phone within the EU</t>
  </si>
  <si>
    <t>QC8.3. A quelle fréquence faites-vous les choses suivantes à partir de votre pays de résidence ?:-Effectuer des appels internationaux à partir d'applications Internet, y compris des appels vidéo (VoIP) au sein de l'Union européenne. Ceci exclut l'appel d'un numéro de téléphone.</t>
  </si>
  <si>
    <t>QC8.3. How often do you do any of the following from the country where you live?:-Make international calls using internet applications, including video calls (VoIP) within the EU. This excludes calling a phone number.</t>
  </si>
  <si>
    <t>QC8.4. A quelle fréquence faites-vous les choses suivantes à partir de votre pays de résidence ?:-Effectuer des appels internationaux vers un numéro de téléphone à partir d'applications Internet (VoIP) au sein de l'Union еuropéenne</t>
  </si>
  <si>
    <t>QC8.4. How often do you do any of the following from the country where you live?:-Make international phone calls to a phone number using internet applications (voice calls) (VoIP) within the EU</t>
  </si>
  <si>
    <t>QC8.5. A quelle fréquence faites-vous les choses suivantes à partir de votre pays de résidence ?:-Envoyer des SMS internationaux au sein de l'Union européenne</t>
  </si>
  <si>
    <t>QC8.5. How often do you do any of the following from the country where you live?:-Send international SMS within the EU</t>
  </si>
  <si>
    <t>QC8.6. A quelle fréquence faites-vous les choses suivantes à partir de votre pays de résidence ?:-Utiliser un service de messagerie instantanée sur Internet pour contacter des gens dans un autre pays de l'Union européenne</t>
  </si>
  <si>
    <t xml:space="preserve">QC8.6. How often do you do any of the following from the country where you live?:-Use an instant internet messaging service to reach people in another EU country </t>
  </si>
  <si>
    <t>QC8T1. Communication internationale</t>
  </si>
  <si>
    <t xml:space="preserve">QC8T1. International communication </t>
  </si>
  <si>
    <t xml:space="preserve">QC8T2. Communication internationale par téléphone </t>
  </si>
  <si>
    <t>QC8T2. International communication by phone</t>
  </si>
  <si>
    <t>QC8T3. Communication internationale  par internet</t>
  </si>
  <si>
    <t xml:space="preserve">QC8T3. International communication by internet </t>
  </si>
  <si>
    <t xml:space="preserve">QC8T4. Communication vocale internationale par téléphone </t>
  </si>
  <si>
    <t>QC8T4. International voice communication by phone</t>
  </si>
  <si>
    <t>QC8T5. Communication vocale internationale par internet</t>
  </si>
  <si>
    <t xml:space="preserve">QC8T5. International voice communication by internet </t>
  </si>
  <si>
    <t>QC9.1. Lorsque vous choisissez un fournisseur Internet, dans quelle mesure les éléments suivants jouent-ils un rôle important dans votre décision ? :-La vitesse et la connexion</t>
  </si>
  <si>
    <t>QC9.1. When choosing an internet provider, how important are the following considerations for you in making your choice?:-Speed and connection</t>
  </si>
  <si>
    <t>QC9.2. Lorsque vous choisissez un fournisseur Internet, dans quelle mesure les éléments suivants jouent-ils un rôle important dans votre décision ? :-Les tarifs et les offres groupées</t>
  </si>
  <si>
    <t>QC9.2. When choosing an internet provider, how important are the following considerations for you in making your choice?:-Pricing and bundle offers</t>
  </si>
  <si>
    <t>QC9.3. Lorsque vous choisissez un fournisseur Internet, dans quelle mesure les éléments suivants jouent-ils un rôle important dans votre décision ? :-La note de durabilité environnementale du fournisseur</t>
  </si>
  <si>
    <t>QC9.3. When choosing an internet provider, how important are the following considerations for you in making your choice?:-Environmental sustainability rating of the provider</t>
  </si>
  <si>
    <t>QC9.4. Lorsque vous choisissez un fournisseur Internet, dans quelle mesure les éléments suivants jouent-ils un rôle important dans votre décision ? :-Le volume de données inclus</t>
  </si>
  <si>
    <t>QC9.4. When choosing an internet provider, how important are the following considerations for you in making your choice?:-Data allowance</t>
  </si>
  <si>
    <t>QC9.5. Lorsque vous choisissez un fournisseur Internet, dans quelle mesure les éléments suivants jouent-ils un rôle important dans votre décision ? :-La réputation du fournisseur</t>
  </si>
  <si>
    <t>QC9.5. When choosing an internet provider, how important are the following considerations for you in making your choice?:-Reputation of provider</t>
  </si>
  <si>
    <t>QC10.1. Avez-vous rencontré l'un des problèmes suivants au cours de l'année passée ?:-Recevoir un appel d'un numéro inconnu et être facturé après y avoir répondu ou après avoir rappelé ce numéro</t>
  </si>
  <si>
    <t>QC10.1. Have you experienced one of the following over the last year? :-Received a call from an unknown number and been charged for it after answering or calling back</t>
  </si>
  <si>
    <t>QC10.2. Avez-vous rencontré l'un des problèmes suivants au cours de l'année passée ?:-Reçu un SMS ou un autre type de message non sollicité et été facturé(e) après avoir ouvert le message ou après y avoir répondu</t>
  </si>
  <si>
    <t>QC10.2. Have you experienced one of the following over the last year? :-Received an unsolicited SMS or other type of message and been charged for it after opening the message or responding</t>
  </si>
  <si>
    <t>QC11. Avez-vous voyagé dans un autre pays de l'Union européenne, en Islande, au Liechtenstein ou en Norvège au cours des deux dernières années ?</t>
  </si>
  <si>
    <t>QC11. Have you travelled to another EU country, Iceland, Liechtenstein or Norway in the last two years?</t>
  </si>
  <si>
    <t xml:space="preserve">QC12. Lorsque vous voyagez dans un autre pays de l'Union européenne, en Islande, au Liechtenstein ou en Norvège, pensez-vous bénéficier de l’itinérance des données sans surcoût ? </t>
  </si>
  <si>
    <t>QC12. When you travel to another EU country, Iceland, Liechtenstein or Norway, do you feel that you benefit from roaming without surcharges?</t>
  </si>
  <si>
    <t xml:space="preserve">QC12T. Lorsque vous voyagez dans un autre pays de l'Union européenne, en Islande, au Liechtenstein ou en Norvège, pensez-vous bénéficier de l’itinérance des données sans surcoût ? </t>
  </si>
  <si>
    <t>QC12T. When you travel to another EU country, Iceland, Liechtenstein or Norway, do you feel that you benefit from roaming without surcharges?</t>
  </si>
  <si>
    <t>QC13.1. La dernière fois que vous avez voyagé dans un autre pays de l'Union européenne, en Islande, en Norvège ou au Liechtenstein au cours des deux dernières années, avez-vous vécu l’une ou l’autre des situations suivantes ? :-Vous avez atteint votre limite de données en itinérance, car votre opérateur limite la quantité de données que vous pouvez utiliser en itinérance (par exemple si vous disposez d’un forfait de données illimité en (NOTRE PAYS))</t>
  </si>
  <si>
    <t>QC13.1. The last time you travelled to another EU country, Iceland, Norway or Liechtenstein in the past two years, did you experience any of the following?:-You reached your roaming data limit because your operator limits how much data you can use when roaming (for e.g., if you have an unlimited data in (COUNTRY))</t>
  </si>
  <si>
    <t>QC13.2. La dernière fois que vous avez voyagé dans un autre pays de l'Union européenne, en Islande, en Norvège ou au Liechtenstein au cours des deux dernières années, avez-vous vécu l’une ou l’autre des situations suivantes ? :-Un surcoût vous a été facturé pour l’utilisation des services d’itinérance</t>
  </si>
  <si>
    <t>QC13.2. The last time you travelled to another EU country, Iceland, Norway or Liechtenstein in the past two years, did you experience any of the following?:-You were surcharged for using roaming services</t>
  </si>
  <si>
    <t>QC13.3. La dernière fois que vous avez voyagé dans un autre pays de l'Union européenne, en Islande, en Norvège ou au Liechtenstein au cours des deux dernières années, avez-vous vécu l’une ou l’autre des situations suivantes ? :-Votre opérateur mobile vous a notifié que votre utilisation en itinérance était supérieure à votre utilisation en (NOTRE PAYS)</t>
  </si>
  <si>
    <t>QC13.3. The last time you travelled to another EU country, Iceland, Norway or Liechtenstein in the past two years, did you experience any of the following?:-You were notified by your mobile operator that your roaming usage abroad was higher than usage in (OUR COUNTRY)</t>
  </si>
  <si>
    <t>QC13.4. La dernière fois que vous avez voyagé dans un autre pays de l'Union européenne, en Islande, en Norvège ou au Liechtenstein au cours des deux dernières années, avez-vous vécu l’une ou l’autre des situations suivantes ? :-Une connexion Internet mobile plus lente (par exemple la vitesse de téléchargement d’un contenu) par rapport à la vitesse de votre Internet mobile en (NOTRE PAYS)</t>
  </si>
  <si>
    <t>QC13.4. The last time you travelled to another EU country, Iceland, Norway or Liechtenstein in the past two years, did you experience any of the following?:-Lower mobile internet speed (e.g., speed when downloading content), compared to the mobile internet speed in (OUR COUNTRY)</t>
  </si>
  <si>
    <t>QC13.5. La dernière fois que vous avez voyagé dans un autre pays de l'Union européenne, en Islande, en Norvège ou au Liechtenstein au cours des deux dernières années, avez-vous vécu l’une ou l’autre des situations suivantes ? :-Une norme de réseau à large bande moins performante (par exemple 3G, 4G) par rapport à la norme dont vous disposez en (NOTRE PAYS)</t>
  </si>
  <si>
    <t>QC13.5. The last time you travelled to another EU country, Iceland, Norway or Liechtenstein in the past two years, did you experience any of the following?:-Lower broadband network standard (e.g., 3G, 4G), compared to the standard you have in (OUR COUNTRY)</t>
  </si>
  <si>
    <t>QC14.1. La dernière fois que vous avez voyagé dans un autre pays de l'Union européenne, en Islande, au Liechtenstein ou en Norvège au cours des deux dernières années, avez-vous fait une ou plusieurs des choses suivantes afin d’éviter les surcoûts ou les frais imprévus ? Il est très important que vous preniez uniquement en compte les mesures que vous avez prises pour éviter les surcoûts ou les frais imprévus. :-Vous avez éteint votre téléphone mobile et vous ne l’avez pas du tout utilisé</t>
  </si>
  <si>
    <t>QC14.1. The last time you travelled to another EU country, Iceland, Liechtenstein or Norway in the past two years, did you do any of the following to avoid surcharges or unexpected charges? It is very important that you only consider actions you took to avoid surcharges or unexpected charges.:-You switched off your mobile phone and did not use it at all</t>
  </si>
  <si>
    <t>QC14.2. La dernière fois que vous avez voyagé dans un autre pays de l'Union européenne, en Islande, au Liechtenstein ou en Norvège au cours des deux dernières années, avez-vous fait une ou plusieurs des choses suivantes afin d’éviter les surcoûts ou les frais imprévus ? Il est très important que vous preniez uniquement en compte les mesures que vous avez prises pour éviter les surcoûts ou les frais imprévus. :-Vous avez désactivé l'itinérance des données sur votre téléphone mobile</t>
  </si>
  <si>
    <t>QC14.2. The last time you travelled to another EU country, Iceland, Liechtenstein or Norway in the past two years, did you do any of the following to avoid surcharges or unexpected charges? It is very important that you only consider actions you took to avoid surcharges or unexpected charges.:-You switched off data roaming on your mobile phone</t>
  </si>
  <si>
    <t>QC14.3. La dernière fois que vous avez voyagé dans un autre pays de l'Union européenne, en Islande, au Liechtenstein ou en Norvège au cours des deux dernières années, avez-vous fait une ou plusieurs des choses suivantes afin d’éviter les surcoûts ou les frais imprévus ? Il est très important que vous preniez uniquement en compte les mesures que vous avez prises pour éviter les surcoûts ou les frais imprévus. :-Vous avez utilisé une carte SIM physique du pays où vous vous trouviez</t>
  </si>
  <si>
    <t>QC14.3. The last time you travelled to another EU country, Iceland, Liechtenstein or Norway in the past two years, did you do any of the following to avoid surcharges or unexpected charges? It is very important that you only consider actions you took to avoid surcharges or unexpected charges.:-You used a physical sim card of the country you were visiting</t>
  </si>
  <si>
    <t>QC14.4. La dernière fois que vous avez voyagé dans un autre pays de l'Union européenne, en Islande, au Liechtenstein ou en Norvège au cours des deux dernières années, avez-vous fait une ou plusieurs des choses suivantes afin d’éviter les surcoûts ou les frais imprévus ? Il est très important que vous preniez uniquement en compte les mesures que vous avez prises pour éviter les surcoûts ou les frais imprévus. :-Vous avez utilisé une carte eSIM avec un forfait d’itinérance spécial proposé par un autre opérateur mobile que votre opérateur habituel (par exemple en achetant un forfait d’itinérance en ligne, en scannant un code QR pour activer un forfait d’itinérance ou similaire)</t>
  </si>
  <si>
    <t>QC14.4. The last time you travelled to another EU country, Iceland, Liechtenstein or Norway in the past two years, did you do any of the following to avoid surcharges or unexpected charges? It is very important that you only consider actions you took to avoid surcharges or unexpected charges.:-You used an eSIM  card with a special roaming plan offered by a different mobile operator than your own (e.g., by purchasing a roaming plan online, by scanning a QR code to activate a roaming plan or similar)</t>
  </si>
  <si>
    <t xml:space="preserve">QC14.5. La dernière fois que vous avez voyagé dans un autre pays de l'Union européenne, en Islande, au Liechtenstein ou en Norvège au cours des deux dernières années, avez-vous fait une ou plusieurs des choses suivantes afin d’éviter les surcoûts ou les frais imprévus ? Il est très important que vous preniez uniquement en compte les mesures que vous avez prises pour éviter les surcoûts ou les frais imprévus. :-Vous avez limité la quantité de données mobiles que vous utilisiez </t>
  </si>
  <si>
    <t xml:space="preserve">QC14.5. The last time you travelled to another EU country, Iceland, Liechtenstein or Norway in the past two years, did you do any of the following to avoid surcharges or unexpected charges? It is very important that you only consider actions you took to avoid surcharges or unexpected charges.:-You limited the amount of mobile data you used </t>
  </si>
  <si>
    <t>QC14.6. La dernière fois que vous avez voyagé dans un autre pays de l'Union européenne, en Islande, au Liechtenstein ou en Norvège au cours des deux dernières années, avez-vous fait une ou plusieurs des choses suivantes afin d’éviter les surcoûts ou les frais imprévus ? Il est très important que vous preniez uniquement en compte les mesures que vous avez prises pour éviter les surcoûts ou les frais imprévus. :-Vous avez activé un forfait d'itinérance de données spécial proposé par votre opérateur mobile</t>
  </si>
  <si>
    <t>QC14.6. The last time you travelled to another EU country, Iceland, Liechtenstein or Norway in the past two years, did you do any of the following to avoid surcharges or unexpected charges? It is very important that you only consider actions you took to avoid surcharges or unexpected charges.:-You activated a special data roaming plan offered by your mobile operator</t>
  </si>
  <si>
    <t>QC14NET.1. La dernière fois que vous avez voyagé dans un autre pays de l'Union européenne, en Islande, au Liechtenstein ou en Norvège au cours des deux dernières années, avez-vous fait une ou plusieurs des choses suivantes afin d’éviter les surcoûts ou les frais imprévus ? Il est très important que vous preniez uniquement en compte les mesures que vous avez prises pour éviter les surcoûts ou les frais imprévus. :-Vous avez éteint votre téléphone mobile et vous ne l’avez pas du tout utilisé</t>
  </si>
  <si>
    <t>QC14NET.1. The last time you travelled to another EU country, Iceland, Liechtenstein or Norway in the past two years, did you do any of the following to avoid surcharges or unexpected charges? It is very important that you only consider actions you took to avoid surcharges or unexpected charges.:-You switched off your mobile phone and did not use it at all</t>
  </si>
  <si>
    <t>QC14NET.2. La dernière fois que vous avez voyagé dans un autre pays de l'Union européenne, en Islande, au Liechtenstein ou en Norvège au cours des deux dernières années, avez-vous fait une ou plusieurs des choses suivantes afin d’éviter les surcoûts ou les frais imprévus ? Il est très important que vous preniez uniquement en compte les mesures que vous avez prises pour éviter les surcoûts ou les frais imprévus. :-Vous avez désactivé l'itinérance des données sur votre téléphone mobile</t>
  </si>
  <si>
    <t>QC14NET.2. The last time you travelled to another EU country, Iceland, Liechtenstein or Norway in the past two years, did you do any of the following to avoid surcharges or unexpected charges? It is very important that you only consider actions you took to avoid surcharges or unexpected charges.:-You switched off data roaming on your mobile phone</t>
  </si>
  <si>
    <t>QC14NET.3. La dernière fois que vous avez voyagé dans un autre pays de l'Union européenne, en Islande, au Liechtenstein ou en Norvège au cours des deux dernières années, avez-vous fait une ou plusieurs des choses suivantes afin d’éviter les surcoûts ou les frais imprévus ? Il est très important que vous preniez uniquement en compte les mesures que vous avez prises pour éviter les surcoûts ou les frais imprévus. :-Vous avez utilisé une carte SIM physique du pays où vous vous trouviez</t>
  </si>
  <si>
    <t>QC14NET.3. The last time you travelled to another EU country, Iceland, Liechtenstein or Norway in the past two years, did you do any of the following to avoid surcharges or unexpected charges? It is very important that you only consider actions you took to avoid surcharges or unexpected charges.:-You used a physical sim card of the country you were visiting</t>
  </si>
  <si>
    <t>QC14NET.4. La dernière fois que vous avez voyagé dans un autre pays de l'Union européenne, en Islande, au Liechtenstein ou en Norvège au cours des deux dernières années, avez-vous fait une ou plusieurs des choses suivantes afin d’éviter les surcoûts ou les frais imprévus ? Il est très important que vous preniez uniquement en compte les mesures que vous avez prises pour éviter les surcoûts ou les frais imprévus. :-Vous avez utilisé une carte eSIM avec un forfait d’itinérance spécial proposé par un autre opérateur mobile que votre opérateur habituel (par exemple en achetant un forfait d’itinérance en ligne, en scannant un code QR pour activer un forfait d’itinérance ou similaire)</t>
  </si>
  <si>
    <t>QC14NET.4. The last time you travelled to another EU country, Iceland, Liechtenstein or Norway in the past two years, did you do any of the following to avoid surcharges or unexpected charges? It is very important that you only consider actions you took to avoid surcharges or unexpected charges.:-You used an eSIM  card with a special roaming plan offered by a different mobile operator than your own (e.g., by purchasing a roaming plan online, by scanning a QR code to activate a roaming plan or similar)</t>
  </si>
  <si>
    <t xml:space="preserve">QC14NET.5. La dernière fois que vous avez voyagé dans un autre pays de l'Union européenne, en Islande, au Liechtenstein ou en Norvège au cours des deux dernières années, avez-vous fait une ou plusieurs des choses suivantes afin d’éviter les surcoûts ou les frais imprévus ? Il est très important que vous preniez uniquement en compte les mesures que vous avez prises pour éviter les surcoûts ou les frais imprévus. :-Vous avez limité la quantité de données mobiles que vous utilisiez </t>
  </si>
  <si>
    <t xml:space="preserve">QC14NET.5. The last time you travelled to another EU country, Iceland, Liechtenstein or Norway in the past two years, did you do any of the following to avoid surcharges or unexpected charges? It is very important that you only consider actions you took to avoid surcharges or unexpected charges.:-You limited the amount of mobile data you used </t>
  </si>
  <si>
    <t>QC14NET.6. La dernière fois que vous avez voyagé dans un autre pays de l'Union européenne, en Islande, au Liechtenstein ou en Norvège au cours des deux dernières années, avez-vous fait une ou plusieurs des choses suivantes afin d’éviter les surcoûts ou les frais imprévus ? Il est très important que vous preniez uniquement en compte les mesures que vous avez prises pour éviter les surcoûts ou les frais imprévus. :-Vous avez activé un forfait d'itinérance de données spécial proposé par votre opérateur mobile</t>
  </si>
  <si>
    <t>QC14NET.6. The last time you travelled to another EU country, Iceland, Liechtenstein or Norway in the past two years, did you do any of the following to avoid surcharges or unexpected charges? It is very important that you only consider actions you took to avoid surcharges or unexpected charges.:-You activated a special data roaming plan offered by your mobile operator</t>
  </si>
  <si>
    <t>QD4.1. Plus généralement, si vous vouliez obtenir quelque chose d'une administration publique ou d'un service public, dans quelle mesure est-il acceptable, selon-vous, de faire les choses suivantes ?:-Donner de l'argent</t>
  </si>
  <si>
    <t>QD4.1. Talking more generally, if you wanted to get something from the public administration or a public service, to what extent do you think it is acceptable to do any of the following?:-To give money</t>
  </si>
  <si>
    <t>QD4.2. Plus généralement, si vous vouliez obtenir quelque chose d'une administration publique ou d'un service public, dans quelle mesure est-il acceptable, selon-vous, de faire les choses suivantes ?:-Faire un cadeau</t>
  </si>
  <si>
    <t>QD4.2. Talking more generally, if you wanted to get something from the public administration or a public service, to what extent do you think it is acceptable to do any of the following?:-To give a gift</t>
  </si>
  <si>
    <t>QD4.3. Plus généralement, si vous vouliez obtenir quelque chose d'une administration publique ou d'un service public, dans quelle mesure est-il acceptable, selon-vous, de faire les choses suivantes ?:-Rendre un service</t>
  </si>
  <si>
    <t>QD4.3. Talking more generally, if you wanted to get something from the public administration or a public service, to what extent do you think it is acceptable to do any of the following?:-To do a favour</t>
  </si>
  <si>
    <t>QD4T. Index de tolérance à la corruption</t>
  </si>
  <si>
    <t>QD4T. Tolerance index to corruption</t>
  </si>
  <si>
    <t>QD5. Dans quelle mesure pensez-vous que le problème de corruption est répandu en (NOTRE PAYS) ?</t>
  </si>
  <si>
    <t>QD5. How widespread do you think the problem of corruption is in (OUR COUNTRY)?</t>
  </si>
  <si>
    <t>QD6. Au cours des trois dernières années, diriez-vous que le niveau de corruption en (NOTRE PAYS) … ?</t>
  </si>
  <si>
    <t>QD6. In the past three years, would you say that the level of corruption in (OUR COUNTRY) has…?</t>
  </si>
  <si>
    <t>QD7. En (NOTRE PAYS), pensez-vous que donner ou recevoir des pots-de-vin et l'abus de pouvoir pour bénéfice personnel, sont répandus parmi les institutions et acteurs suivants ? (PLUSIEURS RÉPONSES POSSIBLES)</t>
  </si>
  <si>
    <t>QD7. In (OUR COUNTRY), do you think that the giving and taking of bribes and the abuse of power for personal gain are widespread among any of the following? (MULTIPLE ANSWERS POSSIBLE)</t>
  </si>
  <si>
    <t>QD8. Connaissez-vous personnellement quelqu'un qui accepte ou a accepté des pots-de-vin ?</t>
  </si>
  <si>
    <t>QD8. Do you personally know anyone who takes or has taken bribes?</t>
  </si>
  <si>
    <t>QD9a. Au cours des 12 derniers mois, avez-vous eu des contacts avec certaines des instances suivantes en (NOTRE PAYS) ? (PLUSIEURS RÉPONSES POSSIBLES)</t>
  </si>
  <si>
    <t>QD9a. Over the last 12 months, have you had any contact with any of the following in (OUR COUNTRY)? (MULTIPLE ANSWERS POSSIBLE)</t>
  </si>
  <si>
    <t>QD9b. Concernant ces contacts au cours des 12 derniers mois, quelqu'un en (NOTRE PAYS) vous a-t-il demandé ou s'est-il attendu à recevoir un cadeau, un service ou de l'argent supplémentaire de votre part pour ses services ? (PLUSIEURS RÉPONSES POSSIBLES)</t>
  </si>
  <si>
    <t>QD9b. Thinking about these contacts in the past 12 months has anyone in (OUR COUNTRY) asked you or expected you to give a gift, favour, or extra money for his or her services? (MULTIPLE ANSWERS POSSIBLE)</t>
  </si>
  <si>
    <t>QD9c1. Quelle était la valeur du cadeau, du service ou de l'argent supplémentaire demandé ou attendu par votre contact au sein de la police ou des douanes ?</t>
  </si>
  <si>
    <t>QD9c1. How much was the gift, favour, or extra money asked for or expected by your contact in the police, customs?</t>
  </si>
  <si>
    <t>QD9c2. Quelle était la valeur du cadeau, du service ou de l'argent supplémentaire demandé ou attendu par votre contact au sein des autorités fiscales ?</t>
  </si>
  <si>
    <t>QD9c2. How much was the gift, favour, or extra money asked for or expected by your contact in the tax authorities?</t>
  </si>
  <si>
    <t>QD9c3. Quelle était la valeur du cadeau, du service ou de l'argent supplémentaire demandé ou attendu par votre contact au sein des tribunaux ?</t>
  </si>
  <si>
    <t>QD9c3. How much was the gift, favour, or extra money asked for or expected by your contact in the Courts (tribunals)?</t>
  </si>
  <si>
    <t>QD9c4. Quelle était la valeur du cadeau, du service ou de l'argent supplémentaire demandé ou attendu par votre contact au sein de la sécurité sociale ou des services sociaux ?</t>
  </si>
  <si>
    <t>QD9c4. How much was the gift, favour, or extra money asked for or expected by your contact in the social security and welfare authorities?</t>
  </si>
  <si>
    <t>QD9c5. Quelle était la valeur du cadeau, du service ou de l'argent supplémentaire demandé ou attendu par votre contact au parquet ?</t>
  </si>
  <si>
    <t>QD9c5. How much was the gift, favour, or extra money asked for or expected by your contact in the public prosecution service?</t>
  </si>
  <si>
    <t>QD9c6. Quelle était la valeur du cadeau, du service ou de l'argent supplémentaire demandé ou attendu par votre contact parmi les hommes et femmes politiques au niveau national, régional ou local ?</t>
  </si>
  <si>
    <t>QD9c6. How much was the gift, favour, or extra money asked for or expected by your contact among politicians at national, regional or local level?</t>
  </si>
  <si>
    <t>QD9c7. Quelle était la valeur du cadeau, du service ou de l'argent supplémentaire demandé ou attendu par votre contact au sein des partis politiques ?</t>
  </si>
  <si>
    <t>QD9c7. How much was the gift, favour, or extra money asked for or expected by your contact among political parties?</t>
  </si>
  <si>
    <t>QD9c8. Quelle était la valeur du cadeau, du service ou de l'argent supplémentaire demandé ou attendu par votre contact parmi les fonctionnaires en charge d’attribuer les marchés publics ?</t>
  </si>
  <si>
    <t>QD9c8. How much was the gift, favour, or extra money asked for or expected by your contact among officials awarding public tenders?</t>
  </si>
  <si>
    <t>QD9c9. Quelle était la valeur du cadeau, du service ou de l'argent supplémentaire demandé ou attendu par votre contact parmi les fonctionnaires en charge des permis de construire ?</t>
  </si>
  <si>
    <t>QD9c9. How much was the gift, favour, or extra money asked for or expected by your contact among officials issuing building permits?</t>
  </si>
  <si>
    <t>QD9c10. Quelle était la valeur du cadeau, du service ou de l'argent supplémentaire demandé ou attendu par votre contact parmi les fonctionnaires en charge des permis d'exercer une activité professionnelle ?</t>
  </si>
  <si>
    <t>QD9c10. How much was the gift, favour, or extra money asked for or expected by your contact among officials issuing business permits?</t>
  </si>
  <si>
    <t>QD9c11. Quelle était la valeur du cadeau, du service ou de l'argent supplémentaire demandé ou attendu par votre contact au sein du secteur de la santé ?</t>
  </si>
  <si>
    <t>QD9c11. How much was the gift, favour, or extra money asked for or expected by your contact in the healthcare system?</t>
  </si>
  <si>
    <t>QD9c12. Quelle était la valeur du cadeau, du service ou de l'argent supplémentaire demandé ou attendu par votre contact au sein du secteur de l’éducation ?</t>
  </si>
  <si>
    <t>QD9c12. How much was the gift, favour, or extra money asked for or expected by your contact in the education sector?</t>
  </si>
  <si>
    <t>QD9c13. Quelle était la valeur du cadeau, du service ou de l'argent supplémentaire demandé ou attendu par votre contact au sein des contrôleurs et inspecteurs (santé, construction, travail, qualité alimentaire, contrôle sanitaire et attribution de permis) ?</t>
  </si>
  <si>
    <t>QD9c13. How much was the gift, favour, or extra money asked for or expected by your contact among inspectors (health and safety, construction, labour, food quality, sanitary control and licensing)?</t>
  </si>
  <si>
    <t>QD9c14. Quelle était la valeur du cadeau, du service ou de l'argent supplémentaire demandé ou attendu par votre contact au sein des entreprises privées ?</t>
  </si>
  <si>
    <t>QD9c14. How much was the gift, favour, or extra money asked for or expected by your contact in private companies?</t>
  </si>
  <si>
    <t>QD9c15. Quelle était la valeur du cadeau, du service ou de l'argent supplémentaire demandé ou attendu par votre contact au sein des banques et institutions financières ?</t>
  </si>
  <si>
    <t>QD9c15. How much was the gift, favour, or extra money asked for or expected by your contact in banks and financial institutions?</t>
  </si>
  <si>
    <t>QD10. Si vous deviez vivre ou être témoin d'un cas de corruption, sauriez-vous à qui le signaler ?</t>
  </si>
  <si>
    <t>QD10. If you were to experience or witness a case of corruption, would you know where to report it to?</t>
  </si>
  <si>
    <t>QD11. Et si vous vouliez vous plaindre à propos de ce cas de corruption, à qui feriez-vous le plus confiance pour traiter cette affaire ?</t>
  </si>
  <si>
    <t>QD11. And if you wanted to complain about this case of corruption, who would you trust most to deal with it?</t>
  </si>
  <si>
    <t>QD12a. Au cours des 12 derniers mois, avez-vous vécu ou été témoin d'un cas de corruption ? (PLUSIEURS RÉPONSES POSSIBLES)</t>
  </si>
  <si>
    <t>QD12a. In the last 12 months have you experienced or witnessed any case of corruption? (MULTIPLE ANSWERS POSSIBLE)</t>
  </si>
  <si>
    <t xml:space="preserve">QD12b. Vous avez indiqué avoir vécu un cas de corruption : Cela s’est-il passé dans le cadre de votre travail ou du travail d’une autre personne ? </t>
  </si>
  <si>
    <t>QD12b. You said that you experienced a case of corruption: Was this (experience) in the context of your or someone else’s work?</t>
  </si>
  <si>
    <t xml:space="preserve">QD12c. Vous avez indiqué avoir été témoin d’un cas de corruption. Cela s’est-il passé dans le cadre de votre travail ou du travail d’une autre personne ? </t>
  </si>
  <si>
    <t>QD12c. You said that you witnessed a case of corruption Was this (witnessing) in the context of your or someone else’s work?</t>
  </si>
  <si>
    <t>QD13. L'avez-vous ou non signalé à quelqu'un ?</t>
  </si>
  <si>
    <t>QD13. Did you report it to anyone or not?</t>
  </si>
  <si>
    <t>QD14. Je vais vous lire une série de raisons qui pourraient pousser quelqu'un à décider de ne pas signaler un cas de corruption. Pourriez-vous me dire lesquelles sont, pour vous, les plus importantes ? (3 RÉPONSES MAXIMUM)</t>
  </si>
  <si>
    <t>QD14. Below are some possible reasons why people may decide not to report a case of corruption. Please tell those which you think are the most important? (MAX. 3 ANSWERS)</t>
  </si>
  <si>
    <t>QD15a.1. Pourriez-vous dire si vous êtes d'accord ou pas d'accord avec chacune des affirmations suivantes ?:-La corruption existe dans les institutions publiques locales ou régionales en (NOTRE PAYS)</t>
  </si>
  <si>
    <t>QD15a.1. Please tell whether you agree or disagree with each of the following?:-There is corruption in the local or regional public institutions in (OUR COUNTRY)</t>
  </si>
  <si>
    <t>QD15a.2. Pourriez-vous dire si vous êtes d'accord ou pas d'accord avec chacune des affirmations suivantes ?:-La corruption existe au niveau des institutions publiques nationales en (NOTRE PAYS)</t>
  </si>
  <si>
    <t>QD15a.2. Please tell whether you agree or disagree with each of the following?:-There is corruption in the national public institutions in (OUR COUNTRY)</t>
  </si>
  <si>
    <t>QD15a.3. Pourriez-vous dire si vous êtes d'accord ou pas d'accord avec chacune des affirmations suivantes ?:-La corruption fait partie de la culture des affaires en (NOTRE PAYS)</t>
  </si>
  <si>
    <t>QD15a.3. Please tell whether you agree or disagree with each of the following?:-Corruption is part of the business culture in (OUR COUNTRY)</t>
  </si>
  <si>
    <t>QD15a.4. Pourriez-vous dire si vous êtes d'accord ou pas d'accord avec chacune des affirmations suivantes ?:-Vous êtes personnellement touché(e) par la corruption dans votre vie quotidienne</t>
  </si>
  <si>
    <t>QD15a.4. Please tell whether you agree or disagree with each of the following?:-You are personally affected by corruption in your daily life</t>
  </si>
  <si>
    <t>QD15a.5. Pourriez-vous dire si vous êtes d'accord ou pas d'accord avec chacune des affirmations suivantes ?:-Il existe suffisamment de poursuites judiciaires couronnées de succès en (NOTRE PAYS) pour dissuader les gens de pratiquer la corruption</t>
  </si>
  <si>
    <t>QD15a.5. Please tell whether you agree or disagree with each of the following?:-There are enough successful prosecutions in (OUR COUNTRY) to deter people from corrupt practices</t>
  </si>
  <si>
    <t>QD15a.6. Pourriez-vous dire si vous êtes d'accord ou pas d'accord avec chacune des affirmations suivantes ?:-Les cas de corruption à des fonctions de haut niveau ne sont pas suffisamment poursuivis en (NOTRE PAYS)</t>
  </si>
  <si>
    <t>QD15a.6. Please tell whether you agree or disagree with each of the following?:-High-level corruption cases are not pursued sufficiently in (OUR COUNTRY)</t>
  </si>
  <si>
    <t>QD15a.7. Pourriez-vous dire si vous êtes d'accord ou pas d'accord avec chacune des affirmations suivantes ?:-Les efforts du Gouvernement (NATIONALITÉ) pour combattre la corruption sont efficaces</t>
  </si>
  <si>
    <t>QD15a.7. Please tell whether you agree or disagree with each of the following?:-(NATIONALITY) Government efforts to combat corruption are effective</t>
  </si>
  <si>
    <t>QD15a.8. Pourriez-vous dire si vous êtes d'accord ou pas d'accord avec chacune des affirmations suivantes ?:-Des liens trop étroits entre les affaires et la politique en (NOTRE PAYS) mènent à la corruption</t>
  </si>
  <si>
    <t>QD15a.8. Please tell whether you agree or disagree with each of the following?:-Too-close links between business and politics in (OUR COUNTRY) lead to corruption</t>
  </si>
  <si>
    <t>QD15a.9. Pourriez-vous dire si vous êtes d'accord ou pas d'accord avec chacune des affirmations suivantes ?:-La corruption ou l'usage de relations est souvent le moyen le plus facile pour avoir accès à certains services publics en (NOTRE PAYS)</t>
  </si>
  <si>
    <t>QD15a.9. Please tell whether you agree or disagree with each of the following?:-Bribery and the use of connections is often the easiest way to obtain certain public services in (OUR COUNTRY)</t>
  </si>
  <si>
    <t>QD15a.10. Pourriez-vous dire si vous êtes d'accord ou pas d'accord avec chacune des affirmations suivantes ?:-Il y a suffisamment de transparence et de supervision des financements des partis politiques en (NOTRE PAYS)</t>
  </si>
  <si>
    <t>QD15a.10. Please tell whether you agree or disagree with each of the following?:-There is sufficient transparency and supervision of the financing of political parties in (OUR COUNTRY)</t>
  </si>
  <si>
    <t>QD15a.11. Pourriez-vous dire si vous êtes d'accord ou pas d'accord avec chacune des affirmations suivantes ?:-En (NOTRE PAYS), la seule façon de réussir dans les affaires est d'avoir des relations dans le monde politique</t>
  </si>
  <si>
    <t>QD15a.11. Please tell whether you agree or disagree with each of the following?:-In (OUR COUNTRY) the only way to succeed in business is to have political connections</t>
  </si>
  <si>
    <t>QD15a.12. Pourriez-vous dire si vous êtes d'accord ou pas d'accord avec chacune des affirmations suivantes ?:-En (NOTRE PAYS), le favoritisme et la corruption entravent la concurrence dans les affaires</t>
  </si>
  <si>
    <t>QD15a.12. Please tell whether you agree or disagree with each of the following?:-In (OUR COUNTRY), favouritism and corruption hamper business competition</t>
  </si>
  <si>
    <t>QD15a.13. Pourriez-vous dire si vous êtes d'accord ou pas d'accord avec chacune des affirmations suivantes ?:-En (NOTRE PAYS), les mesures contre la corruption sont appliquées de manière impartiale et sans arrière-pensées</t>
  </si>
  <si>
    <t>QD15a.13. Please tell whether you agree or disagree with each of the following?:-In (OUR COUNTRY) measures against corruption are applied impartially and without ulterior motives</t>
  </si>
  <si>
    <t>QD15b.1. Veuillez indiquer si vous êtes d’accord ou pas d’accord avec chacune des affirmations suivantes. :-En (NOTRE PAYS), la corruption ou l’utilisation de relations est le moyen le plus courant pour les entreprises d’obtenir des contrats publics</t>
  </si>
  <si>
    <t>QD15b.1. Please tell whether you agree or disagree with each of the following?:-In (OUR COUNTRY), bribery or the use of connections are the common way for the  companies to receive public contracts</t>
  </si>
  <si>
    <t>QD15b.2. Veuillez indiquer si vous êtes d’accord ou pas d’accord avec chacune des affirmations suivantes. :-En (NOTRE PAYS), la corruption ou l’utilisation de relations est le moyen le plus courant pour obtenir un poste dans l’administration publique</t>
  </si>
  <si>
    <t>QD15b.2. Please tell whether you agree or disagree with each of the following?:-In (OUR COUNTRY), bribery or the use of connections are the common way to get a position in the public administration</t>
  </si>
  <si>
    <t>QD15b.3. Veuillez indiquer si vous êtes d’accord ou pas d’accord avec chacune des affirmations suivantes. :-En (NOTRE PAYS), les nominations à des postes de fonctionnaires de haut niveau sont très politisées</t>
  </si>
  <si>
    <t>QD15b.3. Please tell whether you agree or disagree with each of the following?:-In (OUR COUNTRY), high-level  public servant positions nominations are highly politicised</t>
  </si>
  <si>
    <t>QD15b.4. Veuillez indiquer si vous êtes d’accord ou pas d’accord avec chacune des affirmations suivantes. :-En (NOTRE PAYS), des stratégies nationales de lutte contre la corruption sont mises en œuvre de manière efficace</t>
  </si>
  <si>
    <t>QD15b.4. Please tell whether you agree or disagree with each of the following?:-In (OUR COUNTRY), national anti-corruption strategies are effectively implemented</t>
  </si>
  <si>
    <t>QD15b.5. Veuillez indiquer si vous êtes d’accord ou pas d’accord avec chacune des affirmations suivantes. :-Il existe une volonté politique de lutter contre la corruption</t>
  </si>
  <si>
    <t>QD15b.5. Please tell whether you agree or disagree with each of the following?:-There is political will to tackle corruption</t>
  </si>
  <si>
    <t>D11. Quel est votre âge ?</t>
  </si>
  <si>
    <t>D11. How old are you?</t>
  </si>
  <si>
    <t>D11R. Quel est votre âge ?</t>
  </si>
  <si>
    <t>D11R. How old are you?</t>
  </si>
  <si>
    <t>D11bis. Quel est votre âge ?</t>
  </si>
  <si>
    <t>D11bis. How old are you?</t>
  </si>
  <si>
    <t>D11G. Génération</t>
  </si>
  <si>
    <t>D11G. Generation</t>
  </si>
  <si>
    <t xml:space="preserve">D28. À quelle fréquence consultez-vous l’actualité politique ou recherchez-vous des informations à ce sujet ? </t>
  </si>
  <si>
    <t>D28. How often do you seek for political news or information?</t>
  </si>
  <si>
    <t>D73.1. En ce moment, diriez-vous que, d’une manière générale, les choses vont dans la bonne direction ou dans la mauvaise direction… ?:-En (NOTRE PAYS)</t>
  </si>
  <si>
    <t>D73.1. At the present time, would you say that, in general, things are going in the right direction or in the wrong direction, in…?:-(OUR COUNTRY)</t>
  </si>
  <si>
    <t>D73.2. En ce moment, diriez-vous que, d’une manière générale, les choses vont dans la bonne direction ou dans la mauvaise direction… ?:-Dans l’Union européenne</t>
  </si>
  <si>
    <t>D73.2. At the present time, would you say that, in general, things are going in the right direction or in the wrong direction, in…?:-The European Union</t>
  </si>
  <si>
    <t>D73.3. En ce moment, diriez-vous que, d’une manière générale, les choses vont dans la bonne direction ou dans la mauvaise direction… ?:-Aux États-Unis</t>
  </si>
  <si>
    <t>D73.3. At the present time, would you say that, in general, things are going in the right direction or in the wrong direction, in…?:-The USA</t>
  </si>
  <si>
    <t>D73.4. En ce moment, diriez-vous que, d’une manière générale, les choses vont dans la bonne direction ou dans la mauvaise direction… ?:-Dans votre vie personnelle</t>
  </si>
  <si>
    <t>D73.4. At the present time, would you say that, in general, things are going in the right direction or in the wrong direction, in…?:-Your life personally</t>
  </si>
  <si>
    <t>SD18a. Dans l’ensemble, êtes-vous très satisfait(e), plutôt satisfait(e), plutôt pas satisfait(e) ou pas du tout satisfait(e) du fonctionnement de la démocratie en (NOTRE PAYS) ?</t>
  </si>
  <si>
    <t>SD18a. On the whole, are you very satisfied, fairly satisfied, not very satisfied or not at all satisfied with the way democracy works in (OUR COUNTRY)?</t>
  </si>
  <si>
    <t>SD18b. Et du fonctionnement de la démocratie dans l’Union européenne ?</t>
  </si>
  <si>
    <t>SD18b. And how about the way democracy works in the EU?</t>
  </si>
  <si>
    <t>SD19a.1. Dans quelle mesure êtes-vous d’accord ou pas d’accord avec chacune des affirmations suivantes ? :-Ma voix compte dans l'Union européenne</t>
  </si>
  <si>
    <t>SD19a.1. To what extent do you agree or disagree with each of the following statements?:-My voice counts in the EU</t>
  </si>
  <si>
    <t>SD19a.2. Dans quelle mesure êtes-vous d’accord ou pas d’accord avec chacune des affirmations suivantes ? :-Ma voix compte en (NOTRE PAYS)</t>
  </si>
  <si>
    <t>SD19a.2. To what extent do you agree or disagree with each of the following statements?:-My voice counts in (OUR COUNTRY)</t>
  </si>
  <si>
    <t>SD19a.3. Dans quelle mesure êtes-vous d’accord ou pas d’accord avec chacune des affirmations suivantes ? :-La voix de (NOTRE PAYS) compte dans l'Union européenne</t>
  </si>
  <si>
    <t>SD19a.3. To what extent do you agree or disagree with each of the following statements?:-(OUR COUNTRY)’s voice counts in the EU</t>
  </si>
  <si>
    <t>D8. A quel âge avez-vous arrêté vos études à temps complet ?</t>
  </si>
  <si>
    <t>D8. How old were you when you stopped full-time education?</t>
  </si>
  <si>
    <t>D8c. Quel est le niveau d'études le plus élevé que vous avez atteint ?</t>
  </si>
  <si>
    <t>D8c. What is the highest level of education you completed?</t>
  </si>
  <si>
    <t>D10. Comment vous définiriez-vous?</t>
  </si>
  <si>
    <t>D10. How would you describe yourself?</t>
  </si>
  <si>
    <t>D25. Diriez-vous que vous vivez … ?</t>
  </si>
  <si>
    <t>D25. Would you say you live in a...?</t>
  </si>
  <si>
    <t>D60. Sur ces douze derniers mois, diriez-vous que vous avez eu des difficultés à payer toutes vos factures à la fin du mois ... ?</t>
  </si>
  <si>
    <t>D60. During the last twelve months, would you say you had difficulties to pay your bills at the end of the month…?</t>
  </si>
  <si>
    <t>D63. Vous considérez-vous, vous et votre foyer, comme appartenant à … ?</t>
  </si>
  <si>
    <t>D63. Do you see yourself and your household belonging to…?</t>
  </si>
  <si>
    <t>D1. A propos de politique, les gens parlent de "la gauche" et de "la droite". Vous‐même, pourriez‐vous situer votre position sur cette échelle de 1 à 10, où ’1’ signifie "gauche" et ’10’ signifie "droite" ? Quel numéro décrit le mieux votre position ?</t>
  </si>
  <si>
    <t>D1. In political matters people talk of "the left" and "the right". How would you place your views on this scale?</t>
  </si>
  <si>
    <t>D1R1. Echelle politique gauche-droite</t>
  </si>
  <si>
    <t>D1R1. Left-right political scale</t>
  </si>
  <si>
    <t>D1R2. Echelle politique gauche-droite</t>
  </si>
  <si>
    <t>D1R2. Left-right political scale</t>
  </si>
  <si>
    <t>Eurobarometer - 103.1</t>
  </si>
  <si>
    <t>VOL A weighted</t>
  </si>
  <si>
    <t>Terrain/Fieldwork : 09/01 - 04/02/2025</t>
  </si>
  <si>
    <t>Base: Ensemble</t>
  </si>
  <si>
    <t>Base: All respondents</t>
  </si>
  <si>
    <t>UE27
EU27</t>
  </si>
  <si>
    <t>BE</t>
  </si>
  <si>
    <t>BG</t>
  </si>
  <si>
    <t>CZ</t>
  </si>
  <si>
    <t>DK</t>
  </si>
  <si>
    <t>DEW</t>
  </si>
  <si>
    <t>DE</t>
  </si>
  <si>
    <t>DEE</t>
  </si>
  <si>
    <t>EE</t>
  </si>
  <si>
    <t>IE</t>
  </si>
  <si>
    <t>EL</t>
  </si>
  <si>
    <t>ES</t>
  </si>
  <si>
    <t>FR</t>
  </si>
  <si>
    <t>HR</t>
  </si>
  <si>
    <t>IT</t>
  </si>
  <si>
    <t>CY</t>
  </si>
  <si>
    <t>LV</t>
  </si>
  <si>
    <t>LT</t>
  </si>
  <si>
    <t>LU</t>
  </si>
  <si>
    <t>HU</t>
  </si>
  <si>
    <t>MT</t>
  </si>
  <si>
    <t>NL</t>
  </si>
  <si>
    <t>AT</t>
  </si>
  <si>
    <t>PL</t>
  </si>
  <si>
    <t>PT</t>
  </si>
  <si>
    <t>RO</t>
  </si>
  <si>
    <t>SI</t>
  </si>
  <si>
    <t>SK</t>
  </si>
  <si>
    <t>FI</t>
  </si>
  <si>
    <t>SE</t>
  </si>
  <si>
    <t>Total</t>
  </si>
  <si>
    <t>-</t>
  </si>
  <si>
    <t>EL(GR)</t>
  </si>
  <si>
    <t>Très positive</t>
  </si>
  <si>
    <t>Very positive</t>
  </si>
  <si>
    <t>Plutôt positive</t>
  </si>
  <si>
    <t>Fairly positive</t>
  </si>
  <si>
    <t>Neutre</t>
  </si>
  <si>
    <t>Neutral</t>
  </si>
  <si>
    <t>Plutôt négative</t>
  </si>
  <si>
    <t>Fairly negative</t>
  </si>
  <si>
    <t>Très négative</t>
  </si>
  <si>
    <t>Very negative</t>
  </si>
  <si>
    <t>Ne sait pas</t>
  </si>
  <si>
    <t>Don't know</t>
  </si>
  <si>
    <t>Total 'Positive'</t>
  </si>
  <si>
    <t>Total 'Négative'</t>
  </si>
  <si>
    <t>Total 'Negative'</t>
  </si>
  <si>
    <t>Plus important</t>
  </si>
  <si>
    <t>More important</t>
  </si>
  <si>
    <t>Moins important</t>
  </si>
  <si>
    <t>Less important</t>
  </si>
  <si>
    <t>Sans changement / Comme aujourd'hui (SPONTANÉ)</t>
  </si>
  <si>
    <t>No change / As it is now (SPONTANEOUS)</t>
  </si>
  <si>
    <t>Assez positive</t>
  </si>
  <si>
    <t>Assez négative</t>
  </si>
  <si>
    <t>Oui, tout à fait</t>
  </si>
  <si>
    <t>Yes, very much</t>
  </si>
  <si>
    <t>Oui, dans une certaine mesure</t>
  </si>
  <si>
    <t>Yes, somewhat</t>
  </si>
  <si>
    <t>Non, pas vraiment</t>
  </si>
  <si>
    <t>No, not much</t>
  </si>
  <si>
    <t>Non, pas du tout</t>
  </si>
  <si>
    <t>No, not at all</t>
  </si>
  <si>
    <t>Total 'Oui'</t>
  </si>
  <si>
    <t>Total 'Yes'</t>
  </si>
  <si>
    <t>Total 'Non'</t>
  </si>
  <si>
    <t>Total 'No'</t>
  </si>
  <si>
    <t>Bénéficié</t>
  </si>
  <si>
    <t>Benefited</t>
  </si>
  <si>
    <t>Pas bénéficié</t>
  </si>
  <si>
    <t>Not benefited</t>
  </si>
  <si>
    <t>L’Union européenne contribue au maintien de la démocratie en (NOTRE PAYS)</t>
  </si>
  <si>
    <t>The EU contributes to maintaining democracy in (OUR COUNTRY)</t>
  </si>
  <si>
    <t>L’Union européenne contribue à préserver la paix et à renforcer la sécurité en (NOTRE PAYS)</t>
  </si>
  <si>
    <t>The EU contributes to protecting peace and strengthening security</t>
  </si>
  <si>
    <t>L'Union européenne contribue à la croissance économique en (NOTRE PAYS)</t>
  </si>
  <si>
    <t>The EU contributes to economic growth in (OUR COUNTRY)</t>
  </si>
  <si>
    <t>L'appartenance à l'Union européenne améliore la coopération entre (NOTRE PAYS) et les autres pays de l'Union européenne</t>
  </si>
  <si>
    <t>Membership of the EU improves co-operation between (OUR COUNTRY) and the other countries of the EU</t>
  </si>
  <si>
    <t>L'appartenance à l'Union européenne améliore la coopération entre (NOTRE PAYS) et les pays en dehors de l'Union européenne</t>
  </si>
  <si>
    <t>Membership of the EU improves co-operation between (OUR COUNTRY) and countries outside the EU</t>
  </si>
  <si>
    <t>Les (NATIONALITÉ) ont une influence significative sur les décisions prises au sein de l'Union européenne</t>
  </si>
  <si>
    <t>(NATIONALITY) people have a significant influence in decisions made at EU level</t>
  </si>
  <si>
    <t>L'Union européenne donne aux (NATIONALITÉ) un poids plus important dans le monde</t>
  </si>
  <si>
    <t>The EU gives (NATIONALITY) people a stronger say in the world</t>
  </si>
  <si>
    <t>L'Union européenne améliore le niveau de vie des (NATIONALITÉ)</t>
  </si>
  <si>
    <t>The EU improves (NATIONALITY) people's standard of living</t>
  </si>
  <si>
    <t>L'Union européenne aide (NOTRE PAYS) à lutter contre le terrorisme</t>
  </si>
  <si>
    <t>The EU helps (OUR COUNTRY) in the fight against terrorism</t>
  </si>
  <si>
    <t>L'Union européenne aide (NOTRE PAYS) à faire face au changement climatique</t>
  </si>
  <si>
    <t>The EU helps (OUR COUNTRY) to tackle climate change</t>
  </si>
  <si>
    <t>L'Union européenne donne aux (NATIONALITÉ) de nouvelles opportunités de travail</t>
  </si>
  <si>
    <t>The EU brings (NATIONALITY) people new work opportunities</t>
  </si>
  <si>
    <t>D’une manière générale, vous êtes favorable à l’Union européenne (SPONTANÉ)</t>
  </si>
  <si>
    <t>You are generally in favour of the EU (SPONTANEOUS)</t>
  </si>
  <si>
    <t>Autre (SPONTANÉ)</t>
  </si>
  <si>
    <t>Other (SPONTANEOUS)</t>
  </si>
  <si>
    <t>Base: Répondants n'ayant pas répondu "Ne sait pas" à la QA5a</t>
  </si>
  <si>
    <t xml:space="preserve">Base: Respondents who did not answer "Don't know" in QA5a </t>
  </si>
  <si>
    <t>Ce que le Parlement européen décide en matière de nouvelles lois européennes</t>
  </si>
  <si>
    <t>What the European Parliament is deciding on new European laws</t>
  </si>
  <si>
    <t>Ce que le Parlement européen fait pour contrôler la Commission européenne et lui demander des comptes</t>
  </si>
  <si>
    <t>What the European Parliament is doing to check on the European Commission and hold it accountable</t>
  </si>
  <si>
    <t xml:space="preserve">Ce pour quoi le Parlement européen veut que le budget de l’UE soit dépensé </t>
  </si>
  <si>
    <t>What the European Parliament wants the EU budget to be spent on</t>
  </si>
  <si>
    <t>Les activités des députés européens (NATIONALITÉ) au Parlement européen</t>
  </si>
  <si>
    <t>The activities of (NATIONALITY) MEPs in the European Parliament</t>
  </si>
  <si>
    <t>L’impact concret de la législation européenne sur (NOTRE PAYS)</t>
  </si>
  <si>
    <t>The concrete impact of European legislation on (OUR COUNTRY)</t>
  </si>
  <si>
    <t>L’impact concret de la législation européenne sur votre vie ou votre situation personnelle</t>
  </si>
  <si>
    <t>The concrete impact of European legislation on your personal life or situation</t>
  </si>
  <si>
    <t>Ce que l’UE a fait ou changé concrètement dans votre ville, votre région ou votre pays</t>
  </si>
  <si>
    <t>What the EU has concretely done or changed in your city, region or country</t>
  </si>
  <si>
    <t>Vous ne souhaitez pas recevoir plus d’informations (SPONTANÉ)</t>
  </si>
  <si>
    <t>You would not like to receive more information (SPONTANEOUS)</t>
  </si>
  <si>
    <t>Base: Répondants n'ayant pas répondu "Ne sait pas" à la QA6a</t>
  </si>
  <si>
    <t xml:space="preserve">Base: Respondents who did not answer "Don't know" in QA6a </t>
  </si>
  <si>
    <t>Rencontrer personnellement les députés européens (NATIONALITÉ) lors d'événements dans votre ville, région ou pays</t>
  </si>
  <si>
    <t>Personally meeting (NATIONALITY) MEPs at events in your city, region or country</t>
  </si>
  <si>
    <t>Les suivre et interagir avec eux sur les réseaux sociaux</t>
  </si>
  <si>
    <t>Following and interacting with them on social media</t>
  </si>
  <si>
    <t>Voir, entendre ou lire plus souvent des choses à leur sujet à la télévision, à la radio ou dans les journaux</t>
  </si>
  <si>
    <t>Seeing, hearing, or reading about them more often on TV, radio or newspapers</t>
  </si>
  <si>
    <t>Recevoir plus d'informations sur leurs rôles et activités au Parlement européen</t>
  </si>
  <si>
    <t>Receiving more information about their roles and activities in the European Parliament</t>
  </si>
  <si>
    <t>Interroger directement un député européen sur une question spécifique et recevoir une réponse concrète</t>
  </si>
  <si>
    <t>Getting to address an MEP directly on a specific issue and receiving a concrete answer</t>
  </si>
  <si>
    <t>Visiter le Parlement européen à Bruxelles ou à Strasbourg et les rencontrer</t>
  </si>
  <si>
    <t>Visiting the European Parliament in Brussels or Strasbourg and meeting them</t>
  </si>
  <si>
    <t>Rien, vous ne voulez pas vous impliquer davantage dans les activités des députés européens (NATIONALITÉ)</t>
  </si>
  <si>
    <t>Nothing, you do not want to be more engaged with the activities of (NATIONALITY) MEPs</t>
  </si>
  <si>
    <t>Total 'Au moins une activité'</t>
  </si>
  <si>
    <t>Total 'At least one activity'</t>
  </si>
  <si>
    <t>Plus de soutien à la  santé publique</t>
  </si>
  <si>
    <t>More support for public health</t>
  </si>
  <si>
    <t>La lutte contre le changement climatique</t>
  </si>
  <si>
    <t>Action against climate change</t>
  </si>
  <si>
    <t>La lutte contre la pauvreté et l'exclusion sociale</t>
  </si>
  <si>
    <t>The fight against poverty and social exclusion</t>
  </si>
  <si>
    <t>Le soutien à l'économie et à la création de nouveaux emplois</t>
  </si>
  <si>
    <t>Support to the economy and the creation of new jobs</t>
  </si>
  <si>
    <t>L’inflation, la hausse des prix et le coût de la vie</t>
  </si>
  <si>
    <t>Inflation, rising prices and the cost of living</t>
  </si>
  <si>
    <t>La transition numérique de l'économie et de la société européenne</t>
  </si>
  <si>
    <t>The digitalisation of the European economy and society</t>
  </si>
  <si>
    <t>L'aide humanitaire et l'aide au développement</t>
  </si>
  <si>
    <t>Humanitarian aid and development assistance</t>
  </si>
  <si>
    <t>L'autonomie de l'UE dans les domaines de l'industrie et de l'énergie</t>
  </si>
  <si>
    <t>The EU’s autonomy in the fields of industry and energy</t>
  </si>
  <si>
    <t>La protection des consommateurs</t>
  </si>
  <si>
    <t>Consumer protection</t>
  </si>
  <si>
    <t>La migration et l'asile</t>
  </si>
  <si>
    <t>Migration and asylum</t>
  </si>
  <si>
    <t>La lutte contre le terrorisme et le crime organisé</t>
  </si>
  <si>
    <t>The fight against terrorism and organised crime</t>
  </si>
  <si>
    <t>La démocratie et l'État de droit</t>
  </si>
  <si>
    <t>Democracy and the rule of law</t>
  </si>
  <si>
    <t>La défense et la sécurité de l'UE</t>
  </si>
  <si>
    <t>The EU’s defence and security</t>
  </si>
  <si>
    <t>L’agriculture et la sécurité alimentaire</t>
  </si>
  <si>
    <t>Agriculture and food security</t>
  </si>
  <si>
    <t>L'égalité des sexes, l'inclusion et la diversité</t>
  </si>
  <si>
    <t>Gender equality, inclusion and diversity</t>
  </si>
  <si>
    <t>Aucun (SPONTANÉ)</t>
  </si>
  <si>
    <t>None (SPONTANEOUS)</t>
  </si>
  <si>
    <t>Base: Répondants n'ayant pas répondu "Aucun" ou "Ne sait pas" à la QA8a</t>
  </si>
  <si>
    <t xml:space="preserve">Base: Respondents who did not answer "None" or "Don't know" in QA8a </t>
  </si>
  <si>
    <t>Le soutien à notre économie et à la création de nouveaux emplois</t>
  </si>
  <si>
    <t>L'égalité de sexes, l'inclusion et la diversité</t>
  </si>
  <si>
    <t>L'égalité entre les femmes et les hommes</t>
  </si>
  <si>
    <t>Equality between women and men</t>
  </si>
  <si>
    <t>La lutte contre les discriminations et pour la protection des minorités</t>
  </si>
  <si>
    <t>The fight against discrimination and for the protection of minorities</t>
  </si>
  <si>
    <t>La tolérance et le respect de la diversité au sein de la société</t>
  </si>
  <si>
    <t>Tolerance and respect for diversity in society</t>
  </si>
  <si>
    <t>La solidarité entre États membres de l'UE et entre ses régions</t>
  </si>
  <si>
    <t>Solidarity between EU Member States and between its regions</t>
  </si>
  <si>
    <t>La solidarité entre l'Union Européenne et les pays pauvres dans le monde</t>
  </si>
  <si>
    <t>Solidarity between the EU and poor countries in the world</t>
  </si>
  <si>
    <t>La protection des droits de l'homme dans l'UE et dans le monde</t>
  </si>
  <si>
    <t>The protection of human rights in the EU and worldwide</t>
  </si>
  <si>
    <t>La liberté de religion et de croyance</t>
  </si>
  <si>
    <t>Freedom of religion and belief</t>
  </si>
  <si>
    <t>La libre circulation</t>
  </si>
  <si>
    <t>Freedom of movement</t>
  </si>
  <si>
    <t>La liberté d'expression et de pensée</t>
  </si>
  <si>
    <t>Freedom of speech and thought</t>
  </si>
  <si>
    <t>La dignité humaine, y compris l'interdiction de la peine de mort, de la torture et de l'esclavage</t>
  </si>
  <si>
    <t>Human dignity, including the prohibition of the death penalty, torture or slavery</t>
  </si>
  <si>
    <t>La démocratie</t>
  </si>
  <si>
    <t>Democracy</t>
  </si>
  <si>
    <t>L'État de droit</t>
  </si>
  <si>
    <t>The rule of law</t>
  </si>
  <si>
    <t>Le respect des identités, cultures et traditions nationales dans les États membres de l'UE</t>
  </si>
  <si>
    <t>The respect for national identities, cultures and traditions in the EU Member States</t>
  </si>
  <si>
    <t>Le droit de demander l'asile en cas de persécution</t>
  </si>
  <si>
    <t>The right to seek asylum from persecution</t>
  </si>
  <si>
    <t>La paix</t>
  </si>
  <si>
    <t>Peace</t>
  </si>
  <si>
    <t>Base: Répondants n'ayant pas répondu "Aucun" ou "Ne sait pas" à la QA9a</t>
  </si>
  <si>
    <t xml:space="preserve">Base: Respondents who did not answer "None" or "Don't know" in QA9a </t>
  </si>
  <si>
    <t>devenir plus important</t>
  </si>
  <si>
    <t>devenir moins important</t>
  </si>
  <si>
    <t>rester le même</t>
  </si>
  <si>
    <t>Stay the same</t>
  </si>
  <si>
    <t>L’indépendance énergétique, les ressources et les infrastructures</t>
  </si>
  <si>
    <t>Energy independence, resources and infrastructures</t>
  </si>
  <si>
    <t>La défense et la sécurité</t>
  </si>
  <si>
    <t>Defence and security</t>
  </si>
  <si>
    <t>Les relations internationales et la diplomatie</t>
  </si>
  <si>
    <t>Foreign relations and diplomacy</t>
  </si>
  <si>
    <t>L’élargissement de l’UE et les relations avec les pays voisins</t>
  </si>
  <si>
    <t>EU enlargement and neighbourhood relations</t>
  </si>
  <si>
    <t>La technologie et l'innovation, y compris l'IA (Intelligence Artificielle)</t>
  </si>
  <si>
    <t>Technology and innovation, including AI (Artificial Intelligence)</t>
  </si>
  <si>
    <t>Les valeurs de l'UE, notamment la démocratie et la protection des droits de l'homme</t>
  </si>
  <si>
    <t>EU values, including democracy and the protection of human rights</t>
  </si>
  <si>
    <t>La compétitivité, l'économie et l'industrie</t>
  </si>
  <si>
    <t>Competitiveness, economy and industry</t>
  </si>
  <si>
    <t>Le commerce international</t>
  </si>
  <si>
    <t>International trade</t>
  </si>
  <si>
    <t>L'euro</t>
  </si>
  <si>
    <t>The Euro</t>
  </si>
  <si>
    <t>L'action pour le climat et la réduction des émissions de gaz à effet de serre</t>
  </si>
  <si>
    <t>Climate action and emissions reductions</t>
  </si>
  <si>
    <t>La sécurité alimentaire et l'agriculture</t>
  </si>
  <si>
    <t>Food security and agriculture</t>
  </si>
  <si>
    <t>L'éducation et la recherche</t>
  </si>
  <si>
    <t>Education and research</t>
  </si>
  <si>
    <t>La démographie, la migration et le vieillissement de la population</t>
  </si>
  <si>
    <t>Demography, migration and population ageing</t>
  </si>
  <si>
    <t>La culture</t>
  </si>
  <si>
    <t>Culture</t>
  </si>
  <si>
    <t>Base: Répondants n'ayant pas répondu "Aucun" ou "Ne sait pas" à la QA11a</t>
  </si>
  <si>
    <t xml:space="preserve">Base: Respondents who did not answer "None" or "Don't know" in QA11a </t>
  </si>
  <si>
    <t>Les valeurs de l'UE, notamment la démocratie et la protection des droits humains</t>
  </si>
  <si>
    <t>L'action pour le climat et la réductions des émissions de gaz à effet de serre</t>
  </si>
  <si>
    <t xml:space="preserve">QA12.1. Diriez-vous que : </t>
  </si>
  <si>
    <t>QA12.1. Would you say that:</t>
  </si>
  <si>
    <t>Au cours des dernières années, le rôle de l’Union européenne en matière de protection des citoyens européens contre les crises mondiales et les risques de sécurité a eu tendance à...</t>
  </si>
  <si>
    <t>Over the past years, the role of the European Union to protect European citizens against global crises and security risks has become…</t>
  </si>
  <si>
    <t>…more important</t>
  </si>
  <si>
    <t>…less important</t>
  </si>
  <si>
    <t>Stay(ed) the same</t>
  </si>
  <si>
    <t xml:space="preserve">QA12.2. Diriez-vous que : </t>
  </si>
  <si>
    <t>QA12.2. Would you say that:</t>
  </si>
  <si>
    <t>À l’avenir, le rôle de l’Union européenne en matière de protection des citoyens européens contre les crises mondiales et les risques de sécurité devrait...</t>
  </si>
  <si>
    <t>In the future, the role of the European Union to protect European citizens against global crises and security risks should become…</t>
  </si>
  <si>
    <t xml:space="preserve">QA13.1. Dans quelle mesure êtes-vous d’accord ou pas d’accord avec chacune des affirmations suivantes ? </t>
  </si>
  <si>
    <t>QA13.1. To what extent do you agree or not with each of the following statements?</t>
  </si>
  <si>
    <t>Les États membres de l’UE devraient être plus unis pour faire face aux défis mondiaux actuels</t>
  </si>
  <si>
    <t>EU Member States should be more united to face current global challenges</t>
  </si>
  <si>
    <t>Tout à fait d’accord</t>
  </si>
  <si>
    <t>Totally agree</t>
  </si>
  <si>
    <t>Plutôt d’accord</t>
  </si>
  <si>
    <t>Tend to agree</t>
  </si>
  <si>
    <t>Plutôt pas d’accord</t>
  </si>
  <si>
    <t>Tend to disagree</t>
  </si>
  <si>
    <t>Pas du tout d’accord</t>
  </si>
  <si>
    <t>Totally disagree</t>
  </si>
  <si>
    <t>Total 'D'accord'</t>
  </si>
  <si>
    <t>Total 'Agree'</t>
  </si>
  <si>
    <t>Total 'Pas d'accord'</t>
  </si>
  <si>
    <t>Total 'Disagree'</t>
  </si>
  <si>
    <t xml:space="preserve">QA13.2. Dans quelle mesure êtes-vous d’accord ou pas d’accord avec chacune des affirmations suivantes ? </t>
  </si>
  <si>
    <t>QA13.2. To what extent do you agree or not with each of the following statements?</t>
  </si>
  <si>
    <t>Les États membres de l’UE ont besoin de plus de moyens pour faire face aux défis mondiaux actuels</t>
  </si>
  <si>
    <t>The European Union needs more means to face current global challenges</t>
  </si>
  <si>
    <t xml:space="preserve">QA13.3. Dans quelle mesure êtes-vous d’accord ou pas d’accord avec chacune des affirmations suivantes ? </t>
  </si>
  <si>
    <t>QA13.3. To what extent do you agree or not with each of the following statements?</t>
  </si>
  <si>
    <t>Les États membres de l’UE peuvent mieux faire face aux défis mondiaux en agissant seuls</t>
  </si>
  <si>
    <t>EU Member States can face global challenges better on their own</t>
  </si>
  <si>
    <t>Votre niveau de vie va baisser</t>
  </si>
  <si>
    <t>Your standard of living will decrease</t>
  </si>
  <si>
    <t>Votre niveau de vie ne va pas changer</t>
  </si>
  <si>
    <t>Your standard of living will not change</t>
  </si>
  <si>
    <t>Votre niveau de vie va augmenter</t>
  </si>
  <si>
    <t>Your standard of living will increase</t>
  </si>
  <si>
    <t>Ne sait pas / Pas de réponse</t>
  </si>
  <si>
    <t>Don't know / No answer</t>
  </si>
  <si>
    <t>La radio</t>
  </si>
  <si>
    <t>Radio</t>
  </si>
  <si>
    <t>La télévision</t>
  </si>
  <si>
    <t>TV</t>
  </si>
  <si>
    <t>La presse écrite imprimée (par exemple les journaux, les magazines hebdomadaires ou mensuels, etc.)</t>
  </si>
  <si>
    <t>Written printed press (e.g. newspapers, weekly or monthly magazine, etc.)</t>
  </si>
  <si>
    <t>La presse en ligne, les plateformes d’information (par exemple les sites Internet de journaux)</t>
  </si>
  <si>
    <t>Online press, news platforms (e.g. newspaper websites)</t>
  </si>
  <si>
    <t>Des plateformes vidéo (par exemple YouTube, etc.)</t>
  </si>
  <si>
    <t>Video platforms (e.g. YouTube, etc.)</t>
  </si>
  <si>
    <t>Des podcasts</t>
  </si>
  <si>
    <t>Podcasts</t>
  </si>
  <si>
    <t>Des plateformes de réseaux sociaux (par exemple Facebook, Instagram, etc.)</t>
  </si>
  <si>
    <t>Social media platforms (e.g. Facebook, Instagram, etc.)</t>
  </si>
  <si>
    <t>Des applications de messagerie (par exemple WhatsApp, Messenger, etc.)</t>
  </si>
  <si>
    <t>Messaging apps (e.g. WhatsApp, Messenger, etc.)</t>
  </si>
  <si>
    <t>Des blogs</t>
  </si>
  <si>
    <t>Blogs</t>
  </si>
  <si>
    <t>Vous ne vous êtes pas informé(e) sur l’actualité au cours des 7 derniers jours / Vous ne vous informez pas sur l’actualité de manière régulière (SPONTANÉ)</t>
  </si>
  <si>
    <t>You haven’t accessed news in the last 7 days / You do not access news on a regular basis (SPONTANEOUS)</t>
  </si>
  <si>
    <t>Base: Répondants n'ayant pas répondu "Vous ne vous êtes pas informé(e) sur l’actualité au cours des 7 derniers jours / Vous ne vous informez pas sur l’actualité de manière régulière" ou "Ne sait pas" à la QA14a</t>
  </si>
  <si>
    <t xml:space="preserve">Base: Respondents who did not answer "You haven’t accessed news in the last 7 days / You do not access news on a regular basis" or "Don't know" in QA14a </t>
  </si>
  <si>
    <t xml:space="preserve">QB1.1. Dans quelle mesure chacun des problèmes suivants vous inquiète-t-il pour l’avenir de votre foyer ? </t>
  </si>
  <si>
    <t>QB1.1. To what extent are you worried or not about each of the following issues for the future of your household?</t>
  </si>
  <si>
    <t>La dévalorisation des compétences professionnelles en raison de la transformation numérique de la société</t>
  </si>
  <si>
    <t>Work skills becoming less valuable because of digital change in society</t>
  </si>
  <si>
    <t>Vous inquiète beaucoup</t>
  </si>
  <si>
    <t>Very worried</t>
  </si>
  <si>
    <t>Vous inquiète assez</t>
  </si>
  <si>
    <t>Fairly worried</t>
  </si>
  <si>
    <t>Ne vous inquiète pas vraiment</t>
  </si>
  <si>
    <t>Not very worried</t>
  </si>
  <si>
    <t>Ne vous inquiète pas du tout</t>
  </si>
  <si>
    <t>Not at all worried</t>
  </si>
  <si>
    <t>Total 'Inquiet(e)'</t>
  </si>
  <si>
    <t>Total 'Worried'</t>
  </si>
  <si>
    <t>Total 'Pas inquiet(e)'</t>
  </si>
  <si>
    <t>Total 'Not worried'</t>
  </si>
  <si>
    <t xml:space="preserve">QB1.2. Dans quelle mesure chacun des problèmes suivants vous inquiète-t-il pour l’avenir de votre foyer ? </t>
  </si>
  <si>
    <t>QB1.2. To what extent are you worried or not about each of the following issues for the future of your household?</t>
  </si>
  <si>
    <t>Le manque d’opportunités d’emploi</t>
  </si>
  <si>
    <t>Lack of job opportunities</t>
  </si>
  <si>
    <t xml:space="preserve">QB1.3. Dans quelle mesure chacun des problèmes suivants vous inquiète-t-il pour l’avenir de votre foyer ? </t>
  </si>
  <si>
    <t>QB1.3. To what extent are you worried or not about each of the following issues for the future of your household?</t>
  </si>
  <si>
    <t>Le coût de la vie quotidienne, par exemple la hausse des prix de l’alimentation, des logement, de l’énergie, des transports et d’autres produits de première nécessité</t>
  </si>
  <si>
    <t>Daily cost of living, for instance increased prices in food, housing, energy, transport and other household necessities</t>
  </si>
  <si>
    <t xml:space="preserve">QB1.4. Dans quelle mesure chacun des problèmes suivants vous inquiète-t-il pour l’avenir de votre foyer ? </t>
  </si>
  <si>
    <t>QB1.4. To what extent are you worried or not about each of the following issues for the future of your household?</t>
  </si>
  <si>
    <t>L’incapacité à payer un loyer ou à rembourser un prêt immobilier</t>
  </si>
  <si>
    <t>Not being able to pay rent or mortgage</t>
  </si>
  <si>
    <t xml:space="preserve">QB1.5. Dans quelle mesure chacun des problèmes suivants vous inquiète-t-il pour l’avenir de votre foyer ? </t>
  </si>
  <si>
    <t>QB1.5. To what extent are you worried or not about each of the following issues for the future of your household?</t>
  </si>
  <si>
    <t>Le fait de ne pas recevoir une rémunération juste, basée sur les compétences et l’expérience</t>
  </si>
  <si>
    <t>Not receiving a fair salary based on skillset and experience</t>
  </si>
  <si>
    <t xml:space="preserve">QB2.1. Dans quelle mesure chacun des problèmes suivants vous inquiète-t-il pour l’avenir de (NOTRE PAYS) ? </t>
  </si>
  <si>
    <t>QB2.1. To what extent are you worried or not about each of the following issues for the future of (OUR COUNTRY)?</t>
  </si>
  <si>
    <t>Le changement climatique</t>
  </si>
  <si>
    <t>Climate change</t>
  </si>
  <si>
    <t xml:space="preserve">QB2.2. Dans quelle mesure chacun des problèmes suivants vous inquiète-t-il pour l’avenir de (NOTRE PAYS) ? </t>
  </si>
  <si>
    <t>QB2.2. To what extent are you worried or not about each of the following issues for the future of (OUR COUNTRY)?</t>
  </si>
  <si>
    <t>La polarisation politique</t>
  </si>
  <si>
    <t>Political polarisation</t>
  </si>
  <si>
    <t xml:space="preserve">QB2.3. Dans quelle mesure chacun des problèmes suivants vous inquiète-t-il pour l’avenir de (NOTRE PAYS) ? </t>
  </si>
  <si>
    <t>QB2.3. To what extent are you worried or not about each of the following issues for the future of (OUR COUNTRY)?</t>
  </si>
  <si>
    <t>Le vieillissement de la population</t>
  </si>
  <si>
    <t>Population ageing</t>
  </si>
  <si>
    <t xml:space="preserve">QB2.4. Dans quelle mesure chacun des problèmes suivants vous inquiète-t-il pour l’avenir de (NOTRE PAYS) ? </t>
  </si>
  <si>
    <t>QB2.4. To what extent are you worried or not about each of the following issues for the future of (OUR COUNTRY)?</t>
  </si>
  <si>
    <t>Le coût du logement</t>
  </si>
  <si>
    <t>Affordability of housing</t>
  </si>
  <si>
    <t xml:space="preserve">QB2.5. Dans quelle mesure chacun des problèmes suivants vous inquiète-t-il pour l’avenir de (NOTRE PAYS) ? </t>
  </si>
  <si>
    <t>QB2.5. To what extent are you worried or not about each of the following issues for the future of (OUR COUNTRY)?</t>
  </si>
  <si>
    <t xml:space="preserve">La détérioration de la qualité des services publics (par exemple les hôpitaux, les services de garde d’enfants, les écoles, etc.)  </t>
  </si>
  <si>
    <t xml:space="preserve">Reduced quality of public services - think of hospitals, childcare, schools, etc. </t>
  </si>
  <si>
    <t xml:space="preserve">QB2.6. Dans quelle mesure chacun des problèmes suivants vous inquiète-t-il pour l’avenir de (NOTRE PAYS) ? </t>
  </si>
  <si>
    <t>QB2.6. To what extent are you worried or not about each of the following issues for the future of (OUR COUNTRY)?</t>
  </si>
  <si>
    <t>Les enfants grandissant dans la pauvreté</t>
  </si>
  <si>
    <t>Children growing up in poverty</t>
  </si>
  <si>
    <t xml:space="preserve">QB2.7. Dans quelle mesure chacun des problèmes suivants vous inquiète-t-il pour l’avenir de (NOTRE PAYS) ? </t>
  </si>
  <si>
    <t>QB2.7. To what extent are you worried or not about each of the following issues for the future of (OUR COUNTRY)?</t>
  </si>
  <si>
    <t>La qualité de l’éducation</t>
  </si>
  <si>
    <t>The quality of education</t>
  </si>
  <si>
    <t xml:space="preserve">QB2.8. Dans quelle mesure chacun des problèmes suivants vous inquiète-t-il pour l’avenir de (NOTRE PAYS) ? </t>
  </si>
  <si>
    <t>QB2.8. To what extent are you worried or not about each of the following issues for the future of (OUR COUNTRY)?</t>
  </si>
  <si>
    <t>Le fait que trop peu de personnes parviennent à sortir de la pauvreté</t>
  </si>
  <si>
    <t>Too few people are escaping poverty</t>
  </si>
  <si>
    <t>En charge des achats courants et des tâches ménagères ou sans aucune activité professionnelle</t>
  </si>
  <si>
    <t>Responsible for ordinary shopping and looking after the home, or without any current occupation, not working</t>
  </si>
  <si>
    <t>Étudiant</t>
  </si>
  <si>
    <t>Student</t>
  </si>
  <si>
    <t>Au chômage ou temporairement sans emploi</t>
  </si>
  <si>
    <t>Unemployed or temporarily not working</t>
  </si>
  <si>
    <t>À la retraite ou en congé de maladie prolongé</t>
  </si>
  <si>
    <t>Retired or unable to work through illness</t>
  </si>
  <si>
    <t>Agriculteur indépendant</t>
  </si>
  <si>
    <t>Self-employed farmer</t>
  </si>
  <si>
    <t>Pêcheur indépendant</t>
  </si>
  <si>
    <t>Self-employed fisherman</t>
  </si>
  <si>
    <t>Travailleur indépendant libéral (avocat, médecin, expert comptable, architecte, etc.)</t>
  </si>
  <si>
    <t>Self-employed professional (lawyer, medical practitioner, accountant, architect, etc.)</t>
  </si>
  <si>
    <t>Commerçant ou propriétaire d’un magasin, artisan ou autre travailleur indépendant</t>
  </si>
  <si>
    <t>Owner of a shop, craftsmen, other self-employed person</t>
  </si>
  <si>
    <t>Industriel, propriétaire (en tout ou en partie) d’une entreprise</t>
  </si>
  <si>
    <t>Business proprietors, owner (full or partner) of a company</t>
  </si>
  <si>
    <t>Profession libérale salariée (docteur, avocat, comptable, architecte, etc.)</t>
  </si>
  <si>
    <t>Employed professional (employed doctor, lawyer, accountant, architect)</t>
  </si>
  <si>
    <t>Directeur, cadre dirigeant ou cadre supérieur salarié (directeur général, directeur exécutif, etc.)</t>
  </si>
  <si>
    <t>Employed position, general management, director or top management (managing directors, director general, other director)</t>
  </si>
  <si>
    <t>Cadre moyen salarié (chef de service, cadre junior, enseignant, technicien)</t>
  </si>
  <si>
    <t>Employed position, middle management, other management (department head, junior manager, teacher, technician)</t>
  </si>
  <si>
    <t>Employé travaillant la plupart du temps dans un bureau</t>
  </si>
  <si>
    <t>Employed position, working mainly at a desk</t>
  </si>
  <si>
    <t>Employé ne travaillant pas dans un bureau, mais voyageant (vendeur, chauffeur, représentant, etc.)</t>
  </si>
  <si>
    <t>Employed position, not at a desk but travelling (salesmen, driver, etc.)</t>
  </si>
  <si>
    <t>Employé ne travaillant pas dans un bureau, mais occupant un emploi dans les services (hôpital, restaurant, police, pompier, etc.)</t>
  </si>
  <si>
    <t>Employed position, not at a desk, but in a service job (hospital, restaurant, police, fireman, etc.)</t>
  </si>
  <si>
    <t>Contremaître, agent de maîtrise salarié</t>
  </si>
  <si>
    <t>Employed position, supervisor</t>
  </si>
  <si>
    <t>Ouvrier qualifié salarié</t>
  </si>
  <si>
    <t>Employed position, skilled manual worker</t>
  </si>
  <si>
    <t>Autre ouvrier (non qualifié) salarié, personnel de maison</t>
  </si>
  <si>
    <t>Other employed (unskilled) manual worker, servant</t>
  </si>
  <si>
    <t>Indépendants</t>
  </si>
  <si>
    <t>Self-employed</t>
  </si>
  <si>
    <t>Salariés</t>
  </si>
  <si>
    <t>Employed</t>
  </si>
  <si>
    <t>Non actifs</t>
  </si>
  <si>
    <t>Not working</t>
  </si>
  <si>
    <t>Cadres/ Directeurs</t>
  </si>
  <si>
    <t>Managers</t>
  </si>
  <si>
    <t>Autres employés</t>
  </si>
  <si>
    <t>Other white collars</t>
  </si>
  <si>
    <t>Ouvriers</t>
  </si>
  <si>
    <t>Manual workers</t>
  </si>
  <si>
    <t>Femmes/ Hommes au foyer</t>
  </si>
  <si>
    <t>House persons</t>
  </si>
  <si>
    <t>Chômeurs</t>
  </si>
  <si>
    <t>Unemployed</t>
  </si>
  <si>
    <t>Retraités</t>
  </si>
  <si>
    <t>Retired</t>
  </si>
  <si>
    <t>Etudiants</t>
  </si>
  <si>
    <t>Students</t>
  </si>
  <si>
    <t>Base: Répondants qui n'ont pas d'occupation actuelle</t>
  </si>
  <si>
    <t>Base: Respondents who do not have a current ocupation</t>
  </si>
  <si>
    <t>N’a jamais exercé d’activité professionnelle rémunérée</t>
  </si>
  <si>
    <t>Never did any paid work</t>
  </si>
  <si>
    <t xml:space="preserve">Vous exercez actuellement une activité professionnelle rémunérée, que ce soit en tant que salarié(e), indépendant(e), chef(fe) d’entreprise ou d’une autre manière. </t>
  </si>
  <si>
    <t>You are currently doing paid work, either employed, self-employed, owning a business, or in a different manner.</t>
  </si>
  <si>
    <t xml:space="preserve">Vous ne travaillez plus, car vous êtes à la retraite. </t>
  </si>
  <si>
    <t>You are no longer working because of retirement.</t>
  </si>
  <si>
    <t>Vous êtes disponible pour commencer une activité professionnelle rémunérée dans les 2 prochaines semaines et vous avez cherché activement un emploi à un moment au cours des 4 dernières semaines.</t>
  </si>
  <si>
    <t xml:space="preserve">You are available to start doing paid work within the next 2 weeks and have actively sought employment at some time during the last 4 weeks. </t>
  </si>
  <si>
    <t xml:space="preserve">Vous n’êtes pas disponible pour commencer une activité professionnelle rémunérée dans les 2 prochaines semaines et vous n’avez pas cherché activement un emploi au cours des 4 dernières semaines. Toutefois, vous seriez en mesure d’exercer une activité professionnelle rémunérée au cours des 2 prochaines années.  Les raisons pour lesquelles vous ne souhaitez pas travailler ou vous n’êtes pas en mesure de le faire peuvent être par exemple : par choix personnel, pour vous occuper de votre foyer ou d’une personne, ou parce que vous souffrez d’une maladie de longue durée. </t>
  </si>
  <si>
    <t>You are not available to start doing paid work within the next 2 weeks, and have not sought employment during the last 4 weeks. However, you would be able to do paid work within the next 2 years. Reasons for not being able or willing to work can be, for instance, by personal choice, being a caretaker of the household or person, or because you are long-term ill, or otherwise.</t>
  </si>
  <si>
    <t xml:space="preserve">Vous ne souhaitez pas ou vous ne vous considérez pas en mesure d’exercer une activité professionnelle rémunérée durant les 2 prochaines années au moins. Par exemple par choix personnel, pour vous occuper de votre foyer ou d’une personne, ou parce que vous souffrez d’une maladie de longue durée. </t>
  </si>
  <si>
    <t>You do not see yourself able or willing to do paid work in at least the next 2 years. For instance, by personal choice, being a caretaker of the household or person, or because you are long-term ill.</t>
  </si>
  <si>
    <t xml:space="preserve">Vous ne travaillez plus, car vous êtes en invalidité permanente. </t>
  </si>
  <si>
    <t>You are no longer working because you are permanently incapacitated.</t>
  </si>
  <si>
    <t>Vous ne travaillez pas actuellement, car vous faites des études.</t>
  </si>
  <si>
    <t>You are currently not working at the moment because you are in education.</t>
  </si>
  <si>
    <t>Vous n’avez pas encore eu de premier emploi rémunéré, car vous faites des études.</t>
  </si>
  <si>
    <t>You have not had a first paid job yet, because you are in education.</t>
  </si>
  <si>
    <t xml:space="preserve">Vous ne vous considérez pas en mesure d’exercer une activité professionnelle rémunérée durant les 2 prochaines années. Par exemple par choix personnel, pour vous occuper de votre foyer ou d’une personne, ou parce que vous souffrez d’une maladie de longue durée. </t>
  </si>
  <si>
    <t>You do not see yourself able to do paid work in the next 2 years. For instance, by personal choice, being a caretaker of the household or person, or because you are long-term ill.</t>
  </si>
  <si>
    <t xml:space="preserve">Vous souhaitez et vous êtes en mesure dede travailler au cours des 2 prochaines années. </t>
  </si>
  <si>
    <t>You are able and willing to work within the next 2 years.</t>
  </si>
  <si>
    <t xml:space="preserve">Vous n’avez jamais travaillé, car vous êtes en invalidité permanente. </t>
  </si>
  <si>
    <t>You have never worked because you are permanently incapacitated.</t>
  </si>
  <si>
    <t>Total 'Fait partie de la main-d’œuvre'</t>
  </si>
  <si>
    <t>Total 'Part of the workforce'</t>
  </si>
  <si>
    <t>Total 'Actuellement en activité ou en mesure de commencer à travailler dans les deux prochaines années'</t>
  </si>
  <si>
    <t>Total 'Currrently working or able to start working within the next two years'</t>
  </si>
  <si>
    <t>Total 'Possède une expérience professionnelle'</t>
  </si>
  <si>
    <t>Total 'Has work experience'</t>
  </si>
  <si>
    <t>Total 'Chômeur légal ou demandeur d’emploi actif'</t>
  </si>
  <si>
    <t>Total 'Legally unemployed or an active jobseeker'</t>
  </si>
  <si>
    <t>Total 'Ne travaille pas actuellement'</t>
  </si>
  <si>
    <t>Total 'Not currently working'</t>
  </si>
  <si>
    <t>Total 'Ne travaille pas actuellement, peut commencer à travailler dans les 2 ans'</t>
  </si>
  <si>
    <t>Total 'Not currently working, can start work within 2 years'</t>
  </si>
  <si>
    <t>Total 'Ne devrait pas réintégrer le marché du travail'</t>
  </si>
  <si>
    <t>Total 'Not expected to re-join workforce'</t>
  </si>
  <si>
    <t>Total 'En formation et sans emploi'</t>
  </si>
  <si>
    <t>Total 'In education and not working'</t>
  </si>
  <si>
    <t>Base: Répondants actuellement salarié</t>
  </si>
  <si>
    <t>Base: Respondents currently working</t>
  </si>
  <si>
    <t>Très satisfait(e)</t>
  </si>
  <si>
    <t>Very satisfied</t>
  </si>
  <si>
    <t>Assez satisfait(e)</t>
  </si>
  <si>
    <t>Fairly satisfied</t>
  </si>
  <si>
    <t>Pas très satisfait(e)</t>
  </si>
  <si>
    <t>Not very satisfied</t>
  </si>
  <si>
    <t>Pas du tout satisfait(e)</t>
  </si>
  <si>
    <t>Not at all satisfied</t>
  </si>
  <si>
    <t>Total 'Satisfait(e)'</t>
  </si>
  <si>
    <t>Total 'Satisfied'</t>
  </si>
  <si>
    <t>Total 'Pas satisfait(e)'</t>
  </si>
  <si>
    <t>Total 'Not satisfied'</t>
  </si>
  <si>
    <t xml:space="preserve">QB4a.1. Concernant votre situation professionnelle, dans quelle mesure les types de soutien suivants sont-ils importants pour vous ? </t>
  </si>
  <si>
    <t>QB4a.1. When thinking about your job situation, how important or not are the following ways of support to you?</t>
  </si>
  <si>
    <t>Bénéficier d’une formation pour vous préparer à des opportunités d’emploi futures</t>
  </si>
  <si>
    <t>To receive training to equip you for future job opportunities</t>
  </si>
  <si>
    <t>Très important</t>
  </si>
  <si>
    <t>Very important</t>
  </si>
  <si>
    <t>Assez important</t>
  </si>
  <si>
    <t>Fairly important</t>
  </si>
  <si>
    <t>Pas très important</t>
  </si>
  <si>
    <t>Not very important</t>
  </si>
  <si>
    <t>Pas du tout important</t>
  </si>
  <si>
    <t>Not at all important</t>
  </si>
  <si>
    <t>Total 'Important'</t>
  </si>
  <si>
    <t>Total 'Pas important'</t>
  </si>
  <si>
    <t>Total 'Not important'</t>
  </si>
  <si>
    <t xml:space="preserve">QB4a.2. Concernant votre situation professionnelle, dans quelle mesure les types de soutien suivants sont-ils importants pour vous ? </t>
  </si>
  <si>
    <t>QB4a.2. When thinking about your job situation, how important or not are the following ways of support to you?</t>
  </si>
  <si>
    <t>Bénéficier d’une formation pertinente pour votre emploi actuel</t>
  </si>
  <si>
    <t>To receive training relevant to your current job role</t>
  </si>
  <si>
    <t xml:space="preserve">QB4a.3. Concernant votre situation professionnelle, dans quelle mesure les types de soutien suivants sont-ils importants pour vous ? </t>
  </si>
  <si>
    <t>QB4a.3. When thinking about your job situation, how important or not are the following ways of support to you?</t>
  </si>
  <si>
    <t>Bénéficier d’une formation, de conseils ou d’une aide à l’orientation en cas de perte de votre emploi</t>
  </si>
  <si>
    <t>To receive training and guidance or counselling support in case you lose your job</t>
  </si>
  <si>
    <t xml:space="preserve">QB4b.1. Concernant votre situation professionnelle future, dans quelle mesure les types de soutien suivants sont-ils importants pour vous ? </t>
  </si>
  <si>
    <t>QB4b.1. When thinking about your future job situation, how important or not are the following ways of support to you?</t>
  </si>
  <si>
    <t>Base: Répondants qui n’ont pas d’emploi actuellement, mais qui sont en mesure de travailler au cours des 2 prochaines années</t>
  </si>
  <si>
    <t>Base: Respondents currently not employed, but able to work within the next 2 years</t>
  </si>
  <si>
    <t xml:space="preserve">QB4b.2. Concernant votre situation professionnelle future, dans quelle mesure les types de soutien suivants sont-ils importants pour vous ? </t>
  </si>
  <si>
    <t>QB4b.2. When thinking about your future job situation, how important or not are the following ways of support to you?</t>
  </si>
  <si>
    <t>To receive training and guidance or counselling support in case you would lose your job</t>
  </si>
  <si>
    <t xml:space="preserve">QB4T.1. Concernant votre situation professionnelle actuelle ou future, dans quelle mesure les types de soutien suivants sont-ils importants pour vous ? </t>
  </si>
  <si>
    <t>QB4T.1. When thinking about your current or future job situation, how important or not are the following ways of support to you?</t>
  </si>
  <si>
    <t>Base: Répondants actuellement en activité ou en mesure de commencer à travailler dans les deux prochaines années</t>
  </si>
  <si>
    <t>Base: Respondents currrently working or able to start working within the next two years</t>
  </si>
  <si>
    <t xml:space="preserve">QB4T.2. Concernant votre situation professionnelle actuelle ou future, dans quelle mesure les types de soutien suivants sont-ils importants pour vous ? </t>
  </si>
  <si>
    <t>QB4T.2. When thinking about your current or future job situation, how important or not are the following ways of support to you?</t>
  </si>
  <si>
    <t xml:space="preserve">QB5.1. Dans quelle mesure êtes-vous d’accord ou pas d’accord avec les affirmations suivantes ? </t>
  </si>
  <si>
    <t>QB5.1. To what extent do you agree or disagree with the following statements?</t>
  </si>
  <si>
    <t>Il est important de recevoir des formations pour développer ses capacités à utiliser les technologies numériques dans son travail quotidien</t>
  </si>
  <si>
    <t>It is important to receive education and training to develop your skills for using digital technologies in your daily work</t>
  </si>
  <si>
    <t>Base: Répondants qui travaillent actuellement ou qui sont en mesure de travailler au cours des deux prochaines années</t>
  </si>
  <si>
    <t>Base: Respondents currently working or able to work within the next two years</t>
  </si>
  <si>
    <t xml:space="preserve">QB5.2. Dans quelle mesure êtes-vous d’accord ou pas d’accord avec les affirmations suivantes ? </t>
  </si>
  <si>
    <t>QB5.2. To what extent do you agree or disagree with the following statements?</t>
  </si>
  <si>
    <t>Vous seriez prêt(e) à participer à une formation pour développer vos capacités à utiliser les technologies numériques dans votre travail quotidien</t>
  </si>
  <si>
    <t>You would be willing to take part in training to develop your skills for using digital technologies in your daily work</t>
  </si>
  <si>
    <t xml:space="preserve">QB6.1. Dans quelle mesure êtes-vous d’accord ou pas d’accord avec les affirmations suivantes sur la transition écologique ? </t>
  </si>
  <si>
    <t>QB6.1. To what extent do you agree or disagree with the following statements about the green transition?</t>
  </si>
  <si>
    <t>Occuper un emploi qui contribue à la transition écologique est important pour vous personnellement</t>
  </si>
  <si>
    <t>Being in a job that contributes to the green transition is important to you personally</t>
  </si>
  <si>
    <t xml:space="preserve">QB6.2. Dans quelle mesure êtes-vous d’accord ou pas d’accord avec les affirmations suivantes sur la transition écologique ? </t>
  </si>
  <si>
    <t>QB6.2. To what extent do you agree or disagree with the following statements about the green transition?</t>
  </si>
  <si>
    <t>Il est important pour vous de vous former à des compétences qui contribuent à la transition écologique</t>
  </si>
  <si>
    <t>It is important to you to get training in skills that contribute to the green transition</t>
  </si>
  <si>
    <t>Très probable</t>
  </si>
  <si>
    <t>Very likely</t>
  </si>
  <si>
    <t>Assez probable</t>
  </si>
  <si>
    <t>Somewhat likely</t>
  </si>
  <si>
    <t>Pas très probable</t>
  </si>
  <si>
    <t>Not very likely</t>
  </si>
  <si>
    <t>Pas du tout probable</t>
  </si>
  <si>
    <t>Not likely at all</t>
  </si>
  <si>
    <t>Total 'Probable'</t>
  </si>
  <si>
    <t>Total 'Likely'</t>
  </si>
  <si>
    <t>Total 'Pas probable'</t>
  </si>
  <si>
    <t>Total 'Unlikely'</t>
  </si>
  <si>
    <t>Base: Répondants qui ne utiliseraient pas un budget de formation personnelle</t>
  </si>
  <si>
    <t>Base: Respondents unlikely to use a ‘personal training budget’</t>
  </si>
  <si>
    <t>Je ne pense pas qu’un budget personnel de formation me serait utile</t>
  </si>
  <si>
    <t>I do not think I would find a personal training budget helpful</t>
  </si>
  <si>
    <t>Je n’aurais pas le temps de participer à une formation</t>
  </si>
  <si>
    <t>I would not have time to partake in training</t>
  </si>
  <si>
    <t>Je n’aime pas les formations</t>
  </si>
  <si>
    <t xml:space="preserve">I do not enjoy training </t>
  </si>
  <si>
    <t>Je ne trouve pas les formations utiles</t>
  </si>
  <si>
    <t>I do not find training useful</t>
  </si>
  <si>
    <t>Je ne saurais pas comment et où trouver des informations sur le budget et/ou sur les formations, ou comment je pourrais l’utiliser</t>
  </si>
  <si>
    <t>I would not know how and where to find information about the budget and or training, or how I could use it</t>
  </si>
  <si>
    <t>Autre raison</t>
  </si>
  <si>
    <t>Other reason</t>
  </si>
  <si>
    <t>Base: Répondants qui ne utiliseraient pas un budget de formation personnelle pour d’autres raisons</t>
  </si>
  <si>
    <t>Base: Respondents unlikely to use a ‘personal training budget’ for other reasons</t>
  </si>
  <si>
    <t>Base: Répondants qui utiliseraient un budget de formation personnelle</t>
  </si>
  <si>
    <t>Base: Respondents likely to use a ‘personal training budget’</t>
  </si>
  <si>
    <t>Compétences numériques</t>
  </si>
  <si>
    <t>Digital skills</t>
  </si>
  <si>
    <t>Compétences professionnelles liées à la transition écologique</t>
  </si>
  <si>
    <t>Workplace skills related to the green transition</t>
  </si>
  <si>
    <t>Compétences de leadership</t>
  </si>
  <si>
    <t>Leadership skills</t>
  </si>
  <si>
    <t>Compétences de gestion financière</t>
  </si>
  <si>
    <t>Financial management skills</t>
  </si>
  <si>
    <t>Formation à l’entrepreneuriat</t>
  </si>
  <si>
    <t>Entrepreneurship training</t>
  </si>
  <si>
    <t>Domaines dans lesquels vous voyez des opportunités d’emploi</t>
  </si>
  <si>
    <t>Areas where you see job opportunities</t>
  </si>
  <si>
    <t>Centre d’intérêt personnel / loisir</t>
  </si>
  <si>
    <t>Personal interest / hobby</t>
  </si>
  <si>
    <t>Base: Répondants qui utiliseraient un budget de formation personnelle pour d’autres raisons</t>
  </si>
  <si>
    <t>Base: Respondents likely to use a ‘personal training budget’ for other reasons</t>
  </si>
  <si>
    <t xml:space="preserve">QB8.1. Dans quelle mesure pensez-vous que les programmes de développement des compétences suivants pourraient être bénéfiques pour les personnes habitant en (NOTRE PAYS) ? </t>
  </si>
  <si>
    <t>QB8.1. To what extent do you think that people in (OUR COUNTRY) can benefit from the following skills development programmes?</t>
  </si>
  <si>
    <t>Un programme dans lequel chaque personne en âge de travailler disposerait d’un budget personnel pour suivre des formations utiles tout au long de sa carrière</t>
  </si>
  <si>
    <t>A programme in which every person of working age would have a personal budget to complete useful training throughout their career</t>
  </si>
  <si>
    <t>Très bénéfique</t>
  </si>
  <si>
    <t>Very beneficial</t>
  </si>
  <si>
    <t>Modérément bénéfique</t>
  </si>
  <si>
    <t>Moderately beneficial</t>
  </si>
  <si>
    <t>Légèrement bénéfique</t>
  </si>
  <si>
    <t>Slightly beneficial</t>
  </si>
  <si>
    <t>Pas du tout bénéfique</t>
  </si>
  <si>
    <t>Not beneficial at all</t>
  </si>
  <si>
    <t>Total 'Bénéfique'</t>
  </si>
  <si>
    <t>Total 'Beneficial'</t>
  </si>
  <si>
    <t>Total 'Pas bénéfique'</t>
  </si>
  <si>
    <t>Total 'Not beneficial'</t>
  </si>
  <si>
    <t xml:space="preserve">QB8.2. Dans quelle mesure pensez-vous que les programmes de développement des compétences suivants pourraient être bénéfiques pour les personnes habitant en (NOTRE PAYS) ? </t>
  </si>
  <si>
    <t>QB8.2. To what extent do you think that people in (OUR COUNTRY) can benefit from the following skills development programmes?</t>
  </si>
  <si>
    <t>Un programme qui formerait les gens aux métiers de l’industrie verte (par exemple pour les emplois liés aux matières premières, l’hydrogène et les technologies renouvelables)</t>
  </si>
  <si>
    <t>A programme that would train people to work in green industries (for instance, for jobs related to raw materials, hydrogen and renewable technologies)</t>
  </si>
  <si>
    <t xml:space="preserve">QB8.3. Dans quelle mesure pensez-vous que les programmes de développement des compétences suivants pourraient être bénéfiques pour les personnes habitant en (NOTRE PAYS) ? </t>
  </si>
  <si>
    <t>QB8.3. To what extent do you think that people in (OUR COUNTRY) can benefit from the following skills development programmes?</t>
  </si>
  <si>
    <t>Un programme qui offrirait des conseils, des formations ou une aide à l’orientation aux personnes qui ont arrêté de travailler afin de les aider à réintégrer le marché du travail</t>
  </si>
  <si>
    <t>A programme that provides guidance, training or counselling to people who stopped working, that helps them to re-enter the workforce</t>
  </si>
  <si>
    <t xml:space="preserve">QB9.1. Concernant chacun des services suivants, dans quelle mesure êtes-vous satisfait(e) de la situation en (NOTRE PAYS) ? </t>
  </si>
  <si>
    <t>QB9.1. For each of the following services, how satisfied are you with the situation in (OUR COUNTRY)?</t>
  </si>
  <si>
    <t>L’accès à des services de garde d’enfants de qualité</t>
  </si>
  <si>
    <t>Access to quality childcare</t>
  </si>
  <si>
    <t xml:space="preserve">QB9.2. Concernant chacun des services suivants, dans quelle mesure êtes-vous satisfait(e) de la situation en (NOTRE PAYS) ? </t>
  </si>
  <si>
    <t>QB9.2. For each of the following services, how satisfied are you with the situation in (OUR COUNTRY)?</t>
  </si>
  <si>
    <t>L’accès à une prise en charge de longue durée de qualité pour les personnes dépendantes</t>
  </si>
  <si>
    <t>Access to quality long-term care for dependent persons</t>
  </si>
  <si>
    <t xml:space="preserve">QB9.3. Concernant chacun des services suivants, dans quelle mesure êtes-vous satisfait(e) de la situation en (NOTRE PAYS) ? </t>
  </si>
  <si>
    <t>QB9.3. For each of the following services, how satisfied are you with the situation in (OUR COUNTRY)?</t>
  </si>
  <si>
    <t>L’accès à des logements à prix abordables, y compris des logements sociaux</t>
  </si>
  <si>
    <t>Access to affordable housing, including social housing</t>
  </si>
  <si>
    <t xml:space="preserve">QB9.4. Concernant chacun des services suivants, dans quelle mesure êtes-vous satisfait(e) de la situation en (NOTRE PAYS) ? </t>
  </si>
  <si>
    <t>QB9.4. For each of the following services, how satisfied are you with the situation in (OUR COUNTRY)?</t>
  </si>
  <si>
    <t>L’accès à des soins de santé de qualité</t>
  </si>
  <si>
    <t>Access to quality health care</t>
  </si>
  <si>
    <t xml:space="preserve">QB9.5. Concernant chacun des services suivants, dans quelle mesure êtes-vous satisfait(e) de la situation en (NOTRE PAYS) ? </t>
  </si>
  <si>
    <t>QB9.5. For each of the following services, how satisfied are you with the situation in (OUR COUNTRY)?</t>
  </si>
  <si>
    <t>L’accès à des services sociaux de qualité</t>
  </si>
  <si>
    <t>Access to quality social services</t>
  </si>
  <si>
    <t xml:space="preserve">QB10.1. Dans quelle mesure êtes-vous d’accord avec les affirmations suivantes concernant les groupes défavorisés en (NOTRE PAYS) ? 
Les groupes défavorisés en (NOTRE PAYS) ont... </t>
  </si>
  <si>
    <t>QB10.1. To what extent do you agree with the following statements regarding disadvantaged groups in (OUR COUNTRY)? 
Disadvantaged groups in (OUR COUNTRY) have ...</t>
  </si>
  <si>
    <t>un accès suffisant aux opportunités d’emploi</t>
  </si>
  <si>
    <t>Sufficient access to job opportunities</t>
  </si>
  <si>
    <t xml:space="preserve">QB10.2. Dans quelle mesure êtes-vous d’accord avec les affirmations suivantes concernant les groupes défavorisés en (NOTRE PAYS) ? 
Les groupes défavorisés en (NOTRE PAYS) ont... </t>
  </si>
  <si>
    <t>QB10.2. To what extent do you agree with the following statements regarding disadvantaged groups in (OUR COUNTRY)? 
Disadvantaged groups in (OUR COUNTRY) have ...</t>
  </si>
  <si>
    <t>un accès suffisant à une éducation et à des formations de qualité</t>
  </si>
  <si>
    <t>Sufficient access to quality education and training</t>
  </si>
  <si>
    <t xml:space="preserve">QB10.3. Dans quelle mesure êtes-vous d’accord avec les affirmations suivantes concernant les groupes défavorisés en (NOTRE PAYS) ? 
Les groupes défavorisés en (NOTRE PAYS) ont... </t>
  </si>
  <si>
    <t>QB10.3. To what extent do you agree with the following statements regarding disadvantaged groups in (OUR COUNTRY)? 
Disadvantaged groups in (OUR COUNTRY) have ...</t>
  </si>
  <si>
    <t>un accès suffisant à des logements à prix abordables</t>
  </si>
  <si>
    <t>Sufficient access to affordable housing</t>
  </si>
  <si>
    <t xml:space="preserve">QB10.4. Dans quelle mesure êtes-vous d’accord avec les affirmations suivantes concernant les groupes défavorisés en (NOTRE PAYS) ? 
Les groupes défavorisés en (NOTRE PAYS) ont... </t>
  </si>
  <si>
    <t>QB10.4. To what extent do you agree with the following statements regarding disadvantaged groups in (OUR COUNTRY)? 
Disadvantaged groups in (OUR COUNTRY) have ...</t>
  </si>
  <si>
    <t>un accès suffisant aux services sociaux</t>
  </si>
  <si>
    <t>Sufficient access to social services</t>
  </si>
  <si>
    <t xml:space="preserve">QB10.5. Dans quelle mesure êtes-vous d’accord avec les affirmations suivantes concernant les groupes défavorisés en (NOTRE PAYS) ? 
Les groupes défavorisés en (NOTRE PAYS) ont... </t>
  </si>
  <si>
    <t>QB10.5. To what extent do you agree with the following statements regarding disadvantaged groups in (OUR COUNTRY)? 
Disadvantaged groups in (OUR COUNTRY) have ...</t>
  </si>
  <si>
    <t>un accès suffisant aux services de soins de santé</t>
  </si>
  <si>
    <t>Sufficient access to healthcare services</t>
  </si>
  <si>
    <t xml:space="preserve">QB11.1. Dans quelle mesure pensez-vous que les programmes suivants pourraient être bénéfiques pour les jeunes en (NOTRE PAYS) ? </t>
  </si>
  <si>
    <t>QB11.1. To what extent do you think young people of (OUR COUNTRY) can benefit from the following programmes?</t>
  </si>
  <si>
    <t>Un programme de soutien qui garantirait l’accès à un emploi, à une formation continue, à un apprentissage, une alternance ou un stage pour tous les jeunes de moins de 30 ans, dans les 4 mois suivant la fin de leur scolarité ou le début de leur période de chômage</t>
  </si>
  <si>
    <t xml:space="preserve">A support programme that would ensure access to a job, continued education, apprenticeship or traineeship, for all young people under the age of 30, within 4 months of leaving formal education or becoming unemployed </t>
  </si>
  <si>
    <t xml:space="preserve">QB11.2. Dans quelle mesure pensez-vous que les programmes suivants pourraient être bénéfiques pour les jeunes en (NOTRE PAYS) ? </t>
  </si>
  <si>
    <t>QB11.2. To what extent do you think young people of (OUR COUNTRY) can benefit from the following programmes?</t>
  </si>
  <si>
    <t>Un programme qui garantirait que les jeunes vulnérables aient accès à un logement abordable, décent et accessible</t>
  </si>
  <si>
    <t>A programme which would ensure vulnerable young people have access to affordable, decent and accessible housing</t>
  </si>
  <si>
    <t xml:space="preserve">QB11.3. Dans quelle mesure pensez-vous que les programmes suivants pourraient être bénéfiques pour les jeunes en (NOTRE PAYS) ? </t>
  </si>
  <si>
    <t>QB11.3. To what extent do you think young people of (OUR COUNTRY) can benefit from the following programmes?</t>
  </si>
  <si>
    <t xml:space="preserve">Un programme qui garantirait que tous les enfants exposés au risque de pauvreté ou d’exclusion sociale en Europe aient accès à une aide à la petite enfance. Cette aide engloberait l’éducation des jeunes enfants, les services de garde, les soins de santé, l’alimentation et le logement. </t>
  </si>
  <si>
    <t>A programme to ensure all children in Europe who are at risk of poverty or social exclusion, have access to early childhood support. This includes early education, care, healthcare, nutrition and housing.</t>
  </si>
  <si>
    <t>Oui</t>
  </si>
  <si>
    <t>Yes</t>
  </si>
  <si>
    <t>Non</t>
  </si>
  <si>
    <t>No</t>
  </si>
  <si>
    <t>Téléphone fixe uniquement</t>
  </si>
  <si>
    <t>Fixed telephone only</t>
  </si>
  <si>
    <t>Téléphone mobile uniquement</t>
  </si>
  <si>
    <t>Mobile telephone only</t>
  </si>
  <si>
    <t xml:space="preserve">Internet fixe uniquement </t>
  </si>
  <si>
    <t xml:space="preserve">Fixed internet only </t>
  </si>
  <si>
    <t xml:space="preserve">Téléphone fixe + téléphone mobile </t>
  </si>
  <si>
    <t xml:space="preserve">Fixed telephone + mobile telephone </t>
  </si>
  <si>
    <t xml:space="preserve">Téléphone fixe + internet fixe  </t>
  </si>
  <si>
    <t xml:space="preserve">Fixed telephone + fixed internet  </t>
  </si>
  <si>
    <t xml:space="preserve">Téléphone mobile + internet fixe  </t>
  </si>
  <si>
    <t xml:space="preserve">Mobile telephone + fixed internet  </t>
  </si>
  <si>
    <t>Téléphone fixe + téléphone mobile + internet fixe</t>
  </si>
  <si>
    <t>Fixed telephone + mobile telephone + fixed internet</t>
  </si>
  <si>
    <t xml:space="preserve">Aucun </t>
  </si>
  <si>
    <t xml:space="preserve">None </t>
  </si>
  <si>
    <t>D62.1. Pouvez-vous dire si… ?</t>
  </si>
  <si>
    <t>D62.1. Could you tell if…?</t>
  </si>
  <si>
    <t>Vous utilisez Internet chez vous, à votre domicile</t>
  </si>
  <si>
    <t>You use the Internet at home, in your home</t>
  </si>
  <si>
    <t>Tous les jours ou presque</t>
  </si>
  <si>
    <t>Every day or almost every day</t>
  </si>
  <si>
    <t>Deux ou trois fois par semaine</t>
  </si>
  <si>
    <t>Two or three times a week</t>
  </si>
  <si>
    <t>Environ une fois par semaine</t>
  </si>
  <si>
    <t>About once a week</t>
  </si>
  <si>
    <t>Deux ou trois fois par mois</t>
  </si>
  <si>
    <t>Two or three times a month</t>
  </si>
  <si>
    <t>Moins souvent</t>
  </si>
  <si>
    <t>Less often</t>
  </si>
  <si>
    <t>Jamais</t>
  </si>
  <si>
    <t>Never</t>
  </si>
  <si>
    <t>Pas d'accès à Internet (SPONTANÉ)</t>
  </si>
  <si>
    <t>No internet access (SPONTANEOUS)</t>
  </si>
  <si>
    <t>Total 'Utilise internet'</t>
  </si>
  <si>
    <t>Total 'Uses Internet'</t>
  </si>
  <si>
    <t>D62.2. Pouvez-vous dire si… ?</t>
  </si>
  <si>
    <t>D62.2. Could you tell if…?</t>
  </si>
  <si>
    <t>Vous utilisez Internet sur votre lieu de travail</t>
  </si>
  <si>
    <t>You use the Internet on your place of work</t>
  </si>
  <si>
    <t>D62.3. Pouvez-vous dire si… ?</t>
  </si>
  <si>
    <t>D62.3. Could you tell if…?</t>
  </si>
  <si>
    <t>Vous utilisez Internet sur votre appareil mobile (ordinateur portable, smartphone, tablette, etc.)</t>
  </si>
  <si>
    <t>You use the Internet on your mobile device (laptop, smartphone, tablet, etc.)</t>
  </si>
  <si>
    <t>D62.4. Pouvez-vous dire si… ?</t>
  </si>
  <si>
    <t>D62.4. Could you tell if…?</t>
  </si>
  <si>
    <t>Vous utilisez Internet ailleurs (école, université, cyber-cafés, etc.)</t>
  </si>
  <si>
    <t>You use the Internet somewhere else (school, university, cyber-café, etc.)</t>
  </si>
  <si>
    <t>Tous les jours</t>
  </si>
  <si>
    <t>Everyday</t>
  </si>
  <si>
    <t>Souvent/ Parfois</t>
  </si>
  <si>
    <t>Often/ Sometimes</t>
  </si>
  <si>
    <t>Pas d'accès à Internet (SPONTANE)</t>
  </si>
  <si>
    <t>No Internet access (SPONTANEOUS)</t>
  </si>
  <si>
    <t>Non, nous n'avons pas souscrit à des services faisant partie d'une offre groupée</t>
  </si>
  <si>
    <t>No, we have not bought services as part of a bundle</t>
  </si>
  <si>
    <t>Oui, de la téléphonie fixe</t>
  </si>
  <si>
    <t>Yes, fixed line telephone</t>
  </si>
  <si>
    <t>Oui, de la téléphonie mobile</t>
  </si>
  <si>
    <t>Yes, mobile telephone</t>
  </si>
  <si>
    <t>Oui, un accès à l'Internet fixe</t>
  </si>
  <si>
    <t>Yes, fixed internet access</t>
  </si>
  <si>
    <t>Oui, un accès à l'Internet mobile</t>
  </si>
  <si>
    <t>Yes, mobile internet access</t>
  </si>
  <si>
    <t>Oui, des chaînes de télévision</t>
  </si>
  <si>
    <t>Yes, television channels</t>
  </si>
  <si>
    <t>Oui, des services d'écoute de musique en streaming</t>
  </si>
  <si>
    <t>Yes, music streaming service</t>
  </si>
  <si>
    <t>Oui, des services de vidéo en streaming ou à la demande</t>
  </si>
  <si>
    <t>Yes, video streaming or video-on-demand service</t>
  </si>
  <si>
    <t>Base: Utilisation de plusieurs services</t>
  </si>
  <si>
    <t xml:space="preserve">Base: User of service packages </t>
  </si>
  <si>
    <t xml:space="preserve">Un service </t>
  </si>
  <si>
    <t xml:space="preserve">One service </t>
  </si>
  <si>
    <t xml:space="preserve">Deux services </t>
  </si>
  <si>
    <t xml:space="preserve">Two services </t>
  </si>
  <si>
    <t xml:space="preserve">Trois services </t>
  </si>
  <si>
    <t xml:space="preserve">Three services </t>
  </si>
  <si>
    <t xml:space="preserve">Quatre services </t>
  </si>
  <si>
    <t xml:space="preserve">Four services </t>
  </si>
  <si>
    <t xml:space="preserve">Cinq services </t>
  </si>
  <si>
    <t xml:space="preserve">Five services </t>
  </si>
  <si>
    <t xml:space="preserve">Six services </t>
  </si>
  <si>
    <t xml:space="preserve">Sept services </t>
  </si>
  <si>
    <t xml:space="preserve">Seven services </t>
  </si>
  <si>
    <t>Total 'plus de quatre services'</t>
  </si>
  <si>
    <t>Total 'more than four services'</t>
  </si>
  <si>
    <t>Téléphonie fixe + Téléphonie mobile + Internet + Télévision</t>
  </si>
  <si>
    <t>Fixed telephony + Mobile telephony + Internet + Television</t>
  </si>
  <si>
    <t>Téléphonie fixe + Téléphonie mobile + Internet</t>
  </si>
  <si>
    <t>Fixed telephony + Mobile telephony + Internet</t>
  </si>
  <si>
    <t>Téléphonie fixe + Téléphonie mobile + Télévision</t>
  </si>
  <si>
    <t>Fixed telephony + Mobile telephony + Television</t>
  </si>
  <si>
    <t>Téléphonie fixe + Internet + Télévision</t>
  </si>
  <si>
    <t>Fixed telephony + Internet + Television</t>
  </si>
  <si>
    <t>Téléphonie mobile + Internet + Télévision</t>
  </si>
  <si>
    <t>Mobile telephony + Internet + Television</t>
  </si>
  <si>
    <t>Téléphonie fixe + Téléphonie mobile</t>
  </si>
  <si>
    <t>Fixed telephony + Mobile telephony</t>
  </si>
  <si>
    <t>Téléphonie fixe + Internet</t>
  </si>
  <si>
    <t>Fixed telephony + Internet</t>
  </si>
  <si>
    <t>Téléphonie fixe + Télévision</t>
  </si>
  <si>
    <t>Fixed telephony + Television</t>
  </si>
  <si>
    <t>Téléphonie mobile + Internet</t>
  </si>
  <si>
    <t>Mobile telephony + Internet</t>
  </si>
  <si>
    <t>Téléphonie mobile + Télévision</t>
  </si>
  <si>
    <t>Mobile telephony + Television</t>
  </si>
  <si>
    <t>Internet + Télévision</t>
  </si>
  <si>
    <t>Internet + Television</t>
  </si>
  <si>
    <t>Non, nous n'avons pas acheté de services dans le cadre d'une offre groupée</t>
  </si>
  <si>
    <t xml:space="preserve">Autre </t>
  </si>
  <si>
    <t xml:space="preserve">Other </t>
  </si>
  <si>
    <t>Base: Personnes avec téléphone fixe dans le ménage</t>
  </si>
  <si>
    <t xml:space="preserve">Base: Persons with fixed telephone in household </t>
  </si>
  <si>
    <t>Base: Répondants disposant d'une connexion internet à domicile</t>
  </si>
  <si>
    <t>Base: Respondents that have an internet connection at home</t>
  </si>
  <si>
    <t>Base: Répondants ayant souscrit à deux services ou plus dans le cadre d'une offre groupée</t>
  </si>
  <si>
    <t>Base: Respondents that have subscribed to two or more services as part of a bundle</t>
  </si>
  <si>
    <t>Oui, l'année dernière</t>
  </si>
  <si>
    <t>Yes, within the last year</t>
  </si>
  <si>
    <t>Oui, il y a entre un et deux ans</t>
  </si>
  <si>
    <t>Yes, between one and two years ago</t>
  </si>
  <si>
    <t>Oui, il y a entre plus de deux et cinq ans</t>
  </si>
  <si>
    <t>Yes, between more than two and five years ago</t>
  </si>
  <si>
    <t>Oui, il y a plus de cinq ans</t>
  </si>
  <si>
    <t>Yes, more than five years ago</t>
  </si>
  <si>
    <t>Non, jamais</t>
  </si>
  <si>
    <t>No, never</t>
  </si>
  <si>
    <t>Base: Répondants ayant changé de fournisseur de services groupés</t>
  </si>
  <si>
    <t>Base: Respondents that have changed their bundle service provider</t>
  </si>
  <si>
    <t>Il y a eu une perte temporaire de services pendant une journée ou plus</t>
  </si>
  <si>
    <t>There was a temporary loss of services of one day or more</t>
  </si>
  <si>
    <t>Vous avez perdu vos e-mails et contenus personnels en ligne</t>
  </si>
  <si>
    <t>You lost your personal e-mails and online content</t>
  </si>
  <si>
    <t>Il a fallu plusieurs jours pour que tous les nouveaux services fonctionnent correctement</t>
  </si>
  <si>
    <t>It took some days for all the new services to work properly</t>
  </si>
  <si>
    <t>Vous avez dû changer de matériel, ce qui n'était pas prévu initialement</t>
  </si>
  <si>
    <t>You had to change equipment, which was not initially planned</t>
  </si>
  <si>
    <t>Vous avez dû payer une pénalité à votre ancien fournisseur de services car vous avez résilié votre contrat avant son terme</t>
  </si>
  <si>
    <t>You had to pay a penalty to your former service provider because you terminated your contract before it came to an end</t>
  </si>
  <si>
    <t>Pendant un certain temps, vous avez dû payer à la fois la nouvelle offre groupée et l'ancienne</t>
  </si>
  <si>
    <t>For a while you had to pay for the new and old bundle at the same time</t>
  </si>
  <si>
    <t>QC4.1. Concernant votre connexion Internet à la maison, dans quelle mesure êtes-vous satisfait(e) ou non des points suivants ?</t>
  </si>
  <si>
    <t>QC4.1. Thinking about your internet connection at home, to what extent are you satisfied with the following:</t>
  </si>
  <si>
    <t>La vitesse de téléchargement (download)</t>
  </si>
  <si>
    <t>Download speed</t>
  </si>
  <si>
    <t>Plutôt satisfait(e)</t>
  </si>
  <si>
    <t>Plutôt pas satisfait(e)</t>
  </si>
  <si>
    <t>QC4.2. Concernant votre connexion Internet à la maison, dans quelle mesure êtes-vous satisfait(e) ou non des points suivants ?</t>
  </si>
  <si>
    <t>QC4.2. Thinking about your internet connection at home, to what extent are you satisfied with the following:</t>
  </si>
  <si>
    <t>La vitesse d'envoi (upload)</t>
  </si>
  <si>
    <t>Upload speed</t>
  </si>
  <si>
    <t>Oui, vous disposez d’une connexion gigabit fixe à votre domicile</t>
  </si>
  <si>
    <t>Yes, you have a fixed Gigabit connection at home</t>
  </si>
  <si>
    <t>Non, car cela coûterait plus cher</t>
  </si>
  <si>
    <t>No, since this would imply a higher price</t>
  </si>
  <si>
    <t>Non, car la connectivité gigabit n’est pas disponible dans votre région</t>
  </si>
  <si>
    <t>No, since Gigabit connectivity is not available in your area</t>
  </si>
  <si>
    <t>Non, car votre connexion actuelle suffit à vos besoins</t>
  </si>
  <si>
    <t>No, since your current connection is enough for your needs</t>
  </si>
  <si>
    <t>Vous avez une connexion fixe à votre domicile, mais vous ne connaissez pas sa vitesse, vous ne savez pas s’il s’agit d’une connexion gigabit (SPONTANÉ)</t>
  </si>
  <si>
    <t>You have a fixed connection at home, but you are not sure about the speed/ you are not sure if it’s a Gigabit connection (SPONTANEOUS)</t>
  </si>
  <si>
    <t>Base: Répondants possédant un téléphone portable personnel ou disposant d'une connexion internet à domicile</t>
  </si>
  <si>
    <t>Base: Respondents that own a personal mobile telephone or have an internet connection at home</t>
  </si>
  <si>
    <t>QC7.1. Quel numéro de téléphone appelleriez-vous en cas d'urgence ; par exemple, si quelqu'un a besoin d'une aide médicale d'urgence ou au cas où vous auriez besoin de contacter la police ou les pompiers ?</t>
  </si>
  <si>
    <t>QC7.1. What telephone number would you call in the event of an emergency; for example, if someone needs urgent medical assistance or if you need to contact the police or the fire brigade?</t>
  </si>
  <si>
    <t>En (NOTRE PAYS)</t>
  </si>
  <si>
    <t>In (OUR COUNTRY)</t>
  </si>
  <si>
    <t>Le 112</t>
  </si>
  <si>
    <t>112</t>
  </si>
  <si>
    <t>Numéro (s) national (aux) (d'urgence)</t>
  </si>
  <si>
    <t>National (emergency) number(s)</t>
  </si>
  <si>
    <t>Autre(s) numéro(s)</t>
  </si>
  <si>
    <t>Other number(s)</t>
  </si>
  <si>
    <t>QC7.2. Quel numéro de téléphone appelleriez-vous en cas d'urgence ; par exemple, si quelqu'un a besoin d'une aide médicale d'urgence ou au cas où vous auriez besoin de contacter la police ou les pompiers ?</t>
  </si>
  <si>
    <t>QC7.2. What telephone number would you call in the event of an emergency; for example, if someone needs urgent medical assistance or if you need to contact the police or the fire brigade?</t>
  </si>
  <si>
    <t>Dans un autre pays de l'Union européenne</t>
  </si>
  <si>
    <t>In another EU country</t>
  </si>
  <si>
    <t>QC8.1. A quelle fréquence faites-vous les choses suivantes à partir de votre pays de résidence ?</t>
  </si>
  <si>
    <t>QC8.1. How often do you do any of the following from the country where you live?</t>
  </si>
  <si>
    <t>Effectuer des appels internationaux à partir d'un téléphone fixe au sein de l'Union еuropéenne</t>
  </si>
  <si>
    <t>Make international phone calls over a landline phone within the EU</t>
  </si>
  <si>
    <t>Au quotidien (c’est-à-dire au moins une fois par jour)</t>
  </si>
  <si>
    <t>Daily (meaning more than once a day or more)</t>
  </si>
  <si>
    <t>Régulièrement (c’est-à-dire pas tous les jours, mais au moins plusieurs fois par mois)</t>
  </si>
  <si>
    <t>Regularly (meaning not every day, but at least several times a month)</t>
  </si>
  <si>
    <t>Occasionnellement (c’est-à-dire maximum une fois par mois)</t>
  </si>
  <si>
    <t>Occasionally (meaning maximum once a month)</t>
  </si>
  <si>
    <t>QC8.2. A quelle fréquence faites-vous les choses suivantes à partir de votre pays de résidence ?</t>
  </si>
  <si>
    <t>QC8.2. How often do you do any of the following from the country where you live?</t>
  </si>
  <si>
    <t>Effectuer des appels internationaux à partir d'un téléphone mobile au sein de l'Union еuropéenne</t>
  </si>
  <si>
    <t>Make international phone calls over a mobile phone within the EU</t>
  </si>
  <si>
    <t>QC8.3. A quelle fréquence faites-vous les choses suivantes à partir de votre pays de résidence ?</t>
  </si>
  <si>
    <t>QC8.3. How often do you do any of the following from the country where you live?</t>
  </si>
  <si>
    <t>Effectuer des appels internationaux à partir d'applications Internet, y compris des appels vidéo (VoIP) au sein de l'Union européenne. Ceci exclut l'appel d'un numéro de téléphone.</t>
  </si>
  <si>
    <t>Make international calls using internet applications, including video calls (VoIP) within the EU. This excludes calling a phone number.</t>
  </si>
  <si>
    <t>QC8.4. A quelle fréquence faites-vous les choses suivantes à partir de votre pays de résidence ?</t>
  </si>
  <si>
    <t>QC8.4. How often do you do any of the following from the country where you live?</t>
  </si>
  <si>
    <t>Effectuer des appels internationaux vers un numéro de téléphone à partir d'applications Internet (VoIP) au sein de l'Union еuropéenne</t>
  </si>
  <si>
    <t>Make international phone calls to a phone number using internet applications (voice calls) (VoIP) within the EU</t>
  </si>
  <si>
    <t>QC8.5. A quelle fréquence faites-vous les choses suivantes à partir de votre pays de résidence ?</t>
  </si>
  <si>
    <t>QC8.5. How often do you do any of the following from the country where you live?</t>
  </si>
  <si>
    <t>Envoyer des SMS internationaux au sein de l'Union européenne</t>
  </si>
  <si>
    <t>Send international SMS within the EU</t>
  </si>
  <si>
    <t>QC8.6. A quelle fréquence faites-vous les choses suivantes à partir de votre pays de résidence ?</t>
  </si>
  <si>
    <t>QC8.6. How often do you do any of the following from the country where you live?</t>
  </si>
  <si>
    <t>Utiliser un service de messagerie instantanée sur Internet pour contacter des gens dans un autre pays de l'Union européenne</t>
  </si>
  <si>
    <t xml:space="preserve">Use an instant internet messaging service to reach people in another EU country </t>
  </si>
  <si>
    <t>Usage quotidien</t>
  </si>
  <si>
    <t>Daily usage</t>
  </si>
  <si>
    <t>Usage régulier</t>
  </si>
  <si>
    <t>Regular usage</t>
  </si>
  <si>
    <t>Usage occasionnel</t>
  </si>
  <si>
    <t>Occasional usage</t>
  </si>
  <si>
    <t xml:space="preserve">QC9.1. Lorsque vous choisissez un fournisseur Internet, dans quelle mesure les éléments suivants jouent-ils un rôle important dans votre décision ? </t>
  </si>
  <si>
    <t>QC9.1. When choosing an internet provider, how important are the following considerations for you in making your choice?</t>
  </si>
  <si>
    <t>La vitesse et la connexion</t>
  </si>
  <si>
    <t>Speed and connection</t>
  </si>
  <si>
    <t>Somewhat important</t>
  </si>
  <si>
    <t>Not important at all</t>
  </si>
  <si>
    <t xml:space="preserve">QC9.2. Lorsque vous choisissez un fournisseur Internet, dans quelle mesure les éléments suivants jouent-ils un rôle important dans votre décision ? </t>
  </si>
  <si>
    <t>QC9.2. When choosing an internet provider, how important are the following considerations for you in making your choice?</t>
  </si>
  <si>
    <t>Les tarifs et les offres groupées</t>
  </si>
  <si>
    <t>Pricing and bundle offers</t>
  </si>
  <si>
    <t xml:space="preserve">QC9.3. Lorsque vous choisissez un fournisseur Internet, dans quelle mesure les éléments suivants jouent-ils un rôle important dans votre décision ? </t>
  </si>
  <si>
    <t>QC9.3. When choosing an internet provider, how important are the following considerations for you in making your choice?</t>
  </si>
  <si>
    <t>La note de durabilité environnementale du fournisseur</t>
  </si>
  <si>
    <t>Environmental sustainability rating of the provider</t>
  </si>
  <si>
    <t xml:space="preserve">QC9.4. Lorsque vous choisissez un fournisseur Internet, dans quelle mesure les éléments suivants jouent-ils un rôle important dans votre décision ? </t>
  </si>
  <si>
    <t>QC9.4. When choosing an internet provider, how important are the following considerations for you in making your choice?</t>
  </si>
  <si>
    <t>Le volume de données inclus</t>
  </si>
  <si>
    <t>Data allowance</t>
  </si>
  <si>
    <t xml:space="preserve">QC9.5. Lorsque vous choisissez un fournisseur Internet, dans quelle mesure les éléments suivants jouent-ils un rôle important dans votre décision ? </t>
  </si>
  <si>
    <t>QC9.5. When choosing an internet provider, how important are the following considerations for you in making your choice?</t>
  </si>
  <si>
    <t>La réputation du fournisseur</t>
  </si>
  <si>
    <t>Reputation of provider</t>
  </si>
  <si>
    <t>QC10.1. Avez-vous rencontré l'un des problèmes suivants au cours de l'année passée ?</t>
  </si>
  <si>
    <t xml:space="preserve">QC10.1. Have you experienced one of the following over the last year? </t>
  </si>
  <si>
    <t>Recevoir un appel d'un numéro inconnu et être facturé après y avoir répondu ou après avoir rappelé ce numéro</t>
  </si>
  <si>
    <t>Received a call from an unknown number and been charged for it after answering or calling back</t>
  </si>
  <si>
    <t>Oui, plus d'une fois</t>
  </si>
  <si>
    <t>Yes, more than once</t>
  </si>
  <si>
    <t>Oui, une fois</t>
  </si>
  <si>
    <t>Yes, once</t>
  </si>
  <si>
    <t>QC10.2. Avez-vous rencontré l'un des problèmes suivants au cours de l'année passée ?</t>
  </si>
  <si>
    <t xml:space="preserve">QC10.2. Have you experienced one of the following over the last year? </t>
  </si>
  <si>
    <t>Reçu un SMS ou un autre type de message non sollicité et été facturé(e) après avoir ouvert le message ou après y avoir répondu</t>
  </si>
  <si>
    <t>Received an unsolicited SMS or other type of message and been charged for it after opening the message or responding</t>
  </si>
  <si>
    <t>Base: Répondants possédant un téléphone portable personnel</t>
  </si>
  <si>
    <t>Base: Respondents that own a personal mobile telephone</t>
  </si>
  <si>
    <t>Oui, deux ou trois fois</t>
  </si>
  <si>
    <t>Yes, two or three times</t>
  </si>
  <si>
    <t>Oui, plus que trois fois</t>
  </si>
  <si>
    <t>Yes, more than three times</t>
  </si>
  <si>
    <t>Yes, definitely</t>
  </si>
  <si>
    <t>Yes, to some extent</t>
  </si>
  <si>
    <t>No, not really</t>
  </si>
  <si>
    <t>Base: Répondants qui ont voyagé au cours des 2 dernières années (QC11 = 1,2,3)</t>
  </si>
  <si>
    <t>Base: Respondents travelling in the past 2 years (QC11 = 1,2,3)</t>
  </si>
  <si>
    <t xml:space="preserve">QC13.1. La dernière fois que vous avez voyagé dans un autre pays de l'Union européenne, en Islande, en Norvège ou au Liechtenstein au cours des deux dernières années, avez-vous vécu l’une ou l’autre des situations suivantes ? </t>
  </si>
  <si>
    <t>QC13.1. The last time you travelled to another EU country, Iceland, Norway or Liechtenstein in the past two years, did you experience any of the following?</t>
  </si>
  <si>
    <t>Vous avez atteint votre limite de données en itinérance, car votre opérateur limite la quantité de données que vous pouvez utiliser en itinérance (par exemple si vous disposez d’un forfait de données illimité en (NOTRE PAYS))</t>
  </si>
  <si>
    <t>You reached your roaming data limit because your operator limits how much data you can use when roaming (for e.g., if you have an unlimited data in (COUNTRY))</t>
  </si>
  <si>
    <t>Base: Répondants ayant voyagé dans un autre pays de l'UE, en Islande, au Liechtenstein ou en Norvège au cours des deux dernières années et possédant un téléphone portable personnel</t>
  </si>
  <si>
    <t>Base: Respondents who have travelled to another EU country, Iceland, Liechtenstein or Norway in the last two years and own a personal mobile telephone</t>
  </si>
  <si>
    <t xml:space="preserve">QC13.2. La dernière fois que vous avez voyagé dans un autre pays de l'Union européenne, en Islande, en Norvège ou au Liechtenstein au cours des deux dernières années, avez-vous vécu l’une ou l’autre des situations suivantes ? </t>
  </si>
  <si>
    <t>QC13.2. The last time you travelled to another EU country, Iceland, Norway or Liechtenstein in the past two years, did you experience any of the following?</t>
  </si>
  <si>
    <t>Un surcoût vous a été facturé pour l’utilisation des services d’itinérance</t>
  </si>
  <si>
    <t>You were surcharged for using roaming services</t>
  </si>
  <si>
    <t xml:space="preserve">QC13.3. La dernière fois que vous avez voyagé dans un autre pays de l'Union européenne, en Islande, en Norvège ou au Liechtenstein au cours des deux dernières années, avez-vous vécu l’une ou l’autre des situations suivantes ? </t>
  </si>
  <si>
    <t>QC13.3. The last time you travelled to another EU country, Iceland, Norway or Liechtenstein in the past two years, did you experience any of the following?</t>
  </si>
  <si>
    <t>Votre opérateur mobile vous a notifié que votre utilisation en itinérance était supérieure à votre utilisation en (NOTRE PAYS)</t>
  </si>
  <si>
    <t>You were notified by your mobile operator that your roaming usage abroad was higher than usage in (OUR COUNTRY)</t>
  </si>
  <si>
    <t xml:space="preserve">QC13.4. La dernière fois que vous avez voyagé dans un autre pays de l'Union européenne, en Islande, en Norvège ou au Liechtenstein au cours des deux dernières années, avez-vous vécu l’une ou l’autre des situations suivantes ? </t>
  </si>
  <si>
    <t>QC13.4. The last time you travelled to another EU country, Iceland, Norway or Liechtenstein in the past two years, did you experience any of the following?</t>
  </si>
  <si>
    <t>Une connexion Internet mobile plus lente (par exemple la vitesse de téléchargement d’un contenu) par rapport à la vitesse de votre Internet mobile en (NOTRE PAYS)</t>
  </si>
  <si>
    <t>Lower mobile internet speed (e.g., speed when downloading content), compared to the mobile internet speed in (OUR COUNTRY)</t>
  </si>
  <si>
    <t xml:space="preserve">QC13.5. La dernière fois que vous avez voyagé dans un autre pays de l'Union européenne, en Islande, en Norvège ou au Liechtenstein au cours des deux dernières années, avez-vous vécu l’une ou l’autre des situations suivantes ? </t>
  </si>
  <si>
    <t>QC13.5. The last time you travelled to another EU country, Iceland, Norway or Liechtenstein in the past two years, did you experience any of the following?</t>
  </si>
  <si>
    <t>Une norme de réseau à large bande moins performante (par exemple 3G, 4G) par rapport à la norme dont vous disposez en (NOTRE PAYS)</t>
  </si>
  <si>
    <t>Lower broadband network standard (e.g., 3G, 4G), compared to the standard you have in (OUR COUNTRY)</t>
  </si>
  <si>
    <t xml:space="preserve">QC14.1. La dernière fois que vous avez voyagé dans un autre pays de l'Union européenne, en Islande, au Liechtenstein ou en Norvège au cours des deux dernières années, avez-vous fait une ou plusieurs des choses suivantes afin d’éviter les surcoûts ou les frais imprévus ? Il est très important que vous preniez uniquement en compte les mesures que vous avez prises pour éviter les surcoûts ou les frais imprévus. </t>
  </si>
  <si>
    <t>QC14.1. The last time you travelled to another EU country, Iceland, Liechtenstein or Norway in the past two years, did you do any of the following to avoid surcharges or unexpected charges? It is very important that you only consider actions you took to avoid surcharges or unexpected charges.</t>
  </si>
  <si>
    <t>Vous avez éteint votre téléphone mobile et vous ne l’avez pas du tout utilisé</t>
  </si>
  <si>
    <t>You switched off your mobile phone and did not use it at all</t>
  </si>
  <si>
    <t>Oui, durant tout le séjour</t>
  </si>
  <si>
    <t>Yes, during the whole stay</t>
  </si>
  <si>
    <t>Oui, à certains moments du séjour</t>
  </si>
  <si>
    <t>Yes, occasionally during your stay</t>
  </si>
  <si>
    <t xml:space="preserve">QC14.2. La dernière fois que vous avez voyagé dans un autre pays de l'Union européenne, en Islande, au Liechtenstein ou en Norvège au cours des deux dernières années, avez-vous fait une ou plusieurs des choses suivantes afin d’éviter les surcoûts ou les frais imprévus ? Il est très important que vous preniez uniquement en compte les mesures que vous avez prises pour éviter les surcoûts ou les frais imprévus. </t>
  </si>
  <si>
    <t>QC14.2. The last time you travelled to another EU country, Iceland, Liechtenstein or Norway in the past two years, did you do any of the following to avoid surcharges or unexpected charges? It is very important that you only consider actions you took to avoid surcharges or unexpected charges.</t>
  </si>
  <si>
    <t>Vous avez désactivé l'itinérance des données sur votre téléphone mobile</t>
  </si>
  <si>
    <t>You switched off data roaming on your mobile phone</t>
  </si>
  <si>
    <t xml:space="preserve">QC14.3. La dernière fois que vous avez voyagé dans un autre pays de l'Union européenne, en Islande, au Liechtenstein ou en Norvège au cours des deux dernières années, avez-vous fait une ou plusieurs des choses suivantes afin d’éviter les surcoûts ou les frais imprévus ? Il est très important que vous preniez uniquement en compte les mesures que vous avez prises pour éviter les surcoûts ou les frais imprévus. </t>
  </si>
  <si>
    <t>QC14.3. The last time you travelled to another EU country, Iceland, Liechtenstein or Norway in the past two years, did you do any of the following to avoid surcharges or unexpected charges? It is very important that you only consider actions you took to avoid surcharges or unexpected charges.</t>
  </si>
  <si>
    <t>Vous avez utilisé une carte SIM physique du pays où vous vous trouviez</t>
  </si>
  <si>
    <t>You used a physical sim card of the country you were visiting</t>
  </si>
  <si>
    <t xml:space="preserve">QC14.4. La dernière fois que vous avez voyagé dans un autre pays de l'Union européenne, en Islande, au Liechtenstein ou en Norvège au cours des deux dernières années, avez-vous fait une ou plusieurs des choses suivantes afin d’éviter les surcoûts ou les frais imprévus ? Il est très important que vous preniez uniquement en compte les mesures que vous avez prises pour éviter les surcoûts ou les frais imprévus. </t>
  </si>
  <si>
    <t>QC14.4. The last time you travelled to another EU country, Iceland, Liechtenstein or Norway in the past two years, did you do any of the following to avoid surcharges or unexpected charges? It is very important that you only consider actions you took to avoid surcharges or unexpected charges.</t>
  </si>
  <si>
    <t>Vous avez utilisé une carte eSIM avec un forfait d’itinérance spécial proposé par un autre opérateur mobile que votre opérateur habituel (par exemple en achetant un forfait d’itinérance en ligne, en scannant un code QR pour activer un forfait d’itinérance ou similaire)</t>
  </si>
  <si>
    <t>You used an eSIM  card with a special roaming plan offered by a different mobile operator than your own (e.g., by purchasing a roaming plan online, by scanning a QR code to activate a roaming plan or similar)</t>
  </si>
  <si>
    <t xml:space="preserve">QC14.5. La dernière fois que vous avez voyagé dans un autre pays de l'Union européenne, en Islande, au Liechtenstein ou en Norvège au cours des deux dernières années, avez-vous fait une ou plusieurs des choses suivantes afin d’éviter les surcoûts ou les frais imprévus ? Il est très important que vous preniez uniquement en compte les mesures que vous avez prises pour éviter les surcoûts ou les frais imprévus. </t>
  </si>
  <si>
    <t>QC14.5. The last time you travelled to another EU country, Iceland, Liechtenstein or Norway in the past two years, did you do any of the following to avoid surcharges or unexpected charges? It is very important that you only consider actions you took to avoid surcharges or unexpected charges.</t>
  </si>
  <si>
    <t xml:space="preserve">Vous avez limité la quantité de données mobiles que vous utilisiez </t>
  </si>
  <si>
    <t xml:space="preserve">You limited the amount of mobile data you used </t>
  </si>
  <si>
    <t xml:space="preserve">QC14.6. La dernière fois que vous avez voyagé dans un autre pays de l'Union européenne, en Islande, au Liechtenstein ou en Norvège au cours des deux dernières années, avez-vous fait une ou plusieurs des choses suivantes afin d’éviter les surcoûts ou les frais imprévus ? Il est très important que vous preniez uniquement en compte les mesures que vous avez prises pour éviter les surcoûts ou les frais imprévus. </t>
  </si>
  <si>
    <t>QC14.6. The last time you travelled to another EU country, Iceland, Liechtenstein or Norway in the past two years, did you do any of the following to avoid surcharges or unexpected charges? It is very important that you only consider actions you took to avoid surcharges or unexpected charges.</t>
  </si>
  <si>
    <t>Vous avez activé un forfait d'itinérance de données spécial proposé par votre opérateur mobile</t>
  </si>
  <si>
    <t>You activated a special data roaming plan offered by your mobile operator</t>
  </si>
  <si>
    <t xml:space="preserve">QC14NET.1. La dernière fois que vous avez voyagé dans un autre pays de l'Union européenne, en Islande, au Liechtenstein ou en Norvège au cours des deux dernières années, avez-vous fait une ou plusieurs des choses suivantes afin d’éviter les surcoûts ou les frais imprévus ? Il est très important que vous preniez uniquement en compte les mesures que vous avez prises pour éviter les surcoûts ou les frais imprévus. </t>
  </si>
  <si>
    <t>QC14NET.1. The last time you travelled to another EU country, Iceland, Liechtenstein or Norway in the past two years, did you do any of the following to avoid surcharges or unexpected charges? It is very important that you only consider actions you took to avoid surcharges or unexpected charges.</t>
  </si>
  <si>
    <t xml:space="preserve">QC14NET.2. La dernière fois que vous avez voyagé dans un autre pays de l'Union européenne, en Islande, au Liechtenstein ou en Norvège au cours des deux dernières années, avez-vous fait une ou plusieurs des choses suivantes afin d’éviter les surcoûts ou les frais imprévus ? Il est très important que vous preniez uniquement en compte les mesures que vous avez prises pour éviter les surcoûts ou les frais imprévus. </t>
  </si>
  <si>
    <t>QC14NET.2. The last time you travelled to another EU country, Iceland, Liechtenstein or Norway in the past two years, did you do any of the following to avoid surcharges or unexpected charges? It is very important that you only consider actions you took to avoid surcharges or unexpected charges.</t>
  </si>
  <si>
    <t xml:space="preserve">QC14NET.3. La dernière fois que vous avez voyagé dans un autre pays de l'Union européenne, en Islande, au Liechtenstein ou en Norvège au cours des deux dernières années, avez-vous fait une ou plusieurs des choses suivantes afin d’éviter les surcoûts ou les frais imprévus ? Il est très important que vous preniez uniquement en compte les mesures que vous avez prises pour éviter les surcoûts ou les frais imprévus. </t>
  </si>
  <si>
    <t>QC14NET.3. The last time you travelled to another EU country, Iceland, Liechtenstein or Norway in the past two years, did you do any of the following to avoid surcharges or unexpected charges? It is very important that you only consider actions you took to avoid surcharges or unexpected charges.</t>
  </si>
  <si>
    <t xml:space="preserve">QC14NET.4. La dernière fois que vous avez voyagé dans un autre pays de l'Union européenne, en Islande, au Liechtenstein ou en Norvège au cours des deux dernières années, avez-vous fait une ou plusieurs des choses suivantes afin d’éviter les surcoûts ou les frais imprévus ? Il est très important que vous preniez uniquement en compte les mesures que vous avez prises pour éviter les surcoûts ou les frais imprévus. </t>
  </si>
  <si>
    <t>QC14NET.4. The last time you travelled to another EU country, Iceland, Liechtenstein or Norway in the past two years, did you do any of the following to avoid surcharges or unexpected charges? It is very important that you only consider actions you took to avoid surcharges or unexpected charges.</t>
  </si>
  <si>
    <t xml:space="preserve">QC14NET.5. La dernière fois que vous avez voyagé dans un autre pays de l'Union européenne, en Islande, au Liechtenstein ou en Norvège au cours des deux dernières années, avez-vous fait une ou plusieurs des choses suivantes afin d’éviter les surcoûts ou les frais imprévus ? Il est très important que vous preniez uniquement en compte les mesures que vous avez prises pour éviter les surcoûts ou les frais imprévus. </t>
  </si>
  <si>
    <t>QC14NET.5. The last time you travelled to another EU country, Iceland, Liechtenstein or Norway in the past two years, did you do any of the following to avoid surcharges or unexpected charges? It is very important that you only consider actions you took to avoid surcharges or unexpected charges.</t>
  </si>
  <si>
    <t xml:space="preserve">QC14NET.6. La dernière fois que vous avez voyagé dans un autre pays de l'Union européenne, en Islande, au Liechtenstein ou en Norvège au cours des deux dernières années, avez-vous fait une ou plusieurs des choses suivantes afin d’éviter les surcoûts ou les frais imprévus ? Il est très important que vous preniez uniquement en compte les mesures que vous avez prises pour éviter les surcoûts ou les frais imprévus. </t>
  </si>
  <si>
    <t>QC14NET.6. The last time you travelled to another EU country, Iceland, Liechtenstein or Norway in the past two years, did you do any of the following to avoid surcharges or unexpected charges? It is very important that you only consider actions you took to avoid surcharges or unexpected charges.</t>
  </si>
  <si>
    <t>QD4.1. Plus généralement, si vous vouliez obtenir quelque chose d'une administration publique ou d'un service public, dans quelle mesure est-il acceptable, selon-vous, de faire les choses suivantes ?</t>
  </si>
  <si>
    <t>QD4.1. Talking more generally, if you wanted to get something from the public administration or a public service, to what extent do you think it is acceptable to do any of the following?</t>
  </si>
  <si>
    <t>Donner de l'argent</t>
  </si>
  <si>
    <t>To give money</t>
  </si>
  <si>
    <t>Toujours acceptable</t>
  </si>
  <si>
    <t>Always acceptable</t>
  </si>
  <si>
    <t>Parfois acceptable</t>
  </si>
  <si>
    <t>Sometimes acceptable</t>
  </si>
  <si>
    <t>Jamais acceptable</t>
  </si>
  <si>
    <t>Never acceptable</t>
  </si>
  <si>
    <t>Total 'Acceptable'</t>
  </si>
  <si>
    <t>QD4.2. Plus généralement, si vous vouliez obtenir quelque chose d'une administration publique ou d'un service public, dans quelle mesure est-il acceptable, selon-vous, de faire les choses suivantes ?</t>
  </si>
  <si>
    <t>QD4.2. Talking more generally, if you wanted to get something from the public administration or a public service, to what extent do you think it is acceptable to do any of the following?</t>
  </si>
  <si>
    <t>Faire un cadeau</t>
  </si>
  <si>
    <t>To give a gift</t>
  </si>
  <si>
    <t>QD4.3. Plus généralement, si vous vouliez obtenir quelque chose d'une administration publique ou d'un service public, dans quelle mesure est-il acceptable, selon-vous, de faire les choses suivantes ?</t>
  </si>
  <si>
    <t>QD4.3. Talking more generally, if you wanted to get something from the public administration or a public service, to what extent do you think it is acceptable to do any of the following?</t>
  </si>
  <si>
    <t>Rendre un service</t>
  </si>
  <si>
    <t>To do a favour</t>
  </si>
  <si>
    <t>Acceptable</t>
  </si>
  <si>
    <t>Tolérée</t>
  </si>
  <si>
    <t>Tolerated</t>
  </si>
  <si>
    <t>Inacceptable</t>
  </si>
  <si>
    <t>Unacceptable</t>
  </si>
  <si>
    <t>Très répandu</t>
  </si>
  <si>
    <t>Very widespread</t>
  </si>
  <si>
    <t>Plutôt répandu</t>
  </si>
  <si>
    <t>Fairly widespread</t>
  </si>
  <si>
    <t>Plutôt rare</t>
  </si>
  <si>
    <t>Fairly rare</t>
  </si>
  <si>
    <t>Très rare</t>
  </si>
  <si>
    <t>Very rare</t>
  </si>
  <si>
    <t>Il n'y a pas de corruption en (NOTRE PAYS) (SPONTANÉ)</t>
  </si>
  <si>
    <t>There is no corruption in (OUR COUNTRY) (SPONTANEOUS)</t>
  </si>
  <si>
    <t>Total 'Répandu'</t>
  </si>
  <si>
    <t>Total 'Widespread'</t>
  </si>
  <si>
    <t>Total 'Rare'</t>
  </si>
  <si>
    <t>A beaucoup augmenté</t>
  </si>
  <si>
    <t>Increased a lot</t>
  </si>
  <si>
    <t>A un peu augmenté</t>
  </si>
  <si>
    <t>Increased a little</t>
  </si>
  <si>
    <t>Est resté le même</t>
  </si>
  <si>
    <t>Stayed the same</t>
  </si>
  <si>
    <t>A un peu diminué</t>
  </si>
  <si>
    <t>Decreased a little</t>
  </si>
  <si>
    <t>A beaucoup diminué</t>
  </si>
  <si>
    <t>Decreased a lot</t>
  </si>
  <si>
    <t>Total 'Augmenté'</t>
  </si>
  <si>
    <t>Total 'Increased'</t>
  </si>
  <si>
    <t>Total 'Diminué'</t>
  </si>
  <si>
    <t>Total 'Decreased'</t>
  </si>
  <si>
    <t>La police, les douanes</t>
  </si>
  <si>
    <t>Police, customs</t>
  </si>
  <si>
    <t>Les autorités fiscales</t>
  </si>
  <si>
    <t>Tax authorities</t>
  </si>
  <si>
    <t>Les tribunaux</t>
  </si>
  <si>
    <t>The Courts (tribunals)</t>
  </si>
  <si>
    <t>La sécurité sociale et les services sociaux</t>
  </si>
  <si>
    <t>Social security and welfare authorities</t>
  </si>
  <si>
    <t>Le ministère public</t>
  </si>
  <si>
    <t>Public prosecution service</t>
  </si>
  <si>
    <t>Les hommes et femmes politiques au niveau national, régional ou local</t>
  </si>
  <si>
    <t>Politicians at national, regional or local level</t>
  </si>
  <si>
    <t>Les partis politiques</t>
  </si>
  <si>
    <t>Political parties</t>
  </si>
  <si>
    <t>Les fonctionnaires qui attribuent les marchés publics</t>
  </si>
  <si>
    <t>Officials awarding public tenders</t>
  </si>
  <si>
    <t>Les fonctionnaires qui délivrent les permis de construire</t>
  </si>
  <si>
    <t>Officials issuing building permits</t>
  </si>
  <si>
    <t>Les fonctionnaires qui délivrent les permis d'exercer une activité professionnelle</t>
  </si>
  <si>
    <t>Officials issuing business permits</t>
  </si>
  <si>
    <t>Le secteur de la santé</t>
  </si>
  <si>
    <t>The healthcare system</t>
  </si>
  <si>
    <t>Le secteur de l'éducation</t>
  </si>
  <si>
    <t>The education sector</t>
  </si>
  <si>
    <t>Les contrôleurs et inspecteurs (santé, construction, travail, qualité alimentaire, contrôle sanitaire et attribution de permis)</t>
  </si>
  <si>
    <t>Inspectors (health and safety, construction, labour, food quality, sanitary control and licensing)</t>
  </si>
  <si>
    <t>Les entreprises privées</t>
  </si>
  <si>
    <t>Private companies</t>
  </si>
  <si>
    <t>Les banques et institutions financières</t>
  </si>
  <si>
    <t>Banks and financial institutions</t>
  </si>
  <si>
    <t>Refus (SPONTANÉ)</t>
  </si>
  <si>
    <t>Refusal (SPONTANEOUS)</t>
  </si>
  <si>
    <t>Les contrôleurs / inspecteurs (santé et sécurité, construction, travail, qualité alimentaire, contrôle sanitaire et l'attribution de permis)</t>
  </si>
  <si>
    <t xml:space="preserve">Base: A eu des contacts avec l'une de ces institutions (CODES 1-15) au cours des 12 derniers mois. </t>
  </si>
  <si>
    <t xml:space="preserve">Base: Had contacts with any of these institutions (CODES 1-15) over the past 12 months. </t>
  </si>
  <si>
    <t>Total 'Affecté par la corruption'</t>
  </si>
  <si>
    <t>Total 'Affected by corruption'</t>
  </si>
  <si>
    <t>Base: La police et les douanes de leur pays s'attendent à ce qu'ils offrent un cadeau, une faveur ou de l'argent supplémentaire pour leurs services.</t>
  </si>
  <si>
    <t>Base: The police and customs in their country expected them to give a gift, favour, or extra money for their services.</t>
  </si>
  <si>
    <t>1 - 50 euros</t>
  </si>
  <si>
    <t>51 - 100 euros</t>
  </si>
  <si>
    <t>101 - 200 euros</t>
  </si>
  <si>
    <t>200 +  euros</t>
  </si>
  <si>
    <t>Ne se souvient plus</t>
  </si>
  <si>
    <t>Do not remember</t>
  </si>
  <si>
    <t>Refus</t>
  </si>
  <si>
    <t>Refusal</t>
  </si>
  <si>
    <t>Moyenne</t>
  </si>
  <si>
    <t>Average</t>
  </si>
  <si>
    <t>Médiane</t>
  </si>
  <si>
    <t>Median</t>
  </si>
  <si>
    <t>Base: Les autorités fiscales de leur pays attendaient d'eux qu'ils offrent un cadeau, une faveur ou de l'argent supplémentaire en échange de leurs services.</t>
  </si>
  <si>
    <t>Base: Tax authorities in their country expected them to give a gift, favour, or extra money for their services.</t>
  </si>
  <si>
    <t>Base: Les tribunaux de leur pays attendaient d'eux qu'ils offrent un cadeau, une faveur ou de l'argent supplémentaire pour leurs services.</t>
  </si>
  <si>
    <t>Base: The Courts (tribunals) in their country expected them to give a gift, favour, or extra money for their services.</t>
  </si>
  <si>
    <t>Base: Les autorités de sécurité sociale et d'aide sociale de leur pays attendaient d'eux qu'ils offrent un cadeau, une faveur ou de l'argent supplémentaire en échange de leurs services.</t>
  </si>
  <si>
    <t>Base: The Social security and welfare authorities in their country expected them to give a gift, favour, or extra money for their services.</t>
  </si>
  <si>
    <t>Base: Le ministère public de leur pays attendait d'eux qu'ils offrent un cadeau, une faveur ou de l'argent supplémentaire en échange de leurs services.</t>
  </si>
  <si>
    <t>Base: Public prosecution service in their country expected them to give a gift, favour, or extra money for their services.</t>
  </si>
  <si>
    <t>Base: Les hommes politiques au niveau national, régional ou local de leur pays attendaient d'eux un cadeau, une faveur ou de l'argent supplémentaire en échange de leurs services.</t>
  </si>
  <si>
    <t>Base: Politicians at national, regional or local level in their country expected them to give a gift, favour, or extra money for their services.</t>
  </si>
  <si>
    <t>Base: Les partis politiques de leur pays attendaient d'eux qu'ils offrent un cadeau, une faveur ou de l'argent supplémentaire en échange de leurs services.</t>
  </si>
  <si>
    <t>Base: Political parties in their country expected them to give a gift, favour, or extra money for their services.</t>
  </si>
  <si>
    <t>Base: Les fonctionnaires qui attribuent les marchés publics dans leur pays s'attendent à ce qu'ils offrent un cadeau, une faveur ou un supplément d'argent pour leurs services.</t>
  </si>
  <si>
    <t>Base: Officials awarding public tenders in their country expected them to give a gift, favour, or extra money for their services.</t>
  </si>
  <si>
    <t>Base: Les fonctionnaires qui délivrent les permis de construire dans leur pays attendent d'eux un cadeau, une faveur ou de l'argent supplémentaire en échange de leurs services.</t>
  </si>
  <si>
    <t>Base: Officials issuing building permits in their country expected them to give a gift, favour, or extra money for their services.</t>
  </si>
  <si>
    <t>Base: Les fonctionnaires qui délivrent les permis d'exploitation dans leur pays s'attendent à ce qu'ils offrent un cadeau, une faveur ou de l'argent supplémentaire pour leurs services.</t>
  </si>
  <si>
    <t>Base: Officials issuing business permits in their country expected them to give a gift, favour, or extra money for their services.</t>
  </si>
  <si>
    <t>Base: Le système de santé de leur pays attendait d'eux qu'ils offrent un cadeau, une faveur ou de l'argent supplémentaire en échange de leurs services.</t>
  </si>
  <si>
    <t>Base: The healthcare system in their country expected them to give a gift, favour, or extra money for their services.</t>
  </si>
  <si>
    <t>Base: Le secteur de l'éducation de leur pays attendait d'eux qu'ils offrent un cadeau, une faveur ou de l'argent supplémentaire en échange de leurs services.</t>
  </si>
  <si>
    <t>Base: The education sector in their country expected them to give a gift, favour, or extra money for their services.</t>
  </si>
  <si>
    <t>Base: Les inspecteurs (santé et sécurité, construction, travail, qualité des aliments, contrôle sanitaire et licences) de leur pays attendaient d'eux un cadeau, une faveur ou de l'argent supplémentaire en échange de leurs services.</t>
  </si>
  <si>
    <t>Base: Inspectors (health and safety, construction, labour, food quality, sanitary control and licensing) in their country expected them to give a gift, favour, or extra money for their services.</t>
  </si>
  <si>
    <t>Base: Les entreprises privées de leur pays attendent d'eux un cadeau, une faveur ou un supplément d'argent en échange de leurs services.</t>
  </si>
  <si>
    <t>Base: Private companies in their country expected them to give a gift, favour, or extra money for their services.</t>
  </si>
  <si>
    <t>Base: Les banques et les institutions financières de leur pays attendaient d'eux qu'ils offrent un cadeau, une faveur ou de l'argent supplémentaire en échange de leurs services.</t>
  </si>
  <si>
    <t>Base: Banks and financial institutions in their country expected them to give a gift, favour, or extra money for their services.</t>
  </si>
  <si>
    <t>La police</t>
  </si>
  <si>
    <t>The police</t>
  </si>
  <si>
    <t>La Justice (cours, tribunaux ou le parquet)</t>
  </si>
  <si>
    <t>The Justice (courts, tribunals, or public prosecution services)</t>
  </si>
  <si>
    <t>Les organisations non-gouvernementales (ONG) ou autres associations</t>
  </si>
  <si>
    <t>Non-governmental organisations (NGOs) or other associations</t>
  </si>
  <si>
    <t>Les médias, les journaux, les journalistes</t>
  </si>
  <si>
    <t>Media, newspapers, journalists</t>
  </si>
  <si>
    <t>Médiateur national</t>
  </si>
  <si>
    <t>National Ombudsman</t>
  </si>
  <si>
    <t>Un représentant politique (membre du Parlement, conseiller municipal)</t>
  </si>
  <si>
    <t>A political representative (Member of Parliament, of the local council)</t>
  </si>
  <si>
    <t>Une agence anti-corruption spécialisée</t>
  </si>
  <si>
    <t>Specialised anti-corruption agency</t>
  </si>
  <si>
    <t>Les syndicats</t>
  </si>
  <si>
    <t>Trade unions</t>
  </si>
  <si>
    <t>Les institutions de l'Union européenne</t>
  </si>
  <si>
    <t>EU institutions</t>
  </si>
  <si>
    <t>Oui, a vécu</t>
  </si>
  <si>
    <t>Yes, experienced</t>
  </si>
  <si>
    <t>Oui, a été témoin</t>
  </si>
  <si>
    <t>Yes, witnessed</t>
  </si>
  <si>
    <t>Base: A vécu un cas de corruption au cours des 12 derniers mois</t>
  </si>
  <si>
    <t>Base: Experienced any case of corruption in the last 12 months.</t>
  </si>
  <si>
    <t>Base: A été témoin d'un cas de corruption au cours des 12 derniers mois.</t>
  </si>
  <si>
    <t>Base: Witnessed any case of corruption in the last 12 months.</t>
  </si>
  <si>
    <t>Base: A vécu ou été témoin d’un cas de corruption au cours des 12 derniers mois</t>
  </si>
  <si>
    <t>Base: Experienced or witnessed any case of corruption in the last 12 months.</t>
  </si>
  <si>
    <t>Ne pas savoir à qui le signaler</t>
  </si>
  <si>
    <t>Do not know where to report it to</t>
  </si>
  <si>
    <t>C'est difficile à prouver</t>
  </si>
  <si>
    <t>Difficult to prove anything</t>
  </si>
  <si>
    <t>Le signaler serait inutile car ceux qui en sont les auteurs ne seraient pas punis</t>
  </si>
  <si>
    <t>Reporting it would be pointless because those responsible will not be punished</t>
  </si>
  <si>
    <t>Ceux qui signalent ce genre de cas se mettent en difficulté vis-à-vis de la police ou vis-à-vis d'autres autorités</t>
  </si>
  <si>
    <t>Those who report cases get into trouble with the police or with other authorities</t>
  </si>
  <si>
    <t>Tout le monde connaît ce genre de cas et personne ne les signale</t>
  </si>
  <si>
    <t>Everyone knows about these cases and no one reports them</t>
  </si>
  <si>
    <t>Cela ne vaut pas la peine de signaler ce genre de cas</t>
  </si>
  <si>
    <t>It is not worth the effort of reporting it</t>
  </si>
  <si>
    <t>Il n'existe aucune protection contre les représailles pour les personnes qui signalent un cas de corruption, y compris dans le cadre du travail</t>
  </si>
  <si>
    <t>There is no protection from retaliation for those who report corruption, including in the work context</t>
  </si>
  <si>
    <t>Les gens ne veulent trahir personne</t>
  </si>
  <si>
    <t>No one wants to betray anyone</t>
  </si>
  <si>
    <t>QD15a.1. Pourriez-vous dire si vous êtes d'accord ou pas d'accord avec chacune des affirmations suivantes ?</t>
  </si>
  <si>
    <t>QD15a.1. Please tell whether you agree or disagree with each of the following?</t>
  </si>
  <si>
    <t>La corruption existe dans les institutions publiques locales ou régionales en (NOTRE PAYS)</t>
  </si>
  <si>
    <t>There is corruption in the local or regional public institutions in (OUR COUNTRY)</t>
  </si>
  <si>
    <t>Tout à fait d'accord</t>
  </si>
  <si>
    <t>Plutôt d'accord</t>
  </si>
  <si>
    <t>Plutôt pas d'accord</t>
  </si>
  <si>
    <t>Pas du tout d'accord</t>
  </si>
  <si>
    <t>QD15a.2. Pourriez-vous dire si vous êtes d'accord ou pas d'accord avec chacune des affirmations suivantes ?</t>
  </si>
  <si>
    <t>QD15a.2. Please tell whether you agree or disagree with each of the following?</t>
  </si>
  <si>
    <t>La corruption existe au niveau des institutions publiques nationales en (NOTRE PAYS)</t>
  </si>
  <si>
    <t>There is corruption in the national public institutions in (OUR COUNTRY)</t>
  </si>
  <si>
    <t>QD15a.3. Pourriez-vous dire si vous êtes d'accord ou pas d'accord avec chacune des affirmations suivantes ?</t>
  </si>
  <si>
    <t>QD15a.3. Please tell whether you agree or disagree with each of the following?</t>
  </si>
  <si>
    <t>La corruption fait partie de la culture des affaires en (NOTRE PAYS)</t>
  </si>
  <si>
    <t>Corruption is part of the business culture in (OUR COUNTRY)</t>
  </si>
  <si>
    <t>QD15a.4. Pourriez-vous dire si vous êtes d'accord ou pas d'accord avec chacune des affirmations suivantes ?</t>
  </si>
  <si>
    <t>QD15a.4. Please tell whether you agree or disagree with each of the following?</t>
  </si>
  <si>
    <t>Vous êtes personnellement touché(e) par la corruption dans votre vie quotidienne</t>
  </si>
  <si>
    <t>You are personally affected by corruption in your daily life</t>
  </si>
  <si>
    <t>QD15a.5. Pourriez-vous dire si vous êtes d'accord ou pas d'accord avec chacune des affirmations suivantes ?</t>
  </si>
  <si>
    <t>QD15a.5. Please tell whether you agree or disagree with each of the following?</t>
  </si>
  <si>
    <t>Il existe suffisamment de poursuites judiciaires couronnées de succès en (NOTRE PAYS) pour dissuader les gens de pratiquer la corruption</t>
  </si>
  <si>
    <t>There are enough successful prosecutions in (OUR COUNTRY) to deter people from corrupt practices</t>
  </si>
  <si>
    <t>QD15a.6. Pourriez-vous dire si vous êtes d'accord ou pas d'accord avec chacune des affirmations suivantes ?</t>
  </si>
  <si>
    <t>QD15a.6. Please tell whether you agree or disagree with each of the following?</t>
  </si>
  <si>
    <t>Les cas de corruption à des fonctions de haut niveau ne sont pas suffisamment poursuivis en (NOTRE PAYS)</t>
  </si>
  <si>
    <t>High-level corruption cases are not pursued sufficiently in (OUR COUNTRY)</t>
  </si>
  <si>
    <t>QD15a.7. Pourriez-vous dire si vous êtes d'accord ou pas d'accord avec chacune des affirmations suivantes ?</t>
  </si>
  <si>
    <t>QD15a.7. Please tell whether you agree or disagree with each of the following?</t>
  </si>
  <si>
    <t>Les efforts du Gouvernement (NATIONALITÉ) pour combattre la corruption sont efficaces</t>
  </si>
  <si>
    <t>(NATIONALITY) Government efforts to combat corruption are effective</t>
  </si>
  <si>
    <t>QD15a.8. Pourriez-vous dire si vous êtes d'accord ou pas d'accord avec chacune des affirmations suivantes ?</t>
  </si>
  <si>
    <t>QD15a.8. Please tell whether you agree or disagree with each of the following?</t>
  </si>
  <si>
    <t>Des liens trop étroits entre les affaires et la politique en (NOTRE PAYS) mènent à la corruption</t>
  </si>
  <si>
    <t>Too-close links between business and politics in (OUR COUNTRY) lead to corruption</t>
  </si>
  <si>
    <t>QD15a.9. Pourriez-vous dire si vous êtes d'accord ou pas d'accord avec chacune des affirmations suivantes ?</t>
  </si>
  <si>
    <t>QD15a.9. Please tell whether you agree or disagree with each of the following?</t>
  </si>
  <si>
    <t>La corruption ou l'usage de relations est souvent le moyen le plus facile pour avoir accès à certains services publics en (NOTRE PAYS)</t>
  </si>
  <si>
    <t>Bribery and the use of connections is often the easiest way to obtain certain public services in (OUR COUNTRY)</t>
  </si>
  <si>
    <t>QD15a.10. Pourriez-vous dire si vous êtes d'accord ou pas d'accord avec chacune des affirmations suivantes ?</t>
  </si>
  <si>
    <t>QD15a.10. Please tell whether you agree or disagree with each of the following?</t>
  </si>
  <si>
    <t>Il y a suffisamment de transparence et de supervision des financements des partis politiques en (NOTRE PAYS)</t>
  </si>
  <si>
    <t>There is sufficient transparency and supervision of the financing of political parties in (OUR COUNTRY)</t>
  </si>
  <si>
    <t>QD15a.11. Pourriez-vous dire si vous êtes d'accord ou pas d'accord avec chacune des affirmations suivantes ?</t>
  </si>
  <si>
    <t>QD15a.11. Please tell whether you agree or disagree with each of the following?</t>
  </si>
  <si>
    <t>En (NOTRE PAYS), la seule façon de réussir dans les affaires est d'avoir des relations dans le monde politique</t>
  </si>
  <si>
    <t>In (OUR COUNTRY) the only way to succeed in business is to have political connections</t>
  </si>
  <si>
    <t>QD15a.12. Pourriez-vous dire si vous êtes d'accord ou pas d'accord avec chacune des affirmations suivantes ?</t>
  </si>
  <si>
    <t>QD15a.12. Please tell whether you agree or disagree with each of the following?</t>
  </si>
  <si>
    <t>En (NOTRE PAYS), le favoritisme et la corruption entravent la concurrence dans les affaires</t>
  </si>
  <si>
    <t>In (OUR COUNTRY), favouritism and corruption hamper business competition</t>
  </si>
  <si>
    <t>QD15a.13. Pourriez-vous dire si vous êtes d'accord ou pas d'accord avec chacune des affirmations suivantes ?</t>
  </si>
  <si>
    <t>QD15a.13. Please tell whether you agree or disagree with each of the following?</t>
  </si>
  <si>
    <t>En (NOTRE PAYS), les mesures contre la corruption sont appliquées de manière impartiale et sans arrière-pensées</t>
  </si>
  <si>
    <t>In (OUR COUNTRY) measures against corruption are applied impartially and without ulterior motives</t>
  </si>
  <si>
    <t xml:space="preserve">QD15b.1. Veuillez indiquer si vous êtes d’accord ou pas d’accord avec chacune des affirmations suivantes. </t>
  </si>
  <si>
    <t>QD15b.1. Please tell whether you agree or disagree with each of the following?</t>
  </si>
  <si>
    <t>En (NOTRE PAYS), la corruption ou l’utilisation de relations est le moyen le plus courant pour les entreprises d’obtenir des contrats publics</t>
  </si>
  <si>
    <t>In (OUR COUNTRY), bribery or the use of connections are the common way for the  companies to receive public contracts</t>
  </si>
  <si>
    <t xml:space="preserve">QD15b.2. Veuillez indiquer si vous êtes d’accord ou pas d’accord avec chacune des affirmations suivantes. </t>
  </si>
  <si>
    <t>QD15b.2. Please tell whether you agree or disagree with each of the following?</t>
  </si>
  <si>
    <t>En (NOTRE PAYS), la corruption ou l’utilisation de relations est le moyen le plus courant pour obtenir un poste dans l’administration publique</t>
  </si>
  <si>
    <t>In (OUR COUNTRY), bribery or the use of connections are the common way to get a position in the public administration</t>
  </si>
  <si>
    <t xml:space="preserve">QD15b.3. Veuillez indiquer si vous êtes d’accord ou pas d’accord avec chacune des affirmations suivantes. </t>
  </si>
  <si>
    <t>QD15b.3. Please tell whether you agree or disagree with each of the following?</t>
  </si>
  <si>
    <t>En (NOTRE PAYS), les nominations à des postes de fonctionnaires de haut niveau sont très politisées</t>
  </si>
  <si>
    <t>In (OUR COUNTRY), high-level  public servant positions nominations are highly politicised</t>
  </si>
  <si>
    <t xml:space="preserve">QD15b.4. Veuillez indiquer si vous êtes d’accord ou pas d’accord avec chacune des affirmations suivantes. </t>
  </si>
  <si>
    <t>QD15b.4. Please tell whether you agree or disagree with each of the following?</t>
  </si>
  <si>
    <t>En (NOTRE PAYS), des stratégies nationales de lutte contre la corruption sont mises en œuvre de manière efficace</t>
  </si>
  <si>
    <t>In (OUR COUNTRY), national anti-corruption strategies are effectively implemented</t>
  </si>
  <si>
    <t xml:space="preserve">QD15b.5. Veuillez indiquer si vous êtes d’accord ou pas d’accord avec chacune des affirmations suivantes. </t>
  </si>
  <si>
    <t>QD15b.5. Please tell whether you agree or disagree with each of the following?</t>
  </si>
  <si>
    <t>Il existe une volonté politique de lutter contre la corruption</t>
  </si>
  <si>
    <t>There is political will to tackle corruption</t>
  </si>
  <si>
    <t>15-24</t>
  </si>
  <si>
    <t>25-39</t>
  </si>
  <si>
    <t>40-54</t>
  </si>
  <si>
    <t>55+</t>
  </si>
  <si>
    <t>25-34</t>
  </si>
  <si>
    <t>35-44</t>
  </si>
  <si>
    <t>45-54</t>
  </si>
  <si>
    <t>55-64</t>
  </si>
  <si>
    <t>65-74</t>
  </si>
  <si>
    <t>75+</t>
  </si>
  <si>
    <t>15-30</t>
  </si>
  <si>
    <t>31-64</t>
  </si>
  <si>
    <t>65+</t>
  </si>
  <si>
    <t>Avant 1946</t>
  </si>
  <si>
    <t>Before 1946</t>
  </si>
  <si>
    <t>1946 - 1964 'BB'</t>
  </si>
  <si>
    <t>1965 - 1980 'X'</t>
  </si>
  <si>
    <t>1981-1996 'Millenials'</t>
  </si>
  <si>
    <t>1997 et après 'Génération Z'</t>
  </si>
  <si>
    <t>1997 and beyond 'Gеnеration Z'</t>
  </si>
  <si>
    <t>Plusieurs fois par jour</t>
  </si>
  <si>
    <t>Several times a day</t>
  </si>
  <si>
    <t>Une fois par jour</t>
  </si>
  <si>
    <t>Once a day</t>
  </si>
  <si>
    <t>Plusieurs fois par semaine</t>
  </si>
  <si>
    <t>Several times a week</t>
  </si>
  <si>
    <t>Une fois par semaine</t>
  </si>
  <si>
    <t>Once a week</t>
  </si>
  <si>
    <t>Plusieurs fois par mois ou moins souvent</t>
  </si>
  <si>
    <t>Several times a month, or less often</t>
  </si>
  <si>
    <t>D73.1. En ce moment, diriez-vous que, d’une manière générale, les choses vont dans la bonne direction ou dans la mauvaise direction… ?</t>
  </si>
  <si>
    <t>D73.1. At the present time, would you say that, in general, things are going in the right direction or in the wrong direction, in…?</t>
  </si>
  <si>
    <t>(OUR COUNTRY)</t>
  </si>
  <si>
    <t>Les choses vont dans la bonne direction</t>
  </si>
  <si>
    <t>Things are going in the right direction</t>
  </si>
  <si>
    <t>Les choses vont dans la mauvaise direction</t>
  </si>
  <si>
    <t>Things are going in the wrong direction</t>
  </si>
  <si>
    <t>Ni l’un ni l’autre (SPONTANÉ)</t>
  </si>
  <si>
    <t>Neither the one nor the other (SPONTANEOUS)</t>
  </si>
  <si>
    <t>D73.2. En ce moment, diriez-vous que, d’une manière générale, les choses vont dans la bonne direction ou dans la mauvaise direction… ?</t>
  </si>
  <si>
    <t>D73.2. At the present time, would you say that, in general, things are going in the right direction or in the wrong direction, in…?</t>
  </si>
  <si>
    <t>Dans l’Union européenne</t>
  </si>
  <si>
    <t>The European Union</t>
  </si>
  <si>
    <t>D73.3. En ce moment, diriez-vous que, d’une manière générale, les choses vont dans la bonne direction ou dans la mauvaise direction… ?</t>
  </si>
  <si>
    <t>D73.3. At the present time, would you say that, in general, things are going in the right direction or in the wrong direction, in…?</t>
  </si>
  <si>
    <t>Aux États-Unis</t>
  </si>
  <si>
    <t>The USA</t>
  </si>
  <si>
    <t>D73.4. En ce moment, diriez-vous que, d’une manière générale, les choses vont dans la bonne direction ou dans la mauvaise direction… ?</t>
  </si>
  <si>
    <t>D73.4. At the present time, would you say that, in general, things are going in the right direction or in the wrong direction, in…?</t>
  </si>
  <si>
    <t>Dans votre vie personnelle</t>
  </si>
  <si>
    <t>Your life personally</t>
  </si>
  <si>
    <t>Total 'Not Satisfied'</t>
  </si>
  <si>
    <t xml:space="preserve">SD19a.1. Dans quelle mesure êtes-vous d’accord ou pas d’accord avec chacune des affirmations suivantes ? </t>
  </si>
  <si>
    <t>SD19a.1. To what extent do you agree or disagree with each of the following statements?</t>
  </si>
  <si>
    <t>Ma voix compte dans l'Union européenne</t>
  </si>
  <si>
    <t>My voice counts in the EU</t>
  </si>
  <si>
    <t xml:space="preserve">SD19a.2. Dans quelle mesure êtes-vous d’accord ou pas d’accord avec chacune des affirmations suivantes ? </t>
  </si>
  <si>
    <t>SD19a.2. To what extent do you agree or disagree with each of the following statements?</t>
  </si>
  <si>
    <t>Ma voix compte en (NOTRE PAYS)</t>
  </si>
  <si>
    <t>My voice counts in (OUR COUNTRY)</t>
  </si>
  <si>
    <t xml:space="preserve">SD19a.3. Dans quelle mesure êtes-vous d’accord ou pas d’accord avec chacune des affirmations suivantes ? </t>
  </si>
  <si>
    <t>SD19a.3. To what extent do you agree or disagree with each of the following statements?</t>
  </si>
  <si>
    <t>La voix de (NOTRE PAYS) compte dans l'Union européenne</t>
  </si>
  <si>
    <t>(OUR COUNTRY)’s voice counts in the EU</t>
  </si>
  <si>
    <t>15-</t>
  </si>
  <si>
    <t>16-19</t>
  </si>
  <si>
    <t>20+</t>
  </si>
  <si>
    <t>Toujours étudiant(e)</t>
  </si>
  <si>
    <t>Still Studying</t>
  </si>
  <si>
    <t>Pas fait d'études</t>
  </si>
  <si>
    <t>No full-time education</t>
  </si>
  <si>
    <t>Éducation de la petite enfance (inclus pas d'éducation)</t>
  </si>
  <si>
    <t>Pre-primary education (include no education)</t>
  </si>
  <si>
    <t>Enseignement primaire</t>
  </si>
  <si>
    <t>Primary education</t>
  </si>
  <si>
    <t>Premier cycle de l’enseignement secondaire</t>
  </si>
  <si>
    <t>Lower secondary education</t>
  </si>
  <si>
    <t>Deuxième cycle de l’enseignement secondaire</t>
  </si>
  <si>
    <t>Upper secondary education</t>
  </si>
  <si>
    <t>Enseignement post-secondaire non-supérieur</t>
  </si>
  <si>
    <t>Post-secondary non tertiary (including pre-vocational or vocational education)</t>
  </si>
  <si>
    <t>Enseignement supérieur de cycle court</t>
  </si>
  <si>
    <t>Short-cycle tertiary</t>
  </si>
  <si>
    <t>Niveau licence ou équivalent</t>
  </si>
  <si>
    <t>Bachelor or equivalent</t>
  </si>
  <si>
    <t>Niveau master ou équivalent</t>
  </si>
  <si>
    <t>Master or equivalent</t>
  </si>
  <si>
    <t>Niveau doctorat ou équivalent</t>
  </si>
  <si>
    <t>Doctoral or equivalent</t>
  </si>
  <si>
    <t>Études jusqu’au niveau CITE 4 suivies à l’étranger</t>
  </si>
  <si>
    <t>Education up to ISCED 4 completed abroad</t>
  </si>
  <si>
    <t>Études de niveau CITE 5 et plus suivies à l’étranger</t>
  </si>
  <si>
    <t>Education ISCED 5 and above completed abroad</t>
  </si>
  <si>
    <t>Homme</t>
  </si>
  <si>
    <t>Man</t>
  </si>
  <si>
    <t>Femme</t>
  </si>
  <si>
    <t>Woman</t>
  </si>
  <si>
    <t>Aucun / non binaire / ne se reconnaît pas dans les catégories proposées</t>
  </si>
  <si>
    <t>None of the above / Non binary / Do not recognize yourself in above categories</t>
  </si>
  <si>
    <t>Préfère ne pas répondre</t>
  </si>
  <si>
    <t>Prefer not to say</t>
  </si>
  <si>
    <t>Dans une commune rurale</t>
  </si>
  <si>
    <t>Rural area or village</t>
  </si>
  <si>
    <t>Dans une ville petite ou moyenne</t>
  </si>
  <si>
    <t>Small or middle sized town</t>
  </si>
  <si>
    <t>Dans une grande ville</t>
  </si>
  <si>
    <t>Large town</t>
  </si>
  <si>
    <t>La plupart du temps</t>
  </si>
  <si>
    <t>Most of the time</t>
  </si>
  <si>
    <t>De temps en temps</t>
  </si>
  <si>
    <t>From time to time</t>
  </si>
  <si>
    <t>Pratiquement jamais / jamais</t>
  </si>
  <si>
    <t>Almost never / Never</t>
  </si>
  <si>
    <t>La classe ouvrière de la société</t>
  </si>
  <si>
    <t>The working class of society</t>
  </si>
  <si>
    <t>La classe moyenne inférieure de la société</t>
  </si>
  <si>
    <t>The lower middle class of society</t>
  </si>
  <si>
    <t>La classe moyenne de la société</t>
  </si>
  <si>
    <t>The middle class of society</t>
  </si>
  <si>
    <t>La classe moyenne supérieure de la société</t>
  </si>
  <si>
    <t>The upper middle class of society</t>
  </si>
  <si>
    <t>La classe la plus élevée de la société</t>
  </si>
  <si>
    <t>The higher class of society</t>
  </si>
  <si>
    <t>1 Gauche</t>
  </si>
  <si>
    <t>1 Left</t>
  </si>
  <si>
    <t>2</t>
  </si>
  <si>
    <t>3</t>
  </si>
  <si>
    <t>4</t>
  </si>
  <si>
    <t>5</t>
  </si>
  <si>
    <t>6</t>
  </si>
  <si>
    <t>7</t>
  </si>
  <si>
    <t>8</t>
  </si>
  <si>
    <t>9</t>
  </si>
  <si>
    <t>10 Droite</t>
  </si>
  <si>
    <t>10 Right</t>
  </si>
  <si>
    <t>(1-4) Gauche</t>
  </si>
  <si>
    <t>(1-4) Left</t>
  </si>
  <si>
    <t>(5-6) Centre</t>
  </si>
  <si>
    <t>(7-10) Droite</t>
  </si>
  <si>
    <t>(7-10) Right</t>
  </si>
  <si>
    <t>(1-2)  Gauche</t>
  </si>
  <si>
    <t>(1-2) Left</t>
  </si>
  <si>
    <t>(3-4)</t>
  </si>
  <si>
    <t>(5-6)  Centre</t>
  </si>
  <si>
    <t>(7-8)</t>
  </si>
  <si>
    <t>(9-10) Droite</t>
  </si>
  <si>
    <t>(9-10) Right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</si>
</sst>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b/>
      <sz val="12"/>
      <name val="Arial"/>
    </font>
    <font>
      <sz val="12"/>
      <name val="Arial"/>
    </font>
    <font>
      <b/>
      <sz val="10"/>
      <name val="Arial"/>
    </font>
    <font>
      <sz val="8"/>
      <name val="Arial"/>
    </font>
    <font>
      <b/>
      <sz val="8"/>
      <name val="Arial"/>
    </font>
    <font>
      <sz val="7"/>
      <name val="Arial"/>
    </font>
    <font>
      <b/>
      <sz val="7"/>
      <name val="Arial"/>
    </font>
    <font>
      <u/>
      <sz val="10"/>
      <color rgb="FF0563C1"/>
      <name val="Arial"/>
    </font>
    <font>
      <sz val="10"/>
      <name val="Arial"/>
    </font>
    <font>
      <sz val="8"/>
      <name val="Arial"/>
      <family val="2"/>
    </font>
    <font>
      <u/>
      <sz val="11"/>
      <color theme="10"/>
      <name val="Calibri"/>
      <family val="2"/>
      <scheme val="minor"/>
    </font>
  </fonts>
  <fills count="2">
    <fill>
      <patternFill patternType="none"/>
    </fill>
    <fill>
      <patternFill patternType="gray125"/>
    </fill>
  </fills>
  <borders count="6">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2">
    <xf numFmtId="0" fontId="0" fillId="0" borderId="0"/>
    <xf numFmtId="0" fontId="11" fillId="0" borderId="0" applyNumberFormat="0" applyFill="0" applyBorder="0" applyAlignment="0" applyProtection="0"/>
  </cellStyleXfs>
  <cellXfs count="25">
    <xf numFmtId="0" fontId="0" fillId="0" borderId="0" xfId="0"/>
    <xf numFmtId="0" fontId="1" fillId="0" borderId="0" xfId="0" applyFont="1"/>
    <xf numFmtId="0" fontId="2" fillId="0" borderId="0" xfId="0" applyFont="1"/>
    <xf numFmtId="0" fontId="2" fillId="0" borderId="0" xfId="0" applyFont="1" applyAlignment="1">
      <alignment horizontal="left"/>
    </xf>
    <xf numFmtId="0" fontId="3" fillId="0" borderId="0" xfId="0" applyFont="1"/>
    <xf numFmtId="0" fontId="8" fillId="0" borderId="0" xfId="0" applyFont="1"/>
    <xf numFmtId="0" fontId="9" fillId="0" borderId="0" xfId="0" applyFont="1" applyAlignment="1">
      <alignment wrapText="1"/>
    </xf>
    <xf numFmtId="0" fontId="4" fillId="0" borderId="1" xfId="0" applyFont="1" applyBorder="1"/>
    <xf numFmtId="0" fontId="6" fillId="0" borderId="3" xfId="0" applyFont="1" applyBorder="1" applyAlignment="1">
      <alignment horizontal="center" vertical="center" wrapText="1"/>
    </xf>
    <xf numFmtId="0" fontId="0" fillId="0" borderId="2" xfId="0" applyBorder="1"/>
    <xf numFmtId="0" fontId="7" fillId="0" borderId="3" xfId="0" applyFont="1" applyBorder="1" applyAlignment="1">
      <alignment horizontal="right"/>
    </xf>
    <xf numFmtId="0" fontId="4" fillId="0" borderId="3" xfId="0" applyFont="1" applyBorder="1" applyAlignment="1">
      <alignment wrapText="1"/>
    </xf>
    <xf numFmtId="0" fontId="6" fillId="0" borderId="3" xfId="0" applyFont="1" applyBorder="1" applyAlignment="1">
      <alignment wrapText="1"/>
    </xf>
    <xf numFmtId="0" fontId="4" fillId="0" borderId="4" xfId="0" applyFont="1" applyBorder="1" applyAlignment="1">
      <alignment wrapText="1"/>
    </xf>
    <xf numFmtId="9" fontId="6" fillId="0" borderId="4" xfId="0" applyNumberFormat="1" applyFont="1" applyBorder="1"/>
    <xf numFmtId="0" fontId="6" fillId="0" borderId="4" xfId="0" applyFont="1" applyBorder="1" applyAlignment="1">
      <alignment horizontal="right"/>
    </xf>
    <xf numFmtId="9" fontId="0" fillId="0" borderId="0" xfId="0" applyNumberFormat="1"/>
    <xf numFmtId="0" fontId="11" fillId="0" borderId="0" xfId="1"/>
    <xf numFmtId="0" fontId="5" fillId="0" borderId="3" xfId="0" applyFont="1" applyBorder="1" applyAlignment="1">
      <alignment horizontal="left" vertical="center"/>
    </xf>
    <xf numFmtId="0" fontId="4" fillId="0" borderId="0" xfId="0" applyFont="1" applyAlignment="1">
      <alignment wrapText="1"/>
    </xf>
    <xf numFmtId="0" fontId="10" fillId="0" borderId="0" xfId="0" applyFont="1" applyAlignment="1">
      <alignment wrapText="1"/>
    </xf>
    <xf numFmtId="0" fontId="5" fillId="0" borderId="4" xfId="0" applyFont="1" applyBorder="1" applyAlignment="1">
      <alignment horizontal="left" vertical="center"/>
    </xf>
    <xf numFmtId="0" fontId="0" fillId="0" borderId="0" xfId="0" applyAlignment="1"/>
    <xf numFmtId="0" fontId="0" fillId="0" borderId="2" xfId="0" applyBorder="1" applyAlignment="1"/>
    <xf numFmtId="0" fontId="0" fillId="0" borderId="5" xfId="0" applyBorder="1" applyAlignme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59" Type="http://schemas.openxmlformats.org/officeDocument/2006/relationships/worksheet" Target="worksheets/sheet159.xml"/><Relationship Id="rId170" Type="http://schemas.openxmlformats.org/officeDocument/2006/relationships/worksheet" Target="worksheets/sheet170.xml"/><Relationship Id="rId191" Type="http://schemas.openxmlformats.org/officeDocument/2006/relationships/worksheet" Target="worksheets/sheet191.xml"/><Relationship Id="rId205" Type="http://schemas.openxmlformats.org/officeDocument/2006/relationships/worksheet" Target="worksheets/sheet205.xml"/><Relationship Id="rId226" Type="http://schemas.openxmlformats.org/officeDocument/2006/relationships/customXml" Target="../customXml/item1.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worksheet" Target="worksheets/sheet160.xml"/><Relationship Id="rId181" Type="http://schemas.openxmlformats.org/officeDocument/2006/relationships/worksheet" Target="worksheets/sheet181.xml"/><Relationship Id="rId216" Type="http://schemas.openxmlformats.org/officeDocument/2006/relationships/worksheet" Target="worksheets/sheet216.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5" Type="http://schemas.openxmlformats.org/officeDocument/2006/relationships/worksheet" Target="worksheets/sheet85.xml"/><Relationship Id="rId150" Type="http://schemas.openxmlformats.org/officeDocument/2006/relationships/worksheet" Target="worksheets/sheet150.xml"/><Relationship Id="rId171" Type="http://schemas.openxmlformats.org/officeDocument/2006/relationships/worksheet" Target="worksheets/sheet171.xml"/><Relationship Id="rId192" Type="http://schemas.openxmlformats.org/officeDocument/2006/relationships/worksheet" Target="worksheets/sheet192.xml"/><Relationship Id="rId206" Type="http://schemas.openxmlformats.org/officeDocument/2006/relationships/worksheet" Target="worksheets/sheet206.xml"/><Relationship Id="rId227" Type="http://schemas.openxmlformats.org/officeDocument/2006/relationships/customXml" Target="../customXml/item2.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worksheet" Target="worksheets/sheet108.xml"/><Relationship Id="rId129" Type="http://schemas.openxmlformats.org/officeDocument/2006/relationships/worksheet" Target="worksheets/sheet129.xml"/><Relationship Id="rId54" Type="http://schemas.openxmlformats.org/officeDocument/2006/relationships/worksheet" Target="worksheets/sheet54.xml"/><Relationship Id="rId75" Type="http://schemas.openxmlformats.org/officeDocument/2006/relationships/worksheet" Target="worksheets/sheet75.xml"/><Relationship Id="rId96" Type="http://schemas.openxmlformats.org/officeDocument/2006/relationships/worksheet" Target="worksheets/sheet96.xml"/><Relationship Id="rId140" Type="http://schemas.openxmlformats.org/officeDocument/2006/relationships/worksheet" Target="worksheets/sheet140.xml"/><Relationship Id="rId161" Type="http://schemas.openxmlformats.org/officeDocument/2006/relationships/worksheet" Target="worksheets/sheet161.xml"/><Relationship Id="rId182" Type="http://schemas.openxmlformats.org/officeDocument/2006/relationships/worksheet" Target="worksheets/sheet182.xml"/><Relationship Id="rId217" Type="http://schemas.openxmlformats.org/officeDocument/2006/relationships/worksheet" Target="worksheets/sheet217.xml"/><Relationship Id="rId6" Type="http://schemas.openxmlformats.org/officeDocument/2006/relationships/worksheet" Target="worksheets/sheet6.xml"/><Relationship Id="rId23" Type="http://schemas.openxmlformats.org/officeDocument/2006/relationships/worksheet" Target="worksheets/sheet23.xml"/><Relationship Id="rId119" Type="http://schemas.openxmlformats.org/officeDocument/2006/relationships/worksheet" Target="worksheets/sheet119.xml"/><Relationship Id="rId44" Type="http://schemas.openxmlformats.org/officeDocument/2006/relationships/worksheet" Target="worksheets/sheet44.xml"/><Relationship Id="rId65" Type="http://schemas.openxmlformats.org/officeDocument/2006/relationships/worksheet" Target="worksheets/sheet65.xml"/><Relationship Id="rId86" Type="http://schemas.openxmlformats.org/officeDocument/2006/relationships/worksheet" Target="worksheets/sheet86.xml"/><Relationship Id="rId130" Type="http://schemas.openxmlformats.org/officeDocument/2006/relationships/worksheet" Target="worksheets/sheet130.xml"/><Relationship Id="rId151" Type="http://schemas.openxmlformats.org/officeDocument/2006/relationships/worksheet" Target="worksheets/sheet151.xml"/><Relationship Id="rId172" Type="http://schemas.openxmlformats.org/officeDocument/2006/relationships/worksheet" Target="worksheets/sheet172.xml"/><Relationship Id="rId193" Type="http://schemas.openxmlformats.org/officeDocument/2006/relationships/worksheet" Target="worksheets/sheet193.xml"/><Relationship Id="rId207" Type="http://schemas.openxmlformats.org/officeDocument/2006/relationships/worksheet" Target="worksheets/sheet207.xml"/><Relationship Id="rId228" Type="http://schemas.openxmlformats.org/officeDocument/2006/relationships/customXml" Target="../customXml/item3.xml"/><Relationship Id="rId13" Type="http://schemas.openxmlformats.org/officeDocument/2006/relationships/worksheet" Target="worksheets/sheet13.xml"/><Relationship Id="rId109" Type="http://schemas.openxmlformats.org/officeDocument/2006/relationships/worksheet" Target="worksheets/sheet109.xml"/><Relationship Id="rId34" Type="http://schemas.openxmlformats.org/officeDocument/2006/relationships/worksheet" Target="worksheets/sheet34.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20" Type="http://schemas.openxmlformats.org/officeDocument/2006/relationships/worksheet" Target="worksheets/sheet120.xml"/><Relationship Id="rId141" Type="http://schemas.openxmlformats.org/officeDocument/2006/relationships/worksheet" Target="worksheets/sheet141.xml"/><Relationship Id="rId7" Type="http://schemas.openxmlformats.org/officeDocument/2006/relationships/worksheet" Target="worksheets/sheet7.xml"/><Relationship Id="rId162" Type="http://schemas.openxmlformats.org/officeDocument/2006/relationships/worksheet" Target="worksheets/sheet162.xml"/><Relationship Id="rId183" Type="http://schemas.openxmlformats.org/officeDocument/2006/relationships/worksheet" Target="worksheets/sheet183.xml"/><Relationship Id="rId218" Type="http://schemas.openxmlformats.org/officeDocument/2006/relationships/worksheet" Target="worksheets/sheet218.xml"/><Relationship Id="rId24" Type="http://schemas.openxmlformats.org/officeDocument/2006/relationships/worksheet" Target="worksheets/sheet24.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31" Type="http://schemas.openxmlformats.org/officeDocument/2006/relationships/worksheet" Target="worksheets/sheet131.xml"/><Relationship Id="rId152" Type="http://schemas.openxmlformats.org/officeDocument/2006/relationships/worksheet" Target="worksheets/sheet152.xml"/><Relationship Id="rId173" Type="http://schemas.openxmlformats.org/officeDocument/2006/relationships/worksheet" Target="worksheets/sheet173.xml"/><Relationship Id="rId194" Type="http://schemas.openxmlformats.org/officeDocument/2006/relationships/worksheet" Target="worksheets/sheet194.xml"/><Relationship Id="rId208" Type="http://schemas.openxmlformats.org/officeDocument/2006/relationships/worksheet" Target="worksheets/sheet208.xml"/><Relationship Id="rId14" Type="http://schemas.openxmlformats.org/officeDocument/2006/relationships/worksheet" Target="worksheets/sheet14.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8" Type="http://schemas.openxmlformats.org/officeDocument/2006/relationships/worksheet" Target="worksheets/sheet8.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184" Type="http://schemas.openxmlformats.org/officeDocument/2006/relationships/worksheet" Target="worksheets/sheet184.xml"/><Relationship Id="rId219" Type="http://schemas.openxmlformats.org/officeDocument/2006/relationships/worksheet" Target="worksheets/sheet219.xml"/><Relationship Id="rId3" Type="http://schemas.openxmlformats.org/officeDocument/2006/relationships/worksheet" Target="worksheets/sheet3.xml"/><Relationship Id="rId214" Type="http://schemas.openxmlformats.org/officeDocument/2006/relationships/worksheet" Target="worksheets/sheet214.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worksheet" Target="worksheets/sheet174.xml"/><Relationship Id="rId179" Type="http://schemas.openxmlformats.org/officeDocument/2006/relationships/worksheet" Target="worksheets/sheet179.xml"/><Relationship Id="rId195" Type="http://schemas.openxmlformats.org/officeDocument/2006/relationships/worksheet" Target="worksheets/sheet195.xml"/><Relationship Id="rId209" Type="http://schemas.openxmlformats.org/officeDocument/2006/relationships/worksheet" Target="worksheets/sheet209.xml"/><Relationship Id="rId190" Type="http://schemas.openxmlformats.org/officeDocument/2006/relationships/worksheet" Target="worksheets/sheet190.xml"/><Relationship Id="rId204" Type="http://schemas.openxmlformats.org/officeDocument/2006/relationships/worksheet" Target="worksheets/sheet204.xml"/><Relationship Id="rId220" Type="http://schemas.openxmlformats.org/officeDocument/2006/relationships/worksheet" Target="worksheets/sheet220.xml"/><Relationship Id="rId225" Type="http://schemas.openxmlformats.org/officeDocument/2006/relationships/calcChain" Target="calcChain.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164" Type="http://schemas.openxmlformats.org/officeDocument/2006/relationships/worksheet" Target="worksheets/sheet164.xml"/><Relationship Id="rId169" Type="http://schemas.openxmlformats.org/officeDocument/2006/relationships/worksheet" Target="worksheets/sheet169.xml"/><Relationship Id="rId185" Type="http://schemas.openxmlformats.org/officeDocument/2006/relationships/worksheet" Target="worksheets/sheet185.xml"/><Relationship Id="rId4" Type="http://schemas.openxmlformats.org/officeDocument/2006/relationships/worksheet" Target="worksheets/sheet4.xml"/><Relationship Id="rId9" Type="http://schemas.openxmlformats.org/officeDocument/2006/relationships/worksheet" Target="worksheets/sheet9.xml"/><Relationship Id="rId180" Type="http://schemas.openxmlformats.org/officeDocument/2006/relationships/worksheet" Target="worksheets/sheet180.xml"/><Relationship Id="rId210" Type="http://schemas.openxmlformats.org/officeDocument/2006/relationships/worksheet" Target="worksheets/sheet210.xml"/><Relationship Id="rId215" Type="http://schemas.openxmlformats.org/officeDocument/2006/relationships/worksheet" Target="worksheets/sheet215.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worksheet" Target="worksheets/sheet175.xml"/><Relationship Id="rId196" Type="http://schemas.openxmlformats.org/officeDocument/2006/relationships/worksheet" Target="worksheets/sheet196.xml"/><Relationship Id="rId200" Type="http://schemas.openxmlformats.org/officeDocument/2006/relationships/worksheet" Target="worksheets/sheet200.xml"/><Relationship Id="rId16" Type="http://schemas.openxmlformats.org/officeDocument/2006/relationships/worksheet" Target="worksheets/sheet16.xml"/><Relationship Id="rId221" Type="http://schemas.openxmlformats.org/officeDocument/2006/relationships/worksheet" Target="worksheets/sheet221.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186" Type="http://schemas.openxmlformats.org/officeDocument/2006/relationships/worksheet" Target="worksheets/sheet186.xml"/><Relationship Id="rId211" Type="http://schemas.openxmlformats.org/officeDocument/2006/relationships/worksheet" Target="worksheets/sheet211.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worksheet" Target="worksheets/sheet176.xml"/><Relationship Id="rId197" Type="http://schemas.openxmlformats.org/officeDocument/2006/relationships/worksheet" Target="worksheets/sheet197.xml"/><Relationship Id="rId201" Type="http://schemas.openxmlformats.org/officeDocument/2006/relationships/worksheet" Target="worksheets/sheet201.xml"/><Relationship Id="rId222" Type="http://schemas.openxmlformats.org/officeDocument/2006/relationships/theme" Target="theme/theme1.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 Id="rId187" Type="http://schemas.openxmlformats.org/officeDocument/2006/relationships/worksheet" Target="worksheets/sheet187.xml"/><Relationship Id="rId1" Type="http://schemas.openxmlformats.org/officeDocument/2006/relationships/worksheet" Target="worksheets/sheet1.xml"/><Relationship Id="rId212" Type="http://schemas.openxmlformats.org/officeDocument/2006/relationships/worksheet" Target="worksheets/sheet212.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60" Type="http://schemas.openxmlformats.org/officeDocument/2006/relationships/worksheet" Target="worksheets/sheet60.xml"/><Relationship Id="rId81" Type="http://schemas.openxmlformats.org/officeDocument/2006/relationships/worksheet" Target="worksheets/sheet81.xml"/><Relationship Id="rId135" Type="http://schemas.openxmlformats.org/officeDocument/2006/relationships/worksheet" Target="worksheets/sheet135.xml"/><Relationship Id="rId156" Type="http://schemas.openxmlformats.org/officeDocument/2006/relationships/worksheet" Target="worksheets/sheet156.xml"/><Relationship Id="rId177" Type="http://schemas.openxmlformats.org/officeDocument/2006/relationships/worksheet" Target="worksheets/sheet177.xml"/><Relationship Id="rId198" Type="http://schemas.openxmlformats.org/officeDocument/2006/relationships/worksheet" Target="worksheets/sheet198.xml"/><Relationship Id="rId202" Type="http://schemas.openxmlformats.org/officeDocument/2006/relationships/worksheet" Target="worksheets/sheet202.xml"/><Relationship Id="rId223" Type="http://schemas.openxmlformats.org/officeDocument/2006/relationships/styles" Target="styles.xml"/><Relationship Id="rId18" Type="http://schemas.openxmlformats.org/officeDocument/2006/relationships/worksheet" Target="worksheets/sheet18.xml"/><Relationship Id="rId39" Type="http://schemas.openxmlformats.org/officeDocument/2006/relationships/worksheet" Target="worksheets/sheet39.xml"/><Relationship Id="rId50" Type="http://schemas.openxmlformats.org/officeDocument/2006/relationships/worksheet" Target="worksheets/sheet50.xml"/><Relationship Id="rId104" Type="http://schemas.openxmlformats.org/officeDocument/2006/relationships/worksheet" Target="worksheets/sheet104.xml"/><Relationship Id="rId125" Type="http://schemas.openxmlformats.org/officeDocument/2006/relationships/worksheet" Target="worksheets/sheet125.xml"/><Relationship Id="rId146" Type="http://schemas.openxmlformats.org/officeDocument/2006/relationships/worksheet" Target="worksheets/sheet146.xml"/><Relationship Id="rId167" Type="http://schemas.openxmlformats.org/officeDocument/2006/relationships/worksheet" Target="worksheets/sheet167.xml"/><Relationship Id="rId188" Type="http://schemas.openxmlformats.org/officeDocument/2006/relationships/worksheet" Target="worksheets/sheet188.xml"/><Relationship Id="rId71" Type="http://schemas.openxmlformats.org/officeDocument/2006/relationships/worksheet" Target="worksheets/sheet71.xml"/><Relationship Id="rId92" Type="http://schemas.openxmlformats.org/officeDocument/2006/relationships/worksheet" Target="worksheets/sheet92.xml"/><Relationship Id="rId213" Type="http://schemas.openxmlformats.org/officeDocument/2006/relationships/worksheet" Target="worksheets/sheet213.xml"/><Relationship Id="rId2" Type="http://schemas.openxmlformats.org/officeDocument/2006/relationships/worksheet" Target="worksheets/sheet2.xml"/><Relationship Id="rId29" Type="http://schemas.openxmlformats.org/officeDocument/2006/relationships/worksheet" Target="worksheets/sheet29.xml"/><Relationship Id="rId40" Type="http://schemas.openxmlformats.org/officeDocument/2006/relationships/worksheet" Target="worksheets/sheet40.xml"/><Relationship Id="rId115" Type="http://schemas.openxmlformats.org/officeDocument/2006/relationships/worksheet" Target="worksheets/sheet115.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worksheet" Target="worksheets/sheet178.xml"/><Relationship Id="rId61" Type="http://schemas.openxmlformats.org/officeDocument/2006/relationships/worksheet" Target="worksheets/sheet61.xml"/><Relationship Id="rId82" Type="http://schemas.openxmlformats.org/officeDocument/2006/relationships/worksheet" Target="worksheets/sheet82.xml"/><Relationship Id="rId199" Type="http://schemas.openxmlformats.org/officeDocument/2006/relationships/worksheet" Target="worksheets/sheet199.xml"/><Relationship Id="rId203" Type="http://schemas.openxmlformats.org/officeDocument/2006/relationships/worksheet" Target="worksheets/sheet203.xml"/><Relationship Id="rId19" Type="http://schemas.openxmlformats.org/officeDocument/2006/relationships/worksheet" Target="worksheets/sheet19.xml"/><Relationship Id="rId224" Type="http://schemas.openxmlformats.org/officeDocument/2006/relationships/sharedStrings" Target="sharedStrings.xml"/><Relationship Id="rId30" Type="http://schemas.openxmlformats.org/officeDocument/2006/relationships/worksheet" Target="worksheets/sheet3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189" Type="http://schemas.openxmlformats.org/officeDocument/2006/relationships/worksheet" Target="worksheets/sheet18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25"/>
  <sheetViews>
    <sheetView workbookViewId="0">
      <pane ySplit="5" topLeftCell="A174" activePane="bottomLeft" state="frozen"/>
      <selection pane="bottomLeft" activeCell="A184" sqref="A184"/>
    </sheetView>
  </sheetViews>
  <sheetFormatPr defaultRowHeight="15"/>
  <cols>
    <col min="1" max="1" width="12.42578125" customWidth="1"/>
    <col min="2" max="3" width="100" customWidth="1"/>
  </cols>
  <sheetData>
    <row r="1" spans="1:3" ht="15.75">
      <c r="A1" s="1" t="s">
        <v>0</v>
      </c>
      <c r="B1" s="2" t="s">
        <v>1</v>
      </c>
    </row>
    <row r="2" spans="1:3" ht="15.75">
      <c r="A2" s="1" t="s">
        <v>2</v>
      </c>
      <c r="B2" s="3" t="s">
        <v>3</v>
      </c>
    </row>
    <row r="3" spans="1:3" ht="15.75">
      <c r="A3" s="1" t="s">
        <v>4</v>
      </c>
      <c r="B3" s="2" t="s">
        <v>5</v>
      </c>
    </row>
    <row r="5" spans="1:3">
      <c r="A5" s="4" t="s">
        <v>6</v>
      </c>
      <c r="B5" s="4" t="s">
        <v>7</v>
      </c>
      <c r="C5" s="4" t="s">
        <v>8</v>
      </c>
    </row>
    <row r="6" spans="1:3">
      <c r="A6" s="5" t="str">
        <f>HYPERLINK("#'B'!A1", "B")</f>
        <v>B</v>
      </c>
      <c r="B6" s="6" t="s">
        <v>9</v>
      </c>
      <c r="C6" s="6" t="s">
        <v>10</v>
      </c>
    </row>
    <row r="7" spans="1:3" ht="26.25">
      <c r="A7" s="5" t="str">
        <f>HYPERLINK("#'QA1'!A1", "QA1")</f>
        <v>QA1</v>
      </c>
      <c r="B7" s="6" t="s">
        <v>11</v>
      </c>
      <c r="C7" s="6" t="s">
        <v>12</v>
      </c>
    </row>
    <row r="8" spans="1:3">
      <c r="A8" s="5" t="str">
        <f>HYPERLINK("#'QA2'!A1", "QA2")</f>
        <v>QA2</v>
      </c>
      <c r="B8" s="6" t="s">
        <v>13</v>
      </c>
      <c r="C8" s="6" t="s">
        <v>14</v>
      </c>
    </row>
    <row r="9" spans="1:3" ht="26.25">
      <c r="A9" s="5" t="str">
        <f>HYPERLINK("#'D78'!A1", "D78")</f>
        <v>D78</v>
      </c>
      <c r="B9" s="6" t="s">
        <v>15</v>
      </c>
      <c r="C9" s="6" t="s">
        <v>16</v>
      </c>
    </row>
    <row r="10" spans="1:3">
      <c r="A10" s="5" t="str">
        <f>HYPERLINK("#'QA3'!A1", "QA3")</f>
        <v>QA3</v>
      </c>
      <c r="B10" s="6" t="s">
        <v>17</v>
      </c>
      <c r="C10" s="6" t="s">
        <v>18</v>
      </c>
    </row>
    <row r="11" spans="1:3" ht="26.25">
      <c r="A11" s="5" t="str">
        <f>HYPERLINK("#'QA4'!A1", "QA4")</f>
        <v>QA4</v>
      </c>
      <c r="B11" s="6" t="s">
        <v>19</v>
      </c>
      <c r="C11" s="6" t="s">
        <v>20</v>
      </c>
    </row>
    <row r="12" spans="1:3" ht="39">
      <c r="A12" s="5" t="str">
        <f>HYPERLINK("#'QA5a'!A1", "QA5a")</f>
        <v>QA5a</v>
      </c>
      <c r="B12" s="6" t="s">
        <v>21</v>
      </c>
      <c r="C12" s="6" t="s">
        <v>22</v>
      </c>
    </row>
    <row r="13" spans="1:3">
      <c r="A13" s="5" t="str">
        <f>HYPERLINK("#'QA5b'!A1", "QA5b")</f>
        <v>QA5b</v>
      </c>
      <c r="B13" s="6" t="s">
        <v>23</v>
      </c>
      <c r="C13" s="6" t="s">
        <v>24</v>
      </c>
    </row>
    <row r="14" spans="1:3" ht="39">
      <c r="A14" s="5" t="str">
        <f>HYPERLINK("#'QA5ab'!A1", "QA5ab")</f>
        <v>QA5ab</v>
      </c>
      <c r="B14" s="6" t="s">
        <v>25</v>
      </c>
      <c r="C14" s="6" t="s">
        <v>26</v>
      </c>
    </row>
    <row r="15" spans="1:3" ht="26.25">
      <c r="A15" s="5" t="str">
        <f>HYPERLINK("#'QA6a'!A1", "QA6a")</f>
        <v>QA6a</v>
      </c>
      <c r="B15" s="6" t="s">
        <v>27</v>
      </c>
      <c r="C15" s="6" t="s">
        <v>28</v>
      </c>
    </row>
    <row r="16" spans="1:3">
      <c r="A16" s="5" t="str">
        <f>HYPERLINK("#'QA6b'!A1", "QA6b")</f>
        <v>QA6b</v>
      </c>
      <c r="B16" s="6" t="s">
        <v>29</v>
      </c>
      <c r="C16" s="6" t="s">
        <v>30</v>
      </c>
    </row>
    <row r="17" spans="1:3" ht="26.25">
      <c r="A17" s="5" t="str">
        <f>HYPERLINK("#'QA6ab'!A1", "QA6ab")</f>
        <v>QA6ab</v>
      </c>
      <c r="B17" s="6" t="s">
        <v>31</v>
      </c>
      <c r="C17" s="6" t="s">
        <v>32</v>
      </c>
    </row>
    <row r="18" spans="1:3" ht="26.25">
      <c r="A18" s="5" t="str">
        <f>HYPERLINK("#'QA7'!A1", "QA7")</f>
        <v>QA7</v>
      </c>
      <c r="B18" s="6" t="s">
        <v>33</v>
      </c>
      <c r="C18" s="6" t="s">
        <v>34</v>
      </c>
    </row>
    <row r="19" spans="1:3" ht="26.25">
      <c r="A19" s="5" t="str">
        <f>HYPERLINK("#'QA8a'!A1", "QA8a")</f>
        <v>QA8a</v>
      </c>
      <c r="B19" s="6" t="s">
        <v>35</v>
      </c>
      <c r="C19" s="6" t="s">
        <v>36</v>
      </c>
    </row>
    <row r="20" spans="1:3">
      <c r="A20" s="5" t="str">
        <f>HYPERLINK("#'QA8b'!A1", "QA8b")</f>
        <v>QA8b</v>
      </c>
      <c r="B20" s="6" t="s">
        <v>37</v>
      </c>
      <c r="C20" s="6" t="s">
        <v>38</v>
      </c>
    </row>
    <row r="21" spans="1:3" ht="26.25">
      <c r="A21" s="5" t="str">
        <f>HYPERLINK("#'QA8ab'!A1", "QA8ab")</f>
        <v>QA8ab</v>
      </c>
      <c r="B21" s="6" t="s">
        <v>39</v>
      </c>
      <c r="C21" s="6" t="s">
        <v>40</v>
      </c>
    </row>
    <row r="22" spans="1:3" ht="26.25">
      <c r="A22" s="5" t="str">
        <f>HYPERLINK("#'QA9a'!A1", "QA9a")</f>
        <v>QA9a</v>
      </c>
      <c r="B22" s="6" t="s">
        <v>41</v>
      </c>
      <c r="C22" s="6" t="s">
        <v>42</v>
      </c>
    </row>
    <row r="23" spans="1:3">
      <c r="A23" s="5" t="str">
        <f>HYPERLINK("#'QA9b'!A1", "QA9b")</f>
        <v>QA9b</v>
      </c>
      <c r="B23" s="6" t="s">
        <v>43</v>
      </c>
      <c r="C23" s="6" t="s">
        <v>44</v>
      </c>
    </row>
    <row r="24" spans="1:3" ht="26.25">
      <c r="A24" s="5" t="str">
        <f>HYPERLINK("#'QA9ab'!A1", "QA9ab")</f>
        <v>QA9ab</v>
      </c>
      <c r="B24" s="6" t="s">
        <v>45</v>
      </c>
      <c r="C24" s="6" t="s">
        <v>46</v>
      </c>
    </row>
    <row r="25" spans="1:3">
      <c r="A25" s="5" t="str">
        <f>HYPERLINK("#'QA10'!A1", "QA10")</f>
        <v>QA10</v>
      </c>
      <c r="B25" s="6" t="s">
        <v>47</v>
      </c>
      <c r="C25" s="6" t="s">
        <v>48</v>
      </c>
    </row>
    <row r="26" spans="1:3" ht="26.25">
      <c r="A26" s="5" t="str">
        <f>HYPERLINK("#'QA11a'!A1", "QA11a")</f>
        <v>QA11a</v>
      </c>
      <c r="B26" s="6" t="s">
        <v>49</v>
      </c>
      <c r="C26" s="6" t="s">
        <v>50</v>
      </c>
    </row>
    <row r="27" spans="1:3">
      <c r="A27" s="5" t="str">
        <f>HYPERLINK("#'QA11b'!A1", "QA11b")</f>
        <v>QA11b</v>
      </c>
      <c r="B27" s="6" t="s">
        <v>51</v>
      </c>
      <c r="C27" s="6" t="s">
        <v>52</v>
      </c>
    </row>
    <row r="28" spans="1:3" ht="26.25">
      <c r="A28" s="5" t="str">
        <f>HYPERLINK("#'QA11ab'!A1", "QA11ab")</f>
        <v>QA11ab</v>
      </c>
      <c r="B28" s="6" t="s">
        <v>53</v>
      </c>
      <c r="C28" s="6" t="s">
        <v>54</v>
      </c>
    </row>
    <row r="29" spans="1:3" ht="26.25">
      <c r="A29" s="5" t="str">
        <f>HYPERLINK("#'QA12_1'!A1", "QA12_1")</f>
        <v>QA12_1</v>
      </c>
      <c r="B29" s="6" t="s">
        <v>55</v>
      </c>
      <c r="C29" s="6" t="s">
        <v>56</v>
      </c>
    </row>
    <row r="30" spans="1:3" ht="26.25">
      <c r="A30" s="5" t="str">
        <f>HYPERLINK("#'QA12_2'!A1", "QA12_2")</f>
        <v>QA12_2</v>
      </c>
      <c r="B30" s="6" t="s">
        <v>57</v>
      </c>
      <c r="C30" s="6" t="s">
        <v>58</v>
      </c>
    </row>
    <row r="31" spans="1:3" ht="26.25">
      <c r="A31" s="5" t="str">
        <f>HYPERLINK("#'QA13_1'!A1", "QA13_1")</f>
        <v>QA13_1</v>
      </c>
      <c r="B31" s="6" t="s">
        <v>59</v>
      </c>
      <c r="C31" s="6" t="s">
        <v>60</v>
      </c>
    </row>
    <row r="32" spans="1:3" ht="26.25">
      <c r="A32" s="5" t="str">
        <f>HYPERLINK("#'QA13_2'!A1", "QA13_2")</f>
        <v>QA13_2</v>
      </c>
      <c r="B32" s="6" t="s">
        <v>61</v>
      </c>
      <c r="C32" s="6" t="s">
        <v>62</v>
      </c>
    </row>
    <row r="33" spans="1:3" ht="26.25">
      <c r="A33" s="5" t="str">
        <f>HYPERLINK("#'QA13_3'!A1", "QA13_3")</f>
        <v>QA13_3</v>
      </c>
      <c r="B33" s="6" t="s">
        <v>63</v>
      </c>
      <c r="C33" s="6" t="s">
        <v>64</v>
      </c>
    </row>
    <row r="34" spans="1:3" ht="26.25">
      <c r="A34" s="5" t="str">
        <f>HYPERLINK("#'SD27'!A1", "SD27")</f>
        <v>SD27</v>
      </c>
      <c r="B34" s="6" t="s">
        <v>65</v>
      </c>
      <c r="C34" s="6" t="s">
        <v>66</v>
      </c>
    </row>
    <row r="35" spans="1:3" ht="26.25">
      <c r="A35" s="5" t="str">
        <f>HYPERLINK("#'QA14a'!A1", "QA14a")</f>
        <v>QA14a</v>
      </c>
      <c r="B35" s="6" t="s">
        <v>67</v>
      </c>
      <c r="C35" s="6" t="s">
        <v>68</v>
      </c>
    </row>
    <row r="36" spans="1:3">
      <c r="A36" s="5" t="str">
        <f>HYPERLINK("#'QA14b'!A1", "QA14b")</f>
        <v>QA14b</v>
      </c>
      <c r="B36" s="6" t="s">
        <v>69</v>
      </c>
      <c r="C36" s="6" t="s">
        <v>70</v>
      </c>
    </row>
    <row r="37" spans="1:3" ht="26.25">
      <c r="A37" s="5" t="str">
        <f>HYPERLINK("#'QA14ab'!A1", "QA14ab")</f>
        <v>QA14ab</v>
      </c>
      <c r="B37" s="6" t="s">
        <v>71</v>
      </c>
      <c r="C37" s="6" t="s">
        <v>72</v>
      </c>
    </row>
    <row r="38" spans="1:3" ht="26.25">
      <c r="A38" s="5" t="str">
        <f>HYPERLINK("#'QB1_1'!A1", "QB1_1")</f>
        <v>QB1_1</v>
      </c>
      <c r="B38" s="6" t="s">
        <v>73</v>
      </c>
      <c r="C38" s="6" t="s">
        <v>74</v>
      </c>
    </row>
    <row r="39" spans="1:3" ht="26.25">
      <c r="A39" s="5" t="str">
        <f>HYPERLINK("#'QB1_2'!A1", "QB1_2")</f>
        <v>QB1_2</v>
      </c>
      <c r="B39" s="6" t="s">
        <v>75</v>
      </c>
      <c r="C39" s="6" t="s">
        <v>76</v>
      </c>
    </row>
    <row r="40" spans="1:3" ht="39">
      <c r="A40" s="5" t="str">
        <f>HYPERLINK("#'QB1_3'!A1", "QB1_3")</f>
        <v>QB1_3</v>
      </c>
      <c r="B40" s="6" t="s">
        <v>77</v>
      </c>
      <c r="C40" s="6" t="s">
        <v>78</v>
      </c>
    </row>
    <row r="41" spans="1:3" ht="26.25">
      <c r="A41" s="5" t="str">
        <f>HYPERLINK("#'QB1_4'!A1", "QB1_4")</f>
        <v>QB1_4</v>
      </c>
      <c r="B41" s="6" t="s">
        <v>79</v>
      </c>
      <c r="C41" s="6" t="s">
        <v>80</v>
      </c>
    </row>
    <row r="42" spans="1:3" ht="26.25">
      <c r="A42" s="5" t="str">
        <f>HYPERLINK("#'QB1_5'!A1", "QB1_5")</f>
        <v>QB1_5</v>
      </c>
      <c r="B42" s="6" t="s">
        <v>81</v>
      </c>
      <c r="C42" s="6" t="s">
        <v>82</v>
      </c>
    </row>
    <row r="43" spans="1:3" ht="26.25">
      <c r="A43" s="5" t="str">
        <f>HYPERLINK("#'QB2_1'!A1", "QB2_1")</f>
        <v>QB2_1</v>
      </c>
      <c r="B43" s="6" t="s">
        <v>83</v>
      </c>
      <c r="C43" s="6" t="s">
        <v>84</v>
      </c>
    </row>
    <row r="44" spans="1:3" ht="26.25">
      <c r="A44" s="5" t="str">
        <f>HYPERLINK("#'QB2_2'!A1", "QB2_2")</f>
        <v>QB2_2</v>
      </c>
      <c r="B44" s="6" t="s">
        <v>85</v>
      </c>
      <c r="C44" s="6" t="s">
        <v>86</v>
      </c>
    </row>
    <row r="45" spans="1:3" ht="26.25">
      <c r="A45" s="5" t="str">
        <f>HYPERLINK("#'QB2_3'!A1", "QB2_3")</f>
        <v>QB2_3</v>
      </c>
      <c r="B45" s="6" t="s">
        <v>87</v>
      </c>
      <c r="C45" s="6" t="s">
        <v>88</v>
      </c>
    </row>
    <row r="46" spans="1:3" ht="26.25">
      <c r="A46" s="5" t="str">
        <f>HYPERLINK("#'QB2_4'!A1", "QB2_4")</f>
        <v>QB2_4</v>
      </c>
      <c r="B46" s="6" t="s">
        <v>89</v>
      </c>
      <c r="C46" s="6" t="s">
        <v>90</v>
      </c>
    </row>
    <row r="47" spans="1:3" ht="39">
      <c r="A47" s="5" t="str">
        <f>HYPERLINK("#'QB2_5'!A1", "QB2_5")</f>
        <v>QB2_5</v>
      </c>
      <c r="B47" s="6" t="s">
        <v>91</v>
      </c>
      <c r="C47" s="6" t="s">
        <v>92</v>
      </c>
    </row>
    <row r="48" spans="1:3" ht="26.25">
      <c r="A48" s="5" t="str">
        <f>HYPERLINK("#'QB2_6'!A1", "QB2_6")</f>
        <v>QB2_6</v>
      </c>
      <c r="B48" s="6" t="s">
        <v>93</v>
      </c>
      <c r="C48" s="6" t="s">
        <v>94</v>
      </c>
    </row>
    <row r="49" spans="1:3" ht="26.25">
      <c r="A49" s="5" t="str">
        <f>HYPERLINK("#'QB2_7'!A1", "QB2_7")</f>
        <v>QB2_7</v>
      </c>
      <c r="B49" s="6" t="s">
        <v>95</v>
      </c>
      <c r="C49" s="6" t="s">
        <v>96</v>
      </c>
    </row>
    <row r="50" spans="1:3" ht="26.25">
      <c r="A50" s="5" t="str">
        <f>HYPERLINK("#'QB2_8'!A1", "QB2_8")</f>
        <v>QB2_8</v>
      </c>
      <c r="B50" s="6" t="s">
        <v>97</v>
      </c>
      <c r="C50" s="6" t="s">
        <v>98</v>
      </c>
    </row>
    <row r="51" spans="1:3">
      <c r="A51" s="5" t="str">
        <f>HYPERLINK("#'D15a'!A1", "D15a")</f>
        <v>D15a</v>
      </c>
      <c r="B51" s="6" t="s">
        <v>99</v>
      </c>
      <c r="C51" s="6" t="s">
        <v>100</v>
      </c>
    </row>
    <row r="52" spans="1:3">
      <c r="A52" s="5" t="str">
        <f>HYPERLINK("#'D15a2'!A1", "D15a2")</f>
        <v>D15a2</v>
      </c>
      <c r="B52" s="6" t="s">
        <v>101</v>
      </c>
      <c r="C52" s="6" t="s">
        <v>102</v>
      </c>
    </row>
    <row r="53" spans="1:3">
      <c r="A53" s="5" t="str">
        <f>HYPERLINK("#'C14'!A1", "C14")</f>
        <v>C14</v>
      </c>
      <c r="B53" s="6" t="s">
        <v>103</v>
      </c>
      <c r="C53" s="6" t="s">
        <v>104</v>
      </c>
    </row>
    <row r="54" spans="1:3">
      <c r="A54" s="5" t="str">
        <f>HYPERLINK("#'D15b'!A1", "D15b")</f>
        <v>D15b</v>
      </c>
      <c r="B54" s="6" t="s">
        <v>105</v>
      </c>
      <c r="C54" s="6" t="s">
        <v>106</v>
      </c>
    </row>
    <row r="55" spans="1:3">
      <c r="A55" s="5" t="str">
        <f>HYPERLINK("#'D15b2'!A1", "D15b2")</f>
        <v>D15b2</v>
      </c>
      <c r="B55" s="6" t="s">
        <v>107</v>
      </c>
      <c r="C55" s="6" t="s">
        <v>108</v>
      </c>
    </row>
    <row r="56" spans="1:3" ht="26.25">
      <c r="A56" s="5" t="str">
        <f>HYPERLINK("#'SD3a'!A1", "SD3a")</f>
        <v>SD3a</v>
      </c>
      <c r="B56" s="6" t="s">
        <v>109</v>
      </c>
      <c r="C56" s="6" t="s">
        <v>110</v>
      </c>
    </row>
    <row r="57" spans="1:3">
      <c r="A57" s="5" t="str">
        <f>HYPERLINK("#'SD3b'!A1", "SD3b")</f>
        <v>SD3b</v>
      </c>
      <c r="B57" s="6" t="s">
        <v>111</v>
      </c>
      <c r="C57" s="6" t="s">
        <v>112</v>
      </c>
    </row>
    <row r="58" spans="1:3" ht="26.25">
      <c r="A58" s="5" t="str">
        <f>HYPERLINK("#'QB4a_1'!A1", "QB4a_1")</f>
        <v>QB4a_1</v>
      </c>
      <c r="B58" s="6" t="s">
        <v>113</v>
      </c>
      <c r="C58" s="6" t="s">
        <v>114</v>
      </c>
    </row>
    <row r="59" spans="1:3" ht="26.25">
      <c r="A59" s="5" t="str">
        <f>HYPERLINK("#'QB4a_2'!A1", "QB4a_2")</f>
        <v>QB4a_2</v>
      </c>
      <c r="B59" s="6" t="s">
        <v>115</v>
      </c>
      <c r="C59" s="6" t="s">
        <v>116</v>
      </c>
    </row>
    <row r="60" spans="1:3" ht="39">
      <c r="A60" s="5" t="str">
        <f>HYPERLINK("#'QB4a_3'!A1", "QB4a_3")</f>
        <v>QB4a_3</v>
      </c>
      <c r="B60" s="6" t="s">
        <v>117</v>
      </c>
      <c r="C60" s="6" t="s">
        <v>118</v>
      </c>
    </row>
    <row r="61" spans="1:3" ht="26.25">
      <c r="A61" s="5" t="str">
        <f>HYPERLINK("#'QB4b_1'!A1", "QB4b_1")</f>
        <v>QB4b_1</v>
      </c>
      <c r="B61" s="6" t="s">
        <v>119</v>
      </c>
      <c r="C61" s="6" t="s">
        <v>120</v>
      </c>
    </row>
    <row r="62" spans="1:3" ht="39">
      <c r="A62" s="5" t="str">
        <f>HYPERLINK("#'QB4b_2'!A1", "QB4b_2")</f>
        <v>QB4b_2</v>
      </c>
      <c r="B62" s="6" t="s">
        <v>121</v>
      </c>
      <c r="C62" s="6" t="s">
        <v>122</v>
      </c>
    </row>
    <row r="63" spans="1:3" ht="39">
      <c r="A63" s="5" t="str">
        <f>HYPERLINK("#'QB4T_1'!A1", "QB4T_1")</f>
        <v>QB4T_1</v>
      </c>
      <c r="B63" s="6" t="s">
        <v>123</v>
      </c>
      <c r="C63" s="6" t="s">
        <v>124</v>
      </c>
    </row>
    <row r="64" spans="1:3" ht="39">
      <c r="A64" s="5" t="str">
        <f>HYPERLINK("#'QB4T_2'!A1", "QB4T_2")</f>
        <v>QB4T_2</v>
      </c>
      <c r="B64" s="6" t="s">
        <v>125</v>
      </c>
      <c r="C64" s="6" t="s">
        <v>126</v>
      </c>
    </row>
    <row r="65" spans="1:3" ht="39">
      <c r="A65" s="5" t="str">
        <f>HYPERLINK("#'QB5_1'!A1", "QB5_1")</f>
        <v>QB5_1</v>
      </c>
      <c r="B65" s="6" t="s">
        <v>127</v>
      </c>
      <c r="C65" s="6" t="s">
        <v>128</v>
      </c>
    </row>
    <row r="66" spans="1:3" ht="39">
      <c r="A66" s="5" t="str">
        <f>HYPERLINK("#'QB5_2'!A1", "QB5_2")</f>
        <v>QB5_2</v>
      </c>
      <c r="B66" s="6" t="s">
        <v>129</v>
      </c>
      <c r="C66" s="6" t="s">
        <v>130</v>
      </c>
    </row>
    <row r="67" spans="1:3" ht="26.25">
      <c r="A67" s="5" t="str">
        <f>HYPERLINK("#'QB6_1'!A1", "QB6_1")</f>
        <v>QB6_1</v>
      </c>
      <c r="B67" s="6" t="s">
        <v>131</v>
      </c>
      <c r="C67" s="6" t="s">
        <v>132</v>
      </c>
    </row>
    <row r="68" spans="1:3" ht="39">
      <c r="A68" s="5" t="str">
        <f>HYPERLINK("#'QB6_2'!A1", "QB6_2")</f>
        <v>QB6_2</v>
      </c>
      <c r="B68" s="6" t="s">
        <v>133</v>
      </c>
      <c r="C68" s="6" t="s">
        <v>134</v>
      </c>
    </row>
    <row r="69" spans="1:3" ht="26.25">
      <c r="A69" s="5" t="str">
        <f>HYPERLINK("#'QB7a'!A1", "QB7a")</f>
        <v>QB7a</v>
      </c>
      <c r="B69" s="6" t="s">
        <v>135</v>
      </c>
      <c r="C69" s="6" t="s">
        <v>136</v>
      </c>
    </row>
    <row r="70" spans="1:3">
      <c r="A70" s="5" t="str">
        <f>HYPERLINK("#'QB7b'!A1", "QB7b")</f>
        <v>QB7b</v>
      </c>
      <c r="B70" s="6" t="s">
        <v>137</v>
      </c>
      <c r="C70" s="6" t="s">
        <v>138</v>
      </c>
    </row>
    <row r="71" spans="1:3" ht="26.25">
      <c r="A71" s="5" t="str">
        <f>HYPERLINK("#'QB7c'!A1", "QB7c")</f>
        <v>QB7c</v>
      </c>
      <c r="B71" s="6" t="s">
        <v>139</v>
      </c>
      <c r="C71" s="6" t="s">
        <v>140</v>
      </c>
    </row>
    <row r="72" spans="1:3" ht="26.25">
      <c r="A72" s="5" t="str">
        <f>HYPERLINK("#'QB7bc'!A1", "QB7bc")</f>
        <v>QB7bc</v>
      </c>
      <c r="B72" s="6" t="s">
        <v>141</v>
      </c>
      <c r="C72" s="6" t="s">
        <v>142</v>
      </c>
    </row>
    <row r="73" spans="1:3" ht="26.25">
      <c r="A73" s="5" t="str">
        <f>HYPERLINK("#'QB7d'!A1", "QB7d")</f>
        <v>QB7d</v>
      </c>
      <c r="B73" s="6" t="s">
        <v>143</v>
      </c>
      <c r="C73" s="6" t="s">
        <v>144</v>
      </c>
    </row>
    <row r="74" spans="1:3" ht="26.25">
      <c r="A74" s="5" t="str">
        <f>HYPERLINK("#'QB7e'!A1", "QB7e")</f>
        <v>QB7e</v>
      </c>
      <c r="B74" s="6" t="s">
        <v>145</v>
      </c>
      <c r="C74" s="6" t="s">
        <v>146</v>
      </c>
    </row>
    <row r="75" spans="1:3" ht="26.25">
      <c r="A75" s="5" t="str">
        <f>HYPERLINK("#'QB7de'!A1", "QB7de")</f>
        <v>QB7de</v>
      </c>
      <c r="B75" s="6" t="s">
        <v>147</v>
      </c>
      <c r="C75" s="6" t="s">
        <v>148</v>
      </c>
    </row>
    <row r="76" spans="1:3" ht="51.75">
      <c r="A76" s="5" t="str">
        <f>HYPERLINK("#'QB8_1'!A1", "QB8_1")</f>
        <v>QB8_1</v>
      </c>
      <c r="B76" s="6" t="s">
        <v>149</v>
      </c>
      <c r="C76" s="6" t="s">
        <v>150</v>
      </c>
    </row>
    <row r="77" spans="1:3" ht="51.75">
      <c r="A77" s="5" t="str">
        <f>HYPERLINK("#'QB8_2'!A1", "QB8_2")</f>
        <v>QB8_2</v>
      </c>
      <c r="B77" s="6" t="s">
        <v>151</v>
      </c>
      <c r="C77" s="6" t="s">
        <v>152</v>
      </c>
    </row>
    <row r="78" spans="1:3" ht="51.75">
      <c r="A78" s="5" t="str">
        <f>HYPERLINK("#'QB8_3'!A1", "QB8_3")</f>
        <v>QB8_3</v>
      </c>
      <c r="B78" s="6" t="s">
        <v>153</v>
      </c>
      <c r="C78" s="6" t="s">
        <v>154</v>
      </c>
    </row>
    <row r="79" spans="1:3" ht="26.25">
      <c r="A79" s="5" t="str">
        <f>HYPERLINK("#'QB9_1'!A1", "QB9_1")</f>
        <v>QB9_1</v>
      </c>
      <c r="B79" s="6" t="s">
        <v>155</v>
      </c>
      <c r="C79" s="6" t="s">
        <v>156</v>
      </c>
    </row>
    <row r="80" spans="1:3" ht="26.25">
      <c r="A80" s="5" t="str">
        <f>HYPERLINK("#'QB9_2'!A1", "QB9_2")</f>
        <v>QB9_2</v>
      </c>
      <c r="B80" s="6" t="s">
        <v>157</v>
      </c>
      <c r="C80" s="6" t="s">
        <v>158</v>
      </c>
    </row>
    <row r="81" spans="1:3" ht="26.25">
      <c r="A81" s="5" t="str">
        <f>HYPERLINK("#'QB9_3'!A1", "QB9_3")</f>
        <v>QB9_3</v>
      </c>
      <c r="B81" s="6" t="s">
        <v>159</v>
      </c>
      <c r="C81" s="6" t="s">
        <v>160</v>
      </c>
    </row>
    <row r="82" spans="1:3" ht="26.25">
      <c r="A82" s="5" t="str">
        <f>HYPERLINK("#'QB9_4'!A1", "QB9_4")</f>
        <v>QB9_4</v>
      </c>
      <c r="B82" s="6" t="s">
        <v>161</v>
      </c>
      <c r="C82" s="6" t="s">
        <v>162</v>
      </c>
    </row>
    <row r="83" spans="1:3" ht="26.25">
      <c r="A83" s="5" t="str">
        <f>HYPERLINK("#'QB9_5'!A1", "QB9_5")</f>
        <v>QB9_5</v>
      </c>
      <c r="B83" s="6" t="s">
        <v>163</v>
      </c>
      <c r="C83" s="6" t="s">
        <v>164</v>
      </c>
    </row>
    <row r="84" spans="1:3" ht="39">
      <c r="A84" s="5" t="str">
        <f>HYPERLINK("#'QB10_1'!A1", "QB10_1")</f>
        <v>QB10_1</v>
      </c>
      <c r="B84" s="6" t="s">
        <v>165</v>
      </c>
      <c r="C84" s="6" t="s">
        <v>166</v>
      </c>
    </row>
    <row r="85" spans="1:3" ht="51.75">
      <c r="A85" s="5" t="str">
        <f>HYPERLINK("#'QB10_2'!A1", "QB10_2")</f>
        <v>QB10_2</v>
      </c>
      <c r="B85" s="6" t="s">
        <v>167</v>
      </c>
      <c r="C85" s="6" t="s">
        <v>168</v>
      </c>
    </row>
    <row r="86" spans="1:3" ht="39">
      <c r="A86" s="5" t="str">
        <f>HYPERLINK("#'QB10_3'!A1", "QB10_3")</f>
        <v>QB10_3</v>
      </c>
      <c r="B86" s="6" t="s">
        <v>169</v>
      </c>
      <c r="C86" s="6" t="s">
        <v>170</v>
      </c>
    </row>
    <row r="87" spans="1:3" ht="39">
      <c r="A87" s="5" t="str">
        <f>HYPERLINK("#'QB10_4'!A1", "QB10_4")</f>
        <v>QB10_4</v>
      </c>
      <c r="B87" s="6" t="s">
        <v>171</v>
      </c>
      <c r="C87" s="6" t="s">
        <v>172</v>
      </c>
    </row>
    <row r="88" spans="1:3" ht="39">
      <c r="A88" s="5" t="str">
        <f>HYPERLINK("#'QB10_5'!A1", "QB10_5")</f>
        <v>QB10_5</v>
      </c>
      <c r="B88" s="6" t="s">
        <v>173</v>
      </c>
      <c r="C88" s="6" t="s">
        <v>174</v>
      </c>
    </row>
    <row r="89" spans="1:3" ht="51.75">
      <c r="A89" s="5" t="str">
        <f>HYPERLINK("#'QB11_1'!A1", "QB11_1")</f>
        <v>QB11_1</v>
      </c>
      <c r="B89" s="6" t="s">
        <v>175</v>
      </c>
      <c r="C89" s="6" t="s">
        <v>176</v>
      </c>
    </row>
    <row r="90" spans="1:3" ht="39">
      <c r="A90" s="5" t="str">
        <f>HYPERLINK("#'QB11_2'!A1", "QB11_2")</f>
        <v>QB11_2</v>
      </c>
      <c r="B90" s="6" t="s">
        <v>177</v>
      </c>
      <c r="C90" s="6" t="s">
        <v>178</v>
      </c>
    </row>
    <row r="91" spans="1:3" ht="51.75">
      <c r="A91" s="5" t="str">
        <f>HYPERLINK("#'QB11_3'!A1", "QB11_3")</f>
        <v>QB11_3</v>
      </c>
      <c r="B91" s="6" t="s">
        <v>179</v>
      </c>
      <c r="C91" s="6" t="s">
        <v>180</v>
      </c>
    </row>
    <row r="92" spans="1:3">
      <c r="A92" s="5" t="str">
        <f>HYPERLINK("#'D43a'!A1", "D43a")</f>
        <v>D43a</v>
      </c>
      <c r="B92" s="6" t="s">
        <v>181</v>
      </c>
      <c r="C92" s="6" t="s">
        <v>182</v>
      </c>
    </row>
    <row r="93" spans="1:3">
      <c r="A93" s="5" t="str">
        <f>HYPERLINK("#'D43b'!A1", "D43b")</f>
        <v>D43b</v>
      </c>
      <c r="B93" s="6" t="s">
        <v>183</v>
      </c>
      <c r="C93" s="6" t="s">
        <v>184</v>
      </c>
    </row>
    <row r="94" spans="1:3">
      <c r="A94" s="5" t="str">
        <f>HYPERLINK("#'D43c'!A1", "D43c")</f>
        <v>D43c</v>
      </c>
      <c r="B94" s="6" t="s">
        <v>185</v>
      </c>
      <c r="C94" s="6" t="s">
        <v>186</v>
      </c>
    </row>
    <row r="95" spans="1:3">
      <c r="A95" s="5" t="str">
        <f>HYPERLINK("#'D43T'!A1", "D43T")</f>
        <v>D43T</v>
      </c>
      <c r="B95" s="6" t="s">
        <v>187</v>
      </c>
      <c r="C95" s="6" t="s">
        <v>188</v>
      </c>
    </row>
    <row r="96" spans="1:3">
      <c r="A96" s="5" t="str">
        <f>HYPERLINK("#'D62_1'!A1", "D62_1")</f>
        <v>D62_1</v>
      </c>
      <c r="B96" s="6" t="s">
        <v>189</v>
      </c>
      <c r="C96" s="6" t="s">
        <v>190</v>
      </c>
    </row>
    <row r="97" spans="1:3">
      <c r="A97" s="5" t="str">
        <f>HYPERLINK("#'D62_2'!A1", "D62_2")</f>
        <v>D62_2</v>
      </c>
      <c r="B97" s="6" t="s">
        <v>191</v>
      </c>
      <c r="C97" s="6" t="s">
        <v>192</v>
      </c>
    </row>
    <row r="98" spans="1:3" ht="26.25">
      <c r="A98" s="5" t="str">
        <f>HYPERLINK("#'D62_3'!A1", "D62_3")</f>
        <v>D62_3</v>
      </c>
      <c r="B98" s="6" t="s">
        <v>193</v>
      </c>
      <c r="C98" s="6" t="s">
        <v>194</v>
      </c>
    </row>
    <row r="99" spans="1:3">
      <c r="A99" s="5" t="str">
        <f>HYPERLINK("#'D62_4'!A1", "D62_4")</f>
        <v>D62_4</v>
      </c>
      <c r="B99" s="6" t="s">
        <v>195</v>
      </c>
      <c r="C99" s="6" t="s">
        <v>196</v>
      </c>
    </row>
    <row r="100" spans="1:3">
      <c r="A100" s="5" t="str">
        <f>HYPERLINK("#'D62R'!A1", "D62R")</f>
        <v>D62R</v>
      </c>
      <c r="B100" s="6" t="s">
        <v>197</v>
      </c>
      <c r="C100" s="6" t="s">
        <v>198</v>
      </c>
    </row>
    <row r="101" spans="1:3" ht="26.25">
      <c r="A101" s="5" t="str">
        <f>HYPERLINK("#'QC1'!A1", "QC1")</f>
        <v>QC1</v>
      </c>
      <c r="B101" s="6" t="s">
        <v>199</v>
      </c>
      <c r="C101" s="6" t="s">
        <v>200</v>
      </c>
    </row>
    <row r="102" spans="1:3" ht="26.25">
      <c r="A102" s="5" t="str">
        <f>HYPERLINK("#'QC1T1'!A1", "QC1T1")</f>
        <v>QC1T1</v>
      </c>
      <c r="B102" s="6" t="s">
        <v>201</v>
      </c>
      <c r="C102" s="6" t="s">
        <v>202</v>
      </c>
    </row>
    <row r="103" spans="1:3">
      <c r="A103" s="5" t="str">
        <f>HYPERLINK("#'QC1T2'!A1", "QC1T2")</f>
        <v>QC1T2</v>
      </c>
      <c r="B103" s="6" t="s">
        <v>203</v>
      </c>
      <c r="C103" s="6" t="s">
        <v>204</v>
      </c>
    </row>
    <row r="104" spans="1:3">
      <c r="A104" s="5" t="str">
        <f>HYPERLINK("#'QC1T3'!A1", "QC1T3")</f>
        <v>QC1T3</v>
      </c>
      <c r="B104" s="6" t="s">
        <v>205</v>
      </c>
      <c r="C104" s="6" t="s">
        <v>206</v>
      </c>
    </row>
    <row r="105" spans="1:3">
      <c r="A105" s="5" t="str">
        <f>HYPERLINK("#'QC1T4'!A1", "QC1T4")</f>
        <v>QC1T4</v>
      </c>
      <c r="B105" s="6" t="s">
        <v>207</v>
      </c>
      <c r="C105" s="6" t="s">
        <v>208</v>
      </c>
    </row>
    <row r="106" spans="1:3">
      <c r="A106" s="5" t="str">
        <f>HYPERLINK("#'QC1T5'!A1", "QC1T5")</f>
        <v>QC1T5</v>
      </c>
      <c r="B106" s="6" t="s">
        <v>209</v>
      </c>
      <c r="C106" s="6" t="s">
        <v>210</v>
      </c>
    </row>
    <row r="107" spans="1:3">
      <c r="A107" s="5" t="str">
        <f>HYPERLINK("#'QC2'!A1", "QC2")</f>
        <v>QC2</v>
      </c>
      <c r="B107" s="6" t="s">
        <v>211</v>
      </c>
      <c r="C107" s="6" t="s">
        <v>212</v>
      </c>
    </row>
    <row r="108" spans="1:3" ht="26.25">
      <c r="A108" s="5" t="str">
        <f>HYPERLINK("#'QC3'!A1", "QC3")</f>
        <v>QC3</v>
      </c>
      <c r="B108" s="6" t="s">
        <v>213</v>
      </c>
      <c r="C108" s="6" t="s">
        <v>214</v>
      </c>
    </row>
    <row r="109" spans="1:3" ht="26.25">
      <c r="A109" s="5" t="str">
        <f>HYPERLINK("#'QC4_1'!A1", "QC4_1")</f>
        <v>QC4_1</v>
      </c>
      <c r="B109" s="6" t="s">
        <v>215</v>
      </c>
      <c r="C109" s="6" t="s">
        <v>216</v>
      </c>
    </row>
    <row r="110" spans="1:3" ht="26.25">
      <c r="A110" s="5" t="str">
        <f>HYPERLINK("#'QC4_2'!A1", "QC4_2")</f>
        <v>QC4_2</v>
      </c>
      <c r="B110" s="6" t="s">
        <v>217</v>
      </c>
      <c r="C110" s="6" t="s">
        <v>218</v>
      </c>
    </row>
    <row r="111" spans="1:3" ht="26.25">
      <c r="A111" s="5" t="str">
        <f>HYPERLINK("#'QC5'!A1", "QC5")</f>
        <v>QC5</v>
      </c>
      <c r="B111" s="6" t="s">
        <v>219</v>
      </c>
      <c r="C111" s="6" t="s">
        <v>220</v>
      </c>
    </row>
    <row r="112" spans="1:3" ht="26.25">
      <c r="A112" s="5" t="str">
        <f>HYPERLINK("#'QC6'!A1", "QC6")</f>
        <v>QC6</v>
      </c>
      <c r="B112" s="6" t="s">
        <v>221</v>
      </c>
      <c r="C112" s="6" t="s">
        <v>222</v>
      </c>
    </row>
    <row r="113" spans="1:3" ht="26.25">
      <c r="A113" s="5" t="str">
        <f>HYPERLINK("#'QC7_1'!A1", "QC7_1")</f>
        <v>QC7_1</v>
      </c>
      <c r="B113" s="6" t="s">
        <v>223</v>
      </c>
      <c r="C113" s="6" t="s">
        <v>224</v>
      </c>
    </row>
    <row r="114" spans="1:3" ht="39">
      <c r="A114" s="5" t="str">
        <f>HYPERLINK("#'QC7_2'!A1", "QC7_2")</f>
        <v>QC7_2</v>
      </c>
      <c r="B114" s="6" t="s">
        <v>225</v>
      </c>
      <c r="C114" s="6" t="s">
        <v>226</v>
      </c>
    </row>
    <row r="115" spans="1:3" ht="26.25">
      <c r="A115" s="5" t="str">
        <f>HYPERLINK("#'QC8_1'!A1", "QC8_1")</f>
        <v>QC8_1</v>
      </c>
      <c r="B115" s="6" t="s">
        <v>227</v>
      </c>
      <c r="C115" s="6" t="s">
        <v>228</v>
      </c>
    </row>
    <row r="116" spans="1:3" ht="26.25">
      <c r="A116" s="5" t="str">
        <f>HYPERLINK("#'QC8_2'!A1", "QC8_2")</f>
        <v>QC8_2</v>
      </c>
      <c r="B116" s="6" t="s">
        <v>229</v>
      </c>
      <c r="C116" s="6" t="s">
        <v>230</v>
      </c>
    </row>
    <row r="117" spans="1:3" ht="39">
      <c r="A117" s="5" t="str">
        <f>HYPERLINK("#'QC8_3'!A1", "QC8_3")</f>
        <v>QC8_3</v>
      </c>
      <c r="B117" s="6" t="s">
        <v>231</v>
      </c>
      <c r="C117" s="6" t="s">
        <v>232</v>
      </c>
    </row>
    <row r="118" spans="1:3" ht="39">
      <c r="A118" s="5" t="str">
        <f>HYPERLINK("#'QC8_4'!A1", "QC8_4")</f>
        <v>QC8_4</v>
      </c>
      <c r="B118" s="6" t="s">
        <v>233</v>
      </c>
      <c r="C118" s="6" t="s">
        <v>234</v>
      </c>
    </row>
    <row r="119" spans="1:3" ht="26.25">
      <c r="A119" s="5" t="str">
        <f>HYPERLINK("#'QC8_5'!A1", "QC8_5")</f>
        <v>QC8_5</v>
      </c>
      <c r="B119" s="6" t="s">
        <v>235</v>
      </c>
      <c r="C119" s="6" t="s">
        <v>236</v>
      </c>
    </row>
    <row r="120" spans="1:3" ht="26.25">
      <c r="A120" s="5" t="str">
        <f>HYPERLINK("#'QC8_6'!A1", "QC8_6")</f>
        <v>QC8_6</v>
      </c>
      <c r="B120" s="6" t="s">
        <v>237</v>
      </c>
      <c r="C120" s="6" t="s">
        <v>238</v>
      </c>
    </row>
    <row r="121" spans="1:3">
      <c r="A121" s="5" t="str">
        <f>HYPERLINK("#'QC8T1'!A1", "QC8T1")</f>
        <v>QC8T1</v>
      </c>
      <c r="B121" s="6" t="s">
        <v>239</v>
      </c>
      <c r="C121" s="6" t="s">
        <v>240</v>
      </c>
    </row>
    <row r="122" spans="1:3">
      <c r="A122" s="5" t="str">
        <f>HYPERLINK("#'QC8T2'!A1", "QC8T2")</f>
        <v>QC8T2</v>
      </c>
      <c r="B122" s="6" t="s">
        <v>241</v>
      </c>
      <c r="C122" s="6" t="s">
        <v>242</v>
      </c>
    </row>
    <row r="123" spans="1:3">
      <c r="A123" s="5" t="str">
        <f>HYPERLINK("#'QC8T3'!A1", "QC8T3")</f>
        <v>QC8T3</v>
      </c>
      <c r="B123" s="6" t="s">
        <v>243</v>
      </c>
      <c r="C123" s="6" t="s">
        <v>244</v>
      </c>
    </row>
    <row r="124" spans="1:3">
      <c r="A124" s="5" t="str">
        <f>HYPERLINK("#'QC8T4'!A1", "QC8T4")</f>
        <v>QC8T4</v>
      </c>
      <c r="B124" s="6" t="s">
        <v>245</v>
      </c>
      <c r="C124" s="6" t="s">
        <v>246</v>
      </c>
    </row>
    <row r="125" spans="1:3">
      <c r="A125" s="5" t="str">
        <f>HYPERLINK("#'QC8T5'!A1", "QC8T5")</f>
        <v>QC8T5</v>
      </c>
      <c r="B125" s="6" t="s">
        <v>247</v>
      </c>
      <c r="C125" s="6" t="s">
        <v>248</v>
      </c>
    </row>
    <row r="126" spans="1:3" ht="26.25">
      <c r="A126" s="5" t="str">
        <f>HYPERLINK("#'QC9_1'!A1", "QC9_1")</f>
        <v>QC9_1</v>
      </c>
      <c r="B126" s="6" t="s">
        <v>249</v>
      </c>
      <c r="C126" s="6" t="s">
        <v>250</v>
      </c>
    </row>
    <row r="127" spans="1:3" ht="26.25">
      <c r="A127" s="5" t="str">
        <f>HYPERLINK("#'QC9_2'!A1", "QC9_2")</f>
        <v>QC9_2</v>
      </c>
      <c r="B127" s="6" t="s">
        <v>251</v>
      </c>
      <c r="C127" s="6" t="s">
        <v>252</v>
      </c>
    </row>
    <row r="128" spans="1:3" ht="26.25">
      <c r="A128" s="5" t="str">
        <f>HYPERLINK("#'QC9_3'!A1", "QC9_3")</f>
        <v>QC9_3</v>
      </c>
      <c r="B128" s="6" t="s">
        <v>253</v>
      </c>
      <c r="C128" s="6" t="s">
        <v>254</v>
      </c>
    </row>
    <row r="129" spans="1:3" ht="26.25">
      <c r="A129" s="5" t="str">
        <f>HYPERLINK("#'QC9_4'!A1", "QC9_4")</f>
        <v>QC9_4</v>
      </c>
      <c r="B129" s="6" t="s">
        <v>255</v>
      </c>
      <c r="C129" s="6" t="s">
        <v>256</v>
      </c>
    </row>
    <row r="130" spans="1:3" ht="26.25">
      <c r="A130" s="5" t="str">
        <f>HYPERLINK("#'QC9_5'!A1", "QC9_5")</f>
        <v>QC9_5</v>
      </c>
      <c r="B130" s="6" t="s">
        <v>257</v>
      </c>
      <c r="C130" s="6" t="s">
        <v>258</v>
      </c>
    </row>
    <row r="131" spans="1:3" ht="26.25">
      <c r="A131" s="5" t="str">
        <f>HYPERLINK("#'QC10_1'!A1", "QC10_1")</f>
        <v>QC10_1</v>
      </c>
      <c r="B131" s="6" t="s">
        <v>259</v>
      </c>
      <c r="C131" s="6" t="s">
        <v>260</v>
      </c>
    </row>
    <row r="132" spans="1:3" ht="26.25">
      <c r="A132" s="5" t="str">
        <f>HYPERLINK("#'QC10_2'!A1", "QC10_2")</f>
        <v>QC10_2</v>
      </c>
      <c r="B132" s="6" t="s">
        <v>261</v>
      </c>
      <c r="C132" s="6" t="s">
        <v>262</v>
      </c>
    </row>
    <row r="133" spans="1:3" ht="26.25">
      <c r="A133" s="5" t="str">
        <f>HYPERLINK("#'QC11'!A1", "QC11")</f>
        <v>QC11</v>
      </c>
      <c r="B133" s="6" t="s">
        <v>263</v>
      </c>
      <c r="C133" s="6" t="s">
        <v>264</v>
      </c>
    </row>
    <row r="134" spans="1:3" ht="26.25">
      <c r="A134" s="5" t="str">
        <f>HYPERLINK("#'QC12'!A1", "QC12")</f>
        <v>QC12</v>
      </c>
      <c r="B134" s="6" t="s">
        <v>265</v>
      </c>
      <c r="C134" s="6" t="s">
        <v>266</v>
      </c>
    </row>
    <row r="135" spans="1:3" ht="26.25">
      <c r="A135" s="5" t="str">
        <f>HYPERLINK("#'QC12T'!A1", "QC12T")</f>
        <v>QC12T</v>
      </c>
      <c r="B135" s="6" t="s">
        <v>267</v>
      </c>
      <c r="C135" s="6" t="s">
        <v>268</v>
      </c>
    </row>
    <row r="136" spans="1:3" ht="51.75">
      <c r="A136" s="5" t="str">
        <f>HYPERLINK("#'QC13_1'!A1", "QC13_1")</f>
        <v>QC13_1</v>
      </c>
      <c r="B136" s="6" t="s">
        <v>269</v>
      </c>
      <c r="C136" s="6" t="s">
        <v>270</v>
      </c>
    </row>
    <row r="137" spans="1:3" ht="39">
      <c r="A137" s="5" t="str">
        <f>HYPERLINK("#'QC13_2'!A1", "QC13_2")</f>
        <v>QC13_2</v>
      </c>
      <c r="B137" s="6" t="s">
        <v>271</v>
      </c>
      <c r="C137" s="6" t="s">
        <v>272</v>
      </c>
    </row>
    <row r="138" spans="1:3" ht="51.75">
      <c r="A138" s="5" t="str">
        <f>HYPERLINK("#'QC13_3'!A1", "QC13_3")</f>
        <v>QC13_3</v>
      </c>
      <c r="B138" s="6" t="s">
        <v>273</v>
      </c>
      <c r="C138" s="6" t="s">
        <v>274</v>
      </c>
    </row>
    <row r="139" spans="1:3" ht="51.75">
      <c r="A139" s="5" t="str">
        <f>HYPERLINK("#'QC13_4'!A1", "QC13_4")</f>
        <v>QC13_4</v>
      </c>
      <c r="B139" s="6" t="s">
        <v>275</v>
      </c>
      <c r="C139" s="6" t="s">
        <v>276</v>
      </c>
    </row>
    <row r="140" spans="1:3" ht="51.75">
      <c r="A140" s="5" t="str">
        <f>HYPERLINK("#'QC13_5'!A1", "QC13_5")</f>
        <v>QC13_5</v>
      </c>
      <c r="B140" s="6" t="s">
        <v>277</v>
      </c>
      <c r="C140" s="6" t="s">
        <v>278</v>
      </c>
    </row>
    <row r="141" spans="1:3" ht="64.5">
      <c r="A141" s="5" t="str">
        <f>HYPERLINK("#'QC14_1'!A1", "QC14_1")</f>
        <v>QC14_1</v>
      </c>
      <c r="B141" s="6" t="s">
        <v>279</v>
      </c>
      <c r="C141" s="6" t="s">
        <v>280</v>
      </c>
    </row>
    <row r="142" spans="1:3" ht="64.5">
      <c r="A142" s="5" t="str">
        <f>HYPERLINK("#'QC14_2'!A1", "QC14_2")</f>
        <v>QC14_2</v>
      </c>
      <c r="B142" s="6" t="s">
        <v>281</v>
      </c>
      <c r="C142" s="6" t="s">
        <v>282</v>
      </c>
    </row>
    <row r="143" spans="1:3" ht="64.5">
      <c r="A143" s="5" t="str">
        <f>HYPERLINK("#'QC14_3'!A1", "QC14_3")</f>
        <v>QC14_3</v>
      </c>
      <c r="B143" s="6" t="s">
        <v>283</v>
      </c>
      <c r="C143" s="6" t="s">
        <v>284</v>
      </c>
    </row>
    <row r="144" spans="1:3" ht="90">
      <c r="A144" s="5" t="str">
        <f>HYPERLINK("#'QC14_4'!A1", "QC14_4")</f>
        <v>QC14_4</v>
      </c>
      <c r="B144" s="6" t="s">
        <v>285</v>
      </c>
      <c r="C144" s="6" t="s">
        <v>286</v>
      </c>
    </row>
    <row r="145" spans="1:3" ht="64.5">
      <c r="A145" s="5" t="str">
        <f>HYPERLINK("#'QC14_5'!A1", "QC14_5")</f>
        <v>QC14_5</v>
      </c>
      <c r="B145" s="6" t="s">
        <v>287</v>
      </c>
      <c r="C145" s="6" t="s">
        <v>288</v>
      </c>
    </row>
    <row r="146" spans="1:3" ht="64.5">
      <c r="A146" s="5" t="str">
        <f>HYPERLINK("#'QC14_6'!A1", "QC14_6")</f>
        <v>QC14_6</v>
      </c>
      <c r="B146" s="6" t="s">
        <v>289</v>
      </c>
      <c r="C146" s="6" t="s">
        <v>290</v>
      </c>
    </row>
    <row r="147" spans="1:3" ht="64.5">
      <c r="A147" s="5" t="str">
        <f>HYPERLINK("#'QC14NET_1'!A1", "QC14NET_1")</f>
        <v>QC14NET_1</v>
      </c>
      <c r="B147" s="6" t="s">
        <v>291</v>
      </c>
      <c r="C147" s="6" t="s">
        <v>292</v>
      </c>
    </row>
    <row r="148" spans="1:3" ht="64.5">
      <c r="A148" s="5" t="str">
        <f>HYPERLINK("#'QC14NET_2'!A1", "QC14NET_2")</f>
        <v>QC14NET_2</v>
      </c>
      <c r="B148" s="6" t="s">
        <v>293</v>
      </c>
      <c r="C148" s="6" t="s">
        <v>294</v>
      </c>
    </row>
    <row r="149" spans="1:3" ht="64.5">
      <c r="A149" s="5" t="str">
        <f>HYPERLINK("#'QC14NET_3'!A1", "QC14NET_3")</f>
        <v>QC14NET_3</v>
      </c>
      <c r="B149" s="6" t="s">
        <v>295</v>
      </c>
      <c r="C149" s="6" t="s">
        <v>296</v>
      </c>
    </row>
    <row r="150" spans="1:3" ht="90">
      <c r="A150" s="5" t="str">
        <f>HYPERLINK("#'QC14NET_4'!A1", "QC14NET_4")</f>
        <v>QC14NET_4</v>
      </c>
      <c r="B150" s="6" t="s">
        <v>297</v>
      </c>
      <c r="C150" s="6" t="s">
        <v>298</v>
      </c>
    </row>
    <row r="151" spans="1:3" ht="64.5">
      <c r="A151" s="5" t="str">
        <f>HYPERLINK("#'QC14NET_5'!A1", "QC14NET_5")</f>
        <v>QC14NET_5</v>
      </c>
      <c r="B151" s="6" t="s">
        <v>299</v>
      </c>
      <c r="C151" s="6" t="s">
        <v>300</v>
      </c>
    </row>
    <row r="152" spans="1:3" ht="64.5">
      <c r="A152" s="5" t="str">
        <f>HYPERLINK("#'QC14NET_6'!A1", "QC14NET_6")</f>
        <v>QC14NET_6</v>
      </c>
      <c r="B152" s="6" t="s">
        <v>301</v>
      </c>
      <c r="C152" s="6" t="s">
        <v>302</v>
      </c>
    </row>
    <row r="153" spans="1:3" ht="26.25">
      <c r="A153" s="5" t="str">
        <f>HYPERLINK("#'QD4_1'!A1", "QD4_1")</f>
        <v>QD4_1</v>
      </c>
      <c r="B153" s="6" t="s">
        <v>303</v>
      </c>
      <c r="C153" s="6" t="s">
        <v>304</v>
      </c>
    </row>
    <row r="154" spans="1:3" ht="26.25">
      <c r="A154" s="5" t="str">
        <f>HYPERLINK("#'QD4_2'!A1", "QD4_2")</f>
        <v>QD4_2</v>
      </c>
      <c r="B154" s="6" t="s">
        <v>305</v>
      </c>
      <c r="C154" s="6" t="s">
        <v>306</v>
      </c>
    </row>
    <row r="155" spans="1:3" ht="26.25">
      <c r="A155" s="5" t="str">
        <f>HYPERLINK("#'QD4_3'!A1", "QD4_3")</f>
        <v>QD4_3</v>
      </c>
      <c r="B155" s="6" t="s">
        <v>307</v>
      </c>
      <c r="C155" s="6" t="s">
        <v>308</v>
      </c>
    </row>
    <row r="156" spans="1:3">
      <c r="A156" s="5" t="str">
        <f>HYPERLINK("#'QD4T'!A1", "QD4T")</f>
        <v>QD4T</v>
      </c>
      <c r="B156" s="6" t="s">
        <v>309</v>
      </c>
      <c r="C156" s="6" t="s">
        <v>310</v>
      </c>
    </row>
    <row r="157" spans="1:3">
      <c r="A157" s="5" t="str">
        <f>HYPERLINK("#'QD5'!A1", "QD5")</f>
        <v>QD5</v>
      </c>
      <c r="B157" s="6" t="s">
        <v>311</v>
      </c>
      <c r="C157" s="6" t="s">
        <v>312</v>
      </c>
    </row>
    <row r="158" spans="1:3">
      <c r="A158" s="5" t="str">
        <f>HYPERLINK("#'QD6'!A1", "QD6")</f>
        <v>QD6</v>
      </c>
      <c r="B158" s="6" t="s">
        <v>313</v>
      </c>
      <c r="C158" s="6" t="s">
        <v>314</v>
      </c>
    </row>
    <row r="159" spans="1:3" ht="26.25">
      <c r="A159" s="5" t="str">
        <f>HYPERLINK("#'QD7'!A1", "QD7")</f>
        <v>QD7</v>
      </c>
      <c r="B159" s="6" t="s">
        <v>315</v>
      </c>
      <c r="C159" s="6" t="s">
        <v>316</v>
      </c>
    </row>
    <row r="160" spans="1:3">
      <c r="A160" s="5" t="str">
        <f>HYPERLINK("#'QD8'!A1", "QD8")</f>
        <v>QD8</v>
      </c>
      <c r="B160" s="6" t="s">
        <v>317</v>
      </c>
      <c r="C160" s="6" t="s">
        <v>318</v>
      </c>
    </row>
    <row r="161" spans="1:3" ht="26.25">
      <c r="A161" s="5" t="str">
        <f>HYPERLINK("#'QD9a'!A1", "QD9a")</f>
        <v>QD9a</v>
      </c>
      <c r="B161" s="6" t="s">
        <v>319</v>
      </c>
      <c r="C161" s="6" t="s">
        <v>320</v>
      </c>
    </row>
    <row r="162" spans="1:3" ht="39">
      <c r="A162" s="5" t="str">
        <f>HYPERLINK("#'QD9b'!A1", "QD9b")</f>
        <v>QD9b</v>
      </c>
      <c r="B162" s="6" t="s">
        <v>321</v>
      </c>
      <c r="C162" s="6" t="s">
        <v>322</v>
      </c>
    </row>
    <row r="163" spans="1:3" ht="26.25">
      <c r="A163" s="5" t="str">
        <f>HYPERLINK("#'QD9c1'!A1", "QD9c1")</f>
        <v>QD9c1</v>
      </c>
      <c r="B163" s="6" t="s">
        <v>323</v>
      </c>
      <c r="C163" s="6" t="s">
        <v>324</v>
      </c>
    </row>
    <row r="164" spans="1:3" ht="26.25">
      <c r="A164" s="5" t="str">
        <f>HYPERLINK("#'QD9c2'!A1", "QD9c2")</f>
        <v>QD9c2</v>
      </c>
      <c r="B164" s="6" t="s">
        <v>325</v>
      </c>
      <c r="C164" s="6" t="s">
        <v>326</v>
      </c>
    </row>
    <row r="165" spans="1:3" ht="26.25">
      <c r="A165" s="5" t="str">
        <f>HYPERLINK("#'QD9c3'!A1", "QD9c3")</f>
        <v>QD9c3</v>
      </c>
      <c r="B165" s="6" t="s">
        <v>327</v>
      </c>
      <c r="C165" s="6" t="s">
        <v>328</v>
      </c>
    </row>
    <row r="166" spans="1:3" ht="26.25">
      <c r="A166" s="5" t="str">
        <f>HYPERLINK("#'QD9c4'!A1", "QD9c4")</f>
        <v>QD9c4</v>
      </c>
      <c r="B166" s="6" t="s">
        <v>329</v>
      </c>
      <c r="C166" s="6" t="s">
        <v>330</v>
      </c>
    </row>
    <row r="167" spans="1:3" ht="26.25">
      <c r="A167" s="5" t="str">
        <f>HYPERLINK("#'QD9c5'!A1", "QD9c5")</f>
        <v>QD9c5</v>
      </c>
      <c r="B167" s="6" t="s">
        <v>331</v>
      </c>
      <c r="C167" s="6" t="s">
        <v>332</v>
      </c>
    </row>
    <row r="168" spans="1:3" ht="26.25">
      <c r="A168" s="5" t="str">
        <f>HYPERLINK("#'QD9c6'!A1", "QD9c6")</f>
        <v>QD9c6</v>
      </c>
      <c r="B168" s="6" t="s">
        <v>333</v>
      </c>
      <c r="C168" s="6" t="s">
        <v>334</v>
      </c>
    </row>
    <row r="169" spans="1:3" ht="26.25">
      <c r="A169" s="5" t="str">
        <f>HYPERLINK("#'QD9c7'!A1", "QD9c7")</f>
        <v>QD9c7</v>
      </c>
      <c r="B169" s="6" t="s">
        <v>335</v>
      </c>
      <c r="C169" s="6" t="s">
        <v>336</v>
      </c>
    </row>
    <row r="170" spans="1:3" ht="26.25">
      <c r="A170" s="5" t="str">
        <f>HYPERLINK("#'QD9c8'!A1", "QD9c8")</f>
        <v>QD9c8</v>
      </c>
      <c r="B170" s="6" t="s">
        <v>337</v>
      </c>
      <c r="C170" s="6" t="s">
        <v>338</v>
      </c>
    </row>
    <row r="171" spans="1:3" ht="26.25">
      <c r="A171" s="5" t="str">
        <f>HYPERLINK("#'QD9c9'!A1", "QD9c9")</f>
        <v>QD9c9</v>
      </c>
      <c r="B171" s="6" t="s">
        <v>339</v>
      </c>
      <c r="C171" s="6" t="s">
        <v>340</v>
      </c>
    </row>
    <row r="172" spans="1:3" ht="26.25">
      <c r="A172" s="5" t="str">
        <f>HYPERLINK("#'QD9c10'!A1", "QD9c10")</f>
        <v>QD9c10</v>
      </c>
      <c r="B172" s="6" t="s">
        <v>341</v>
      </c>
      <c r="C172" s="6" t="s">
        <v>342</v>
      </c>
    </row>
    <row r="173" spans="1:3" ht="26.25">
      <c r="A173" s="5" t="str">
        <f>HYPERLINK("#'QD9c11'!A1", "QD9c11")</f>
        <v>QD9c11</v>
      </c>
      <c r="B173" s="6" t="s">
        <v>343</v>
      </c>
      <c r="C173" s="6" t="s">
        <v>344</v>
      </c>
    </row>
    <row r="174" spans="1:3" ht="26.25">
      <c r="A174" s="5" t="str">
        <f>HYPERLINK("#'QD9c12'!A1", "QD9c12")</f>
        <v>QD9c12</v>
      </c>
      <c r="B174" s="6" t="s">
        <v>345</v>
      </c>
      <c r="C174" s="6" t="s">
        <v>346</v>
      </c>
    </row>
    <row r="175" spans="1:3" ht="39">
      <c r="A175" s="5" t="str">
        <f>HYPERLINK("#'QD9c13'!A1", "QD9c13")</f>
        <v>QD9c13</v>
      </c>
      <c r="B175" s="6" t="s">
        <v>347</v>
      </c>
      <c r="C175" s="6" t="s">
        <v>348</v>
      </c>
    </row>
    <row r="176" spans="1:3" ht="26.25">
      <c r="A176" s="5" t="str">
        <f>HYPERLINK("#'QD9c14'!A1", "QD9c14")</f>
        <v>QD9c14</v>
      </c>
      <c r="B176" s="6" t="s">
        <v>349</v>
      </c>
      <c r="C176" s="6" t="s">
        <v>350</v>
      </c>
    </row>
    <row r="177" spans="1:3" ht="26.25">
      <c r="A177" s="5" t="str">
        <f>HYPERLINK("#'QD9c15'!A1", "QD9c15")</f>
        <v>QD9c15</v>
      </c>
      <c r="B177" s="6" t="s">
        <v>351</v>
      </c>
      <c r="C177" s="6" t="s">
        <v>352</v>
      </c>
    </row>
    <row r="178" spans="1:3">
      <c r="A178" s="5" t="str">
        <f>HYPERLINK("#'QD10'!A1", "QD10")</f>
        <v>QD10</v>
      </c>
      <c r="B178" s="6" t="s">
        <v>353</v>
      </c>
      <c r="C178" s="6" t="s">
        <v>354</v>
      </c>
    </row>
    <row r="179" spans="1:3" ht="26.25">
      <c r="A179" s="5" t="str">
        <f>HYPERLINK("#'QD11'!A1", "QD11")</f>
        <v>QD11</v>
      </c>
      <c r="B179" s="6" t="s">
        <v>355</v>
      </c>
      <c r="C179" s="6" t="s">
        <v>356</v>
      </c>
    </row>
    <row r="180" spans="1:3" ht="26.25">
      <c r="A180" s="5" t="str">
        <f>HYPERLINK("#'QD12a'!A1", "QD12a")</f>
        <v>QD12a</v>
      </c>
      <c r="B180" s="6" t="s">
        <v>357</v>
      </c>
      <c r="C180" s="6" t="s">
        <v>358</v>
      </c>
    </row>
    <row r="181" spans="1:3" ht="26.25">
      <c r="A181" s="5" t="str">
        <f>HYPERLINK("#'QD12b'!A1", "QD12b")</f>
        <v>QD12b</v>
      </c>
      <c r="B181" s="6" t="s">
        <v>359</v>
      </c>
      <c r="C181" s="6" t="s">
        <v>360</v>
      </c>
    </row>
    <row r="182" spans="1:3" ht="26.25">
      <c r="A182" s="5" t="str">
        <f>HYPERLINK("#'QD12c'!A1", "QD12c")</f>
        <v>QD12c</v>
      </c>
      <c r="B182" s="6" t="s">
        <v>361</v>
      </c>
      <c r="C182" s="6" t="s">
        <v>362</v>
      </c>
    </row>
    <row r="183" spans="1:3">
      <c r="A183" s="5" t="str">
        <f>HYPERLINK("#'QD13'!A1", "QD13")</f>
        <v>QD13</v>
      </c>
      <c r="B183" s="6" t="s">
        <v>363</v>
      </c>
      <c r="C183" s="6" t="s">
        <v>364</v>
      </c>
    </row>
    <row r="184" spans="1:3" ht="23.25">
      <c r="A184" s="17" t="str">
        <f>HYPERLINK("#'QD14'!A1", "QD14")</f>
        <v>QD14</v>
      </c>
      <c r="B184" s="6" t="s">
        <v>365</v>
      </c>
      <c r="C184" s="6" t="s">
        <v>366</v>
      </c>
    </row>
    <row r="185" spans="1:3" ht="26.25">
      <c r="A185" s="5" t="str">
        <f>HYPERLINK("#'QD15a_1'!A1", "QD15a_1")</f>
        <v>QD15a_1</v>
      </c>
      <c r="B185" s="6" t="s">
        <v>367</v>
      </c>
      <c r="C185" s="6" t="s">
        <v>368</v>
      </c>
    </row>
    <row r="186" spans="1:3" ht="26.25">
      <c r="A186" s="5" t="str">
        <f>HYPERLINK("#'QD15a_2'!A1", "QD15a_2")</f>
        <v>QD15a_2</v>
      </c>
      <c r="B186" s="6" t="s">
        <v>369</v>
      </c>
      <c r="C186" s="6" t="s">
        <v>370</v>
      </c>
    </row>
    <row r="187" spans="1:3" ht="26.25">
      <c r="A187" s="5" t="str">
        <f>HYPERLINK("#'QD15a_3'!A1", "QD15a_3")</f>
        <v>QD15a_3</v>
      </c>
      <c r="B187" s="6" t="s">
        <v>371</v>
      </c>
      <c r="C187" s="6" t="s">
        <v>372</v>
      </c>
    </row>
    <row r="188" spans="1:3" ht="26.25">
      <c r="A188" s="5" t="str">
        <f>HYPERLINK("#'QD15a_4'!A1", "QD15a_4")</f>
        <v>QD15a_4</v>
      </c>
      <c r="B188" s="6" t="s">
        <v>373</v>
      </c>
      <c r="C188" s="6" t="s">
        <v>374</v>
      </c>
    </row>
    <row r="189" spans="1:3" ht="39">
      <c r="A189" s="5" t="str">
        <f>HYPERLINK("#'QD15a_5'!A1", "QD15a_5")</f>
        <v>QD15a_5</v>
      </c>
      <c r="B189" s="6" t="s">
        <v>375</v>
      </c>
      <c r="C189" s="6" t="s">
        <v>376</v>
      </c>
    </row>
    <row r="190" spans="1:3" ht="26.25">
      <c r="A190" s="5" t="str">
        <f>HYPERLINK("#'QD15a_6'!A1", "QD15a_6")</f>
        <v>QD15a_6</v>
      </c>
      <c r="B190" s="6" t="s">
        <v>377</v>
      </c>
      <c r="C190" s="6" t="s">
        <v>378</v>
      </c>
    </row>
    <row r="191" spans="1:3" ht="26.25">
      <c r="A191" s="5" t="str">
        <f>HYPERLINK("#'QD15a_7'!A1", "QD15a_7")</f>
        <v>QD15a_7</v>
      </c>
      <c r="B191" s="6" t="s">
        <v>379</v>
      </c>
      <c r="C191" s="6" t="s">
        <v>380</v>
      </c>
    </row>
    <row r="192" spans="1:3" ht="26.25">
      <c r="A192" s="5" t="str">
        <f>HYPERLINK("#'QD15a_8'!A1", "QD15a_8")</f>
        <v>QD15a_8</v>
      </c>
      <c r="B192" s="6" t="s">
        <v>381</v>
      </c>
      <c r="C192" s="6" t="s">
        <v>382</v>
      </c>
    </row>
    <row r="193" spans="1:3" ht="39">
      <c r="A193" s="5" t="str">
        <f>HYPERLINK("#'QD15a_9'!A1", "QD15a_9")</f>
        <v>QD15a_9</v>
      </c>
      <c r="B193" s="6" t="s">
        <v>383</v>
      </c>
      <c r="C193" s="6" t="s">
        <v>384</v>
      </c>
    </row>
    <row r="194" spans="1:3" ht="26.25">
      <c r="A194" s="5" t="str">
        <f>HYPERLINK("#'QD15a_10'!A1", "QD15a_10")</f>
        <v>QD15a_10</v>
      </c>
      <c r="B194" s="6" t="s">
        <v>385</v>
      </c>
      <c r="C194" s="6" t="s">
        <v>386</v>
      </c>
    </row>
    <row r="195" spans="1:3" ht="26.25">
      <c r="A195" s="5" t="str">
        <f>HYPERLINK("#'QD15a_11'!A1", "QD15a_11")</f>
        <v>QD15a_11</v>
      </c>
      <c r="B195" s="6" t="s">
        <v>387</v>
      </c>
      <c r="C195" s="6" t="s">
        <v>388</v>
      </c>
    </row>
    <row r="196" spans="1:3" ht="26.25">
      <c r="A196" s="5" t="str">
        <f>HYPERLINK("#'QD15a_12'!A1", "QD15a_12")</f>
        <v>QD15a_12</v>
      </c>
      <c r="B196" s="6" t="s">
        <v>389</v>
      </c>
      <c r="C196" s="6" t="s">
        <v>390</v>
      </c>
    </row>
    <row r="197" spans="1:3" ht="26.25">
      <c r="A197" s="5" t="str">
        <f>HYPERLINK("#'QD15a_13'!A1", "QD15a_13")</f>
        <v>QD15a_13</v>
      </c>
      <c r="B197" s="6" t="s">
        <v>391</v>
      </c>
      <c r="C197" s="6" t="s">
        <v>392</v>
      </c>
    </row>
    <row r="198" spans="1:3" ht="39">
      <c r="A198" s="5" t="str">
        <f>HYPERLINK("#'QD15b_1'!A1", "QD15b_1")</f>
        <v>QD15b_1</v>
      </c>
      <c r="B198" s="6" t="s">
        <v>393</v>
      </c>
      <c r="C198" s="6" t="s">
        <v>394</v>
      </c>
    </row>
    <row r="199" spans="1:3" ht="39">
      <c r="A199" s="5" t="str">
        <f>HYPERLINK("#'QD15b_2'!A1", "QD15b_2")</f>
        <v>QD15b_2</v>
      </c>
      <c r="B199" s="6" t="s">
        <v>395</v>
      </c>
      <c r="C199" s="6" t="s">
        <v>396</v>
      </c>
    </row>
    <row r="200" spans="1:3" ht="26.25">
      <c r="A200" s="5" t="str">
        <f>HYPERLINK("#'QD15b_3'!A1", "QD15b_3")</f>
        <v>QD15b_3</v>
      </c>
      <c r="B200" s="6" t="s">
        <v>397</v>
      </c>
      <c r="C200" s="6" t="s">
        <v>398</v>
      </c>
    </row>
    <row r="201" spans="1:3" ht="26.25">
      <c r="A201" s="5" t="str">
        <f>HYPERLINK("#'QD15b_4'!A1", "QD15b_4")</f>
        <v>QD15b_4</v>
      </c>
      <c r="B201" s="6" t="s">
        <v>399</v>
      </c>
      <c r="C201" s="6" t="s">
        <v>400</v>
      </c>
    </row>
    <row r="202" spans="1:3" ht="26.25">
      <c r="A202" s="5" t="str">
        <f>HYPERLINK("#'QD15b_5'!A1", "QD15b_5")</f>
        <v>QD15b_5</v>
      </c>
      <c r="B202" s="6" t="s">
        <v>401</v>
      </c>
      <c r="C202" s="6" t="s">
        <v>402</v>
      </c>
    </row>
    <row r="203" spans="1:3">
      <c r="A203" s="5" t="str">
        <f>HYPERLINK("#'D11'!A1", "D11")</f>
        <v>D11</v>
      </c>
      <c r="B203" s="6" t="s">
        <v>403</v>
      </c>
      <c r="C203" s="6" t="s">
        <v>404</v>
      </c>
    </row>
    <row r="204" spans="1:3">
      <c r="A204" s="5" t="str">
        <f>HYPERLINK("#'D11R'!A1", "D11R")</f>
        <v>D11R</v>
      </c>
      <c r="B204" s="6" t="s">
        <v>405</v>
      </c>
      <c r="C204" s="6" t="s">
        <v>406</v>
      </c>
    </row>
    <row r="205" spans="1:3">
      <c r="A205" s="5" t="str">
        <f>HYPERLINK("#'D11bis'!A1", "D11bis")</f>
        <v>D11bis</v>
      </c>
      <c r="B205" s="6" t="s">
        <v>407</v>
      </c>
      <c r="C205" s="6" t="s">
        <v>408</v>
      </c>
    </row>
    <row r="206" spans="1:3">
      <c r="A206" s="5" t="str">
        <f>HYPERLINK("#'D11G'!A1", "D11G")</f>
        <v>D11G</v>
      </c>
      <c r="B206" s="6" t="s">
        <v>409</v>
      </c>
      <c r="C206" s="6" t="s">
        <v>410</v>
      </c>
    </row>
    <row r="207" spans="1:3">
      <c r="A207" s="5" t="str">
        <f>HYPERLINK("#'D28'!A1", "D28")</f>
        <v>D28</v>
      </c>
      <c r="B207" s="6" t="s">
        <v>411</v>
      </c>
      <c r="C207" s="6" t="s">
        <v>412</v>
      </c>
    </row>
    <row r="208" spans="1:3" ht="26.25">
      <c r="A208" s="5" t="str">
        <f>HYPERLINK("#'D73_1'!A1", "D73_1")</f>
        <v>D73_1</v>
      </c>
      <c r="B208" s="6" t="s">
        <v>413</v>
      </c>
      <c r="C208" s="6" t="s">
        <v>414</v>
      </c>
    </row>
    <row r="209" spans="1:3" ht="26.25">
      <c r="A209" s="5" t="str">
        <f>HYPERLINK("#'D73_2'!A1", "D73_2")</f>
        <v>D73_2</v>
      </c>
      <c r="B209" s="6" t="s">
        <v>415</v>
      </c>
      <c r="C209" s="6" t="s">
        <v>416</v>
      </c>
    </row>
    <row r="210" spans="1:3" ht="26.25">
      <c r="A210" s="5" t="str">
        <f>HYPERLINK("#'D73_3'!A1", "D73_3")</f>
        <v>D73_3</v>
      </c>
      <c r="B210" s="6" t="s">
        <v>417</v>
      </c>
      <c r="C210" s="6" t="s">
        <v>418</v>
      </c>
    </row>
    <row r="211" spans="1:3" ht="26.25">
      <c r="A211" s="5" t="str">
        <f>HYPERLINK("#'D73_4'!A1", "D73_4")</f>
        <v>D73_4</v>
      </c>
      <c r="B211" s="6" t="s">
        <v>419</v>
      </c>
      <c r="C211" s="6" t="s">
        <v>420</v>
      </c>
    </row>
    <row r="212" spans="1:3" ht="26.25">
      <c r="A212" s="5" t="str">
        <f>HYPERLINK("#'SD18a'!A1", "SD18a")</f>
        <v>SD18a</v>
      </c>
      <c r="B212" s="6" t="s">
        <v>421</v>
      </c>
      <c r="C212" s="6" t="s">
        <v>422</v>
      </c>
    </row>
    <row r="213" spans="1:3">
      <c r="A213" s="5" t="str">
        <f>HYPERLINK("#'SD18b'!A1", "SD18b")</f>
        <v>SD18b</v>
      </c>
      <c r="B213" s="6" t="s">
        <v>423</v>
      </c>
      <c r="C213" s="6" t="s">
        <v>424</v>
      </c>
    </row>
    <row r="214" spans="1:3" ht="26.25">
      <c r="A214" s="5" t="str">
        <f>HYPERLINK("#'SD19a_1'!A1", "SD19a_1")</f>
        <v>SD19a_1</v>
      </c>
      <c r="B214" s="6" t="s">
        <v>425</v>
      </c>
      <c r="C214" s="6" t="s">
        <v>426</v>
      </c>
    </row>
    <row r="215" spans="1:3" ht="26.25">
      <c r="A215" s="5" t="str">
        <f>HYPERLINK("#'SD19a_2'!A1", "SD19a_2")</f>
        <v>SD19a_2</v>
      </c>
      <c r="B215" s="6" t="s">
        <v>427</v>
      </c>
      <c r="C215" s="6" t="s">
        <v>428</v>
      </c>
    </row>
    <row r="216" spans="1:3" ht="26.25">
      <c r="A216" s="5" t="str">
        <f>HYPERLINK("#'SD19a_3'!A1", "SD19a_3")</f>
        <v>SD19a_3</v>
      </c>
      <c r="B216" s="6" t="s">
        <v>429</v>
      </c>
      <c r="C216" s="6" t="s">
        <v>430</v>
      </c>
    </row>
    <row r="217" spans="1:3">
      <c r="A217" s="5" t="str">
        <f>HYPERLINK("#'D8'!A1", "D8")</f>
        <v>D8</v>
      </c>
      <c r="B217" s="6" t="s">
        <v>431</v>
      </c>
      <c r="C217" s="6" t="s">
        <v>432</v>
      </c>
    </row>
    <row r="218" spans="1:3">
      <c r="A218" s="5" t="str">
        <f>HYPERLINK("#'D8c'!A1", "D8c")</f>
        <v>D8c</v>
      </c>
      <c r="B218" s="6" t="s">
        <v>433</v>
      </c>
      <c r="C218" s="6" t="s">
        <v>434</v>
      </c>
    </row>
    <row r="219" spans="1:3">
      <c r="A219" s="5" t="str">
        <f>HYPERLINK("#'D10'!A1", "D10")</f>
        <v>D10</v>
      </c>
      <c r="B219" s="6" t="s">
        <v>435</v>
      </c>
      <c r="C219" s="6" t="s">
        <v>436</v>
      </c>
    </row>
    <row r="220" spans="1:3">
      <c r="A220" s="5" t="str">
        <f>HYPERLINK("#'D25'!A1", "D25")</f>
        <v>D25</v>
      </c>
      <c r="B220" s="6" t="s">
        <v>437</v>
      </c>
      <c r="C220" s="6" t="s">
        <v>438</v>
      </c>
    </row>
    <row r="221" spans="1:3" ht="26.25">
      <c r="A221" s="5" t="str">
        <f>HYPERLINK("#'D60'!A1", "D60")</f>
        <v>D60</v>
      </c>
      <c r="B221" s="6" t="s">
        <v>439</v>
      </c>
      <c r="C221" s="6" t="s">
        <v>440</v>
      </c>
    </row>
    <row r="222" spans="1:3">
      <c r="A222" s="5" t="str">
        <f>HYPERLINK("#'D63'!A1", "D63")</f>
        <v>D63</v>
      </c>
      <c r="B222" s="6" t="s">
        <v>441</v>
      </c>
      <c r="C222" s="6" t="s">
        <v>442</v>
      </c>
    </row>
    <row r="223" spans="1:3" ht="39">
      <c r="A223" s="5" t="str">
        <f>HYPERLINK("#'D1'!A1", "D1")</f>
        <v>D1</v>
      </c>
      <c r="B223" s="6" t="s">
        <v>443</v>
      </c>
      <c r="C223" s="6" t="s">
        <v>444</v>
      </c>
    </row>
    <row r="224" spans="1:3">
      <c r="A224" s="5" t="str">
        <f>HYPERLINK("#'D1R1'!A1", "D1R1")</f>
        <v>D1R1</v>
      </c>
      <c r="B224" s="6" t="s">
        <v>445</v>
      </c>
      <c r="C224" s="6" t="s">
        <v>446</v>
      </c>
    </row>
    <row r="225" spans="1:3">
      <c r="A225" s="5" t="str">
        <f>HYPERLINK("#'D1R2'!A1", "D1R2")</f>
        <v>D1R2</v>
      </c>
      <c r="B225" s="6" t="s">
        <v>447</v>
      </c>
      <c r="C225" s="6" t="s">
        <v>448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67"/>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12" customHeight="1">
      <c r="B3" s="19" t="s">
        <v>9</v>
      </c>
      <c r="C3" s="19"/>
      <c r="D3" s="19"/>
      <c r="E3" s="19"/>
      <c r="F3" s="19"/>
      <c r="H3" s="19" t="s">
        <v>10</v>
      </c>
      <c r="I3" s="19"/>
      <c r="J3" s="19"/>
      <c r="K3" s="19"/>
      <c r="L3" s="19"/>
    </row>
    <row r="4" spans="1:32" ht="27" customHeight="1">
      <c r="B4" s="19"/>
      <c r="C4" s="19"/>
      <c r="D4" s="19"/>
      <c r="E4" s="19"/>
      <c r="F4" s="19"/>
      <c r="H4" s="19"/>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HYPERLINK("#Content!A6","&lt;&lt;Back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476</v>
      </c>
      <c r="C12" s="12">
        <v>537</v>
      </c>
      <c r="D12" s="12">
        <v>0</v>
      </c>
      <c r="E12" s="12">
        <v>0</v>
      </c>
      <c r="F12" s="12">
        <v>0</v>
      </c>
      <c r="G12" s="12">
        <v>0</v>
      </c>
      <c r="H12" s="12">
        <v>0</v>
      </c>
      <c r="I12" s="12">
        <v>0</v>
      </c>
      <c r="J12" s="12">
        <v>0</v>
      </c>
      <c r="K12" s="12">
        <v>0</v>
      </c>
      <c r="L12" s="12">
        <v>0</v>
      </c>
      <c r="M12" s="12">
        <v>0</v>
      </c>
      <c r="N12" s="12">
        <v>0</v>
      </c>
      <c r="O12" s="12">
        <v>0</v>
      </c>
      <c r="P12" s="12">
        <v>0</v>
      </c>
      <c r="Q12" s="12">
        <v>0</v>
      </c>
      <c r="R12" s="12">
        <v>0</v>
      </c>
      <c r="S12" s="12">
        <v>0</v>
      </c>
      <c r="T12" s="12">
        <v>0</v>
      </c>
      <c r="U12" s="12">
        <v>0</v>
      </c>
      <c r="V12" s="12">
        <v>0</v>
      </c>
      <c r="W12" s="12">
        <v>0</v>
      </c>
      <c r="X12" s="12">
        <v>0</v>
      </c>
      <c r="Y12" s="12">
        <v>1007</v>
      </c>
      <c r="Z12" s="12">
        <v>0</v>
      </c>
      <c r="AA12" s="12">
        <v>0</v>
      </c>
      <c r="AB12" s="12">
        <v>0</v>
      </c>
      <c r="AC12" s="12">
        <v>0</v>
      </c>
      <c r="AD12" s="12">
        <v>0</v>
      </c>
      <c r="AE12" s="12">
        <v>0</v>
      </c>
      <c r="AF12" s="12">
        <v>0</v>
      </c>
    </row>
    <row r="13" spans="1:32">
      <c r="A13" s="23"/>
      <c r="B13" s="13" t="s">
        <v>476</v>
      </c>
      <c r="C13" s="14">
        <v>0.02</v>
      </c>
      <c r="D13" s="15" t="s">
        <v>485</v>
      </c>
      <c r="E13" s="15" t="s">
        <v>485</v>
      </c>
      <c r="F13" s="15" t="s">
        <v>485</v>
      </c>
      <c r="G13" s="15" t="s">
        <v>485</v>
      </c>
      <c r="H13" s="15" t="s">
        <v>485</v>
      </c>
      <c r="I13" s="15" t="s">
        <v>485</v>
      </c>
      <c r="J13" s="15" t="s">
        <v>485</v>
      </c>
      <c r="K13" s="15" t="s">
        <v>485</v>
      </c>
      <c r="L13" s="15" t="s">
        <v>485</v>
      </c>
      <c r="M13" s="15" t="s">
        <v>485</v>
      </c>
      <c r="N13" s="15" t="s">
        <v>485</v>
      </c>
      <c r="O13" s="15" t="s">
        <v>485</v>
      </c>
      <c r="P13" s="15" t="s">
        <v>485</v>
      </c>
      <c r="Q13" s="15" t="s">
        <v>485</v>
      </c>
      <c r="R13" s="15" t="s">
        <v>485</v>
      </c>
      <c r="S13" s="15" t="s">
        <v>485</v>
      </c>
      <c r="T13" s="15" t="s">
        <v>485</v>
      </c>
      <c r="U13" s="15" t="s">
        <v>485</v>
      </c>
      <c r="V13" s="15" t="s">
        <v>485</v>
      </c>
      <c r="W13" s="15" t="s">
        <v>485</v>
      </c>
      <c r="X13" s="15" t="s">
        <v>485</v>
      </c>
      <c r="Y13" s="14">
        <v>1</v>
      </c>
      <c r="Z13" s="15" t="s">
        <v>485</v>
      </c>
      <c r="AA13" s="15" t="s">
        <v>485</v>
      </c>
      <c r="AB13" s="15" t="s">
        <v>485</v>
      </c>
      <c r="AC13" s="15" t="s">
        <v>485</v>
      </c>
      <c r="AD13" s="15" t="s">
        <v>485</v>
      </c>
      <c r="AE13" s="15" t="s">
        <v>485</v>
      </c>
      <c r="AF13" s="15" t="s">
        <v>485</v>
      </c>
    </row>
    <row r="14" spans="1:32">
      <c r="A14" s="23"/>
      <c r="B14" s="11" t="s">
        <v>455</v>
      </c>
      <c r="C14" s="12">
        <v>676</v>
      </c>
      <c r="D14" s="12">
        <v>1006</v>
      </c>
      <c r="E14" s="12">
        <v>0</v>
      </c>
      <c r="F14" s="12">
        <v>0</v>
      </c>
      <c r="G14" s="12">
        <v>0</v>
      </c>
      <c r="H14" s="12">
        <v>0</v>
      </c>
      <c r="I14" s="12">
        <v>0</v>
      </c>
      <c r="J14" s="12">
        <v>0</v>
      </c>
      <c r="K14" s="12">
        <v>0</v>
      </c>
      <c r="L14" s="12">
        <v>0</v>
      </c>
      <c r="M14" s="12">
        <v>0</v>
      </c>
      <c r="N14" s="12">
        <v>0</v>
      </c>
      <c r="O14" s="12">
        <v>0</v>
      </c>
      <c r="P14" s="12">
        <v>0</v>
      </c>
      <c r="Q14" s="12">
        <v>0</v>
      </c>
      <c r="R14" s="12">
        <v>0</v>
      </c>
      <c r="S14" s="12">
        <v>0</v>
      </c>
      <c r="T14" s="12">
        <v>0</v>
      </c>
      <c r="U14" s="12">
        <v>0</v>
      </c>
      <c r="V14" s="12">
        <v>0</v>
      </c>
      <c r="W14" s="12">
        <v>0</v>
      </c>
      <c r="X14" s="12">
        <v>0</v>
      </c>
      <c r="Y14" s="12">
        <v>0</v>
      </c>
      <c r="Z14" s="12">
        <v>0</v>
      </c>
      <c r="AA14" s="12">
        <v>0</v>
      </c>
      <c r="AB14" s="12">
        <v>0</v>
      </c>
      <c r="AC14" s="12">
        <v>0</v>
      </c>
      <c r="AD14" s="12">
        <v>0</v>
      </c>
      <c r="AE14" s="12">
        <v>0</v>
      </c>
      <c r="AF14" s="12">
        <v>0</v>
      </c>
    </row>
    <row r="15" spans="1:32">
      <c r="A15" s="23"/>
      <c r="B15" s="13" t="s">
        <v>455</v>
      </c>
      <c r="C15" s="14">
        <v>0.03</v>
      </c>
      <c r="D15" s="14">
        <v>1</v>
      </c>
      <c r="E15" s="15" t="s">
        <v>485</v>
      </c>
      <c r="F15" s="15" t="s">
        <v>485</v>
      </c>
      <c r="G15" s="15" t="s">
        <v>485</v>
      </c>
      <c r="H15" s="15" t="s">
        <v>485</v>
      </c>
      <c r="I15" s="15" t="s">
        <v>485</v>
      </c>
      <c r="J15" s="15" t="s">
        <v>485</v>
      </c>
      <c r="K15" s="15" t="s">
        <v>485</v>
      </c>
      <c r="L15" s="15" t="s">
        <v>485</v>
      </c>
      <c r="M15" s="15" t="s">
        <v>485</v>
      </c>
      <c r="N15" s="15" t="s">
        <v>485</v>
      </c>
      <c r="O15" s="15" t="s">
        <v>485</v>
      </c>
      <c r="P15" s="15" t="s">
        <v>485</v>
      </c>
      <c r="Q15" s="15" t="s">
        <v>485</v>
      </c>
      <c r="R15" s="15" t="s">
        <v>485</v>
      </c>
      <c r="S15" s="15" t="s">
        <v>485</v>
      </c>
      <c r="T15" s="15" t="s">
        <v>485</v>
      </c>
      <c r="U15" s="15" t="s">
        <v>485</v>
      </c>
      <c r="V15" s="15" t="s">
        <v>485</v>
      </c>
      <c r="W15" s="15" t="s">
        <v>485</v>
      </c>
      <c r="X15" s="15" t="s">
        <v>485</v>
      </c>
      <c r="Y15" s="15" t="s">
        <v>485</v>
      </c>
      <c r="Z15" s="15" t="s">
        <v>485</v>
      </c>
      <c r="AA15" s="15" t="s">
        <v>485</v>
      </c>
      <c r="AB15" s="15" t="s">
        <v>485</v>
      </c>
      <c r="AC15" s="15" t="s">
        <v>485</v>
      </c>
      <c r="AD15" s="15" t="s">
        <v>485</v>
      </c>
      <c r="AE15" s="15" t="s">
        <v>485</v>
      </c>
      <c r="AF15" s="15" t="s">
        <v>485</v>
      </c>
    </row>
    <row r="16" spans="1:32">
      <c r="A16" s="23"/>
      <c r="B16" s="11" t="s">
        <v>456</v>
      </c>
      <c r="C16" s="12">
        <v>382</v>
      </c>
      <c r="D16" s="12">
        <v>0</v>
      </c>
      <c r="E16" s="12">
        <v>1044</v>
      </c>
      <c r="F16" s="12">
        <v>0</v>
      </c>
      <c r="G16" s="12">
        <v>0</v>
      </c>
      <c r="H16" s="12">
        <v>0</v>
      </c>
      <c r="I16" s="12">
        <v>0</v>
      </c>
      <c r="J16" s="12">
        <v>0</v>
      </c>
      <c r="K16" s="12">
        <v>0</v>
      </c>
      <c r="L16" s="12">
        <v>0</v>
      </c>
      <c r="M16" s="12">
        <v>0</v>
      </c>
      <c r="N16" s="12">
        <v>0</v>
      </c>
      <c r="O16" s="12">
        <v>0</v>
      </c>
      <c r="P16" s="12">
        <v>0</v>
      </c>
      <c r="Q16" s="12">
        <v>0</v>
      </c>
      <c r="R16" s="12">
        <v>0</v>
      </c>
      <c r="S16" s="12">
        <v>0</v>
      </c>
      <c r="T16" s="12">
        <v>0</v>
      </c>
      <c r="U16" s="12">
        <v>0</v>
      </c>
      <c r="V16" s="12">
        <v>0</v>
      </c>
      <c r="W16" s="12">
        <v>0</v>
      </c>
      <c r="X16" s="12">
        <v>0</v>
      </c>
      <c r="Y16" s="12">
        <v>0</v>
      </c>
      <c r="Z16" s="12">
        <v>0</v>
      </c>
      <c r="AA16" s="12">
        <v>0</v>
      </c>
      <c r="AB16" s="12">
        <v>0</v>
      </c>
      <c r="AC16" s="12">
        <v>0</v>
      </c>
      <c r="AD16" s="12">
        <v>0</v>
      </c>
      <c r="AE16" s="12">
        <v>0</v>
      </c>
      <c r="AF16" s="12">
        <v>0</v>
      </c>
    </row>
    <row r="17" spans="1:32">
      <c r="A17" s="23"/>
      <c r="B17" s="13" t="s">
        <v>456</v>
      </c>
      <c r="C17" s="14">
        <v>0.02</v>
      </c>
      <c r="D17" s="15" t="s">
        <v>485</v>
      </c>
      <c r="E17" s="14">
        <v>1</v>
      </c>
      <c r="F17" s="15" t="s">
        <v>485</v>
      </c>
      <c r="G17" s="15" t="s">
        <v>485</v>
      </c>
      <c r="H17" s="15" t="s">
        <v>485</v>
      </c>
      <c r="I17" s="15" t="s">
        <v>485</v>
      </c>
      <c r="J17" s="15" t="s">
        <v>485</v>
      </c>
      <c r="K17" s="15" t="s">
        <v>485</v>
      </c>
      <c r="L17" s="15" t="s">
        <v>485</v>
      </c>
      <c r="M17" s="15" t="s">
        <v>485</v>
      </c>
      <c r="N17" s="15" t="s">
        <v>485</v>
      </c>
      <c r="O17" s="15" t="s">
        <v>485</v>
      </c>
      <c r="P17" s="15" t="s">
        <v>485</v>
      </c>
      <c r="Q17" s="15" t="s">
        <v>485</v>
      </c>
      <c r="R17" s="15" t="s">
        <v>485</v>
      </c>
      <c r="S17" s="15" t="s">
        <v>485</v>
      </c>
      <c r="T17" s="15" t="s">
        <v>485</v>
      </c>
      <c r="U17" s="15" t="s">
        <v>485</v>
      </c>
      <c r="V17" s="15" t="s">
        <v>485</v>
      </c>
      <c r="W17" s="15" t="s">
        <v>485</v>
      </c>
      <c r="X17" s="15" t="s">
        <v>485</v>
      </c>
      <c r="Y17" s="15" t="s">
        <v>485</v>
      </c>
      <c r="Z17" s="15" t="s">
        <v>485</v>
      </c>
      <c r="AA17" s="15" t="s">
        <v>485</v>
      </c>
      <c r="AB17" s="15" t="s">
        <v>485</v>
      </c>
      <c r="AC17" s="15" t="s">
        <v>485</v>
      </c>
      <c r="AD17" s="15" t="s">
        <v>485</v>
      </c>
      <c r="AE17" s="15" t="s">
        <v>485</v>
      </c>
      <c r="AF17" s="15" t="s">
        <v>485</v>
      </c>
    </row>
    <row r="18" spans="1:32">
      <c r="A18" s="23"/>
      <c r="B18" s="11" t="s">
        <v>469</v>
      </c>
      <c r="C18" s="12">
        <v>53</v>
      </c>
      <c r="D18" s="12">
        <v>0</v>
      </c>
      <c r="E18" s="12">
        <v>0</v>
      </c>
      <c r="F18" s="12">
        <v>0</v>
      </c>
      <c r="G18" s="12">
        <v>0</v>
      </c>
      <c r="H18" s="12">
        <v>0</v>
      </c>
      <c r="I18" s="12">
        <v>0</v>
      </c>
      <c r="J18" s="12">
        <v>0</v>
      </c>
      <c r="K18" s="12">
        <v>0</v>
      </c>
      <c r="L18" s="12">
        <v>0</v>
      </c>
      <c r="M18" s="12">
        <v>0</v>
      </c>
      <c r="N18" s="12">
        <v>0</v>
      </c>
      <c r="O18" s="12">
        <v>0</v>
      </c>
      <c r="P18" s="12">
        <v>0</v>
      </c>
      <c r="Q18" s="12">
        <v>0</v>
      </c>
      <c r="R18" s="12">
        <v>502</v>
      </c>
      <c r="S18" s="12">
        <v>0</v>
      </c>
      <c r="T18" s="12">
        <v>0</v>
      </c>
      <c r="U18" s="12">
        <v>0</v>
      </c>
      <c r="V18" s="12">
        <v>0</v>
      </c>
      <c r="W18" s="12">
        <v>0</v>
      </c>
      <c r="X18" s="12">
        <v>0</v>
      </c>
      <c r="Y18" s="12">
        <v>0</v>
      </c>
      <c r="Z18" s="12">
        <v>0</v>
      </c>
      <c r="AA18" s="12">
        <v>0</v>
      </c>
      <c r="AB18" s="12">
        <v>0</v>
      </c>
      <c r="AC18" s="12">
        <v>0</v>
      </c>
      <c r="AD18" s="12">
        <v>0</v>
      </c>
      <c r="AE18" s="12">
        <v>0</v>
      </c>
      <c r="AF18" s="12">
        <v>0</v>
      </c>
    </row>
    <row r="19" spans="1:32">
      <c r="A19" s="23"/>
      <c r="B19" s="13" t="s">
        <v>469</v>
      </c>
      <c r="C19" s="15" t="s">
        <v>485</v>
      </c>
      <c r="D19" s="15" t="s">
        <v>485</v>
      </c>
      <c r="E19" s="15" t="s">
        <v>485</v>
      </c>
      <c r="F19" s="15" t="s">
        <v>485</v>
      </c>
      <c r="G19" s="15" t="s">
        <v>485</v>
      </c>
      <c r="H19" s="15" t="s">
        <v>485</v>
      </c>
      <c r="I19" s="15" t="s">
        <v>485</v>
      </c>
      <c r="J19" s="15" t="s">
        <v>485</v>
      </c>
      <c r="K19" s="15" t="s">
        <v>485</v>
      </c>
      <c r="L19" s="15" t="s">
        <v>485</v>
      </c>
      <c r="M19" s="15" t="s">
        <v>485</v>
      </c>
      <c r="N19" s="15" t="s">
        <v>485</v>
      </c>
      <c r="O19" s="15" t="s">
        <v>485</v>
      </c>
      <c r="P19" s="15" t="s">
        <v>485</v>
      </c>
      <c r="Q19" s="15" t="s">
        <v>485</v>
      </c>
      <c r="R19" s="14">
        <v>1</v>
      </c>
      <c r="S19" s="15" t="s">
        <v>485</v>
      </c>
      <c r="T19" s="15" t="s">
        <v>485</v>
      </c>
      <c r="U19" s="15" t="s">
        <v>485</v>
      </c>
      <c r="V19" s="15" t="s">
        <v>485</v>
      </c>
      <c r="W19" s="15" t="s">
        <v>485</v>
      </c>
      <c r="X19" s="15" t="s">
        <v>485</v>
      </c>
      <c r="Y19" s="15" t="s">
        <v>485</v>
      </c>
      <c r="Z19" s="15" t="s">
        <v>485</v>
      </c>
      <c r="AA19" s="15" t="s">
        <v>485</v>
      </c>
      <c r="AB19" s="15" t="s">
        <v>485</v>
      </c>
      <c r="AC19" s="15" t="s">
        <v>485</v>
      </c>
      <c r="AD19" s="15" t="s">
        <v>485</v>
      </c>
      <c r="AE19" s="15" t="s">
        <v>485</v>
      </c>
      <c r="AF19" s="15" t="s">
        <v>485</v>
      </c>
    </row>
    <row r="20" spans="1:32">
      <c r="A20" s="23"/>
      <c r="B20" s="11" t="s">
        <v>457</v>
      </c>
      <c r="C20" s="12">
        <v>626</v>
      </c>
      <c r="D20" s="12">
        <v>0</v>
      </c>
      <c r="E20" s="12">
        <v>0</v>
      </c>
      <c r="F20" s="12">
        <v>1007</v>
      </c>
      <c r="G20" s="12">
        <v>0</v>
      </c>
      <c r="H20" s="12">
        <v>0</v>
      </c>
      <c r="I20" s="12">
        <v>0</v>
      </c>
      <c r="J20" s="12">
        <v>0</v>
      </c>
      <c r="K20" s="12">
        <v>0</v>
      </c>
      <c r="L20" s="12">
        <v>0</v>
      </c>
      <c r="M20" s="12">
        <v>0</v>
      </c>
      <c r="N20" s="12">
        <v>0</v>
      </c>
      <c r="O20" s="12">
        <v>0</v>
      </c>
      <c r="P20" s="12">
        <v>0</v>
      </c>
      <c r="Q20" s="12">
        <v>0</v>
      </c>
      <c r="R20" s="12">
        <v>0</v>
      </c>
      <c r="S20" s="12">
        <v>0</v>
      </c>
      <c r="T20" s="12">
        <v>0</v>
      </c>
      <c r="U20" s="12">
        <v>0</v>
      </c>
      <c r="V20" s="12">
        <v>0</v>
      </c>
      <c r="W20" s="12">
        <v>0</v>
      </c>
      <c r="X20" s="12">
        <v>0</v>
      </c>
      <c r="Y20" s="12">
        <v>0</v>
      </c>
      <c r="Z20" s="12">
        <v>0</v>
      </c>
      <c r="AA20" s="12">
        <v>0</v>
      </c>
      <c r="AB20" s="12">
        <v>0</v>
      </c>
      <c r="AC20" s="12">
        <v>0</v>
      </c>
      <c r="AD20" s="12">
        <v>0</v>
      </c>
      <c r="AE20" s="12">
        <v>0</v>
      </c>
      <c r="AF20" s="12">
        <v>0</v>
      </c>
    </row>
    <row r="21" spans="1:32">
      <c r="A21" s="23"/>
      <c r="B21" s="13" t="s">
        <v>457</v>
      </c>
      <c r="C21" s="14">
        <v>0.02</v>
      </c>
      <c r="D21" s="15" t="s">
        <v>485</v>
      </c>
      <c r="E21" s="15" t="s">
        <v>485</v>
      </c>
      <c r="F21" s="14">
        <v>1</v>
      </c>
      <c r="G21" s="15" t="s">
        <v>485</v>
      </c>
      <c r="H21" s="15" t="s">
        <v>485</v>
      </c>
      <c r="I21" s="15" t="s">
        <v>485</v>
      </c>
      <c r="J21" s="15" t="s">
        <v>485</v>
      </c>
      <c r="K21" s="15" t="s">
        <v>485</v>
      </c>
      <c r="L21" s="15" t="s">
        <v>485</v>
      </c>
      <c r="M21" s="15" t="s">
        <v>485</v>
      </c>
      <c r="N21" s="15" t="s">
        <v>485</v>
      </c>
      <c r="O21" s="15" t="s">
        <v>485</v>
      </c>
      <c r="P21" s="15" t="s">
        <v>485</v>
      </c>
      <c r="Q21" s="15" t="s">
        <v>485</v>
      </c>
      <c r="R21" s="15" t="s">
        <v>485</v>
      </c>
      <c r="S21" s="15" t="s">
        <v>485</v>
      </c>
      <c r="T21" s="15" t="s">
        <v>485</v>
      </c>
      <c r="U21" s="15" t="s">
        <v>485</v>
      </c>
      <c r="V21" s="15" t="s">
        <v>485</v>
      </c>
      <c r="W21" s="15" t="s">
        <v>485</v>
      </c>
      <c r="X21" s="15" t="s">
        <v>485</v>
      </c>
      <c r="Y21" s="15" t="s">
        <v>485</v>
      </c>
      <c r="Z21" s="15" t="s">
        <v>485</v>
      </c>
      <c r="AA21" s="15" t="s">
        <v>485</v>
      </c>
      <c r="AB21" s="15" t="s">
        <v>485</v>
      </c>
      <c r="AC21" s="15" t="s">
        <v>485</v>
      </c>
      <c r="AD21" s="15" t="s">
        <v>485</v>
      </c>
      <c r="AE21" s="15" t="s">
        <v>485</v>
      </c>
      <c r="AF21" s="15" t="s">
        <v>485</v>
      </c>
    </row>
    <row r="22" spans="1:32">
      <c r="A22" s="23"/>
      <c r="B22" s="11" t="s">
        <v>458</v>
      </c>
      <c r="C22" s="12">
        <v>344</v>
      </c>
      <c r="D22" s="12">
        <v>0</v>
      </c>
      <c r="E22" s="12">
        <v>0</v>
      </c>
      <c r="F22" s="12">
        <v>0</v>
      </c>
      <c r="G22" s="12">
        <v>1003</v>
      </c>
      <c r="H22" s="12">
        <v>0</v>
      </c>
      <c r="I22" s="12">
        <v>0</v>
      </c>
      <c r="J22" s="12">
        <v>0</v>
      </c>
      <c r="K22" s="12">
        <v>0</v>
      </c>
      <c r="L22" s="12">
        <v>0</v>
      </c>
      <c r="M22" s="12">
        <v>0</v>
      </c>
      <c r="N22" s="12">
        <v>0</v>
      </c>
      <c r="O22" s="12">
        <v>0</v>
      </c>
      <c r="P22" s="12">
        <v>0</v>
      </c>
      <c r="Q22" s="12">
        <v>0</v>
      </c>
      <c r="R22" s="12">
        <v>0</v>
      </c>
      <c r="S22" s="12">
        <v>0</v>
      </c>
      <c r="T22" s="12">
        <v>0</v>
      </c>
      <c r="U22" s="12">
        <v>0</v>
      </c>
      <c r="V22" s="12">
        <v>0</v>
      </c>
      <c r="W22" s="12">
        <v>0</v>
      </c>
      <c r="X22" s="12">
        <v>0</v>
      </c>
      <c r="Y22" s="12">
        <v>0</v>
      </c>
      <c r="Z22" s="12">
        <v>0</v>
      </c>
      <c r="AA22" s="12">
        <v>0</v>
      </c>
      <c r="AB22" s="12">
        <v>0</v>
      </c>
      <c r="AC22" s="12">
        <v>0</v>
      </c>
      <c r="AD22" s="12">
        <v>0</v>
      </c>
      <c r="AE22" s="12">
        <v>0</v>
      </c>
      <c r="AF22" s="12">
        <v>0</v>
      </c>
    </row>
    <row r="23" spans="1:32">
      <c r="A23" s="23"/>
      <c r="B23" s="13" t="s">
        <v>458</v>
      </c>
      <c r="C23" s="14">
        <v>0.01</v>
      </c>
      <c r="D23" s="15" t="s">
        <v>485</v>
      </c>
      <c r="E23" s="15" t="s">
        <v>485</v>
      </c>
      <c r="F23" s="15" t="s">
        <v>485</v>
      </c>
      <c r="G23" s="14">
        <v>1</v>
      </c>
      <c r="H23" s="15" t="s">
        <v>485</v>
      </c>
      <c r="I23" s="15" t="s">
        <v>485</v>
      </c>
      <c r="J23" s="15" t="s">
        <v>485</v>
      </c>
      <c r="K23" s="15" t="s">
        <v>485</v>
      </c>
      <c r="L23" s="15" t="s">
        <v>485</v>
      </c>
      <c r="M23" s="15" t="s">
        <v>485</v>
      </c>
      <c r="N23" s="15" t="s">
        <v>485</v>
      </c>
      <c r="O23" s="15" t="s">
        <v>485</v>
      </c>
      <c r="P23" s="15" t="s">
        <v>485</v>
      </c>
      <c r="Q23" s="15" t="s">
        <v>485</v>
      </c>
      <c r="R23" s="15" t="s">
        <v>485</v>
      </c>
      <c r="S23" s="15" t="s">
        <v>485</v>
      </c>
      <c r="T23" s="15" t="s">
        <v>485</v>
      </c>
      <c r="U23" s="15" t="s">
        <v>485</v>
      </c>
      <c r="V23" s="15" t="s">
        <v>485</v>
      </c>
      <c r="W23" s="15" t="s">
        <v>485</v>
      </c>
      <c r="X23" s="15" t="s">
        <v>485</v>
      </c>
      <c r="Y23" s="15" t="s">
        <v>485</v>
      </c>
      <c r="Z23" s="15" t="s">
        <v>485</v>
      </c>
      <c r="AA23" s="15" t="s">
        <v>485</v>
      </c>
      <c r="AB23" s="15" t="s">
        <v>485</v>
      </c>
      <c r="AC23" s="15" t="s">
        <v>485</v>
      </c>
      <c r="AD23" s="15" t="s">
        <v>485</v>
      </c>
      <c r="AE23" s="15" t="s">
        <v>485</v>
      </c>
      <c r="AF23" s="15" t="s">
        <v>485</v>
      </c>
    </row>
    <row r="24" spans="1:32">
      <c r="A24" s="23"/>
      <c r="B24" s="11" t="s">
        <v>462</v>
      </c>
      <c r="C24" s="12">
        <v>79</v>
      </c>
      <c r="D24" s="12">
        <v>0</v>
      </c>
      <c r="E24" s="12">
        <v>0</v>
      </c>
      <c r="F24" s="12">
        <v>0</v>
      </c>
      <c r="G24" s="12">
        <v>0</v>
      </c>
      <c r="H24" s="12">
        <v>0</v>
      </c>
      <c r="I24" s="12">
        <v>0</v>
      </c>
      <c r="J24" s="12">
        <v>0</v>
      </c>
      <c r="K24" s="12">
        <v>1004</v>
      </c>
      <c r="L24" s="12">
        <v>0</v>
      </c>
      <c r="M24" s="12">
        <v>0</v>
      </c>
      <c r="N24" s="12">
        <v>0</v>
      </c>
      <c r="O24" s="12">
        <v>0</v>
      </c>
      <c r="P24" s="12">
        <v>0</v>
      </c>
      <c r="Q24" s="12">
        <v>0</v>
      </c>
      <c r="R24" s="12">
        <v>0</v>
      </c>
      <c r="S24" s="12">
        <v>0</v>
      </c>
      <c r="T24" s="12">
        <v>0</v>
      </c>
      <c r="U24" s="12">
        <v>0</v>
      </c>
      <c r="V24" s="12">
        <v>0</v>
      </c>
      <c r="W24" s="12">
        <v>0</v>
      </c>
      <c r="X24" s="12">
        <v>0</v>
      </c>
      <c r="Y24" s="12">
        <v>0</v>
      </c>
      <c r="Z24" s="12">
        <v>0</v>
      </c>
      <c r="AA24" s="12">
        <v>0</v>
      </c>
      <c r="AB24" s="12">
        <v>0</v>
      </c>
      <c r="AC24" s="12">
        <v>0</v>
      </c>
      <c r="AD24" s="12">
        <v>0</v>
      </c>
      <c r="AE24" s="12">
        <v>0</v>
      </c>
      <c r="AF24" s="12">
        <v>0</v>
      </c>
    </row>
    <row r="25" spans="1:32">
      <c r="A25" s="23"/>
      <c r="B25" s="13" t="s">
        <v>462</v>
      </c>
      <c r="C25" s="15" t="s">
        <v>485</v>
      </c>
      <c r="D25" s="15" t="s">
        <v>485</v>
      </c>
      <c r="E25" s="15" t="s">
        <v>485</v>
      </c>
      <c r="F25" s="15" t="s">
        <v>485</v>
      </c>
      <c r="G25" s="15" t="s">
        <v>485</v>
      </c>
      <c r="H25" s="15" t="s">
        <v>485</v>
      </c>
      <c r="I25" s="15" t="s">
        <v>485</v>
      </c>
      <c r="J25" s="15" t="s">
        <v>485</v>
      </c>
      <c r="K25" s="14">
        <v>1</v>
      </c>
      <c r="L25" s="15" t="s">
        <v>485</v>
      </c>
      <c r="M25" s="15" t="s">
        <v>485</v>
      </c>
      <c r="N25" s="15" t="s">
        <v>485</v>
      </c>
      <c r="O25" s="15" t="s">
        <v>485</v>
      </c>
      <c r="P25" s="15" t="s">
        <v>485</v>
      </c>
      <c r="Q25" s="15" t="s">
        <v>485</v>
      </c>
      <c r="R25" s="15" t="s">
        <v>485</v>
      </c>
      <c r="S25" s="15" t="s">
        <v>485</v>
      </c>
      <c r="T25" s="15" t="s">
        <v>485</v>
      </c>
      <c r="U25" s="15" t="s">
        <v>485</v>
      </c>
      <c r="V25" s="15" t="s">
        <v>485</v>
      </c>
      <c r="W25" s="15" t="s">
        <v>485</v>
      </c>
      <c r="X25" s="15" t="s">
        <v>485</v>
      </c>
      <c r="Y25" s="15" t="s">
        <v>485</v>
      </c>
      <c r="Z25" s="15" t="s">
        <v>485</v>
      </c>
      <c r="AA25" s="15" t="s">
        <v>485</v>
      </c>
      <c r="AB25" s="15" t="s">
        <v>485</v>
      </c>
      <c r="AC25" s="15" t="s">
        <v>485</v>
      </c>
      <c r="AD25" s="15" t="s">
        <v>485</v>
      </c>
      <c r="AE25" s="15" t="s">
        <v>485</v>
      </c>
      <c r="AF25" s="15" t="s">
        <v>485</v>
      </c>
    </row>
    <row r="26" spans="1:32">
      <c r="A26" s="23"/>
      <c r="B26" s="11" t="s">
        <v>486</v>
      </c>
      <c r="C26" s="12">
        <v>622</v>
      </c>
      <c r="D26" s="12">
        <v>0</v>
      </c>
      <c r="E26" s="12">
        <v>0</v>
      </c>
      <c r="F26" s="12">
        <v>0</v>
      </c>
      <c r="G26" s="12">
        <v>0</v>
      </c>
      <c r="H26" s="12">
        <v>0</v>
      </c>
      <c r="I26" s="12">
        <v>0</v>
      </c>
      <c r="J26" s="12">
        <v>0</v>
      </c>
      <c r="K26" s="12">
        <v>0</v>
      </c>
      <c r="L26" s="12">
        <v>0</v>
      </c>
      <c r="M26" s="12">
        <v>1011</v>
      </c>
      <c r="N26" s="12">
        <v>0</v>
      </c>
      <c r="O26" s="12">
        <v>0</v>
      </c>
      <c r="P26" s="12">
        <v>0</v>
      </c>
      <c r="Q26" s="12">
        <v>0</v>
      </c>
      <c r="R26" s="12">
        <v>0</v>
      </c>
      <c r="S26" s="12">
        <v>0</v>
      </c>
      <c r="T26" s="12">
        <v>0</v>
      </c>
      <c r="U26" s="12">
        <v>0</v>
      </c>
      <c r="V26" s="12">
        <v>0</v>
      </c>
      <c r="W26" s="12">
        <v>0</v>
      </c>
      <c r="X26" s="12">
        <v>0</v>
      </c>
      <c r="Y26" s="12">
        <v>0</v>
      </c>
      <c r="Z26" s="12">
        <v>0</v>
      </c>
      <c r="AA26" s="12">
        <v>0</v>
      </c>
      <c r="AB26" s="12">
        <v>0</v>
      </c>
      <c r="AC26" s="12">
        <v>0</v>
      </c>
      <c r="AD26" s="12">
        <v>0</v>
      </c>
      <c r="AE26" s="12">
        <v>0</v>
      </c>
      <c r="AF26" s="12">
        <v>0</v>
      </c>
    </row>
    <row r="27" spans="1:32">
      <c r="A27" s="23"/>
      <c r="B27" s="13" t="s">
        <v>486</v>
      </c>
      <c r="C27" s="14">
        <v>0.02</v>
      </c>
      <c r="D27" s="15" t="s">
        <v>485</v>
      </c>
      <c r="E27" s="15" t="s">
        <v>485</v>
      </c>
      <c r="F27" s="15" t="s">
        <v>485</v>
      </c>
      <c r="G27" s="15" t="s">
        <v>485</v>
      </c>
      <c r="H27" s="15" t="s">
        <v>485</v>
      </c>
      <c r="I27" s="15" t="s">
        <v>485</v>
      </c>
      <c r="J27" s="15" t="s">
        <v>485</v>
      </c>
      <c r="K27" s="15" t="s">
        <v>485</v>
      </c>
      <c r="L27" s="15" t="s">
        <v>485</v>
      </c>
      <c r="M27" s="14">
        <v>1</v>
      </c>
      <c r="N27" s="15" t="s">
        <v>485</v>
      </c>
      <c r="O27" s="15" t="s">
        <v>485</v>
      </c>
      <c r="P27" s="15" t="s">
        <v>485</v>
      </c>
      <c r="Q27" s="15" t="s">
        <v>485</v>
      </c>
      <c r="R27" s="15" t="s">
        <v>485</v>
      </c>
      <c r="S27" s="15" t="s">
        <v>485</v>
      </c>
      <c r="T27" s="15" t="s">
        <v>485</v>
      </c>
      <c r="U27" s="15" t="s">
        <v>485</v>
      </c>
      <c r="V27" s="15" t="s">
        <v>485</v>
      </c>
      <c r="W27" s="15" t="s">
        <v>485</v>
      </c>
      <c r="X27" s="15" t="s">
        <v>485</v>
      </c>
      <c r="Y27" s="15" t="s">
        <v>485</v>
      </c>
      <c r="Z27" s="15" t="s">
        <v>485</v>
      </c>
      <c r="AA27" s="15" t="s">
        <v>485</v>
      </c>
      <c r="AB27" s="15" t="s">
        <v>485</v>
      </c>
      <c r="AC27" s="15" t="s">
        <v>485</v>
      </c>
      <c r="AD27" s="15" t="s">
        <v>485</v>
      </c>
      <c r="AE27" s="15" t="s">
        <v>485</v>
      </c>
      <c r="AF27" s="15" t="s">
        <v>485</v>
      </c>
    </row>
    <row r="28" spans="1:32">
      <c r="A28" s="23"/>
      <c r="B28" s="11" t="s">
        <v>465</v>
      </c>
      <c r="C28" s="12">
        <v>2866</v>
      </c>
      <c r="D28" s="12">
        <v>0</v>
      </c>
      <c r="E28" s="12">
        <v>0</v>
      </c>
      <c r="F28" s="12">
        <v>0</v>
      </c>
      <c r="G28" s="12">
        <v>0</v>
      </c>
      <c r="H28" s="12">
        <v>0</v>
      </c>
      <c r="I28" s="12">
        <v>0</v>
      </c>
      <c r="J28" s="12">
        <v>0</v>
      </c>
      <c r="K28" s="12">
        <v>0</v>
      </c>
      <c r="L28" s="12">
        <v>0</v>
      </c>
      <c r="M28" s="12">
        <v>0</v>
      </c>
      <c r="N28" s="12">
        <v>1000</v>
      </c>
      <c r="O28" s="12">
        <v>0</v>
      </c>
      <c r="P28" s="12">
        <v>0</v>
      </c>
      <c r="Q28" s="12">
        <v>0</v>
      </c>
      <c r="R28" s="12">
        <v>0</v>
      </c>
      <c r="S28" s="12">
        <v>0</v>
      </c>
      <c r="T28" s="12">
        <v>0</v>
      </c>
      <c r="U28" s="12">
        <v>0</v>
      </c>
      <c r="V28" s="12">
        <v>0</v>
      </c>
      <c r="W28" s="12">
        <v>0</v>
      </c>
      <c r="X28" s="12">
        <v>0</v>
      </c>
      <c r="Y28" s="12">
        <v>0</v>
      </c>
      <c r="Z28" s="12">
        <v>0</v>
      </c>
      <c r="AA28" s="12">
        <v>0</v>
      </c>
      <c r="AB28" s="12">
        <v>0</v>
      </c>
      <c r="AC28" s="12">
        <v>0</v>
      </c>
      <c r="AD28" s="12">
        <v>0</v>
      </c>
      <c r="AE28" s="12">
        <v>0</v>
      </c>
      <c r="AF28" s="12">
        <v>0</v>
      </c>
    </row>
    <row r="29" spans="1:32">
      <c r="A29" s="23"/>
      <c r="B29" s="13" t="s">
        <v>465</v>
      </c>
      <c r="C29" s="14">
        <v>0.11</v>
      </c>
      <c r="D29" s="15" t="s">
        <v>485</v>
      </c>
      <c r="E29" s="15" t="s">
        <v>485</v>
      </c>
      <c r="F29" s="15" t="s">
        <v>485</v>
      </c>
      <c r="G29" s="15" t="s">
        <v>485</v>
      </c>
      <c r="H29" s="15" t="s">
        <v>485</v>
      </c>
      <c r="I29" s="15" t="s">
        <v>485</v>
      </c>
      <c r="J29" s="15" t="s">
        <v>485</v>
      </c>
      <c r="K29" s="15" t="s">
        <v>485</v>
      </c>
      <c r="L29" s="15" t="s">
        <v>485</v>
      </c>
      <c r="M29" s="15" t="s">
        <v>485</v>
      </c>
      <c r="N29" s="14">
        <v>1</v>
      </c>
      <c r="O29" s="15" t="s">
        <v>485</v>
      </c>
      <c r="P29" s="15" t="s">
        <v>485</v>
      </c>
      <c r="Q29" s="15" t="s">
        <v>485</v>
      </c>
      <c r="R29" s="15" t="s">
        <v>485</v>
      </c>
      <c r="S29" s="15" t="s">
        <v>485</v>
      </c>
      <c r="T29" s="15" t="s">
        <v>485</v>
      </c>
      <c r="U29" s="15" t="s">
        <v>485</v>
      </c>
      <c r="V29" s="15" t="s">
        <v>485</v>
      </c>
      <c r="W29" s="15" t="s">
        <v>485</v>
      </c>
      <c r="X29" s="15" t="s">
        <v>485</v>
      </c>
      <c r="Y29" s="15" t="s">
        <v>485</v>
      </c>
      <c r="Z29" s="15" t="s">
        <v>485</v>
      </c>
      <c r="AA29" s="15" t="s">
        <v>485</v>
      </c>
      <c r="AB29" s="15" t="s">
        <v>485</v>
      </c>
      <c r="AC29" s="15" t="s">
        <v>485</v>
      </c>
      <c r="AD29" s="15" t="s">
        <v>485</v>
      </c>
      <c r="AE29" s="15" t="s">
        <v>485</v>
      </c>
      <c r="AF29" s="15" t="s">
        <v>485</v>
      </c>
    </row>
    <row r="30" spans="1:32">
      <c r="A30" s="23"/>
      <c r="B30" s="11" t="s">
        <v>482</v>
      </c>
      <c r="C30" s="12">
        <v>326</v>
      </c>
      <c r="D30" s="12">
        <v>0</v>
      </c>
      <c r="E30" s="12">
        <v>0</v>
      </c>
      <c r="F30" s="12">
        <v>0</v>
      </c>
      <c r="G30" s="12">
        <v>0</v>
      </c>
      <c r="H30" s="12">
        <v>0</v>
      </c>
      <c r="I30" s="12">
        <v>0</v>
      </c>
      <c r="J30" s="12">
        <v>0</v>
      </c>
      <c r="K30" s="12">
        <v>0</v>
      </c>
      <c r="L30" s="12">
        <v>0</v>
      </c>
      <c r="M30" s="12">
        <v>0</v>
      </c>
      <c r="N30" s="12">
        <v>0</v>
      </c>
      <c r="O30" s="12">
        <v>0</v>
      </c>
      <c r="P30" s="12">
        <v>0</v>
      </c>
      <c r="Q30" s="12">
        <v>0</v>
      </c>
      <c r="R30" s="12">
        <v>0</v>
      </c>
      <c r="S30" s="12">
        <v>0</v>
      </c>
      <c r="T30" s="12">
        <v>0</v>
      </c>
      <c r="U30" s="12">
        <v>0</v>
      </c>
      <c r="V30" s="12">
        <v>0</v>
      </c>
      <c r="W30" s="12">
        <v>0</v>
      </c>
      <c r="X30" s="12">
        <v>0</v>
      </c>
      <c r="Y30" s="12">
        <v>0</v>
      </c>
      <c r="Z30" s="12">
        <v>0</v>
      </c>
      <c r="AA30" s="12">
        <v>0</v>
      </c>
      <c r="AB30" s="12">
        <v>0</v>
      </c>
      <c r="AC30" s="12">
        <v>0</v>
      </c>
      <c r="AD30" s="12">
        <v>0</v>
      </c>
      <c r="AE30" s="12">
        <v>1008</v>
      </c>
      <c r="AF30" s="12">
        <v>0</v>
      </c>
    </row>
    <row r="31" spans="1:32">
      <c r="A31" s="23"/>
      <c r="B31" s="13" t="s">
        <v>482</v>
      </c>
      <c r="C31" s="14">
        <v>0.01</v>
      </c>
      <c r="D31" s="15" t="s">
        <v>485</v>
      </c>
      <c r="E31" s="15" t="s">
        <v>485</v>
      </c>
      <c r="F31" s="15" t="s">
        <v>485</v>
      </c>
      <c r="G31" s="15" t="s">
        <v>485</v>
      </c>
      <c r="H31" s="15" t="s">
        <v>485</v>
      </c>
      <c r="I31" s="15" t="s">
        <v>485</v>
      </c>
      <c r="J31" s="15" t="s">
        <v>485</v>
      </c>
      <c r="K31" s="15" t="s">
        <v>485</v>
      </c>
      <c r="L31" s="15" t="s">
        <v>485</v>
      </c>
      <c r="M31" s="15" t="s">
        <v>485</v>
      </c>
      <c r="N31" s="15" t="s">
        <v>485</v>
      </c>
      <c r="O31" s="15" t="s">
        <v>485</v>
      </c>
      <c r="P31" s="15" t="s">
        <v>485</v>
      </c>
      <c r="Q31" s="15" t="s">
        <v>485</v>
      </c>
      <c r="R31" s="15" t="s">
        <v>485</v>
      </c>
      <c r="S31" s="15" t="s">
        <v>485</v>
      </c>
      <c r="T31" s="15" t="s">
        <v>485</v>
      </c>
      <c r="U31" s="15" t="s">
        <v>485</v>
      </c>
      <c r="V31" s="15" t="s">
        <v>485</v>
      </c>
      <c r="W31" s="15" t="s">
        <v>485</v>
      </c>
      <c r="X31" s="15" t="s">
        <v>485</v>
      </c>
      <c r="Y31" s="15" t="s">
        <v>485</v>
      </c>
      <c r="Z31" s="15" t="s">
        <v>485</v>
      </c>
      <c r="AA31" s="15" t="s">
        <v>485</v>
      </c>
      <c r="AB31" s="15" t="s">
        <v>485</v>
      </c>
      <c r="AC31" s="15" t="s">
        <v>485</v>
      </c>
      <c r="AD31" s="15" t="s">
        <v>485</v>
      </c>
      <c r="AE31" s="14">
        <v>1</v>
      </c>
      <c r="AF31" s="15" t="s">
        <v>485</v>
      </c>
    </row>
    <row r="32" spans="1:32">
      <c r="A32" s="23"/>
      <c r="B32" s="11" t="s">
        <v>466</v>
      </c>
      <c r="C32" s="12">
        <v>3890</v>
      </c>
      <c r="D32" s="12">
        <v>0</v>
      </c>
      <c r="E32" s="12">
        <v>0</v>
      </c>
      <c r="F32" s="12">
        <v>0</v>
      </c>
      <c r="G32" s="12">
        <v>0</v>
      </c>
      <c r="H32" s="12">
        <v>0</v>
      </c>
      <c r="I32" s="12">
        <v>0</v>
      </c>
      <c r="J32" s="12">
        <v>0</v>
      </c>
      <c r="K32" s="12">
        <v>0</v>
      </c>
      <c r="L32" s="12">
        <v>0</v>
      </c>
      <c r="M32" s="12">
        <v>0</v>
      </c>
      <c r="N32" s="12">
        <v>0</v>
      </c>
      <c r="O32" s="12">
        <v>1006</v>
      </c>
      <c r="P32" s="12">
        <v>0</v>
      </c>
      <c r="Q32" s="12">
        <v>0</v>
      </c>
      <c r="R32" s="12">
        <v>0</v>
      </c>
      <c r="S32" s="12">
        <v>0</v>
      </c>
      <c r="T32" s="12">
        <v>0</v>
      </c>
      <c r="U32" s="12">
        <v>0</v>
      </c>
      <c r="V32" s="12">
        <v>0</v>
      </c>
      <c r="W32" s="12">
        <v>0</v>
      </c>
      <c r="X32" s="12">
        <v>0</v>
      </c>
      <c r="Y32" s="12">
        <v>0</v>
      </c>
      <c r="Z32" s="12">
        <v>0</v>
      </c>
      <c r="AA32" s="12">
        <v>0</v>
      </c>
      <c r="AB32" s="12">
        <v>0</v>
      </c>
      <c r="AC32" s="12">
        <v>0</v>
      </c>
      <c r="AD32" s="12">
        <v>0</v>
      </c>
      <c r="AE32" s="12">
        <v>0</v>
      </c>
      <c r="AF32" s="12">
        <v>0</v>
      </c>
    </row>
    <row r="33" spans="1:32">
      <c r="A33" s="23"/>
      <c r="B33" s="13" t="s">
        <v>466</v>
      </c>
      <c r="C33" s="14">
        <v>0.15</v>
      </c>
      <c r="D33" s="15" t="s">
        <v>485</v>
      </c>
      <c r="E33" s="15" t="s">
        <v>485</v>
      </c>
      <c r="F33" s="15" t="s">
        <v>485</v>
      </c>
      <c r="G33" s="15" t="s">
        <v>485</v>
      </c>
      <c r="H33" s="15" t="s">
        <v>485</v>
      </c>
      <c r="I33" s="15" t="s">
        <v>485</v>
      </c>
      <c r="J33" s="15" t="s">
        <v>485</v>
      </c>
      <c r="K33" s="15" t="s">
        <v>485</v>
      </c>
      <c r="L33" s="15" t="s">
        <v>485</v>
      </c>
      <c r="M33" s="15" t="s">
        <v>485</v>
      </c>
      <c r="N33" s="15" t="s">
        <v>485</v>
      </c>
      <c r="O33" s="14">
        <v>1</v>
      </c>
      <c r="P33" s="15" t="s">
        <v>485</v>
      </c>
      <c r="Q33" s="15" t="s">
        <v>485</v>
      </c>
      <c r="R33" s="15" t="s">
        <v>485</v>
      </c>
      <c r="S33" s="15" t="s">
        <v>485</v>
      </c>
      <c r="T33" s="15" t="s">
        <v>485</v>
      </c>
      <c r="U33" s="15" t="s">
        <v>485</v>
      </c>
      <c r="V33" s="15" t="s">
        <v>485</v>
      </c>
      <c r="W33" s="15" t="s">
        <v>485</v>
      </c>
      <c r="X33" s="15" t="s">
        <v>485</v>
      </c>
      <c r="Y33" s="15" t="s">
        <v>485</v>
      </c>
      <c r="Z33" s="15" t="s">
        <v>485</v>
      </c>
      <c r="AA33" s="15" t="s">
        <v>485</v>
      </c>
      <c r="AB33" s="15" t="s">
        <v>485</v>
      </c>
      <c r="AC33" s="15" t="s">
        <v>485</v>
      </c>
      <c r="AD33" s="15" t="s">
        <v>485</v>
      </c>
      <c r="AE33" s="15" t="s">
        <v>485</v>
      </c>
      <c r="AF33" s="15" t="s">
        <v>485</v>
      </c>
    </row>
    <row r="34" spans="1:32">
      <c r="A34" s="23"/>
      <c r="B34" s="11" t="s">
        <v>467</v>
      </c>
      <c r="C34" s="12">
        <v>228</v>
      </c>
      <c r="D34" s="12">
        <v>0</v>
      </c>
      <c r="E34" s="12">
        <v>0</v>
      </c>
      <c r="F34" s="12">
        <v>0</v>
      </c>
      <c r="G34" s="12">
        <v>0</v>
      </c>
      <c r="H34" s="12">
        <v>0</v>
      </c>
      <c r="I34" s="12">
        <v>0</v>
      </c>
      <c r="J34" s="12">
        <v>0</v>
      </c>
      <c r="K34" s="12">
        <v>0</v>
      </c>
      <c r="L34" s="12">
        <v>0</v>
      </c>
      <c r="M34" s="12">
        <v>0</v>
      </c>
      <c r="N34" s="12">
        <v>0</v>
      </c>
      <c r="O34" s="12">
        <v>0</v>
      </c>
      <c r="P34" s="12">
        <v>1011</v>
      </c>
      <c r="Q34" s="12">
        <v>0</v>
      </c>
      <c r="R34" s="12">
        <v>0</v>
      </c>
      <c r="S34" s="12">
        <v>0</v>
      </c>
      <c r="T34" s="12">
        <v>0</v>
      </c>
      <c r="U34" s="12">
        <v>0</v>
      </c>
      <c r="V34" s="12">
        <v>0</v>
      </c>
      <c r="W34" s="12">
        <v>0</v>
      </c>
      <c r="X34" s="12">
        <v>0</v>
      </c>
      <c r="Y34" s="12">
        <v>0</v>
      </c>
      <c r="Z34" s="12">
        <v>0</v>
      </c>
      <c r="AA34" s="12">
        <v>0</v>
      </c>
      <c r="AB34" s="12">
        <v>0</v>
      </c>
      <c r="AC34" s="12">
        <v>0</v>
      </c>
      <c r="AD34" s="12">
        <v>0</v>
      </c>
      <c r="AE34" s="12">
        <v>0</v>
      </c>
      <c r="AF34" s="12">
        <v>0</v>
      </c>
    </row>
    <row r="35" spans="1:32">
      <c r="A35" s="23"/>
      <c r="B35" s="13" t="s">
        <v>467</v>
      </c>
      <c r="C35" s="14">
        <v>0.01</v>
      </c>
      <c r="D35" s="15" t="s">
        <v>485</v>
      </c>
      <c r="E35" s="15" t="s">
        <v>485</v>
      </c>
      <c r="F35" s="15" t="s">
        <v>485</v>
      </c>
      <c r="G35" s="15" t="s">
        <v>485</v>
      </c>
      <c r="H35" s="15" t="s">
        <v>485</v>
      </c>
      <c r="I35" s="15" t="s">
        <v>485</v>
      </c>
      <c r="J35" s="15" t="s">
        <v>485</v>
      </c>
      <c r="K35" s="15" t="s">
        <v>485</v>
      </c>
      <c r="L35" s="15" t="s">
        <v>485</v>
      </c>
      <c r="M35" s="15" t="s">
        <v>485</v>
      </c>
      <c r="N35" s="15" t="s">
        <v>485</v>
      </c>
      <c r="O35" s="15" t="s">
        <v>485</v>
      </c>
      <c r="P35" s="14">
        <v>1</v>
      </c>
      <c r="Q35" s="15" t="s">
        <v>485</v>
      </c>
      <c r="R35" s="15" t="s">
        <v>485</v>
      </c>
      <c r="S35" s="15" t="s">
        <v>485</v>
      </c>
      <c r="T35" s="15" t="s">
        <v>485</v>
      </c>
      <c r="U35" s="15" t="s">
        <v>485</v>
      </c>
      <c r="V35" s="15" t="s">
        <v>485</v>
      </c>
      <c r="W35" s="15" t="s">
        <v>485</v>
      </c>
      <c r="X35" s="15" t="s">
        <v>485</v>
      </c>
      <c r="Y35" s="15" t="s">
        <v>485</v>
      </c>
      <c r="Z35" s="15" t="s">
        <v>485</v>
      </c>
      <c r="AA35" s="15" t="s">
        <v>485</v>
      </c>
      <c r="AB35" s="15" t="s">
        <v>485</v>
      </c>
      <c r="AC35" s="15" t="s">
        <v>485</v>
      </c>
      <c r="AD35" s="15" t="s">
        <v>485</v>
      </c>
      <c r="AE35" s="15" t="s">
        <v>485</v>
      </c>
      <c r="AF35" s="15" t="s">
        <v>485</v>
      </c>
    </row>
    <row r="36" spans="1:32">
      <c r="A36" s="23"/>
      <c r="B36" s="11" t="s">
        <v>473</v>
      </c>
      <c r="C36" s="12">
        <v>566</v>
      </c>
      <c r="D36" s="12">
        <v>0</v>
      </c>
      <c r="E36" s="12">
        <v>0</v>
      </c>
      <c r="F36" s="12">
        <v>0</v>
      </c>
      <c r="G36" s="12">
        <v>0</v>
      </c>
      <c r="H36" s="12">
        <v>0</v>
      </c>
      <c r="I36" s="12">
        <v>0</v>
      </c>
      <c r="J36" s="12">
        <v>0</v>
      </c>
      <c r="K36" s="12">
        <v>0</v>
      </c>
      <c r="L36" s="12">
        <v>0</v>
      </c>
      <c r="M36" s="12">
        <v>0</v>
      </c>
      <c r="N36" s="12">
        <v>0</v>
      </c>
      <c r="O36" s="12">
        <v>0</v>
      </c>
      <c r="P36" s="12">
        <v>0</v>
      </c>
      <c r="Q36" s="12">
        <v>0</v>
      </c>
      <c r="R36" s="12">
        <v>0</v>
      </c>
      <c r="S36" s="12">
        <v>0</v>
      </c>
      <c r="T36" s="12">
        <v>0</v>
      </c>
      <c r="U36" s="12">
        <v>0</v>
      </c>
      <c r="V36" s="12">
        <v>1011</v>
      </c>
      <c r="W36" s="12">
        <v>0</v>
      </c>
      <c r="X36" s="12">
        <v>0</v>
      </c>
      <c r="Y36" s="12">
        <v>0</v>
      </c>
      <c r="Z36" s="12">
        <v>0</v>
      </c>
      <c r="AA36" s="12">
        <v>0</v>
      </c>
      <c r="AB36" s="12">
        <v>0</v>
      </c>
      <c r="AC36" s="12">
        <v>0</v>
      </c>
      <c r="AD36" s="12">
        <v>0</v>
      </c>
      <c r="AE36" s="12">
        <v>0</v>
      </c>
      <c r="AF36" s="12">
        <v>0</v>
      </c>
    </row>
    <row r="37" spans="1:32">
      <c r="A37" s="23"/>
      <c r="B37" s="13" t="s">
        <v>473</v>
      </c>
      <c r="C37" s="14">
        <v>0.02</v>
      </c>
      <c r="D37" s="15" t="s">
        <v>485</v>
      </c>
      <c r="E37" s="15" t="s">
        <v>485</v>
      </c>
      <c r="F37" s="15" t="s">
        <v>485</v>
      </c>
      <c r="G37" s="15" t="s">
        <v>485</v>
      </c>
      <c r="H37" s="15" t="s">
        <v>485</v>
      </c>
      <c r="I37" s="15" t="s">
        <v>485</v>
      </c>
      <c r="J37" s="15" t="s">
        <v>485</v>
      </c>
      <c r="K37" s="15" t="s">
        <v>485</v>
      </c>
      <c r="L37" s="15" t="s">
        <v>485</v>
      </c>
      <c r="M37" s="15" t="s">
        <v>485</v>
      </c>
      <c r="N37" s="15" t="s">
        <v>485</v>
      </c>
      <c r="O37" s="15" t="s">
        <v>485</v>
      </c>
      <c r="P37" s="15" t="s">
        <v>485</v>
      </c>
      <c r="Q37" s="15" t="s">
        <v>485</v>
      </c>
      <c r="R37" s="15" t="s">
        <v>485</v>
      </c>
      <c r="S37" s="15" t="s">
        <v>485</v>
      </c>
      <c r="T37" s="15" t="s">
        <v>485</v>
      </c>
      <c r="U37" s="15" t="s">
        <v>485</v>
      </c>
      <c r="V37" s="14">
        <v>1</v>
      </c>
      <c r="W37" s="15" t="s">
        <v>485</v>
      </c>
      <c r="X37" s="15" t="s">
        <v>485</v>
      </c>
      <c r="Y37" s="15" t="s">
        <v>485</v>
      </c>
      <c r="Z37" s="15" t="s">
        <v>485</v>
      </c>
      <c r="AA37" s="15" t="s">
        <v>485</v>
      </c>
      <c r="AB37" s="15" t="s">
        <v>485</v>
      </c>
      <c r="AC37" s="15" t="s">
        <v>485</v>
      </c>
      <c r="AD37" s="15" t="s">
        <v>485</v>
      </c>
      <c r="AE37" s="15" t="s">
        <v>485</v>
      </c>
      <c r="AF37" s="15" t="s">
        <v>485</v>
      </c>
    </row>
    <row r="38" spans="1:32">
      <c r="A38" s="23"/>
      <c r="B38" s="11" t="s">
        <v>463</v>
      </c>
      <c r="C38" s="12">
        <v>293</v>
      </c>
      <c r="D38" s="12">
        <v>0</v>
      </c>
      <c r="E38" s="12">
        <v>0</v>
      </c>
      <c r="F38" s="12">
        <v>0</v>
      </c>
      <c r="G38" s="12">
        <v>0</v>
      </c>
      <c r="H38" s="12">
        <v>0</v>
      </c>
      <c r="I38" s="12">
        <v>0</v>
      </c>
      <c r="J38" s="12">
        <v>0</v>
      </c>
      <c r="K38" s="12">
        <v>0</v>
      </c>
      <c r="L38" s="12">
        <v>1007</v>
      </c>
      <c r="M38" s="12">
        <v>0</v>
      </c>
      <c r="N38" s="12">
        <v>0</v>
      </c>
      <c r="O38" s="12">
        <v>0</v>
      </c>
      <c r="P38" s="12">
        <v>0</v>
      </c>
      <c r="Q38" s="12">
        <v>0</v>
      </c>
      <c r="R38" s="12">
        <v>0</v>
      </c>
      <c r="S38" s="12">
        <v>0</v>
      </c>
      <c r="T38" s="12">
        <v>0</v>
      </c>
      <c r="U38" s="12">
        <v>0</v>
      </c>
      <c r="V38" s="12">
        <v>0</v>
      </c>
      <c r="W38" s="12">
        <v>0</v>
      </c>
      <c r="X38" s="12">
        <v>0</v>
      </c>
      <c r="Y38" s="12">
        <v>0</v>
      </c>
      <c r="Z38" s="12">
        <v>0</v>
      </c>
      <c r="AA38" s="12">
        <v>0</v>
      </c>
      <c r="AB38" s="12">
        <v>0</v>
      </c>
      <c r="AC38" s="12">
        <v>0</v>
      </c>
      <c r="AD38" s="12">
        <v>0</v>
      </c>
      <c r="AE38" s="12">
        <v>0</v>
      </c>
      <c r="AF38" s="12">
        <v>0</v>
      </c>
    </row>
    <row r="39" spans="1:32">
      <c r="A39" s="23"/>
      <c r="B39" s="13" t="s">
        <v>463</v>
      </c>
      <c r="C39" s="14">
        <v>0.01</v>
      </c>
      <c r="D39" s="15" t="s">
        <v>485</v>
      </c>
      <c r="E39" s="15" t="s">
        <v>485</v>
      </c>
      <c r="F39" s="15" t="s">
        <v>485</v>
      </c>
      <c r="G39" s="15" t="s">
        <v>485</v>
      </c>
      <c r="H39" s="15" t="s">
        <v>485</v>
      </c>
      <c r="I39" s="15" t="s">
        <v>485</v>
      </c>
      <c r="J39" s="15" t="s">
        <v>485</v>
      </c>
      <c r="K39" s="15" t="s">
        <v>485</v>
      </c>
      <c r="L39" s="14">
        <v>1</v>
      </c>
      <c r="M39" s="15" t="s">
        <v>485</v>
      </c>
      <c r="N39" s="15" t="s">
        <v>485</v>
      </c>
      <c r="O39" s="15" t="s">
        <v>485</v>
      </c>
      <c r="P39" s="15" t="s">
        <v>485</v>
      </c>
      <c r="Q39" s="15" t="s">
        <v>485</v>
      </c>
      <c r="R39" s="15" t="s">
        <v>485</v>
      </c>
      <c r="S39" s="15" t="s">
        <v>485</v>
      </c>
      <c r="T39" s="15" t="s">
        <v>485</v>
      </c>
      <c r="U39" s="15" t="s">
        <v>485</v>
      </c>
      <c r="V39" s="15" t="s">
        <v>485</v>
      </c>
      <c r="W39" s="15" t="s">
        <v>485</v>
      </c>
      <c r="X39" s="15" t="s">
        <v>485</v>
      </c>
      <c r="Y39" s="15" t="s">
        <v>485</v>
      </c>
      <c r="Z39" s="15" t="s">
        <v>485</v>
      </c>
      <c r="AA39" s="15" t="s">
        <v>485</v>
      </c>
      <c r="AB39" s="15" t="s">
        <v>485</v>
      </c>
      <c r="AC39" s="15" t="s">
        <v>485</v>
      </c>
      <c r="AD39" s="15" t="s">
        <v>485</v>
      </c>
      <c r="AE39" s="15" t="s">
        <v>485</v>
      </c>
      <c r="AF39" s="15" t="s">
        <v>485</v>
      </c>
    </row>
    <row r="40" spans="1:32">
      <c r="A40" s="23"/>
      <c r="B40" s="11" t="s">
        <v>468</v>
      </c>
      <c r="C40" s="12">
        <v>3563</v>
      </c>
      <c r="D40" s="12">
        <v>0</v>
      </c>
      <c r="E40" s="12">
        <v>0</v>
      </c>
      <c r="F40" s="12">
        <v>0</v>
      </c>
      <c r="G40" s="12">
        <v>0</v>
      </c>
      <c r="H40" s="12">
        <v>0</v>
      </c>
      <c r="I40" s="12">
        <v>0</v>
      </c>
      <c r="J40" s="12">
        <v>0</v>
      </c>
      <c r="K40" s="12">
        <v>0</v>
      </c>
      <c r="L40" s="12">
        <v>0</v>
      </c>
      <c r="M40" s="12">
        <v>0</v>
      </c>
      <c r="N40" s="12">
        <v>0</v>
      </c>
      <c r="O40" s="12">
        <v>0</v>
      </c>
      <c r="P40" s="12">
        <v>0</v>
      </c>
      <c r="Q40" s="12">
        <v>1024</v>
      </c>
      <c r="R40" s="12">
        <v>0</v>
      </c>
      <c r="S40" s="12">
        <v>0</v>
      </c>
      <c r="T40" s="12">
        <v>0</v>
      </c>
      <c r="U40" s="12">
        <v>0</v>
      </c>
      <c r="V40" s="12">
        <v>0</v>
      </c>
      <c r="W40" s="12">
        <v>0</v>
      </c>
      <c r="X40" s="12">
        <v>0</v>
      </c>
      <c r="Y40" s="12">
        <v>0</v>
      </c>
      <c r="Z40" s="12">
        <v>0</v>
      </c>
      <c r="AA40" s="12">
        <v>0</v>
      </c>
      <c r="AB40" s="12">
        <v>0</v>
      </c>
      <c r="AC40" s="12">
        <v>0</v>
      </c>
      <c r="AD40" s="12">
        <v>0</v>
      </c>
      <c r="AE40" s="12">
        <v>0</v>
      </c>
      <c r="AF40" s="12">
        <v>0</v>
      </c>
    </row>
    <row r="41" spans="1:32">
      <c r="A41" s="23"/>
      <c r="B41" s="13" t="s">
        <v>468</v>
      </c>
      <c r="C41" s="14">
        <v>0.14000000000000001</v>
      </c>
      <c r="D41" s="15" t="s">
        <v>485</v>
      </c>
      <c r="E41" s="15" t="s">
        <v>485</v>
      </c>
      <c r="F41" s="15" t="s">
        <v>485</v>
      </c>
      <c r="G41" s="15" t="s">
        <v>485</v>
      </c>
      <c r="H41" s="15" t="s">
        <v>485</v>
      </c>
      <c r="I41" s="15" t="s">
        <v>485</v>
      </c>
      <c r="J41" s="15" t="s">
        <v>485</v>
      </c>
      <c r="K41" s="15" t="s">
        <v>485</v>
      </c>
      <c r="L41" s="15" t="s">
        <v>485</v>
      </c>
      <c r="M41" s="15" t="s">
        <v>485</v>
      </c>
      <c r="N41" s="15" t="s">
        <v>485</v>
      </c>
      <c r="O41" s="15" t="s">
        <v>485</v>
      </c>
      <c r="P41" s="15" t="s">
        <v>485</v>
      </c>
      <c r="Q41" s="14">
        <v>1</v>
      </c>
      <c r="R41" s="15" t="s">
        <v>485</v>
      </c>
      <c r="S41" s="15" t="s">
        <v>485</v>
      </c>
      <c r="T41" s="15" t="s">
        <v>485</v>
      </c>
      <c r="U41" s="15" t="s">
        <v>485</v>
      </c>
      <c r="V41" s="15" t="s">
        <v>485</v>
      </c>
      <c r="W41" s="15" t="s">
        <v>485</v>
      </c>
      <c r="X41" s="15" t="s">
        <v>485</v>
      </c>
      <c r="Y41" s="15" t="s">
        <v>485</v>
      </c>
      <c r="Z41" s="15" t="s">
        <v>485</v>
      </c>
      <c r="AA41" s="15" t="s">
        <v>485</v>
      </c>
      <c r="AB41" s="15" t="s">
        <v>485</v>
      </c>
      <c r="AC41" s="15" t="s">
        <v>485</v>
      </c>
      <c r="AD41" s="15" t="s">
        <v>485</v>
      </c>
      <c r="AE41" s="15" t="s">
        <v>485</v>
      </c>
      <c r="AF41" s="15" t="s">
        <v>485</v>
      </c>
    </row>
    <row r="42" spans="1:32">
      <c r="A42" s="23"/>
      <c r="B42" s="11" t="s">
        <v>471</v>
      </c>
      <c r="C42" s="12">
        <v>168</v>
      </c>
      <c r="D42" s="12">
        <v>0</v>
      </c>
      <c r="E42" s="12">
        <v>0</v>
      </c>
      <c r="F42" s="12">
        <v>0</v>
      </c>
      <c r="G42" s="12">
        <v>0</v>
      </c>
      <c r="H42" s="12">
        <v>0</v>
      </c>
      <c r="I42" s="12">
        <v>0</v>
      </c>
      <c r="J42" s="12">
        <v>0</v>
      </c>
      <c r="K42" s="12">
        <v>0</v>
      </c>
      <c r="L42" s="12">
        <v>0</v>
      </c>
      <c r="M42" s="12">
        <v>0</v>
      </c>
      <c r="N42" s="12">
        <v>0</v>
      </c>
      <c r="O42" s="12">
        <v>0</v>
      </c>
      <c r="P42" s="12">
        <v>0</v>
      </c>
      <c r="Q42" s="12">
        <v>0</v>
      </c>
      <c r="R42" s="12">
        <v>0</v>
      </c>
      <c r="S42" s="12">
        <v>0</v>
      </c>
      <c r="T42" s="12">
        <v>1004</v>
      </c>
      <c r="U42" s="12">
        <v>0</v>
      </c>
      <c r="V42" s="12">
        <v>0</v>
      </c>
      <c r="W42" s="12">
        <v>0</v>
      </c>
      <c r="X42" s="12">
        <v>0</v>
      </c>
      <c r="Y42" s="12">
        <v>0</v>
      </c>
      <c r="Z42" s="12">
        <v>0</v>
      </c>
      <c r="AA42" s="12">
        <v>0</v>
      </c>
      <c r="AB42" s="12">
        <v>0</v>
      </c>
      <c r="AC42" s="12">
        <v>0</v>
      </c>
      <c r="AD42" s="12">
        <v>0</v>
      </c>
      <c r="AE42" s="12">
        <v>0</v>
      </c>
      <c r="AF42" s="12">
        <v>0</v>
      </c>
    </row>
    <row r="43" spans="1:32">
      <c r="A43" s="23"/>
      <c r="B43" s="13" t="s">
        <v>471</v>
      </c>
      <c r="C43" s="14">
        <v>0.01</v>
      </c>
      <c r="D43" s="15" t="s">
        <v>485</v>
      </c>
      <c r="E43" s="15" t="s">
        <v>485</v>
      </c>
      <c r="F43" s="15" t="s">
        <v>485</v>
      </c>
      <c r="G43" s="15" t="s">
        <v>485</v>
      </c>
      <c r="H43" s="15" t="s">
        <v>485</v>
      </c>
      <c r="I43" s="15" t="s">
        <v>485</v>
      </c>
      <c r="J43" s="15" t="s">
        <v>485</v>
      </c>
      <c r="K43" s="15" t="s">
        <v>485</v>
      </c>
      <c r="L43" s="15" t="s">
        <v>485</v>
      </c>
      <c r="M43" s="15" t="s">
        <v>485</v>
      </c>
      <c r="N43" s="15" t="s">
        <v>485</v>
      </c>
      <c r="O43" s="15" t="s">
        <v>485</v>
      </c>
      <c r="P43" s="15" t="s">
        <v>485</v>
      </c>
      <c r="Q43" s="15" t="s">
        <v>485</v>
      </c>
      <c r="R43" s="15" t="s">
        <v>485</v>
      </c>
      <c r="S43" s="15" t="s">
        <v>485</v>
      </c>
      <c r="T43" s="14">
        <v>1</v>
      </c>
      <c r="U43" s="15" t="s">
        <v>485</v>
      </c>
      <c r="V43" s="15" t="s">
        <v>485</v>
      </c>
      <c r="W43" s="15" t="s">
        <v>485</v>
      </c>
      <c r="X43" s="15" t="s">
        <v>485</v>
      </c>
      <c r="Y43" s="15" t="s">
        <v>485</v>
      </c>
      <c r="Z43" s="15" t="s">
        <v>485</v>
      </c>
      <c r="AA43" s="15" t="s">
        <v>485</v>
      </c>
      <c r="AB43" s="15" t="s">
        <v>485</v>
      </c>
      <c r="AC43" s="15" t="s">
        <v>485</v>
      </c>
      <c r="AD43" s="15" t="s">
        <v>485</v>
      </c>
      <c r="AE43" s="15" t="s">
        <v>485</v>
      </c>
      <c r="AF43" s="15" t="s">
        <v>485</v>
      </c>
    </row>
    <row r="44" spans="1:32">
      <c r="A44" s="23"/>
      <c r="B44" s="11" t="s">
        <v>472</v>
      </c>
      <c r="C44" s="12">
        <v>38</v>
      </c>
      <c r="D44" s="12">
        <v>0</v>
      </c>
      <c r="E44" s="12">
        <v>0</v>
      </c>
      <c r="F44" s="12">
        <v>0</v>
      </c>
      <c r="G44" s="12">
        <v>0</v>
      </c>
      <c r="H44" s="12">
        <v>0</v>
      </c>
      <c r="I44" s="12">
        <v>0</v>
      </c>
      <c r="J44" s="12">
        <v>0</v>
      </c>
      <c r="K44" s="12">
        <v>0</v>
      </c>
      <c r="L44" s="12">
        <v>0</v>
      </c>
      <c r="M44" s="12">
        <v>0</v>
      </c>
      <c r="N44" s="12">
        <v>0</v>
      </c>
      <c r="O44" s="12">
        <v>0</v>
      </c>
      <c r="P44" s="12">
        <v>0</v>
      </c>
      <c r="Q44" s="12">
        <v>0</v>
      </c>
      <c r="R44" s="12">
        <v>0</v>
      </c>
      <c r="S44" s="12">
        <v>0</v>
      </c>
      <c r="T44" s="12">
        <v>0</v>
      </c>
      <c r="U44" s="12">
        <v>503</v>
      </c>
      <c r="V44" s="12">
        <v>0</v>
      </c>
      <c r="W44" s="12">
        <v>0</v>
      </c>
      <c r="X44" s="12">
        <v>0</v>
      </c>
      <c r="Y44" s="12">
        <v>0</v>
      </c>
      <c r="Z44" s="12">
        <v>0</v>
      </c>
      <c r="AA44" s="12">
        <v>0</v>
      </c>
      <c r="AB44" s="12">
        <v>0</v>
      </c>
      <c r="AC44" s="12">
        <v>0</v>
      </c>
      <c r="AD44" s="12">
        <v>0</v>
      </c>
      <c r="AE44" s="12">
        <v>0</v>
      </c>
      <c r="AF44" s="12">
        <v>0</v>
      </c>
    </row>
    <row r="45" spans="1:32">
      <c r="A45" s="23"/>
      <c r="B45" s="13" t="s">
        <v>472</v>
      </c>
      <c r="C45" s="15" t="s">
        <v>485</v>
      </c>
      <c r="D45" s="15" t="s">
        <v>485</v>
      </c>
      <c r="E45" s="15" t="s">
        <v>485</v>
      </c>
      <c r="F45" s="15" t="s">
        <v>485</v>
      </c>
      <c r="G45" s="15" t="s">
        <v>485</v>
      </c>
      <c r="H45" s="15" t="s">
        <v>485</v>
      </c>
      <c r="I45" s="15" t="s">
        <v>485</v>
      </c>
      <c r="J45" s="15" t="s">
        <v>485</v>
      </c>
      <c r="K45" s="15" t="s">
        <v>485</v>
      </c>
      <c r="L45" s="15" t="s">
        <v>485</v>
      </c>
      <c r="M45" s="15" t="s">
        <v>485</v>
      </c>
      <c r="N45" s="15" t="s">
        <v>485</v>
      </c>
      <c r="O45" s="15" t="s">
        <v>485</v>
      </c>
      <c r="P45" s="15" t="s">
        <v>485</v>
      </c>
      <c r="Q45" s="15" t="s">
        <v>485</v>
      </c>
      <c r="R45" s="15" t="s">
        <v>485</v>
      </c>
      <c r="S45" s="15" t="s">
        <v>485</v>
      </c>
      <c r="T45" s="15" t="s">
        <v>485</v>
      </c>
      <c r="U45" s="14">
        <v>1</v>
      </c>
      <c r="V45" s="15" t="s">
        <v>485</v>
      </c>
      <c r="W45" s="15" t="s">
        <v>485</v>
      </c>
      <c r="X45" s="15" t="s">
        <v>485</v>
      </c>
      <c r="Y45" s="15" t="s">
        <v>485</v>
      </c>
      <c r="Z45" s="15" t="s">
        <v>485</v>
      </c>
      <c r="AA45" s="15" t="s">
        <v>485</v>
      </c>
      <c r="AB45" s="15" t="s">
        <v>485</v>
      </c>
      <c r="AC45" s="15" t="s">
        <v>485</v>
      </c>
      <c r="AD45" s="15" t="s">
        <v>485</v>
      </c>
      <c r="AE45" s="15" t="s">
        <v>485</v>
      </c>
      <c r="AF45" s="15" t="s">
        <v>485</v>
      </c>
    </row>
    <row r="46" spans="1:32">
      <c r="A46" s="23"/>
      <c r="B46" s="11" t="s">
        <v>470</v>
      </c>
      <c r="C46" s="12">
        <v>109</v>
      </c>
      <c r="D46" s="12">
        <v>0</v>
      </c>
      <c r="E46" s="12">
        <v>0</v>
      </c>
      <c r="F46" s="12">
        <v>0</v>
      </c>
      <c r="G46" s="12">
        <v>0</v>
      </c>
      <c r="H46" s="12">
        <v>0</v>
      </c>
      <c r="I46" s="12">
        <v>0</v>
      </c>
      <c r="J46" s="12">
        <v>0</v>
      </c>
      <c r="K46" s="12">
        <v>0</v>
      </c>
      <c r="L46" s="12">
        <v>0</v>
      </c>
      <c r="M46" s="12">
        <v>0</v>
      </c>
      <c r="N46" s="12">
        <v>0</v>
      </c>
      <c r="O46" s="12">
        <v>0</v>
      </c>
      <c r="P46" s="12">
        <v>0</v>
      </c>
      <c r="Q46" s="12">
        <v>0</v>
      </c>
      <c r="R46" s="12">
        <v>0</v>
      </c>
      <c r="S46" s="12">
        <v>1005</v>
      </c>
      <c r="T46" s="12">
        <v>0</v>
      </c>
      <c r="U46" s="12">
        <v>0</v>
      </c>
      <c r="V46" s="12">
        <v>0</v>
      </c>
      <c r="W46" s="12">
        <v>0</v>
      </c>
      <c r="X46" s="12">
        <v>0</v>
      </c>
      <c r="Y46" s="12">
        <v>0</v>
      </c>
      <c r="Z46" s="12">
        <v>0</v>
      </c>
      <c r="AA46" s="12">
        <v>0</v>
      </c>
      <c r="AB46" s="12">
        <v>0</v>
      </c>
      <c r="AC46" s="12">
        <v>0</v>
      </c>
      <c r="AD46" s="12">
        <v>0</v>
      </c>
      <c r="AE46" s="12">
        <v>0</v>
      </c>
      <c r="AF46" s="12">
        <v>0</v>
      </c>
    </row>
    <row r="47" spans="1:32">
      <c r="A47" s="23"/>
      <c r="B47" s="13" t="s">
        <v>470</v>
      </c>
      <c r="C47" s="14">
        <v>0.01</v>
      </c>
      <c r="D47" s="15" t="s">
        <v>485</v>
      </c>
      <c r="E47" s="15" t="s">
        <v>485</v>
      </c>
      <c r="F47" s="15" t="s">
        <v>485</v>
      </c>
      <c r="G47" s="15" t="s">
        <v>485</v>
      </c>
      <c r="H47" s="15" t="s">
        <v>485</v>
      </c>
      <c r="I47" s="15" t="s">
        <v>485</v>
      </c>
      <c r="J47" s="15" t="s">
        <v>485</v>
      </c>
      <c r="K47" s="15" t="s">
        <v>485</v>
      </c>
      <c r="L47" s="15" t="s">
        <v>485</v>
      </c>
      <c r="M47" s="15" t="s">
        <v>485</v>
      </c>
      <c r="N47" s="15" t="s">
        <v>485</v>
      </c>
      <c r="O47" s="15" t="s">
        <v>485</v>
      </c>
      <c r="P47" s="15" t="s">
        <v>485</v>
      </c>
      <c r="Q47" s="15" t="s">
        <v>485</v>
      </c>
      <c r="R47" s="15" t="s">
        <v>485</v>
      </c>
      <c r="S47" s="14">
        <v>1</v>
      </c>
      <c r="T47" s="15" t="s">
        <v>485</v>
      </c>
      <c r="U47" s="15" t="s">
        <v>485</v>
      </c>
      <c r="V47" s="15" t="s">
        <v>485</v>
      </c>
      <c r="W47" s="15" t="s">
        <v>485</v>
      </c>
      <c r="X47" s="15" t="s">
        <v>485</v>
      </c>
      <c r="Y47" s="15" t="s">
        <v>485</v>
      </c>
      <c r="Z47" s="15" t="s">
        <v>485</v>
      </c>
      <c r="AA47" s="15" t="s">
        <v>485</v>
      </c>
      <c r="AB47" s="15" t="s">
        <v>485</v>
      </c>
      <c r="AC47" s="15" t="s">
        <v>485</v>
      </c>
      <c r="AD47" s="15" t="s">
        <v>485</v>
      </c>
      <c r="AE47" s="15" t="s">
        <v>485</v>
      </c>
      <c r="AF47" s="15" t="s">
        <v>485</v>
      </c>
    </row>
    <row r="48" spans="1:32">
      <c r="A48" s="23"/>
      <c r="B48" s="11" t="s">
        <v>474</v>
      </c>
      <c r="C48" s="12">
        <v>33</v>
      </c>
      <c r="D48" s="12">
        <v>0</v>
      </c>
      <c r="E48" s="12">
        <v>0</v>
      </c>
      <c r="F48" s="12">
        <v>0</v>
      </c>
      <c r="G48" s="12">
        <v>0</v>
      </c>
      <c r="H48" s="12">
        <v>0</v>
      </c>
      <c r="I48" s="12">
        <v>0</v>
      </c>
      <c r="J48" s="12">
        <v>0</v>
      </c>
      <c r="K48" s="12">
        <v>0</v>
      </c>
      <c r="L48" s="12">
        <v>0</v>
      </c>
      <c r="M48" s="12">
        <v>0</v>
      </c>
      <c r="N48" s="12">
        <v>0</v>
      </c>
      <c r="O48" s="12">
        <v>0</v>
      </c>
      <c r="P48" s="12">
        <v>0</v>
      </c>
      <c r="Q48" s="12">
        <v>0</v>
      </c>
      <c r="R48" s="12">
        <v>0</v>
      </c>
      <c r="S48" s="12">
        <v>0</v>
      </c>
      <c r="T48" s="12">
        <v>0</v>
      </c>
      <c r="U48" s="12">
        <v>0</v>
      </c>
      <c r="V48" s="12">
        <v>0</v>
      </c>
      <c r="W48" s="12">
        <v>503</v>
      </c>
      <c r="X48" s="12">
        <v>0</v>
      </c>
      <c r="Y48" s="12">
        <v>0</v>
      </c>
      <c r="Z48" s="12">
        <v>0</v>
      </c>
      <c r="AA48" s="12">
        <v>0</v>
      </c>
      <c r="AB48" s="12">
        <v>0</v>
      </c>
      <c r="AC48" s="12">
        <v>0</v>
      </c>
      <c r="AD48" s="12">
        <v>0</v>
      </c>
      <c r="AE48" s="12">
        <v>0</v>
      </c>
      <c r="AF48" s="12">
        <v>0</v>
      </c>
    </row>
    <row r="49" spans="1:32">
      <c r="A49" s="23"/>
      <c r="B49" s="13" t="s">
        <v>474</v>
      </c>
      <c r="C49" s="15" t="s">
        <v>485</v>
      </c>
      <c r="D49" s="15" t="s">
        <v>485</v>
      </c>
      <c r="E49" s="15" t="s">
        <v>485</v>
      </c>
      <c r="F49" s="15" t="s">
        <v>485</v>
      </c>
      <c r="G49" s="15" t="s">
        <v>485</v>
      </c>
      <c r="H49" s="15" t="s">
        <v>485</v>
      </c>
      <c r="I49" s="15" t="s">
        <v>485</v>
      </c>
      <c r="J49" s="15" t="s">
        <v>485</v>
      </c>
      <c r="K49" s="15" t="s">
        <v>485</v>
      </c>
      <c r="L49" s="15" t="s">
        <v>485</v>
      </c>
      <c r="M49" s="15" t="s">
        <v>485</v>
      </c>
      <c r="N49" s="15" t="s">
        <v>485</v>
      </c>
      <c r="O49" s="15" t="s">
        <v>485</v>
      </c>
      <c r="P49" s="15" t="s">
        <v>485</v>
      </c>
      <c r="Q49" s="15" t="s">
        <v>485</v>
      </c>
      <c r="R49" s="15" t="s">
        <v>485</v>
      </c>
      <c r="S49" s="15" t="s">
        <v>485</v>
      </c>
      <c r="T49" s="15" t="s">
        <v>485</v>
      </c>
      <c r="U49" s="15" t="s">
        <v>485</v>
      </c>
      <c r="V49" s="15" t="s">
        <v>485</v>
      </c>
      <c r="W49" s="14">
        <v>1</v>
      </c>
      <c r="X49" s="15" t="s">
        <v>485</v>
      </c>
      <c r="Y49" s="15" t="s">
        <v>485</v>
      </c>
      <c r="Z49" s="15" t="s">
        <v>485</v>
      </c>
      <c r="AA49" s="15" t="s">
        <v>485</v>
      </c>
      <c r="AB49" s="15" t="s">
        <v>485</v>
      </c>
      <c r="AC49" s="15" t="s">
        <v>485</v>
      </c>
      <c r="AD49" s="15" t="s">
        <v>485</v>
      </c>
      <c r="AE49" s="15" t="s">
        <v>485</v>
      </c>
      <c r="AF49" s="15" t="s">
        <v>485</v>
      </c>
    </row>
    <row r="50" spans="1:32">
      <c r="A50" s="23"/>
      <c r="B50" s="11" t="s">
        <v>475</v>
      </c>
      <c r="C50" s="12">
        <v>1041</v>
      </c>
      <c r="D50" s="12">
        <v>0</v>
      </c>
      <c r="E50" s="12">
        <v>0</v>
      </c>
      <c r="F50" s="12">
        <v>0</v>
      </c>
      <c r="G50" s="12">
        <v>0</v>
      </c>
      <c r="H50" s="12">
        <v>0</v>
      </c>
      <c r="I50" s="12">
        <v>0</v>
      </c>
      <c r="J50" s="12">
        <v>0</v>
      </c>
      <c r="K50" s="12">
        <v>0</v>
      </c>
      <c r="L50" s="12">
        <v>0</v>
      </c>
      <c r="M50" s="12">
        <v>0</v>
      </c>
      <c r="N50" s="12">
        <v>0</v>
      </c>
      <c r="O50" s="12">
        <v>0</v>
      </c>
      <c r="P50" s="12">
        <v>0</v>
      </c>
      <c r="Q50" s="12">
        <v>0</v>
      </c>
      <c r="R50" s="12">
        <v>0</v>
      </c>
      <c r="S50" s="12">
        <v>0</v>
      </c>
      <c r="T50" s="12">
        <v>0</v>
      </c>
      <c r="U50" s="12">
        <v>0</v>
      </c>
      <c r="V50" s="12">
        <v>0</v>
      </c>
      <c r="W50" s="12">
        <v>0</v>
      </c>
      <c r="X50" s="12">
        <v>1016</v>
      </c>
      <c r="Y50" s="12">
        <v>0</v>
      </c>
      <c r="Z50" s="12">
        <v>0</v>
      </c>
      <c r="AA50" s="12">
        <v>0</v>
      </c>
      <c r="AB50" s="12">
        <v>0</v>
      </c>
      <c r="AC50" s="12">
        <v>0</v>
      </c>
      <c r="AD50" s="12">
        <v>0</v>
      </c>
      <c r="AE50" s="12">
        <v>0</v>
      </c>
      <c r="AF50" s="12">
        <v>0</v>
      </c>
    </row>
    <row r="51" spans="1:32">
      <c r="A51" s="23"/>
      <c r="B51" s="13" t="s">
        <v>475</v>
      </c>
      <c r="C51" s="14">
        <v>0.04</v>
      </c>
      <c r="D51" s="15" t="s">
        <v>485</v>
      </c>
      <c r="E51" s="15" t="s">
        <v>485</v>
      </c>
      <c r="F51" s="15" t="s">
        <v>485</v>
      </c>
      <c r="G51" s="15" t="s">
        <v>485</v>
      </c>
      <c r="H51" s="15" t="s">
        <v>485</v>
      </c>
      <c r="I51" s="15" t="s">
        <v>485</v>
      </c>
      <c r="J51" s="15" t="s">
        <v>485</v>
      </c>
      <c r="K51" s="15" t="s">
        <v>485</v>
      </c>
      <c r="L51" s="15" t="s">
        <v>485</v>
      </c>
      <c r="M51" s="15" t="s">
        <v>485</v>
      </c>
      <c r="N51" s="15" t="s">
        <v>485</v>
      </c>
      <c r="O51" s="15" t="s">
        <v>485</v>
      </c>
      <c r="P51" s="15" t="s">
        <v>485</v>
      </c>
      <c r="Q51" s="15" t="s">
        <v>485</v>
      </c>
      <c r="R51" s="15" t="s">
        <v>485</v>
      </c>
      <c r="S51" s="15" t="s">
        <v>485</v>
      </c>
      <c r="T51" s="15" t="s">
        <v>485</v>
      </c>
      <c r="U51" s="15" t="s">
        <v>485</v>
      </c>
      <c r="V51" s="15" t="s">
        <v>485</v>
      </c>
      <c r="W51" s="15" t="s">
        <v>485</v>
      </c>
      <c r="X51" s="14">
        <v>1</v>
      </c>
      <c r="Y51" s="15" t="s">
        <v>485</v>
      </c>
      <c r="Z51" s="15" t="s">
        <v>485</v>
      </c>
      <c r="AA51" s="15" t="s">
        <v>485</v>
      </c>
      <c r="AB51" s="15" t="s">
        <v>485</v>
      </c>
      <c r="AC51" s="15" t="s">
        <v>485</v>
      </c>
      <c r="AD51" s="15" t="s">
        <v>485</v>
      </c>
      <c r="AE51" s="15" t="s">
        <v>485</v>
      </c>
      <c r="AF51" s="15" t="s">
        <v>485</v>
      </c>
    </row>
    <row r="52" spans="1:32">
      <c r="A52" s="23"/>
      <c r="B52" s="11" t="s">
        <v>477</v>
      </c>
      <c r="C52" s="12">
        <v>2145</v>
      </c>
      <c r="D52" s="12">
        <v>0</v>
      </c>
      <c r="E52" s="12">
        <v>0</v>
      </c>
      <c r="F52" s="12">
        <v>0</v>
      </c>
      <c r="G52" s="12">
        <v>0</v>
      </c>
      <c r="H52" s="12">
        <v>0</v>
      </c>
      <c r="I52" s="12">
        <v>0</v>
      </c>
      <c r="J52" s="12">
        <v>0</v>
      </c>
      <c r="K52" s="12">
        <v>0</v>
      </c>
      <c r="L52" s="12">
        <v>0</v>
      </c>
      <c r="M52" s="12">
        <v>0</v>
      </c>
      <c r="N52" s="12">
        <v>0</v>
      </c>
      <c r="O52" s="12">
        <v>0</v>
      </c>
      <c r="P52" s="12">
        <v>0</v>
      </c>
      <c r="Q52" s="12">
        <v>0</v>
      </c>
      <c r="R52" s="12">
        <v>0</v>
      </c>
      <c r="S52" s="12">
        <v>0</v>
      </c>
      <c r="T52" s="12">
        <v>0</v>
      </c>
      <c r="U52" s="12">
        <v>0</v>
      </c>
      <c r="V52" s="12">
        <v>0</v>
      </c>
      <c r="W52" s="12">
        <v>0</v>
      </c>
      <c r="X52" s="12">
        <v>0</v>
      </c>
      <c r="Y52" s="12">
        <v>0</v>
      </c>
      <c r="Z52" s="12">
        <v>1017</v>
      </c>
      <c r="AA52" s="12">
        <v>0</v>
      </c>
      <c r="AB52" s="12">
        <v>0</v>
      </c>
      <c r="AC52" s="12">
        <v>0</v>
      </c>
      <c r="AD52" s="12">
        <v>0</v>
      </c>
      <c r="AE52" s="12">
        <v>0</v>
      </c>
      <c r="AF52" s="12">
        <v>0</v>
      </c>
    </row>
    <row r="53" spans="1:32">
      <c r="A53" s="23"/>
      <c r="B53" s="13" t="s">
        <v>477</v>
      </c>
      <c r="C53" s="14">
        <v>0.08</v>
      </c>
      <c r="D53" s="15" t="s">
        <v>485</v>
      </c>
      <c r="E53" s="15" t="s">
        <v>485</v>
      </c>
      <c r="F53" s="15" t="s">
        <v>485</v>
      </c>
      <c r="G53" s="15" t="s">
        <v>485</v>
      </c>
      <c r="H53" s="15" t="s">
        <v>485</v>
      </c>
      <c r="I53" s="15" t="s">
        <v>485</v>
      </c>
      <c r="J53" s="15" t="s">
        <v>485</v>
      </c>
      <c r="K53" s="15" t="s">
        <v>485</v>
      </c>
      <c r="L53" s="15" t="s">
        <v>485</v>
      </c>
      <c r="M53" s="15" t="s">
        <v>485</v>
      </c>
      <c r="N53" s="15" t="s">
        <v>485</v>
      </c>
      <c r="O53" s="15" t="s">
        <v>485</v>
      </c>
      <c r="P53" s="15" t="s">
        <v>485</v>
      </c>
      <c r="Q53" s="15" t="s">
        <v>485</v>
      </c>
      <c r="R53" s="15" t="s">
        <v>485</v>
      </c>
      <c r="S53" s="15" t="s">
        <v>485</v>
      </c>
      <c r="T53" s="15" t="s">
        <v>485</v>
      </c>
      <c r="U53" s="15" t="s">
        <v>485</v>
      </c>
      <c r="V53" s="15" t="s">
        <v>485</v>
      </c>
      <c r="W53" s="15" t="s">
        <v>485</v>
      </c>
      <c r="X53" s="15" t="s">
        <v>485</v>
      </c>
      <c r="Y53" s="15" t="s">
        <v>485</v>
      </c>
      <c r="Z53" s="14">
        <v>1</v>
      </c>
      <c r="AA53" s="15" t="s">
        <v>485</v>
      </c>
      <c r="AB53" s="15" t="s">
        <v>485</v>
      </c>
      <c r="AC53" s="15" t="s">
        <v>485</v>
      </c>
      <c r="AD53" s="15" t="s">
        <v>485</v>
      </c>
      <c r="AE53" s="15" t="s">
        <v>485</v>
      </c>
      <c r="AF53" s="15" t="s">
        <v>485</v>
      </c>
    </row>
    <row r="54" spans="1:32">
      <c r="A54" s="23"/>
      <c r="B54" s="11" t="s">
        <v>478</v>
      </c>
      <c r="C54" s="12">
        <v>629</v>
      </c>
      <c r="D54" s="12">
        <v>0</v>
      </c>
      <c r="E54" s="12">
        <v>0</v>
      </c>
      <c r="F54" s="12">
        <v>0</v>
      </c>
      <c r="G54" s="12">
        <v>0</v>
      </c>
      <c r="H54" s="12">
        <v>0</v>
      </c>
      <c r="I54" s="12">
        <v>0</v>
      </c>
      <c r="J54" s="12">
        <v>0</v>
      </c>
      <c r="K54" s="12">
        <v>0</v>
      </c>
      <c r="L54" s="12">
        <v>0</v>
      </c>
      <c r="M54" s="12">
        <v>0</v>
      </c>
      <c r="N54" s="12">
        <v>0</v>
      </c>
      <c r="O54" s="12">
        <v>0</v>
      </c>
      <c r="P54" s="12">
        <v>0</v>
      </c>
      <c r="Q54" s="12">
        <v>0</v>
      </c>
      <c r="R54" s="12">
        <v>0</v>
      </c>
      <c r="S54" s="12">
        <v>0</v>
      </c>
      <c r="T54" s="12">
        <v>0</v>
      </c>
      <c r="U54" s="12">
        <v>0</v>
      </c>
      <c r="V54" s="12">
        <v>0</v>
      </c>
      <c r="W54" s="12">
        <v>0</v>
      </c>
      <c r="X54" s="12">
        <v>0</v>
      </c>
      <c r="Y54" s="12">
        <v>0</v>
      </c>
      <c r="Z54" s="12">
        <v>0</v>
      </c>
      <c r="AA54" s="12">
        <v>1040</v>
      </c>
      <c r="AB54" s="12">
        <v>0</v>
      </c>
      <c r="AC54" s="12">
        <v>0</v>
      </c>
      <c r="AD54" s="12">
        <v>0</v>
      </c>
      <c r="AE54" s="12">
        <v>0</v>
      </c>
      <c r="AF54" s="12">
        <v>0</v>
      </c>
    </row>
    <row r="55" spans="1:32">
      <c r="A55" s="23"/>
      <c r="B55" s="13" t="s">
        <v>478</v>
      </c>
      <c r="C55" s="14">
        <v>0.02</v>
      </c>
      <c r="D55" s="15" t="s">
        <v>485</v>
      </c>
      <c r="E55" s="15" t="s">
        <v>485</v>
      </c>
      <c r="F55" s="15" t="s">
        <v>485</v>
      </c>
      <c r="G55" s="15" t="s">
        <v>485</v>
      </c>
      <c r="H55" s="15" t="s">
        <v>485</v>
      </c>
      <c r="I55" s="15" t="s">
        <v>485</v>
      </c>
      <c r="J55" s="15" t="s">
        <v>485</v>
      </c>
      <c r="K55" s="15" t="s">
        <v>485</v>
      </c>
      <c r="L55" s="15" t="s">
        <v>485</v>
      </c>
      <c r="M55" s="15" t="s">
        <v>485</v>
      </c>
      <c r="N55" s="15" t="s">
        <v>485</v>
      </c>
      <c r="O55" s="15" t="s">
        <v>485</v>
      </c>
      <c r="P55" s="15" t="s">
        <v>485</v>
      </c>
      <c r="Q55" s="15" t="s">
        <v>485</v>
      </c>
      <c r="R55" s="15" t="s">
        <v>485</v>
      </c>
      <c r="S55" s="15" t="s">
        <v>485</v>
      </c>
      <c r="T55" s="15" t="s">
        <v>485</v>
      </c>
      <c r="U55" s="15" t="s">
        <v>485</v>
      </c>
      <c r="V55" s="15" t="s">
        <v>485</v>
      </c>
      <c r="W55" s="15" t="s">
        <v>485</v>
      </c>
      <c r="X55" s="15" t="s">
        <v>485</v>
      </c>
      <c r="Y55" s="15" t="s">
        <v>485</v>
      </c>
      <c r="Z55" s="15" t="s">
        <v>485</v>
      </c>
      <c r="AA55" s="14">
        <v>1</v>
      </c>
      <c r="AB55" s="15" t="s">
        <v>485</v>
      </c>
      <c r="AC55" s="15" t="s">
        <v>485</v>
      </c>
      <c r="AD55" s="15" t="s">
        <v>485</v>
      </c>
      <c r="AE55" s="15" t="s">
        <v>485</v>
      </c>
      <c r="AF55" s="15" t="s">
        <v>485</v>
      </c>
    </row>
    <row r="56" spans="1:32">
      <c r="A56" s="23"/>
      <c r="B56" s="11" t="s">
        <v>479</v>
      </c>
      <c r="C56" s="12">
        <v>1103</v>
      </c>
      <c r="D56" s="12">
        <v>0</v>
      </c>
      <c r="E56" s="12">
        <v>0</v>
      </c>
      <c r="F56" s="12">
        <v>0</v>
      </c>
      <c r="G56" s="12">
        <v>0</v>
      </c>
      <c r="H56" s="12">
        <v>0</v>
      </c>
      <c r="I56" s="12">
        <v>0</v>
      </c>
      <c r="J56" s="12">
        <v>0</v>
      </c>
      <c r="K56" s="12">
        <v>0</v>
      </c>
      <c r="L56" s="12">
        <v>0</v>
      </c>
      <c r="M56" s="12">
        <v>0</v>
      </c>
      <c r="N56" s="12">
        <v>0</v>
      </c>
      <c r="O56" s="12">
        <v>0</v>
      </c>
      <c r="P56" s="12">
        <v>0</v>
      </c>
      <c r="Q56" s="12">
        <v>0</v>
      </c>
      <c r="R56" s="12">
        <v>0</v>
      </c>
      <c r="S56" s="12">
        <v>0</v>
      </c>
      <c r="T56" s="12">
        <v>0</v>
      </c>
      <c r="U56" s="12">
        <v>0</v>
      </c>
      <c r="V56" s="12">
        <v>0</v>
      </c>
      <c r="W56" s="12">
        <v>0</v>
      </c>
      <c r="X56" s="12">
        <v>0</v>
      </c>
      <c r="Y56" s="12">
        <v>0</v>
      </c>
      <c r="Z56" s="12">
        <v>0</v>
      </c>
      <c r="AA56" s="12">
        <v>0</v>
      </c>
      <c r="AB56" s="12">
        <v>1031</v>
      </c>
      <c r="AC56" s="12">
        <v>0</v>
      </c>
      <c r="AD56" s="12">
        <v>0</v>
      </c>
      <c r="AE56" s="12">
        <v>0</v>
      </c>
      <c r="AF56" s="12">
        <v>0</v>
      </c>
    </row>
    <row r="57" spans="1:32">
      <c r="A57" s="23"/>
      <c r="B57" s="13" t="s">
        <v>479</v>
      </c>
      <c r="C57" s="14">
        <v>0.04</v>
      </c>
      <c r="D57" s="15" t="s">
        <v>485</v>
      </c>
      <c r="E57" s="15" t="s">
        <v>485</v>
      </c>
      <c r="F57" s="15" t="s">
        <v>485</v>
      </c>
      <c r="G57" s="15" t="s">
        <v>485</v>
      </c>
      <c r="H57" s="15" t="s">
        <v>485</v>
      </c>
      <c r="I57" s="15" t="s">
        <v>485</v>
      </c>
      <c r="J57" s="15" t="s">
        <v>485</v>
      </c>
      <c r="K57" s="15" t="s">
        <v>485</v>
      </c>
      <c r="L57" s="15" t="s">
        <v>485</v>
      </c>
      <c r="M57" s="15" t="s">
        <v>485</v>
      </c>
      <c r="N57" s="15" t="s">
        <v>485</v>
      </c>
      <c r="O57" s="15" t="s">
        <v>485</v>
      </c>
      <c r="P57" s="15" t="s">
        <v>485</v>
      </c>
      <c r="Q57" s="15" t="s">
        <v>485</v>
      </c>
      <c r="R57" s="15" t="s">
        <v>485</v>
      </c>
      <c r="S57" s="15" t="s">
        <v>485</v>
      </c>
      <c r="T57" s="15" t="s">
        <v>485</v>
      </c>
      <c r="U57" s="15" t="s">
        <v>485</v>
      </c>
      <c r="V57" s="15" t="s">
        <v>485</v>
      </c>
      <c r="W57" s="15" t="s">
        <v>485</v>
      </c>
      <c r="X57" s="15" t="s">
        <v>485</v>
      </c>
      <c r="Y57" s="15" t="s">
        <v>485</v>
      </c>
      <c r="Z57" s="15" t="s">
        <v>485</v>
      </c>
      <c r="AA57" s="15" t="s">
        <v>485</v>
      </c>
      <c r="AB57" s="14">
        <v>1</v>
      </c>
      <c r="AC57" s="15" t="s">
        <v>485</v>
      </c>
      <c r="AD57" s="15" t="s">
        <v>485</v>
      </c>
      <c r="AE57" s="15" t="s">
        <v>485</v>
      </c>
      <c r="AF57" s="15" t="s">
        <v>485</v>
      </c>
    </row>
    <row r="58" spans="1:32">
      <c r="A58" s="23"/>
      <c r="B58" s="11" t="s">
        <v>483</v>
      </c>
      <c r="C58" s="12">
        <v>600</v>
      </c>
      <c r="D58" s="12">
        <v>0</v>
      </c>
      <c r="E58" s="12">
        <v>0</v>
      </c>
      <c r="F58" s="12">
        <v>0</v>
      </c>
      <c r="G58" s="12">
        <v>0</v>
      </c>
      <c r="H58" s="12">
        <v>0</v>
      </c>
      <c r="I58" s="12">
        <v>0</v>
      </c>
      <c r="J58" s="12">
        <v>0</v>
      </c>
      <c r="K58" s="12">
        <v>0</v>
      </c>
      <c r="L58" s="12">
        <v>0</v>
      </c>
      <c r="M58" s="12">
        <v>0</v>
      </c>
      <c r="N58" s="12">
        <v>0</v>
      </c>
      <c r="O58" s="12">
        <v>0</v>
      </c>
      <c r="P58" s="12">
        <v>0</v>
      </c>
      <c r="Q58" s="12">
        <v>0</v>
      </c>
      <c r="R58" s="12">
        <v>0</v>
      </c>
      <c r="S58" s="12">
        <v>0</v>
      </c>
      <c r="T58" s="12">
        <v>0</v>
      </c>
      <c r="U58" s="12">
        <v>0</v>
      </c>
      <c r="V58" s="12">
        <v>0</v>
      </c>
      <c r="W58" s="12">
        <v>0</v>
      </c>
      <c r="X58" s="12">
        <v>0</v>
      </c>
      <c r="Y58" s="12">
        <v>0</v>
      </c>
      <c r="Z58" s="12">
        <v>0</v>
      </c>
      <c r="AA58" s="12">
        <v>0</v>
      </c>
      <c r="AB58" s="12">
        <v>0</v>
      </c>
      <c r="AC58" s="12">
        <v>0</v>
      </c>
      <c r="AD58" s="12">
        <v>0</v>
      </c>
      <c r="AE58" s="12">
        <v>0</v>
      </c>
      <c r="AF58" s="12">
        <v>1073</v>
      </c>
    </row>
    <row r="59" spans="1:32">
      <c r="A59" s="23"/>
      <c r="B59" s="13" t="s">
        <v>483</v>
      </c>
      <c r="C59" s="14">
        <v>0.02</v>
      </c>
      <c r="D59" s="15" t="s">
        <v>485</v>
      </c>
      <c r="E59" s="15" t="s">
        <v>485</v>
      </c>
      <c r="F59" s="15" t="s">
        <v>485</v>
      </c>
      <c r="G59" s="15" t="s">
        <v>485</v>
      </c>
      <c r="H59" s="15" t="s">
        <v>485</v>
      </c>
      <c r="I59" s="15" t="s">
        <v>485</v>
      </c>
      <c r="J59" s="15" t="s">
        <v>485</v>
      </c>
      <c r="K59" s="15" t="s">
        <v>485</v>
      </c>
      <c r="L59" s="15" t="s">
        <v>485</v>
      </c>
      <c r="M59" s="15" t="s">
        <v>485</v>
      </c>
      <c r="N59" s="15" t="s">
        <v>485</v>
      </c>
      <c r="O59" s="15" t="s">
        <v>485</v>
      </c>
      <c r="P59" s="15" t="s">
        <v>485</v>
      </c>
      <c r="Q59" s="15" t="s">
        <v>485</v>
      </c>
      <c r="R59" s="15" t="s">
        <v>485</v>
      </c>
      <c r="S59" s="15" t="s">
        <v>485</v>
      </c>
      <c r="T59" s="15" t="s">
        <v>485</v>
      </c>
      <c r="U59" s="15" t="s">
        <v>485</v>
      </c>
      <c r="V59" s="15" t="s">
        <v>485</v>
      </c>
      <c r="W59" s="15" t="s">
        <v>485</v>
      </c>
      <c r="X59" s="15" t="s">
        <v>485</v>
      </c>
      <c r="Y59" s="15" t="s">
        <v>485</v>
      </c>
      <c r="Z59" s="15" t="s">
        <v>485</v>
      </c>
      <c r="AA59" s="15" t="s">
        <v>485</v>
      </c>
      <c r="AB59" s="15" t="s">
        <v>485</v>
      </c>
      <c r="AC59" s="15" t="s">
        <v>485</v>
      </c>
      <c r="AD59" s="15" t="s">
        <v>485</v>
      </c>
      <c r="AE59" s="15" t="s">
        <v>485</v>
      </c>
      <c r="AF59" s="14">
        <v>1</v>
      </c>
    </row>
    <row r="60" spans="1:32">
      <c r="A60" s="23"/>
      <c r="B60" s="11" t="s">
        <v>480</v>
      </c>
      <c r="C60" s="12">
        <v>124</v>
      </c>
      <c r="D60" s="12">
        <v>0</v>
      </c>
      <c r="E60" s="12">
        <v>0</v>
      </c>
      <c r="F60" s="12">
        <v>0</v>
      </c>
      <c r="G60" s="12">
        <v>0</v>
      </c>
      <c r="H60" s="12">
        <v>0</v>
      </c>
      <c r="I60" s="12">
        <v>0</v>
      </c>
      <c r="J60" s="12">
        <v>0</v>
      </c>
      <c r="K60" s="12">
        <v>0</v>
      </c>
      <c r="L60" s="12">
        <v>0</v>
      </c>
      <c r="M60" s="12">
        <v>0</v>
      </c>
      <c r="N60" s="12">
        <v>0</v>
      </c>
      <c r="O60" s="12">
        <v>0</v>
      </c>
      <c r="P60" s="12">
        <v>0</v>
      </c>
      <c r="Q60" s="12">
        <v>0</v>
      </c>
      <c r="R60" s="12">
        <v>0</v>
      </c>
      <c r="S60" s="12">
        <v>0</v>
      </c>
      <c r="T60" s="12">
        <v>0</v>
      </c>
      <c r="U60" s="12">
        <v>0</v>
      </c>
      <c r="V60" s="12">
        <v>0</v>
      </c>
      <c r="W60" s="12">
        <v>0</v>
      </c>
      <c r="X60" s="12">
        <v>0</v>
      </c>
      <c r="Y60" s="12">
        <v>0</v>
      </c>
      <c r="Z60" s="12">
        <v>0</v>
      </c>
      <c r="AA60" s="12">
        <v>0</v>
      </c>
      <c r="AB60" s="12">
        <v>0</v>
      </c>
      <c r="AC60" s="12">
        <v>1005</v>
      </c>
      <c r="AD60" s="12">
        <v>0</v>
      </c>
      <c r="AE60" s="12">
        <v>0</v>
      </c>
      <c r="AF60" s="12">
        <v>0</v>
      </c>
    </row>
    <row r="61" spans="1:32">
      <c r="A61" s="23"/>
      <c r="B61" s="13" t="s">
        <v>480</v>
      </c>
      <c r="C61" s="14">
        <v>0.01</v>
      </c>
      <c r="D61" s="15" t="s">
        <v>485</v>
      </c>
      <c r="E61" s="15" t="s">
        <v>485</v>
      </c>
      <c r="F61" s="15" t="s">
        <v>485</v>
      </c>
      <c r="G61" s="15" t="s">
        <v>485</v>
      </c>
      <c r="H61" s="15" t="s">
        <v>485</v>
      </c>
      <c r="I61" s="15" t="s">
        <v>485</v>
      </c>
      <c r="J61" s="15" t="s">
        <v>485</v>
      </c>
      <c r="K61" s="15" t="s">
        <v>485</v>
      </c>
      <c r="L61" s="15" t="s">
        <v>485</v>
      </c>
      <c r="M61" s="15" t="s">
        <v>485</v>
      </c>
      <c r="N61" s="15" t="s">
        <v>485</v>
      </c>
      <c r="O61" s="15" t="s">
        <v>485</v>
      </c>
      <c r="P61" s="15" t="s">
        <v>485</v>
      </c>
      <c r="Q61" s="15" t="s">
        <v>485</v>
      </c>
      <c r="R61" s="15" t="s">
        <v>485</v>
      </c>
      <c r="S61" s="15" t="s">
        <v>485</v>
      </c>
      <c r="T61" s="15" t="s">
        <v>485</v>
      </c>
      <c r="U61" s="15" t="s">
        <v>485</v>
      </c>
      <c r="V61" s="15" t="s">
        <v>485</v>
      </c>
      <c r="W61" s="15" t="s">
        <v>485</v>
      </c>
      <c r="X61" s="15" t="s">
        <v>485</v>
      </c>
      <c r="Y61" s="15" t="s">
        <v>485</v>
      </c>
      <c r="Z61" s="15" t="s">
        <v>485</v>
      </c>
      <c r="AA61" s="15" t="s">
        <v>485</v>
      </c>
      <c r="AB61" s="15" t="s">
        <v>485</v>
      </c>
      <c r="AC61" s="14">
        <v>1</v>
      </c>
      <c r="AD61" s="15" t="s">
        <v>485</v>
      </c>
      <c r="AE61" s="15" t="s">
        <v>485</v>
      </c>
      <c r="AF61" s="15" t="s">
        <v>485</v>
      </c>
    </row>
    <row r="62" spans="1:32">
      <c r="A62" s="23"/>
      <c r="B62" s="11" t="s">
        <v>481</v>
      </c>
      <c r="C62" s="12">
        <v>314</v>
      </c>
      <c r="D62" s="12">
        <v>0</v>
      </c>
      <c r="E62" s="12">
        <v>0</v>
      </c>
      <c r="F62" s="12">
        <v>0</v>
      </c>
      <c r="G62" s="12">
        <v>0</v>
      </c>
      <c r="H62" s="12">
        <v>0</v>
      </c>
      <c r="I62" s="12">
        <v>0</v>
      </c>
      <c r="J62" s="12">
        <v>0</v>
      </c>
      <c r="K62" s="12">
        <v>0</v>
      </c>
      <c r="L62" s="12">
        <v>0</v>
      </c>
      <c r="M62" s="12">
        <v>0</v>
      </c>
      <c r="N62" s="12">
        <v>0</v>
      </c>
      <c r="O62" s="12">
        <v>0</v>
      </c>
      <c r="P62" s="12">
        <v>0</v>
      </c>
      <c r="Q62" s="12">
        <v>0</v>
      </c>
      <c r="R62" s="12">
        <v>0</v>
      </c>
      <c r="S62" s="12">
        <v>0</v>
      </c>
      <c r="T62" s="12">
        <v>0</v>
      </c>
      <c r="U62" s="12">
        <v>0</v>
      </c>
      <c r="V62" s="12">
        <v>0</v>
      </c>
      <c r="W62" s="12">
        <v>0</v>
      </c>
      <c r="X62" s="12">
        <v>0</v>
      </c>
      <c r="Y62" s="12">
        <v>0</v>
      </c>
      <c r="Z62" s="12">
        <v>0</v>
      </c>
      <c r="AA62" s="12">
        <v>0</v>
      </c>
      <c r="AB62" s="12">
        <v>0</v>
      </c>
      <c r="AC62" s="12">
        <v>0</v>
      </c>
      <c r="AD62" s="12">
        <v>1002</v>
      </c>
      <c r="AE62" s="12">
        <v>0</v>
      </c>
      <c r="AF62" s="12">
        <v>0</v>
      </c>
    </row>
    <row r="63" spans="1:32">
      <c r="A63" s="23"/>
      <c r="B63" s="13" t="s">
        <v>481</v>
      </c>
      <c r="C63" s="14">
        <v>0.01</v>
      </c>
      <c r="D63" s="15" t="s">
        <v>485</v>
      </c>
      <c r="E63" s="15" t="s">
        <v>485</v>
      </c>
      <c r="F63" s="15" t="s">
        <v>485</v>
      </c>
      <c r="G63" s="15" t="s">
        <v>485</v>
      </c>
      <c r="H63" s="15" t="s">
        <v>485</v>
      </c>
      <c r="I63" s="15" t="s">
        <v>485</v>
      </c>
      <c r="J63" s="15" t="s">
        <v>485</v>
      </c>
      <c r="K63" s="15" t="s">
        <v>485</v>
      </c>
      <c r="L63" s="15" t="s">
        <v>485</v>
      </c>
      <c r="M63" s="15" t="s">
        <v>485</v>
      </c>
      <c r="N63" s="15" t="s">
        <v>485</v>
      </c>
      <c r="O63" s="15" t="s">
        <v>485</v>
      </c>
      <c r="P63" s="15" t="s">
        <v>485</v>
      </c>
      <c r="Q63" s="15" t="s">
        <v>485</v>
      </c>
      <c r="R63" s="15" t="s">
        <v>485</v>
      </c>
      <c r="S63" s="15" t="s">
        <v>485</v>
      </c>
      <c r="T63" s="15" t="s">
        <v>485</v>
      </c>
      <c r="U63" s="15" t="s">
        <v>485</v>
      </c>
      <c r="V63" s="15" t="s">
        <v>485</v>
      </c>
      <c r="W63" s="15" t="s">
        <v>485</v>
      </c>
      <c r="X63" s="15" t="s">
        <v>485</v>
      </c>
      <c r="Y63" s="15" t="s">
        <v>485</v>
      </c>
      <c r="Z63" s="15" t="s">
        <v>485</v>
      </c>
      <c r="AA63" s="15" t="s">
        <v>485</v>
      </c>
      <c r="AB63" s="15" t="s">
        <v>485</v>
      </c>
      <c r="AC63" s="15" t="s">
        <v>485</v>
      </c>
      <c r="AD63" s="14">
        <v>1</v>
      </c>
      <c r="AE63" s="15" t="s">
        <v>485</v>
      </c>
      <c r="AF63" s="15" t="s">
        <v>485</v>
      </c>
    </row>
    <row r="64" spans="1:32">
      <c r="A64" s="23"/>
      <c r="B64" s="11" t="s">
        <v>459</v>
      </c>
      <c r="C64" s="12">
        <v>4022</v>
      </c>
      <c r="D64" s="12">
        <v>0</v>
      </c>
      <c r="E64" s="12">
        <v>0</v>
      </c>
      <c r="F64" s="12">
        <v>0</v>
      </c>
      <c r="G64" s="12">
        <v>0</v>
      </c>
      <c r="H64" s="12">
        <v>1210</v>
      </c>
      <c r="I64" s="12">
        <v>1210</v>
      </c>
      <c r="J64" s="12">
        <v>0</v>
      </c>
      <c r="K64" s="12">
        <v>0</v>
      </c>
      <c r="L64" s="12">
        <v>0</v>
      </c>
      <c r="M64" s="12">
        <v>0</v>
      </c>
      <c r="N64" s="12">
        <v>0</v>
      </c>
      <c r="O64" s="12">
        <v>0</v>
      </c>
      <c r="P64" s="12">
        <v>0</v>
      </c>
      <c r="Q64" s="12">
        <v>0</v>
      </c>
      <c r="R64" s="12">
        <v>0</v>
      </c>
      <c r="S64" s="12">
        <v>0</v>
      </c>
      <c r="T64" s="12">
        <v>0</v>
      </c>
      <c r="U64" s="12">
        <v>0</v>
      </c>
      <c r="V64" s="12">
        <v>0</v>
      </c>
      <c r="W64" s="12">
        <v>0</v>
      </c>
      <c r="X64" s="12">
        <v>0</v>
      </c>
      <c r="Y64" s="12">
        <v>0</v>
      </c>
      <c r="Z64" s="12">
        <v>0</v>
      </c>
      <c r="AA64" s="12">
        <v>0</v>
      </c>
      <c r="AB64" s="12">
        <v>0</v>
      </c>
      <c r="AC64" s="12">
        <v>0</v>
      </c>
      <c r="AD64" s="12">
        <v>0</v>
      </c>
      <c r="AE64" s="12">
        <v>0</v>
      </c>
      <c r="AF64" s="12">
        <v>0</v>
      </c>
    </row>
    <row r="65" spans="1:32">
      <c r="A65" s="23"/>
      <c r="B65" s="13" t="s">
        <v>459</v>
      </c>
      <c r="C65" s="14">
        <v>0.15</v>
      </c>
      <c r="D65" s="15" t="s">
        <v>485</v>
      </c>
      <c r="E65" s="15" t="s">
        <v>485</v>
      </c>
      <c r="F65" s="15" t="s">
        <v>485</v>
      </c>
      <c r="G65" s="15" t="s">
        <v>485</v>
      </c>
      <c r="H65" s="14">
        <v>1</v>
      </c>
      <c r="I65" s="14">
        <v>0.8</v>
      </c>
      <c r="J65" s="15" t="s">
        <v>485</v>
      </c>
      <c r="K65" s="15" t="s">
        <v>485</v>
      </c>
      <c r="L65" s="15" t="s">
        <v>485</v>
      </c>
      <c r="M65" s="15" t="s">
        <v>485</v>
      </c>
      <c r="N65" s="15" t="s">
        <v>485</v>
      </c>
      <c r="O65" s="15" t="s">
        <v>485</v>
      </c>
      <c r="P65" s="15" t="s">
        <v>485</v>
      </c>
      <c r="Q65" s="15" t="s">
        <v>485</v>
      </c>
      <c r="R65" s="15" t="s">
        <v>485</v>
      </c>
      <c r="S65" s="15" t="s">
        <v>485</v>
      </c>
      <c r="T65" s="15" t="s">
        <v>485</v>
      </c>
      <c r="U65" s="15" t="s">
        <v>485</v>
      </c>
      <c r="V65" s="15" t="s">
        <v>485</v>
      </c>
      <c r="W65" s="15" t="s">
        <v>485</v>
      </c>
      <c r="X65" s="15" t="s">
        <v>485</v>
      </c>
      <c r="Y65" s="15" t="s">
        <v>485</v>
      </c>
      <c r="Z65" s="15" t="s">
        <v>485</v>
      </c>
      <c r="AA65" s="15" t="s">
        <v>485</v>
      </c>
      <c r="AB65" s="15" t="s">
        <v>485</v>
      </c>
      <c r="AC65" s="15" t="s">
        <v>485</v>
      </c>
      <c r="AD65" s="15" t="s">
        <v>485</v>
      </c>
      <c r="AE65" s="15" t="s">
        <v>485</v>
      </c>
      <c r="AF65" s="15" t="s">
        <v>485</v>
      </c>
    </row>
    <row r="66" spans="1:32">
      <c r="A66" s="23"/>
      <c r="B66" s="11" t="s">
        <v>461</v>
      </c>
      <c r="C66" s="12">
        <v>975</v>
      </c>
      <c r="D66" s="12">
        <v>0</v>
      </c>
      <c r="E66" s="12">
        <v>0</v>
      </c>
      <c r="F66" s="12">
        <v>0</v>
      </c>
      <c r="G66" s="12">
        <v>0</v>
      </c>
      <c r="H66" s="12">
        <v>0</v>
      </c>
      <c r="I66" s="12">
        <v>294</v>
      </c>
      <c r="J66" s="12">
        <v>294</v>
      </c>
      <c r="K66" s="12">
        <v>0</v>
      </c>
      <c r="L66" s="12">
        <v>0</v>
      </c>
      <c r="M66" s="12">
        <v>0</v>
      </c>
      <c r="N66" s="12">
        <v>0</v>
      </c>
      <c r="O66" s="12">
        <v>0</v>
      </c>
      <c r="P66" s="12">
        <v>0</v>
      </c>
      <c r="Q66" s="12">
        <v>0</v>
      </c>
      <c r="R66" s="12">
        <v>0</v>
      </c>
      <c r="S66" s="12">
        <v>0</v>
      </c>
      <c r="T66" s="12">
        <v>0</v>
      </c>
      <c r="U66" s="12">
        <v>0</v>
      </c>
      <c r="V66" s="12">
        <v>0</v>
      </c>
      <c r="W66" s="12">
        <v>0</v>
      </c>
      <c r="X66" s="12">
        <v>0</v>
      </c>
      <c r="Y66" s="12">
        <v>0</v>
      </c>
      <c r="Z66" s="12">
        <v>0</v>
      </c>
      <c r="AA66" s="12">
        <v>0</v>
      </c>
      <c r="AB66" s="12">
        <v>0</v>
      </c>
      <c r="AC66" s="12">
        <v>0</v>
      </c>
      <c r="AD66" s="12">
        <v>0</v>
      </c>
      <c r="AE66" s="12">
        <v>0</v>
      </c>
      <c r="AF66" s="12">
        <v>0</v>
      </c>
    </row>
    <row r="67" spans="1:32">
      <c r="A67" s="23"/>
      <c r="B67" s="13" t="s">
        <v>461</v>
      </c>
      <c r="C67" s="14">
        <v>0.04</v>
      </c>
      <c r="D67" s="15" t="s">
        <v>485</v>
      </c>
      <c r="E67" s="15" t="s">
        <v>485</v>
      </c>
      <c r="F67" s="15" t="s">
        <v>485</v>
      </c>
      <c r="G67" s="15" t="s">
        <v>485</v>
      </c>
      <c r="H67" s="15" t="s">
        <v>485</v>
      </c>
      <c r="I67" s="14">
        <v>0.2</v>
      </c>
      <c r="J67" s="14">
        <v>1</v>
      </c>
      <c r="K67" s="15" t="s">
        <v>485</v>
      </c>
      <c r="L67" s="15" t="s">
        <v>485</v>
      </c>
      <c r="M67" s="15" t="s">
        <v>485</v>
      </c>
      <c r="N67" s="15" t="s">
        <v>485</v>
      </c>
      <c r="O67" s="15" t="s">
        <v>485</v>
      </c>
      <c r="P67" s="15" t="s">
        <v>485</v>
      </c>
      <c r="Q67" s="15" t="s">
        <v>485</v>
      </c>
      <c r="R67" s="15" t="s">
        <v>485</v>
      </c>
      <c r="S67" s="15" t="s">
        <v>485</v>
      </c>
      <c r="T67" s="15" t="s">
        <v>485</v>
      </c>
      <c r="U67" s="15" t="s">
        <v>485</v>
      </c>
      <c r="V67" s="15" t="s">
        <v>485</v>
      </c>
      <c r="W67" s="15" t="s">
        <v>485</v>
      </c>
      <c r="X67" s="15" t="s">
        <v>485</v>
      </c>
      <c r="Y67" s="15" t="s">
        <v>485</v>
      </c>
      <c r="Z67" s="15" t="s">
        <v>485</v>
      </c>
      <c r="AA67" s="15" t="s">
        <v>485</v>
      </c>
      <c r="AB67" s="15" t="s">
        <v>485</v>
      </c>
      <c r="AC67" s="15" t="s">
        <v>485</v>
      </c>
      <c r="AD67" s="15" t="s">
        <v>485</v>
      </c>
      <c r="AE67" s="15" t="s">
        <v>485</v>
      </c>
      <c r="AF67" s="15" t="s">
        <v>485</v>
      </c>
    </row>
  </sheetData>
  <mergeCells count="9">
    <mergeCell ref="B10:B11"/>
    <mergeCell ref="H4:L4"/>
    <mergeCell ref="A10:A67"/>
    <mergeCell ref="B4:F4"/>
    <mergeCell ref="H3:L3"/>
    <mergeCell ref="C8:AF8"/>
    <mergeCell ref="B3:F3"/>
    <mergeCell ref="B5:F5"/>
    <mergeCell ref="H5:L5"/>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27"/>
  <sheetViews>
    <sheetView workbookViewId="0">
      <pane xSplit="3" ySplit="9" topLeftCell="D10" activePane="bottomRight" state="frozen"/>
      <selection pane="bottomRight" activeCell="B26" sqref="A26:XFD27"/>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11</v>
      </c>
      <c r="C3" s="19"/>
      <c r="D3" s="19"/>
      <c r="E3" s="19"/>
      <c r="F3" s="19"/>
      <c r="H3" s="19" t="s">
        <v>12</v>
      </c>
      <c r="I3" s="19"/>
      <c r="J3" s="19"/>
      <c r="K3" s="19"/>
      <c r="L3" s="19"/>
    </row>
    <row r="4" spans="1:32" ht="27" customHeight="1">
      <c r="B4" s="19"/>
      <c r="C4" s="19"/>
      <c r="D4" s="19"/>
      <c r="E4" s="19"/>
      <c r="F4" s="19"/>
      <c r="H4" s="19"/>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HYPERLINK("#Content!A7","&lt;&lt;Back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487</v>
      </c>
      <c r="C12" s="12">
        <v>1232</v>
      </c>
      <c r="D12" s="12">
        <v>43</v>
      </c>
      <c r="E12" s="12">
        <v>135</v>
      </c>
      <c r="F12" s="12">
        <v>24</v>
      </c>
      <c r="G12" s="12">
        <v>107</v>
      </c>
      <c r="H12" s="12">
        <v>60</v>
      </c>
      <c r="I12" s="12">
        <v>73</v>
      </c>
      <c r="J12" s="12">
        <v>12</v>
      </c>
      <c r="K12" s="12">
        <v>24</v>
      </c>
      <c r="L12" s="12">
        <v>214</v>
      </c>
      <c r="M12" s="12">
        <v>34</v>
      </c>
      <c r="N12" s="12">
        <v>31</v>
      </c>
      <c r="O12" s="12">
        <v>24</v>
      </c>
      <c r="P12" s="12">
        <v>92</v>
      </c>
      <c r="Q12" s="12">
        <v>39</v>
      </c>
      <c r="R12" s="12">
        <v>23</v>
      </c>
      <c r="S12" s="12">
        <v>17</v>
      </c>
      <c r="T12" s="12">
        <v>36</v>
      </c>
      <c r="U12" s="12">
        <v>28</v>
      </c>
      <c r="V12" s="12">
        <v>38</v>
      </c>
      <c r="W12" s="12">
        <v>36</v>
      </c>
      <c r="X12" s="12">
        <v>45</v>
      </c>
      <c r="Y12" s="12">
        <v>77</v>
      </c>
      <c r="Z12" s="12">
        <v>65</v>
      </c>
      <c r="AA12" s="12">
        <v>63</v>
      </c>
      <c r="AB12" s="12">
        <v>74</v>
      </c>
      <c r="AC12" s="12">
        <v>39</v>
      </c>
      <c r="AD12" s="12">
        <v>57</v>
      </c>
      <c r="AE12" s="12">
        <v>41</v>
      </c>
      <c r="AF12" s="12">
        <v>43</v>
      </c>
    </row>
    <row r="13" spans="1:32">
      <c r="A13" s="23"/>
      <c r="B13" s="13" t="s">
        <v>488</v>
      </c>
      <c r="C13" s="14">
        <v>0.05</v>
      </c>
      <c r="D13" s="14">
        <v>0.04</v>
      </c>
      <c r="E13" s="14">
        <v>0.13</v>
      </c>
      <c r="F13" s="14">
        <v>0.02</v>
      </c>
      <c r="G13" s="14">
        <v>0.11</v>
      </c>
      <c r="H13" s="14">
        <v>0.05</v>
      </c>
      <c r="I13" s="14">
        <v>0.05</v>
      </c>
      <c r="J13" s="14">
        <v>0.04</v>
      </c>
      <c r="K13" s="14">
        <v>0.02</v>
      </c>
      <c r="L13" s="14">
        <v>0.21</v>
      </c>
      <c r="M13" s="14">
        <v>0.03</v>
      </c>
      <c r="N13" s="14">
        <v>0.03</v>
      </c>
      <c r="O13" s="14">
        <v>0.03</v>
      </c>
      <c r="P13" s="14">
        <v>0.09</v>
      </c>
      <c r="Q13" s="14">
        <v>0.04</v>
      </c>
      <c r="R13" s="14">
        <v>0.05</v>
      </c>
      <c r="S13" s="14">
        <v>0.02</v>
      </c>
      <c r="T13" s="14">
        <v>0.03</v>
      </c>
      <c r="U13" s="14">
        <v>0.06</v>
      </c>
      <c r="V13" s="14">
        <v>0.04</v>
      </c>
      <c r="W13" s="14">
        <v>7.0000000000000007E-2</v>
      </c>
      <c r="X13" s="14">
        <v>0.04</v>
      </c>
      <c r="Y13" s="14">
        <v>0.08</v>
      </c>
      <c r="Z13" s="14">
        <v>0.06</v>
      </c>
      <c r="AA13" s="14">
        <v>0.06</v>
      </c>
      <c r="AB13" s="14">
        <v>7.0000000000000007E-2</v>
      </c>
      <c r="AC13" s="14">
        <v>0.04</v>
      </c>
      <c r="AD13" s="14">
        <v>0.06</v>
      </c>
      <c r="AE13" s="14">
        <v>0.04</v>
      </c>
      <c r="AF13" s="14">
        <v>0.04</v>
      </c>
    </row>
    <row r="14" spans="1:32">
      <c r="A14" s="23"/>
      <c r="B14" s="11" t="s">
        <v>489</v>
      </c>
      <c r="C14" s="12">
        <v>9606</v>
      </c>
      <c r="D14" s="12">
        <v>344</v>
      </c>
      <c r="E14" s="12">
        <v>375</v>
      </c>
      <c r="F14" s="12">
        <v>241</v>
      </c>
      <c r="G14" s="12">
        <v>421</v>
      </c>
      <c r="H14" s="12">
        <v>468</v>
      </c>
      <c r="I14" s="12">
        <v>533</v>
      </c>
      <c r="J14" s="12">
        <v>65</v>
      </c>
      <c r="K14" s="12">
        <v>298</v>
      </c>
      <c r="L14" s="12">
        <v>378</v>
      </c>
      <c r="M14" s="12">
        <v>294</v>
      </c>
      <c r="N14" s="12">
        <v>355</v>
      </c>
      <c r="O14" s="12">
        <v>263</v>
      </c>
      <c r="P14" s="12">
        <v>354</v>
      </c>
      <c r="Q14" s="12">
        <v>433</v>
      </c>
      <c r="R14" s="12">
        <v>161</v>
      </c>
      <c r="S14" s="12">
        <v>235</v>
      </c>
      <c r="T14" s="12">
        <v>284</v>
      </c>
      <c r="U14" s="12">
        <v>207</v>
      </c>
      <c r="V14" s="12">
        <v>325</v>
      </c>
      <c r="W14" s="12">
        <v>207</v>
      </c>
      <c r="X14" s="12">
        <v>457</v>
      </c>
      <c r="Y14" s="12">
        <v>298</v>
      </c>
      <c r="Z14" s="12">
        <v>445</v>
      </c>
      <c r="AA14" s="12">
        <v>634</v>
      </c>
      <c r="AB14" s="12">
        <v>415</v>
      </c>
      <c r="AC14" s="12">
        <v>255</v>
      </c>
      <c r="AD14" s="12">
        <v>314</v>
      </c>
      <c r="AE14" s="12">
        <v>366</v>
      </c>
      <c r="AF14" s="12">
        <v>526</v>
      </c>
    </row>
    <row r="15" spans="1:32">
      <c r="A15" s="23"/>
      <c r="B15" s="13" t="s">
        <v>490</v>
      </c>
      <c r="C15" s="14">
        <v>0.36</v>
      </c>
      <c r="D15" s="14">
        <v>0.34</v>
      </c>
      <c r="E15" s="14">
        <v>0.36</v>
      </c>
      <c r="F15" s="14">
        <v>0.24</v>
      </c>
      <c r="G15" s="14">
        <v>0.42</v>
      </c>
      <c r="H15" s="14">
        <v>0.39</v>
      </c>
      <c r="I15" s="14">
        <v>0.35</v>
      </c>
      <c r="J15" s="14">
        <v>0.22</v>
      </c>
      <c r="K15" s="14">
        <v>0.3</v>
      </c>
      <c r="L15" s="14">
        <v>0.38</v>
      </c>
      <c r="M15" s="14">
        <v>0.28999999999999998</v>
      </c>
      <c r="N15" s="14">
        <v>0.35</v>
      </c>
      <c r="O15" s="14">
        <v>0.26</v>
      </c>
      <c r="P15" s="14">
        <v>0.35</v>
      </c>
      <c r="Q15" s="14">
        <v>0.42</v>
      </c>
      <c r="R15" s="14">
        <v>0.32</v>
      </c>
      <c r="S15" s="14">
        <v>0.23</v>
      </c>
      <c r="T15" s="14">
        <v>0.28000000000000003</v>
      </c>
      <c r="U15" s="14">
        <v>0.41</v>
      </c>
      <c r="V15" s="14">
        <v>0.32</v>
      </c>
      <c r="W15" s="14">
        <v>0.41</v>
      </c>
      <c r="X15" s="14">
        <v>0.45</v>
      </c>
      <c r="Y15" s="14">
        <v>0.3</v>
      </c>
      <c r="Z15" s="14">
        <v>0.44</v>
      </c>
      <c r="AA15" s="14">
        <v>0.61</v>
      </c>
      <c r="AB15" s="14">
        <v>0.4</v>
      </c>
      <c r="AC15" s="14">
        <v>0.25</v>
      </c>
      <c r="AD15" s="14">
        <v>0.31</v>
      </c>
      <c r="AE15" s="14">
        <v>0.36</v>
      </c>
      <c r="AF15" s="14">
        <v>0.49</v>
      </c>
    </row>
    <row r="16" spans="1:32">
      <c r="A16" s="23"/>
      <c r="B16" s="11" t="s">
        <v>491</v>
      </c>
      <c r="C16" s="12">
        <v>10085</v>
      </c>
      <c r="D16" s="12">
        <v>365</v>
      </c>
      <c r="E16" s="12">
        <v>294</v>
      </c>
      <c r="F16" s="12">
        <v>435</v>
      </c>
      <c r="G16" s="12">
        <v>379</v>
      </c>
      <c r="H16" s="12">
        <v>487</v>
      </c>
      <c r="I16" s="12">
        <v>620</v>
      </c>
      <c r="J16" s="12">
        <v>133</v>
      </c>
      <c r="K16" s="12">
        <v>440</v>
      </c>
      <c r="L16" s="12">
        <v>313</v>
      </c>
      <c r="M16" s="12">
        <v>419</v>
      </c>
      <c r="N16" s="12">
        <v>394</v>
      </c>
      <c r="O16" s="12">
        <v>414</v>
      </c>
      <c r="P16" s="12">
        <v>394</v>
      </c>
      <c r="Q16" s="12">
        <v>380</v>
      </c>
      <c r="R16" s="12">
        <v>234</v>
      </c>
      <c r="S16" s="12">
        <v>565</v>
      </c>
      <c r="T16" s="12">
        <v>509</v>
      </c>
      <c r="U16" s="12">
        <v>187</v>
      </c>
      <c r="V16" s="12">
        <v>417</v>
      </c>
      <c r="W16" s="12">
        <v>201</v>
      </c>
      <c r="X16" s="12">
        <v>352</v>
      </c>
      <c r="Y16" s="12">
        <v>367</v>
      </c>
      <c r="Z16" s="12">
        <v>360</v>
      </c>
      <c r="AA16" s="12">
        <v>256</v>
      </c>
      <c r="AB16" s="12">
        <v>269</v>
      </c>
      <c r="AC16" s="12">
        <v>499</v>
      </c>
      <c r="AD16" s="12">
        <v>405</v>
      </c>
      <c r="AE16" s="12">
        <v>486</v>
      </c>
      <c r="AF16" s="12">
        <v>371</v>
      </c>
    </row>
    <row r="17" spans="1:32">
      <c r="A17" s="23"/>
      <c r="B17" s="13" t="s">
        <v>492</v>
      </c>
      <c r="C17" s="14">
        <v>0.38</v>
      </c>
      <c r="D17" s="14">
        <v>0.36</v>
      </c>
      <c r="E17" s="14">
        <v>0.28000000000000003</v>
      </c>
      <c r="F17" s="14">
        <v>0.43</v>
      </c>
      <c r="G17" s="14">
        <v>0.38</v>
      </c>
      <c r="H17" s="14">
        <v>0.4</v>
      </c>
      <c r="I17" s="14">
        <v>0.41</v>
      </c>
      <c r="J17" s="14">
        <v>0.46</v>
      </c>
      <c r="K17" s="14">
        <v>0.44</v>
      </c>
      <c r="L17" s="14">
        <v>0.31</v>
      </c>
      <c r="M17" s="14">
        <v>0.42</v>
      </c>
      <c r="N17" s="14">
        <v>0.39</v>
      </c>
      <c r="O17" s="14">
        <v>0.41</v>
      </c>
      <c r="P17" s="14">
        <v>0.39</v>
      </c>
      <c r="Q17" s="14">
        <v>0.37</v>
      </c>
      <c r="R17" s="14">
        <v>0.47</v>
      </c>
      <c r="S17" s="14">
        <v>0.56000000000000005</v>
      </c>
      <c r="T17" s="14">
        <v>0.51</v>
      </c>
      <c r="U17" s="14">
        <v>0.37</v>
      </c>
      <c r="V17" s="14">
        <v>0.41</v>
      </c>
      <c r="W17" s="14">
        <v>0.4</v>
      </c>
      <c r="X17" s="14">
        <v>0.35</v>
      </c>
      <c r="Y17" s="14">
        <v>0.36</v>
      </c>
      <c r="Z17" s="14">
        <v>0.35</v>
      </c>
      <c r="AA17" s="14">
        <v>0.25</v>
      </c>
      <c r="AB17" s="14">
        <v>0.26</v>
      </c>
      <c r="AC17" s="14">
        <v>0.5</v>
      </c>
      <c r="AD17" s="14">
        <v>0.4</v>
      </c>
      <c r="AE17" s="14">
        <v>0.48</v>
      </c>
      <c r="AF17" s="14">
        <v>0.35</v>
      </c>
    </row>
    <row r="18" spans="1:32">
      <c r="A18" s="23"/>
      <c r="B18" s="11" t="s">
        <v>493</v>
      </c>
      <c r="C18" s="12">
        <v>3991</v>
      </c>
      <c r="D18" s="12">
        <v>205</v>
      </c>
      <c r="E18" s="12">
        <v>149</v>
      </c>
      <c r="F18" s="12">
        <v>225</v>
      </c>
      <c r="G18" s="12">
        <v>59</v>
      </c>
      <c r="H18" s="12">
        <v>164</v>
      </c>
      <c r="I18" s="12">
        <v>228</v>
      </c>
      <c r="J18" s="12">
        <v>65</v>
      </c>
      <c r="K18" s="12">
        <v>166</v>
      </c>
      <c r="L18" s="12">
        <v>63</v>
      </c>
      <c r="M18" s="12">
        <v>180</v>
      </c>
      <c r="N18" s="12">
        <v>156</v>
      </c>
      <c r="O18" s="12">
        <v>212</v>
      </c>
      <c r="P18" s="12">
        <v>135</v>
      </c>
      <c r="Q18" s="12">
        <v>126</v>
      </c>
      <c r="R18" s="12">
        <v>47</v>
      </c>
      <c r="S18" s="12">
        <v>96</v>
      </c>
      <c r="T18" s="12">
        <v>128</v>
      </c>
      <c r="U18" s="12">
        <v>48</v>
      </c>
      <c r="V18" s="12">
        <v>165</v>
      </c>
      <c r="W18" s="12">
        <v>47</v>
      </c>
      <c r="X18" s="12">
        <v>120</v>
      </c>
      <c r="Y18" s="12">
        <v>187</v>
      </c>
      <c r="Z18" s="12">
        <v>110</v>
      </c>
      <c r="AA18" s="12">
        <v>61</v>
      </c>
      <c r="AB18" s="12">
        <v>209</v>
      </c>
      <c r="AC18" s="12">
        <v>131</v>
      </c>
      <c r="AD18" s="12">
        <v>167</v>
      </c>
      <c r="AE18" s="12">
        <v>81</v>
      </c>
      <c r="AF18" s="12">
        <v>102</v>
      </c>
    </row>
    <row r="19" spans="1:32">
      <c r="A19" s="23"/>
      <c r="B19" s="13" t="s">
        <v>494</v>
      </c>
      <c r="C19" s="14">
        <v>0.15</v>
      </c>
      <c r="D19" s="14">
        <v>0.21</v>
      </c>
      <c r="E19" s="14">
        <v>0.14000000000000001</v>
      </c>
      <c r="F19" s="14">
        <v>0.22</v>
      </c>
      <c r="G19" s="14">
        <v>0.06</v>
      </c>
      <c r="H19" s="14">
        <v>0.13</v>
      </c>
      <c r="I19" s="14">
        <v>0.15</v>
      </c>
      <c r="J19" s="14">
        <v>0.22</v>
      </c>
      <c r="K19" s="14">
        <v>0.17</v>
      </c>
      <c r="L19" s="14">
        <v>0.06</v>
      </c>
      <c r="M19" s="14">
        <v>0.18</v>
      </c>
      <c r="N19" s="14">
        <v>0.16</v>
      </c>
      <c r="O19" s="14">
        <v>0.21</v>
      </c>
      <c r="P19" s="14">
        <v>0.13</v>
      </c>
      <c r="Q19" s="14">
        <v>0.12</v>
      </c>
      <c r="R19" s="14">
        <v>0.09</v>
      </c>
      <c r="S19" s="14">
        <v>0.1</v>
      </c>
      <c r="T19" s="14">
        <v>0.13</v>
      </c>
      <c r="U19" s="14">
        <v>0.1</v>
      </c>
      <c r="V19" s="14">
        <v>0.17</v>
      </c>
      <c r="W19" s="14">
        <v>0.09</v>
      </c>
      <c r="X19" s="14">
        <v>0.12</v>
      </c>
      <c r="Y19" s="14">
        <v>0.18</v>
      </c>
      <c r="Z19" s="14">
        <v>0.11</v>
      </c>
      <c r="AA19" s="14">
        <v>0.06</v>
      </c>
      <c r="AB19" s="14">
        <v>0.21</v>
      </c>
      <c r="AC19" s="14">
        <v>0.13</v>
      </c>
      <c r="AD19" s="14">
        <v>0.17</v>
      </c>
      <c r="AE19" s="14">
        <v>0.08</v>
      </c>
      <c r="AF19" s="14">
        <v>0.09</v>
      </c>
    </row>
    <row r="20" spans="1:32">
      <c r="A20" s="23"/>
      <c r="B20" s="11" t="s">
        <v>495</v>
      </c>
      <c r="C20" s="12">
        <v>1056</v>
      </c>
      <c r="D20" s="12">
        <v>42</v>
      </c>
      <c r="E20" s="12">
        <v>68</v>
      </c>
      <c r="F20" s="12">
        <v>76</v>
      </c>
      <c r="G20" s="12">
        <v>21</v>
      </c>
      <c r="H20" s="12">
        <v>22</v>
      </c>
      <c r="I20" s="12">
        <v>39</v>
      </c>
      <c r="J20" s="12">
        <v>17</v>
      </c>
      <c r="K20" s="12">
        <v>44</v>
      </c>
      <c r="L20" s="12">
        <v>27</v>
      </c>
      <c r="M20" s="12">
        <v>61</v>
      </c>
      <c r="N20" s="12">
        <v>36</v>
      </c>
      <c r="O20" s="12">
        <v>74</v>
      </c>
      <c r="P20" s="12">
        <v>35</v>
      </c>
      <c r="Q20" s="12">
        <v>30</v>
      </c>
      <c r="R20" s="12">
        <v>22</v>
      </c>
      <c r="S20" s="12">
        <v>38</v>
      </c>
      <c r="T20" s="12">
        <v>21</v>
      </c>
      <c r="U20" s="12">
        <v>17</v>
      </c>
      <c r="V20" s="12">
        <v>64</v>
      </c>
      <c r="W20" s="12">
        <v>8</v>
      </c>
      <c r="X20" s="12">
        <v>37</v>
      </c>
      <c r="Y20" s="12">
        <v>70</v>
      </c>
      <c r="Z20" s="12">
        <v>28</v>
      </c>
      <c r="AA20" s="12">
        <v>3</v>
      </c>
      <c r="AB20" s="12">
        <v>42</v>
      </c>
      <c r="AC20" s="12">
        <v>55</v>
      </c>
      <c r="AD20" s="12">
        <v>47</v>
      </c>
      <c r="AE20" s="12">
        <v>24</v>
      </c>
      <c r="AF20" s="12">
        <v>21</v>
      </c>
    </row>
    <row r="21" spans="1:32">
      <c r="A21" s="23"/>
      <c r="B21" s="13" t="s">
        <v>496</v>
      </c>
      <c r="C21" s="14">
        <v>0.04</v>
      </c>
      <c r="D21" s="14">
        <v>0.04</v>
      </c>
      <c r="E21" s="14">
        <v>7.0000000000000007E-2</v>
      </c>
      <c r="F21" s="14">
        <v>0.08</v>
      </c>
      <c r="G21" s="14">
        <v>0.02</v>
      </c>
      <c r="H21" s="14">
        <v>0.02</v>
      </c>
      <c r="I21" s="14">
        <v>0.03</v>
      </c>
      <c r="J21" s="14">
        <v>0.06</v>
      </c>
      <c r="K21" s="14">
        <v>0.04</v>
      </c>
      <c r="L21" s="14">
        <v>0.03</v>
      </c>
      <c r="M21" s="14">
        <v>0.06</v>
      </c>
      <c r="N21" s="14">
        <v>0.04</v>
      </c>
      <c r="O21" s="14">
        <v>7.0000000000000007E-2</v>
      </c>
      <c r="P21" s="14">
        <v>0.04</v>
      </c>
      <c r="Q21" s="14">
        <v>0.03</v>
      </c>
      <c r="R21" s="14">
        <v>0.04</v>
      </c>
      <c r="S21" s="14">
        <v>0.04</v>
      </c>
      <c r="T21" s="14">
        <v>0.02</v>
      </c>
      <c r="U21" s="14">
        <v>0.03</v>
      </c>
      <c r="V21" s="14">
        <v>0.06</v>
      </c>
      <c r="W21" s="14">
        <v>0.02</v>
      </c>
      <c r="X21" s="14">
        <v>0.04</v>
      </c>
      <c r="Y21" s="14">
        <v>7.0000000000000007E-2</v>
      </c>
      <c r="Z21" s="14">
        <v>0.03</v>
      </c>
      <c r="AA21" s="15" t="s">
        <v>485</v>
      </c>
      <c r="AB21" s="14">
        <v>0.04</v>
      </c>
      <c r="AC21" s="14">
        <v>0.05</v>
      </c>
      <c r="AD21" s="14">
        <v>0.05</v>
      </c>
      <c r="AE21" s="14">
        <v>0.03</v>
      </c>
      <c r="AF21" s="14">
        <v>0.02</v>
      </c>
    </row>
    <row r="22" spans="1:32">
      <c r="A22" s="23"/>
      <c r="B22" s="11" t="s">
        <v>497</v>
      </c>
      <c r="C22" s="12">
        <v>384</v>
      </c>
      <c r="D22" s="12">
        <v>6</v>
      </c>
      <c r="E22" s="12">
        <v>23</v>
      </c>
      <c r="F22" s="12">
        <v>6</v>
      </c>
      <c r="G22" s="12">
        <v>16</v>
      </c>
      <c r="H22" s="12">
        <v>10</v>
      </c>
      <c r="I22" s="12">
        <v>10</v>
      </c>
      <c r="J22" s="12">
        <v>0</v>
      </c>
      <c r="K22" s="12">
        <v>31</v>
      </c>
      <c r="L22" s="12">
        <v>13</v>
      </c>
      <c r="M22" s="12">
        <v>22</v>
      </c>
      <c r="N22" s="12">
        <v>28</v>
      </c>
      <c r="O22" s="12">
        <v>19</v>
      </c>
      <c r="P22" s="12">
        <v>2</v>
      </c>
      <c r="Q22" s="12">
        <v>16</v>
      </c>
      <c r="R22" s="12">
        <v>15</v>
      </c>
      <c r="S22" s="12">
        <v>54</v>
      </c>
      <c r="T22" s="12">
        <v>26</v>
      </c>
      <c r="U22" s="12">
        <v>15</v>
      </c>
      <c r="V22" s="12">
        <v>2</v>
      </c>
      <c r="W22" s="12">
        <v>5</v>
      </c>
      <c r="X22" s="12">
        <v>5</v>
      </c>
      <c r="Y22" s="12">
        <v>8</v>
      </c>
      <c r="Z22" s="12">
        <v>9</v>
      </c>
      <c r="AA22" s="12">
        <v>23</v>
      </c>
      <c r="AB22" s="12">
        <v>22</v>
      </c>
      <c r="AC22" s="12">
        <v>27</v>
      </c>
      <c r="AD22" s="12">
        <v>13</v>
      </c>
      <c r="AE22" s="12">
        <v>11</v>
      </c>
      <c r="AF22" s="12">
        <v>9</v>
      </c>
    </row>
    <row r="23" spans="1:32">
      <c r="A23" s="23"/>
      <c r="B23" s="13" t="s">
        <v>498</v>
      </c>
      <c r="C23" s="14">
        <v>0.02</v>
      </c>
      <c r="D23" s="14">
        <v>0.01</v>
      </c>
      <c r="E23" s="14">
        <v>0.02</v>
      </c>
      <c r="F23" s="14">
        <v>0.01</v>
      </c>
      <c r="G23" s="14">
        <v>0.01</v>
      </c>
      <c r="H23" s="14">
        <v>0.01</v>
      </c>
      <c r="I23" s="14">
        <v>0.01</v>
      </c>
      <c r="J23" s="15" t="s">
        <v>485</v>
      </c>
      <c r="K23" s="14">
        <v>0.03</v>
      </c>
      <c r="L23" s="14">
        <v>0.01</v>
      </c>
      <c r="M23" s="14">
        <v>0.02</v>
      </c>
      <c r="N23" s="14">
        <v>0.03</v>
      </c>
      <c r="O23" s="14">
        <v>0.02</v>
      </c>
      <c r="P23" s="15" t="s">
        <v>485</v>
      </c>
      <c r="Q23" s="14">
        <v>0.02</v>
      </c>
      <c r="R23" s="14">
        <v>0.03</v>
      </c>
      <c r="S23" s="14">
        <v>0.05</v>
      </c>
      <c r="T23" s="14">
        <v>0.03</v>
      </c>
      <c r="U23" s="14">
        <v>0.03</v>
      </c>
      <c r="V23" s="15" t="s">
        <v>485</v>
      </c>
      <c r="W23" s="14">
        <v>0.01</v>
      </c>
      <c r="X23" s="15" t="s">
        <v>485</v>
      </c>
      <c r="Y23" s="14">
        <v>0.01</v>
      </c>
      <c r="Z23" s="14">
        <v>0.01</v>
      </c>
      <c r="AA23" s="14">
        <v>0.02</v>
      </c>
      <c r="AB23" s="14">
        <v>0.02</v>
      </c>
      <c r="AC23" s="14">
        <v>0.03</v>
      </c>
      <c r="AD23" s="14">
        <v>0.01</v>
      </c>
      <c r="AE23" s="14">
        <v>0.01</v>
      </c>
      <c r="AF23" s="14">
        <v>0.01</v>
      </c>
    </row>
    <row r="24" spans="1:32">
      <c r="A24" s="23"/>
      <c r="B24" s="11" t="s">
        <v>499</v>
      </c>
      <c r="C24" s="12">
        <v>10838</v>
      </c>
      <c r="D24" s="12">
        <v>387</v>
      </c>
      <c r="E24" s="12">
        <v>510</v>
      </c>
      <c r="F24" s="12">
        <v>265</v>
      </c>
      <c r="G24" s="12">
        <v>528</v>
      </c>
      <c r="H24" s="12">
        <v>528</v>
      </c>
      <c r="I24" s="12">
        <v>606</v>
      </c>
      <c r="J24" s="12">
        <v>77</v>
      </c>
      <c r="K24" s="12">
        <v>322</v>
      </c>
      <c r="L24" s="12">
        <v>592</v>
      </c>
      <c r="M24" s="12">
        <v>328</v>
      </c>
      <c r="N24" s="12">
        <v>386</v>
      </c>
      <c r="O24" s="12">
        <v>287</v>
      </c>
      <c r="P24" s="12">
        <v>446</v>
      </c>
      <c r="Q24" s="12">
        <v>472</v>
      </c>
      <c r="R24" s="12">
        <v>184</v>
      </c>
      <c r="S24" s="12">
        <v>252</v>
      </c>
      <c r="T24" s="12">
        <v>320</v>
      </c>
      <c r="U24" s="12">
        <v>235</v>
      </c>
      <c r="V24" s="12">
        <v>363</v>
      </c>
      <c r="W24" s="12">
        <v>243</v>
      </c>
      <c r="X24" s="12">
        <v>502</v>
      </c>
      <c r="Y24" s="12">
        <v>375</v>
      </c>
      <c r="Z24" s="12">
        <v>510</v>
      </c>
      <c r="AA24" s="12">
        <v>697</v>
      </c>
      <c r="AB24" s="12">
        <v>489</v>
      </c>
      <c r="AC24" s="12">
        <v>294</v>
      </c>
      <c r="AD24" s="12">
        <v>371</v>
      </c>
      <c r="AE24" s="12">
        <v>407</v>
      </c>
      <c r="AF24" s="12">
        <v>569</v>
      </c>
    </row>
    <row r="25" spans="1:32">
      <c r="A25" s="23"/>
      <c r="B25" s="13" t="s">
        <v>499</v>
      </c>
      <c r="C25" s="14">
        <v>0.41</v>
      </c>
      <c r="D25" s="14">
        <v>0.38</v>
      </c>
      <c r="E25" s="14">
        <v>0.49</v>
      </c>
      <c r="F25" s="14">
        <v>0.26</v>
      </c>
      <c r="G25" s="14">
        <v>0.53</v>
      </c>
      <c r="H25" s="14">
        <v>0.44</v>
      </c>
      <c r="I25" s="14">
        <v>0.4</v>
      </c>
      <c r="J25" s="14">
        <v>0.26</v>
      </c>
      <c r="K25" s="14">
        <v>0.32</v>
      </c>
      <c r="L25" s="14">
        <v>0.59</v>
      </c>
      <c r="M25" s="14">
        <v>0.32</v>
      </c>
      <c r="N25" s="14">
        <v>0.38</v>
      </c>
      <c r="O25" s="14">
        <v>0.28999999999999998</v>
      </c>
      <c r="P25" s="14">
        <v>0.44</v>
      </c>
      <c r="Q25" s="14">
        <v>0.46</v>
      </c>
      <c r="R25" s="14">
        <v>0.37</v>
      </c>
      <c r="S25" s="14">
        <v>0.25</v>
      </c>
      <c r="T25" s="14">
        <v>0.31</v>
      </c>
      <c r="U25" s="14">
        <v>0.47</v>
      </c>
      <c r="V25" s="14">
        <v>0.36</v>
      </c>
      <c r="W25" s="14">
        <v>0.48</v>
      </c>
      <c r="X25" s="14">
        <v>0.49</v>
      </c>
      <c r="Y25" s="14">
        <v>0.38</v>
      </c>
      <c r="Z25" s="14">
        <v>0.5</v>
      </c>
      <c r="AA25" s="14">
        <v>0.67</v>
      </c>
      <c r="AB25" s="14">
        <v>0.47</v>
      </c>
      <c r="AC25" s="14">
        <v>0.28999999999999998</v>
      </c>
      <c r="AD25" s="14">
        <v>0.37</v>
      </c>
      <c r="AE25" s="14">
        <v>0.4</v>
      </c>
      <c r="AF25" s="14">
        <v>0.53</v>
      </c>
    </row>
    <row r="26" spans="1:32">
      <c r="A26" s="23"/>
      <c r="B26" s="11" t="s">
        <v>500</v>
      </c>
      <c r="C26" s="12">
        <v>5047</v>
      </c>
      <c r="D26" s="12">
        <v>247</v>
      </c>
      <c r="E26" s="12">
        <v>217</v>
      </c>
      <c r="F26" s="12">
        <v>301</v>
      </c>
      <c r="G26" s="12">
        <v>80</v>
      </c>
      <c r="H26" s="12">
        <v>186</v>
      </c>
      <c r="I26" s="12">
        <v>267</v>
      </c>
      <c r="J26" s="12">
        <v>82</v>
      </c>
      <c r="K26" s="12">
        <v>210</v>
      </c>
      <c r="L26" s="12">
        <v>90</v>
      </c>
      <c r="M26" s="12">
        <v>241</v>
      </c>
      <c r="N26" s="12">
        <v>192</v>
      </c>
      <c r="O26" s="12">
        <v>286</v>
      </c>
      <c r="P26" s="12">
        <v>170</v>
      </c>
      <c r="Q26" s="12">
        <v>156</v>
      </c>
      <c r="R26" s="12">
        <v>69</v>
      </c>
      <c r="S26" s="12">
        <v>134</v>
      </c>
      <c r="T26" s="12">
        <v>149</v>
      </c>
      <c r="U26" s="12">
        <v>65</v>
      </c>
      <c r="V26" s="12">
        <v>229</v>
      </c>
      <c r="W26" s="12">
        <v>55</v>
      </c>
      <c r="X26" s="12">
        <v>157</v>
      </c>
      <c r="Y26" s="12">
        <v>257</v>
      </c>
      <c r="Z26" s="12">
        <v>138</v>
      </c>
      <c r="AA26" s="12">
        <v>64</v>
      </c>
      <c r="AB26" s="12">
        <v>251</v>
      </c>
      <c r="AC26" s="12">
        <v>186</v>
      </c>
      <c r="AD26" s="12">
        <v>214</v>
      </c>
      <c r="AE26" s="12">
        <v>105</v>
      </c>
      <c r="AF26" s="12">
        <v>123</v>
      </c>
    </row>
    <row r="27" spans="1:32">
      <c r="A27" s="23"/>
      <c r="B27" s="13" t="s">
        <v>501</v>
      </c>
      <c r="C27" s="14">
        <v>0.19</v>
      </c>
      <c r="D27" s="14">
        <v>0.25</v>
      </c>
      <c r="E27" s="14">
        <v>0.21</v>
      </c>
      <c r="F27" s="14">
        <v>0.3</v>
      </c>
      <c r="G27" s="14">
        <v>0.08</v>
      </c>
      <c r="H27" s="14">
        <v>0.15</v>
      </c>
      <c r="I27" s="14">
        <v>0.18</v>
      </c>
      <c r="J27" s="14">
        <v>0.28000000000000003</v>
      </c>
      <c r="K27" s="14">
        <v>0.21</v>
      </c>
      <c r="L27" s="14">
        <v>0.09</v>
      </c>
      <c r="M27" s="14">
        <v>0.24</v>
      </c>
      <c r="N27" s="14">
        <v>0.2</v>
      </c>
      <c r="O27" s="14">
        <v>0.28000000000000003</v>
      </c>
      <c r="P27" s="14">
        <v>0.17</v>
      </c>
      <c r="Q27" s="14">
        <v>0.15</v>
      </c>
      <c r="R27" s="14">
        <v>0.13</v>
      </c>
      <c r="S27" s="14">
        <v>0.14000000000000001</v>
      </c>
      <c r="T27" s="14">
        <v>0.15</v>
      </c>
      <c r="U27" s="14">
        <v>0.13</v>
      </c>
      <c r="V27" s="14">
        <v>0.23</v>
      </c>
      <c r="W27" s="14">
        <v>0.11</v>
      </c>
      <c r="X27" s="14">
        <v>0.16</v>
      </c>
      <c r="Y27" s="14">
        <v>0.25</v>
      </c>
      <c r="Z27" s="14">
        <v>0.14000000000000001</v>
      </c>
      <c r="AA27" s="14">
        <v>0.06</v>
      </c>
      <c r="AB27" s="14">
        <v>0.25</v>
      </c>
      <c r="AC27" s="14">
        <v>0.18</v>
      </c>
      <c r="AD27" s="14">
        <v>0.22</v>
      </c>
      <c r="AE27" s="14">
        <v>0.11</v>
      </c>
      <c r="AF27" s="14">
        <v>0.11</v>
      </c>
    </row>
  </sheetData>
  <mergeCells count="10">
    <mergeCell ref="H3:L3"/>
    <mergeCell ref="C8:AF8"/>
    <mergeCell ref="B3:F3"/>
    <mergeCell ref="B5:F5"/>
    <mergeCell ref="A24:A27"/>
    <mergeCell ref="H5:L5"/>
    <mergeCell ref="B10:B11"/>
    <mergeCell ref="H4:L4"/>
    <mergeCell ref="A10:A23"/>
    <mergeCell ref="B4:F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1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13</v>
      </c>
      <c r="C3" s="19"/>
      <c r="D3" s="19"/>
      <c r="E3" s="19"/>
      <c r="F3" s="19"/>
      <c r="H3" s="19" t="s">
        <v>14</v>
      </c>
      <c r="I3" s="19"/>
      <c r="J3" s="19"/>
      <c r="K3" s="19"/>
      <c r="L3" s="19"/>
    </row>
    <row r="4" spans="1:32" ht="27" customHeight="1">
      <c r="B4" s="19"/>
      <c r="C4" s="19"/>
      <c r="D4" s="19"/>
      <c r="E4" s="19"/>
      <c r="F4" s="19"/>
      <c r="H4" s="19"/>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HYPERLINK("#Content!A8","&lt;&lt;Back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502</v>
      </c>
      <c r="C12" s="12">
        <v>16334</v>
      </c>
      <c r="D12" s="12">
        <v>742</v>
      </c>
      <c r="E12" s="12">
        <v>462</v>
      </c>
      <c r="F12" s="12">
        <v>344</v>
      </c>
      <c r="G12" s="12">
        <v>411</v>
      </c>
      <c r="H12" s="12">
        <v>859</v>
      </c>
      <c r="I12" s="12">
        <v>1005</v>
      </c>
      <c r="J12" s="12">
        <v>146</v>
      </c>
      <c r="K12" s="12">
        <v>389</v>
      </c>
      <c r="L12" s="12">
        <v>597</v>
      </c>
      <c r="M12" s="12">
        <v>761</v>
      </c>
      <c r="N12" s="12">
        <v>780</v>
      </c>
      <c r="O12" s="12">
        <v>550</v>
      </c>
      <c r="P12" s="12">
        <v>624</v>
      </c>
      <c r="Q12" s="12">
        <v>682</v>
      </c>
      <c r="R12" s="12">
        <v>470</v>
      </c>
      <c r="S12" s="12">
        <v>570</v>
      </c>
      <c r="T12" s="12">
        <v>676</v>
      </c>
      <c r="U12" s="12">
        <v>370</v>
      </c>
      <c r="V12" s="12">
        <v>595</v>
      </c>
      <c r="W12" s="12">
        <v>353</v>
      </c>
      <c r="X12" s="12">
        <v>671</v>
      </c>
      <c r="Y12" s="12">
        <v>537</v>
      </c>
      <c r="Z12" s="12">
        <v>535</v>
      </c>
      <c r="AA12" s="12">
        <v>696</v>
      </c>
      <c r="AB12" s="12">
        <v>592</v>
      </c>
      <c r="AC12" s="12">
        <v>612</v>
      </c>
      <c r="AD12" s="12">
        <v>458</v>
      </c>
      <c r="AE12" s="12">
        <v>523</v>
      </c>
      <c r="AF12" s="12">
        <v>486</v>
      </c>
    </row>
    <row r="13" spans="1:32">
      <c r="A13" s="23"/>
      <c r="B13" s="13" t="s">
        <v>503</v>
      </c>
      <c r="C13" s="14">
        <v>0.62</v>
      </c>
      <c r="D13" s="14">
        <v>0.74</v>
      </c>
      <c r="E13" s="14">
        <v>0.44</v>
      </c>
      <c r="F13" s="14">
        <v>0.34</v>
      </c>
      <c r="G13" s="14">
        <v>0.41</v>
      </c>
      <c r="H13" s="14">
        <v>0.71</v>
      </c>
      <c r="I13" s="14">
        <v>0.67</v>
      </c>
      <c r="J13" s="14">
        <v>0.5</v>
      </c>
      <c r="K13" s="14">
        <v>0.39</v>
      </c>
      <c r="L13" s="14">
        <v>0.59</v>
      </c>
      <c r="M13" s="14">
        <v>0.75</v>
      </c>
      <c r="N13" s="14">
        <v>0.78</v>
      </c>
      <c r="O13" s="14">
        <v>0.55000000000000004</v>
      </c>
      <c r="P13" s="14">
        <v>0.62</v>
      </c>
      <c r="Q13" s="14">
        <v>0.67</v>
      </c>
      <c r="R13" s="14">
        <v>0.94000000000000006</v>
      </c>
      <c r="S13" s="14">
        <v>0.57000000000000006</v>
      </c>
      <c r="T13" s="14">
        <v>0.67</v>
      </c>
      <c r="U13" s="14">
        <v>0.74</v>
      </c>
      <c r="V13" s="14">
        <v>0.59</v>
      </c>
      <c r="W13" s="14">
        <v>0.70000000000000007</v>
      </c>
      <c r="X13" s="14">
        <v>0.66</v>
      </c>
      <c r="Y13" s="14">
        <v>0.53</v>
      </c>
      <c r="Z13" s="14">
        <v>0.52</v>
      </c>
      <c r="AA13" s="14">
        <v>0.67</v>
      </c>
      <c r="AB13" s="14">
        <v>0.57999999999999996</v>
      </c>
      <c r="AC13" s="14">
        <v>0.61</v>
      </c>
      <c r="AD13" s="14">
        <v>0.46</v>
      </c>
      <c r="AE13" s="14">
        <v>0.52</v>
      </c>
      <c r="AF13" s="14">
        <v>0.45</v>
      </c>
    </row>
    <row r="14" spans="1:32">
      <c r="A14" s="23"/>
      <c r="B14" s="11" t="s">
        <v>504</v>
      </c>
      <c r="C14" s="12">
        <v>6563</v>
      </c>
      <c r="D14" s="12">
        <v>206</v>
      </c>
      <c r="E14" s="12">
        <v>366</v>
      </c>
      <c r="F14" s="12">
        <v>503</v>
      </c>
      <c r="G14" s="12">
        <v>285</v>
      </c>
      <c r="H14" s="12">
        <v>224</v>
      </c>
      <c r="I14" s="12">
        <v>341</v>
      </c>
      <c r="J14" s="12">
        <v>117</v>
      </c>
      <c r="K14" s="12">
        <v>367</v>
      </c>
      <c r="L14" s="12">
        <v>224</v>
      </c>
      <c r="M14" s="12">
        <v>165</v>
      </c>
      <c r="N14" s="12">
        <v>106</v>
      </c>
      <c r="O14" s="12">
        <v>296</v>
      </c>
      <c r="P14" s="12">
        <v>305</v>
      </c>
      <c r="Q14" s="12">
        <v>217</v>
      </c>
      <c r="R14" s="12">
        <v>25</v>
      </c>
      <c r="S14" s="12">
        <v>256</v>
      </c>
      <c r="T14" s="12">
        <v>143</v>
      </c>
      <c r="U14" s="12">
        <v>61</v>
      </c>
      <c r="V14" s="12">
        <v>332</v>
      </c>
      <c r="W14" s="12">
        <v>92</v>
      </c>
      <c r="X14" s="12">
        <v>277</v>
      </c>
      <c r="Y14" s="12">
        <v>273</v>
      </c>
      <c r="Z14" s="12">
        <v>333</v>
      </c>
      <c r="AA14" s="12">
        <v>126</v>
      </c>
      <c r="AB14" s="12">
        <v>353</v>
      </c>
      <c r="AC14" s="12">
        <v>211</v>
      </c>
      <c r="AD14" s="12">
        <v>403</v>
      </c>
      <c r="AE14" s="12">
        <v>264</v>
      </c>
      <c r="AF14" s="12">
        <v>367</v>
      </c>
    </row>
    <row r="15" spans="1:32">
      <c r="A15" s="23"/>
      <c r="B15" s="13" t="s">
        <v>505</v>
      </c>
      <c r="C15" s="14">
        <v>0.25</v>
      </c>
      <c r="D15" s="14">
        <v>0.2</v>
      </c>
      <c r="E15" s="14">
        <v>0.35</v>
      </c>
      <c r="F15" s="14">
        <v>0.5</v>
      </c>
      <c r="G15" s="14">
        <v>0.28999999999999998</v>
      </c>
      <c r="H15" s="14">
        <v>0.18</v>
      </c>
      <c r="I15" s="14">
        <v>0.23</v>
      </c>
      <c r="J15" s="14">
        <v>0.4</v>
      </c>
      <c r="K15" s="14">
        <v>0.36</v>
      </c>
      <c r="L15" s="14">
        <v>0.22</v>
      </c>
      <c r="M15" s="14">
        <v>0.16</v>
      </c>
      <c r="N15" s="14">
        <v>0.11</v>
      </c>
      <c r="O15" s="14">
        <v>0.28999999999999998</v>
      </c>
      <c r="P15" s="14">
        <v>0.3</v>
      </c>
      <c r="Q15" s="14">
        <v>0.21</v>
      </c>
      <c r="R15" s="14">
        <v>0.05</v>
      </c>
      <c r="S15" s="14">
        <v>0.25</v>
      </c>
      <c r="T15" s="14">
        <v>0.14000000000000001</v>
      </c>
      <c r="U15" s="14">
        <v>0.12</v>
      </c>
      <c r="V15" s="14">
        <v>0.33</v>
      </c>
      <c r="W15" s="14">
        <v>0.18</v>
      </c>
      <c r="X15" s="14">
        <v>0.27</v>
      </c>
      <c r="Y15" s="14">
        <v>0.27</v>
      </c>
      <c r="Z15" s="14">
        <v>0.33</v>
      </c>
      <c r="AA15" s="14">
        <v>0.12</v>
      </c>
      <c r="AB15" s="14">
        <v>0.34</v>
      </c>
      <c r="AC15" s="14">
        <v>0.21</v>
      </c>
      <c r="AD15" s="14">
        <v>0.4</v>
      </c>
      <c r="AE15" s="14">
        <v>0.26</v>
      </c>
      <c r="AF15" s="14">
        <v>0.34</v>
      </c>
    </row>
    <row r="16" spans="1:32" ht="34.5">
      <c r="A16" s="23"/>
      <c r="B16" s="11" t="s">
        <v>506</v>
      </c>
      <c r="C16" s="12">
        <v>2281</v>
      </c>
      <c r="D16" s="12">
        <v>46</v>
      </c>
      <c r="E16" s="12">
        <v>156</v>
      </c>
      <c r="F16" s="12">
        <v>122</v>
      </c>
      <c r="G16" s="12">
        <v>243</v>
      </c>
      <c r="H16" s="12">
        <v>91</v>
      </c>
      <c r="I16" s="12">
        <v>115</v>
      </c>
      <c r="J16" s="12">
        <v>23</v>
      </c>
      <c r="K16" s="12">
        <v>161</v>
      </c>
      <c r="L16" s="12">
        <v>135</v>
      </c>
      <c r="M16" s="12">
        <v>54</v>
      </c>
      <c r="N16" s="12">
        <v>59</v>
      </c>
      <c r="O16" s="12">
        <v>79</v>
      </c>
      <c r="P16" s="12">
        <v>61</v>
      </c>
      <c r="Q16" s="12">
        <v>86</v>
      </c>
      <c r="R16" s="12">
        <v>6</v>
      </c>
      <c r="S16" s="12">
        <v>77</v>
      </c>
      <c r="T16" s="12">
        <v>135</v>
      </c>
      <c r="U16" s="12">
        <v>50</v>
      </c>
      <c r="V16" s="12">
        <v>59</v>
      </c>
      <c r="W16" s="12">
        <v>30</v>
      </c>
      <c r="X16" s="12">
        <v>52</v>
      </c>
      <c r="Y16" s="12">
        <v>169</v>
      </c>
      <c r="Z16" s="12">
        <v>119</v>
      </c>
      <c r="AA16" s="12">
        <v>145</v>
      </c>
      <c r="AB16" s="12">
        <v>45</v>
      </c>
      <c r="AC16" s="12">
        <v>127</v>
      </c>
      <c r="AD16" s="12">
        <v>116</v>
      </c>
      <c r="AE16" s="12">
        <v>128</v>
      </c>
      <c r="AF16" s="12">
        <v>158</v>
      </c>
    </row>
    <row r="17" spans="1:32" ht="23.25">
      <c r="A17" s="23"/>
      <c r="B17" s="13" t="s">
        <v>507</v>
      </c>
      <c r="C17" s="14">
        <v>0.09</v>
      </c>
      <c r="D17" s="14">
        <v>0.05</v>
      </c>
      <c r="E17" s="14">
        <v>0.15</v>
      </c>
      <c r="F17" s="14">
        <v>0.12</v>
      </c>
      <c r="G17" s="14">
        <v>0.24</v>
      </c>
      <c r="H17" s="14">
        <v>0.08</v>
      </c>
      <c r="I17" s="14">
        <v>7.0000000000000007E-2</v>
      </c>
      <c r="J17" s="14">
        <v>0.08</v>
      </c>
      <c r="K17" s="14">
        <v>0.16</v>
      </c>
      <c r="L17" s="14">
        <v>0.14000000000000001</v>
      </c>
      <c r="M17" s="14">
        <v>0.06</v>
      </c>
      <c r="N17" s="14">
        <v>0.06</v>
      </c>
      <c r="O17" s="14">
        <v>0.08</v>
      </c>
      <c r="P17" s="14">
        <v>0.06</v>
      </c>
      <c r="Q17" s="14">
        <v>0.08</v>
      </c>
      <c r="R17" s="14">
        <v>0.01</v>
      </c>
      <c r="S17" s="14">
        <v>0.08</v>
      </c>
      <c r="T17" s="14">
        <v>0.14000000000000001</v>
      </c>
      <c r="U17" s="14">
        <v>0.1</v>
      </c>
      <c r="V17" s="14">
        <v>0.06</v>
      </c>
      <c r="W17" s="14">
        <v>0.06</v>
      </c>
      <c r="X17" s="14">
        <v>0.05</v>
      </c>
      <c r="Y17" s="14">
        <v>0.17</v>
      </c>
      <c r="Z17" s="14">
        <v>0.12</v>
      </c>
      <c r="AA17" s="14">
        <v>0.14000000000000001</v>
      </c>
      <c r="AB17" s="14">
        <v>0.04</v>
      </c>
      <c r="AC17" s="14">
        <v>0.13</v>
      </c>
      <c r="AD17" s="14">
        <v>0.12</v>
      </c>
      <c r="AE17" s="14">
        <v>0.13</v>
      </c>
      <c r="AF17" s="14">
        <v>0.15</v>
      </c>
    </row>
    <row r="18" spans="1:32">
      <c r="A18" s="23"/>
      <c r="B18" s="11" t="s">
        <v>497</v>
      </c>
      <c r="C18" s="12">
        <v>1175</v>
      </c>
      <c r="D18" s="12">
        <v>12</v>
      </c>
      <c r="E18" s="12">
        <v>60</v>
      </c>
      <c r="F18" s="12">
        <v>39</v>
      </c>
      <c r="G18" s="12">
        <v>64</v>
      </c>
      <c r="H18" s="12">
        <v>36</v>
      </c>
      <c r="I18" s="12">
        <v>43</v>
      </c>
      <c r="J18" s="12">
        <v>7</v>
      </c>
      <c r="K18" s="12">
        <v>87</v>
      </c>
      <c r="L18" s="12">
        <v>51</v>
      </c>
      <c r="M18" s="12">
        <v>32</v>
      </c>
      <c r="N18" s="12">
        <v>55</v>
      </c>
      <c r="O18" s="12">
        <v>81</v>
      </c>
      <c r="P18" s="12">
        <v>21</v>
      </c>
      <c r="Q18" s="12">
        <v>40</v>
      </c>
      <c r="R18" s="12">
        <v>1</v>
      </c>
      <c r="S18" s="12">
        <v>102</v>
      </c>
      <c r="T18" s="12">
        <v>50</v>
      </c>
      <c r="U18" s="12">
        <v>21</v>
      </c>
      <c r="V18" s="12">
        <v>25</v>
      </c>
      <c r="W18" s="12">
        <v>28</v>
      </c>
      <c r="X18" s="12">
        <v>17</v>
      </c>
      <c r="Y18" s="12">
        <v>27</v>
      </c>
      <c r="Z18" s="12">
        <v>30</v>
      </c>
      <c r="AA18" s="12">
        <v>73</v>
      </c>
      <c r="AB18" s="12">
        <v>41</v>
      </c>
      <c r="AC18" s="12">
        <v>55</v>
      </c>
      <c r="AD18" s="12">
        <v>25</v>
      </c>
      <c r="AE18" s="12">
        <v>93</v>
      </c>
      <c r="AF18" s="12">
        <v>62</v>
      </c>
    </row>
    <row r="19" spans="1:32">
      <c r="A19" s="23"/>
      <c r="B19" s="13" t="s">
        <v>498</v>
      </c>
      <c r="C19" s="14">
        <v>0.04</v>
      </c>
      <c r="D19" s="14">
        <v>0.01</v>
      </c>
      <c r="E19" s="14">
        <v>0.06</v>
      </c>
      <c r="F19" s="14">
        <v>0.04</v>
      </c>
      <c r="G19" s="14">
        <v>0.06</v>
      </c>
      <c r="H19" s="14">
        <v>0.03</v>
      </c>
      <c r="I19" s="14">
        <v>0.03</v>
      </c>
      <c r="J19" s="14">
        <v>0.02</v>
      </c>
      <c r="K19" s="14">
        <v>0.09</v>
      </c>
      <c r="L19" s="14">
        <v>0.05</v>
      </c>
      <c r="M19" s="14">
        <v>0.03</v>
      </c>
      <c r="N19" s="14">
        <v>0.05</v>
      </c>
      <c r="O19" s="14">
        <v>0.08</v>
      </c>
      <c r="P19" s="14">
        <v>0.02</v>
      </c>
      <c r="Q19" s="14">
        <v>0.04</v>
      </c>
      <c r="R19" s="15" t="s">
        <v>485</v>
      </c>
      <c r="S19" s="14">
        <v>0.1</v>
      </c>
      <c r="T19" s="14">
        <v>0.05</v>
      </c>
      <c r="U19" s="14">
        <v>0.04</v>
      </c>
      <c r="V19" s="14">
        <v>0.02</v>
      </c>
      <c r="W19" s="14">
        <v>0.06</v>
      </c>
      <c r="X19" s="14">
        <v>0.02</v>
      </c>
      <c r="Y19" s="14">
        <v>0.03</v>
      </c>
      <c r="Z19" s="14">
        <v>0.03</v>
      </c>
      <c r="AA19" s="14">
        <v>7.0000000000000007E-2</v>
      </c>
      <c r="AB19" s="14">
        <v>0.04</v>
      </c>
      <c r="AC19" s="14">
        <v>0.05</v>
      </c>
      <c r="AD19" s="14">
        <v>0.02</v>
      </c>
      <c r="AE19" s="14">
        <v>0.09</v>
      </c>
      <c r="AF19" s="14">
        <v>0.06</v>
      </c>
    </row>
  </sheetData>
  <mergeCells count="9">
    <mergeCell ref="H3:L3"/>
    <mergeCell ref="C8:AF8"/>
    <mergeCell ref="B3:F3"/>
    <mergeCell ref="B5:F5"/>
    <mergeCell ref="A10:A19"/>
    <mergeCell ref="H5:L5"/>
    <mergeCell ref="B10:B11"/>
    <mergeCell ref="H4:L4"/>
    <mergeCell ref="B4:F4"/>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F27"/>
  <sheetViews>
    <sheetView workbookViewId="0">
      <pane xSplit="3" ySplit="9" topLeftCell="D10" activePane="bottomRight" state="frozen"/>
      <selection pane="bottomRight" activeCell="B26" sqref="A26:XFD27"/>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15</v>
      </c>
      <c r="C3" s="19"/>
      <c r="D3" s="19"/>
      <c r="E3" s="19"/>
      <c r="F3" s="19"/>
      <c r="H3" s="19" t="s">
        <v>16</v>
      </c>
      <c r="I3" s="19"/>
      <c r="J3" s="19"/>
      <c r="K3" s="19"/>
      <c r="L3" s="19"/>
    </row>
    <row r="4" spans="1:32" ht="27" customHeight="1">
      <c r="B4" s="19"/>
      <c r="C4" s="19"/>
      <c r="D4" s="19"/>
      <c r="E4" s="19"/>
      <c r="F4" s="19"/>
      <c r="H4" s="19"/>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HYPERLINK("#Content!A9","&lt;&lt;Back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487</v>
      </c>
      <c r="C12" s="12">
        <v>1917</v>
      </c>
      <c r="D12" s="12">
        <v>49</v>
      </c>
      <c r="E12" s="12">
        <v>168</v>
      </c>
      <c r="F12" s="12">
        <v>32</v>
      </c>
      <c r="G12" s="12">
        <v>131</v>
      </c>
      <c r="H12" s="12">
        <v>117</v>
      </c>
      <c r="I12" s="12">
        <v>137</v>
      </c>
      <c r="J12" s="12">
        <v>20</v>
      </c>
      <c r="K12" s="12">
        <v>40</v>
      </c>
      <c r="L12" s="12">
        <v>264</v>
      </c>
      <c r="M12" s="12">
        <v>63</v>
      </c>
      <c r="N12" s="12">
        <v>47</v>
      </c>
      <c r="O12" s="12">
        <v>40</v>
      </c>
      <c r="P12" s="12">
        <v>121</v>
      </c>
      <c r="Q12" s="12">
        <v>52</v>
      </c>
      <c r="R12" s="12">
        <v>35</v>
      </c>
      <c r="S12" s="12">
        <v>46</v>
      </c>
      <c r="T12" s="12">
        <v>114</v>
      </c>
      <c r="U12" s="12">
        <v>65</v>
      </c>
      <c r="V12" s="12">
        <v>54</v>
      </c>
      <c r="W12" s="12">
        <v>39</v>
      </c>
      <c r="X12" s="12">
        <v>129</v>
      </c>
      <c r="Y12" s="12">
        <v>91</v>
      </c>
      <c r="Z12" s="12">
        <v>78</v>
      </c>
      <c r="AA12" s="12">
        <v>75</v>
      </c>
      <c r="AB12" s="12">
        <v>83</v>
      </c>
      <c r="AC12" s="12">
        <v>66</v>
      </c>
      <c r="AD12" s="12">
        <v>74</v>
      </c>
      <c r="AE12" s="12">
        <v>104</v>
      </c>
      <c r="AF12" s="12">
        <v>140</v>
      </c>
    </row>
    <row r="13" spans="1:32">
      <c r="A13" s="23"/>
      <c r="B13" s="13" t="s">
        <v>488</v>
      </c>
      <c r="C13" s="14">
        <v>7.0000000000000007E-2</v>
      </c>
      <c r="D13" s="14">
        <v>0.05</v>
      </c>
      <c r="E13" s="14">
        <v>0.16</v>
      </c>
      <c r="F13" s="14">
        <v>0.03</v>
      </c>
      <c r="G13" s="14">
        <v>0.13</v>
      </c>
      <c r="H13" s="14">
        <v>0.1</v>
      </c>
      <c r="I13" s="14">
        <v>0.09</v>
      </c>
      <c r="J13" s="14">
        <v>7.0000000000000007E-2</v>
      </c>
      <c r="K13" s="14">
        <v>0.04</v>
      </c>
      <c r="L13" s="14">
        <v>0.26</v>
      </c>
      <c r="M13" s="14">
        <v>0.06</v>
      </c>
      <c r="N13" s="14">
        <v>0.05</v>
      </c>
      <c r="O13" s="14">
        <v>0.04</v>
      </c>
      <c r="P13" s="14">
        <v>0.12</v>
      </c>
      <c r="Q13" s="14">
        <v>0.05</v>
      </c>
      <c r="R13" s="14">
        <v>7.0000000000000007E-2</v>
      </c>
      <c r="S13" s="14">
        <v>0.05</v>
      </c>
      <c r="T13" s="14">
        <v>0.11</v>
      </c>
      <c r="U13" s="14">
        <v>0.13</v>
      </c>
      <c r="V13" s="14">
        <v>0.05</v>
      </c>
      <c r="W13" s="14">
        <v>0.08</v>
      </c>
      <c r="X13" s="14">
        <v>0.13</v>
      </c>
      <c r="Y13" s="14">
        <v>0.09</v>
      </c>
      <c r="Z13" s="14">
        <v>0.08</v>
      </c>
      <c r="AA13" s="14">
        <v>7.0000000000000007E-2</v>
      </c>
      <c r="AB13" s="14">
        <v>0.08</v>
      </c>
      <c r="AC13" s="14">
        <v>7.0000000000000007E-2</v>
      </c>
      <c r="AD13" s="14">
        <v>7.0000000000000007E-2</v>
      </c>
      <c r="AE13" s="14">
        <v>0.1</v>
      </c>
      <c r="AF13" s="14">
        <v>0.13</v>
      </c>
    </row>
    <row r="14" spans="1:32">
      <c r="A14" s="23"/>
      <c r="B14" s="11" t="s">
        <v>508</v>
      </c>
      <c r="C14" s="12">
        <v>11419</v>
      </c>
      <c r="D14" s="12">
        <v>461</v>
      </c>
      <c r="E14" s="12">
        <v>397</v>
      </c>
      <c r="F14" s="12">
        <v>292</v>
      </c>
      <c r="G14" s="12">
        <v>495</v>
      </c>
      <c r="H14" s="12">
        <v>547</v>
      </c>
      <c r="I14" s="12">
        <v>636</v>
      </c>
      <c r="J14" s="12">
        <v>89</v>
      </c>
      <c r="K14" s="12">
        <v>430</v>
      </c>
      <c r="L14" s="12">
        <v>407</v>
      </c>
      <c r="M14" s="12">
        <v>320</v>
      </c>
      <c r="N14" s="12">
        <v>437</v>
      </c>
      <c r="O14" s="12">
        <v>374</v>
      </c>
      <c r="P14" s="12">
        <v>441</v>
      </c>
      <c r="Q14" s="12">
        <v>500</v>
      </c>
      <c r="R14" s="12">
        <v>207</v>
      </c>
      <c r="S14" s="12">
        <v>373</v>
      </c>
      <c r="T14" s="12">
        <v>495</v>
      </c>
      <c r="U14" s="12">
        <v>250</v>
      </c>
      <c r="V14" s="12">
        <v>420</v>
      </c>
      <c r="W14" s="12">
        <v>238</v>
      </c>
      <c r="X14" s="12">
        <v>509</v>
      </c>
      <c r="Y14" s="12">
        <v>321</v>
      </c>
      <c r="Z14" s="12">
        <v>456</v>
      </c>
      <c r="AA14" s="12">
        <v>707</v>
      </c>
      <c r="AB14" s="12">
        <v>443</v>
      </c>
      <c r="AC14" s="12">
        <v>406</v>
      </c>
      <c r="AD14" s="12">
        <v>339</v>
      </c>
      <c r="AE14" s="12">
        <v>478</v>
      </c>
      <c r="AF14" s="12">
        <v>590</v>
      </c>
    </row>
    <row r="15" spans="1:32">
      <c r="A15" s="23"/>
      <c r="B15" s="13" t="s">
        <v>490</v>
      </c>
      <c r="C15" s="14">
        <v>0.43</v>
      </c>
      <c r="D15" s="14">
        <v>0.46</v>
      </c>
      <c r="E15" s="14">
        <v>0.38</v>
      </c>
      <c r="F15" s="14">
        <v>0.28999999999999998</v>
      </c>
      <c r="G15" s="14">
        <v>0.49</v>
      </c>
      <c r="H15" s="14">
        <v>0.45</v>
      </c>
      <c r="I15" s="14">
        <v>0.42</v>
      </c>
      <c r="J15" s="14">
        <v>0.3</v>
      </c>
      <c r="K15" s="14">
        <v>0.43</v>
      </c>
      <c r="L15" s="14">
        <v>0.4</v>
      </c>
      <c r="M15" s="14">
        <v>0.32</v>
      </c>
      <c r="N15" s="14">
        <v>0.44</v>
      </c>
      <c r="O15" s="14">
        <v>0.37</v>
      </c>
      <c r="P15" s="14">
        <v>0.44</v>
      </c>
      <c r="Q15" s="14">
        <v>0.49</v>
      </c>
      <c r="R15" s="14">
        <v>0.41</v>
      </c>
      <c r="S15" s="14">
        <v>0.37</v>
      </c>
      <c r="T15" s="14">
        <v>0.49</v>
      </c>
      <c r="U15" s="14">
        <v>0.5</v>
      </c>
      <c r="V15" s="14">
        <v>0.42</v>
      </c>
      <c r="W15" s="14">
        <v>0.47</v>
      </c>
      <c r="X15" s="14">
        <v>0.5</v>
      </c>
      <c r="Y15" s="14">
        <v>0.32</v>
      </c>
      <c r="Z15" s="14">
        <v>0.45</v>
      </c>
      <c r="AA15" s="14">
        <v>0.68</v>
      </c>
      <c r="AB15" s="14">
        <v>0.43</v>
      </c>
      <c r="AC15" s="14">
        <v>0.4</v>
      </c>
      <c r="AD15" s="14">
        <v>0.34</v>
      </c>
      <c r="AE15" s="14">
        <v>0.47</v>
      </c>
      <c r="AF15" s="14">
        <v>0.55000000000000004</v>
      </c>
    </row>
    <row r="16" spans="1:32">
      <c r="A16" s="23"/>
      <c r="B16" s="11" t="s">
        <v>491</v>
      </c>
      <c r="C16" s="12">
        <v>8903</v>
      </c>
      <c r="D16" s="12">
        <v>305</v>
      </c>
      <c r="E16" s="12">
        <v>267</v>
      </c>
      <c r="F16" s="12">
        <v>422</v>
      </c>
      <c r="G16" s="12">
        <v>287</v>
      </c>
      <c r="H16" s="12">
        <v>423</v>
      </c>
      <c r="I16" s="12">
        <v>534</v>
      </c>
      <c r="J16" s="12">
        <v>111</v>
      </c>
      <c r="K16" s="12">
        <v>362</v>
      </c>
      <c r="L16" s="12">
        <v>252</v>
      </c>
      <c r="M16" s="12">
        <v>377</v>
      </c>
      <c r="N16" s="12">
        <v>366</v>
      </c>
      <c r="O16" s="12">
        <v>343</v>
      </c>
      <c r="P16" s="12">
        <v>334</v>
      </c>
      <c r="Q16" s="12">
        <v>334</v>
      </c>
      <c r="R16" s="12">
        <v>172</v>
      </c>
      <c r="S16" s="12">
        <v>423</v>
      </c>
      <c r="T16" s="12">
        <v>311</v>
      </c>
      <c r="U16" s="12">
        <v>109</v>
      </c>
      <c r="V16" s="12">
        <v>379</v>
      </c>
      <c r="W16" s="12">
        <v>181</v>
      </c>
      <c r="X16" s="12">
        <v>230</v>
      </c>
      <c r="Y16" s="12">
        <v>380</v>
      </c>
      <c r="Z16" s="12">
        <v>391</v>
      </c>
      <c r="AA16" s="12">
        <v>198</v>
      </c>
      <c r="AB16" s="12">
        <v>358</v>
      </c>
      <c r="AC16" s="12">
        <v>361</v>
      </c>
      <c r="AD16" s="12">
        <v>388</v>
      </c>
      <c r="AE16" s="12">
        <v>306</v>
      </c>
      <c r="AF16" s="12">
        <v>246</v>
      </c>
    </row>
    <row r="17" spans="1:32">
      <c r="A17" s="23"/>
      <c r="B17" s="13" t="s">
        <v>492</v>
      </c>
      <c r="C17" s="14">
        <v>0.34</v>
      </c>
      <c r="D17" s="14">
        <v>0.3</v>
      </c>
      <c r="E17" s="14">
        <v>0.26</v>
      </c>
      <c r="F17" s="14">
        <v>0.42</v>
      </c>
      <c r="G17" s="14">
        <v>0.28999999999999998</v>
      </c>
      <c r="H17" s="14">
        <v>0.35</v>
      </c>
      <c r="I17" s="14">
        <v>0.36</v>
      </c>
      <c r="J17" s="14">
        <v>0.38</v>
      </c>
      <c r="K17" s="14">
        <v>0.36</v>
      </c>
      <c r="L17" s="14">
        <v>0.25</v>
      </c>
      <c r="M17" s="14">
        <v>0.37</v>
      </c>
      <c r="N17" s="14">
        <v>0.36</v>
      </c>
      <c r="O17" s="14">
        <v>0.34</v>
      </c>
      <c r="P17" s="14">
        <v>0.33</v>
      </c>
      <c r="Q17" s="14">
        <v>0.32</v>
      </c>
      <c r="R17" s="14">
        <v>0.34</v>
      </c>
      <c r="S17" s="14">
        <v>0.42</v>
      </c>
      <c r="T17" s="14">
        <v>0.31</v>
      </c>
      <c r="U17" s="14">
        <v>0.21</v>
      </c>
      <c r="V17" s="14">
        <v>0.38</v>
      </c>
      <c r="W17" s="14">
        <v>0.36</v>
      </c>
      <c r="X17" s="14">
        <v>0.23</v>
      </c>
      <c r="Y17" s="14">
        <v>0.38</v>
      </c>
      <c r="Z17" s="14">
        <v>0.38</v>
      </c>
      <c r="AA17" s="14">
        <v>0.19</v>
      </c>
      <c r="AB17" s="14">
        <v>0.35</v>
      </c>
      <c r="AC17" s="14">
        <v>0.36</v>
      </c>
      <c r="AD17" s="14">
        <v>0.39</v>
      </c>
      <c r="AE17" s="14">
        <v>0.3</v>
      </c>
      <c r="AF17" s="14">
        <v>0.23</v>
      </c>
    </row>
    <row r="18" spans="1:32">
      <c r="A18" s="23"/>
      <c r="B18" s="11" t="s">
        <v>509</v>
      </c>
      <c r="C18" s="12">
        <v>3148</v>
      </c>
      <c r="D18" s="12">
        <v>156</v>
      </c>
      <c r="E18" s="12">
        <v>140</v>
      </c>
      <c r="F18" s="12">
        <v>191</v>
      </c>
      <c r="G18" s="12">
        <v>65</v>
      </c>
      <c r="H18" s="12">
        <v>111</v>
      </c>
      <c r="I18" s="12">
        <v>164</v>
      </c>
      <c r="J18" s="12">
        <v>53</v>
      </c>
      <c r="K18" s="12">
        <v>122</v>
      </c>
      <c r="L18" s="12">
        <v>57</v>
      </c>
      <c r="M18" s="12">
        <v>188</v>
      </c>
      <c r="N18" s="12">
        <v>121</v>
      </c>
      <c r="O18" s="12">
        <v>175</v>
      </c>
      <c r="P18" s="12">
        <v>94</v>
      </c>
      <c r="Q18" s="12">
        <v>109</v>
      </c>
      <c r="R18" s="12">
        <v>64</v>
      </c>
      <c r="S18" s="12">
        <v>118</v>
      </c>
      <c r="T18" s="12">
        <v>68</v>
      </c>
      <c r="U18" s="12">
        <v>59</v>
      </c>
      <c r="V18" s="12">
        <v>126</v>
      </c>
      <c r="W18" s="12">
        <v>36</v>
      </c>
      <c r="X18" s="12">
        <v>117</v>
      </c>
      <c r="Y18" s="12">
        <v>146</v>
      </c>
      <c r="Z18" s="12">
        <v>68</v>
      </c>
      <c r="AA18" s="12">
        <v>49</v>
      </c>
      <c r="AB18" s="12">
        <v>110</v>
      </c>
      <c r="AC18" s="12">
        <v>122</v>
      </c>
      <c r="AD18" s="12">
        <v>161</v>
      </c>
      <c r="AE18" s="12">
        <v>98</v>
      </c>
      <c r="AF18" s="12">
        <v>82</v>
      </c>
    </row>
    <row r="19" spans="1:32">
      <c r="A19" s="23"/>
      <c r="B19" s="13" t="s">
        <v>494</v>
      </c>
      <c r="C19" s="14">
        <v>0.12</v>
      </c>
      <c r="D19" s="14">
        <v>0.16</v>
      </c>
      <c r="E19" s="14">
        <v>0.13</v>
      </c>
      <c r="F19" s="14">
        <v>0.19</v>
      </c>
      <c r="G19" s="14">
        <v>7.0000000000000007E-2</v>
      </c>
      <c r="H19" s="14">
        <v>0.09</v>
      </c>
      <c r="I19" s="14">
        <v>0.11</v>
      </c>
      <c r="J19" s="14">
        <v>0.18</v>
      </c>
      <c r="K19" s="14">
        <v>0.12</v>
      </c>
      <c r="L19" s="14">
        <v>0.06</v>
      </c>
      <c r="M19" s="14">
        <v>0.19</v>
      </c>
      <c r="N19" s="14">
        <v>0.12</v>
      </c>
      <c r="O19" s="14">
        <v>0.18</v>
      </c>
      <c r="P19" s="14">
        <v>0.09</v>
      </c>
      <c r="Q19" s="14">
        <v>0.11</v>
      </c>
      <c r="R19" s="14">
        <v>0.13</v>
      </c>
      <c r="S19" s="14">
        <v>0.12</v>
      </c>
      <c r="T19" s="14">
        <v>7.0000000000000007E-2</v>
      </c>
      <c r="U19" s="14">
        <v>0.12</v>
      </c>
      <c r="V19" s="14">
        <v>0.12</v>
      </c>
      <c r="W19" s="14">
        <v>7.0000000000000007E-2</v>
      </c>
      <c r="X19" s="14">
        <v>0.11</v>
      </c>
      <c r="Y19" s="14">
        <v>0.14000000000000001</v>
      </c>
      <c r="Z19" s="14">
        <v>7.0000000000000007E-2</v>
      </c>
      <c r="AA19" s="14">
        <v>0.05</v>
      </c>
      <c r="AB19" s="14">
        <v>0.1</v>
      </c>
      <c r="AC19" s="14">
        <v>0.12</v>
      </c>
      <c r="AD19" s="14">
        <v>0.16</v>
      </c>
      <c r="AE19" s="14">
        <v>0.1</v>
      </c>
      <c r="AF19" s="14">
        <v>0.08</v>
      </c>
    </row>
    <row r="20" spans="1:32">
      <c r="A20" s="23"/>
      <c r="B20" s="11" t="s">
        <v>495</v>
      </c>
      <c r="C20" s="12">
        <v>852</v>
      </c>
      <c r="D20" s="12">
        <v>33</v>
      </c>
      <c r="E20" s="12">
        <v>64</v>
      </c>
      <c r="F20" s="12">
        <v>67</v>
      </c>
      <c r="G20" s="12">
        <v>22</v>
      </c>
      <c r="H20" s="12">
        <v>10</v>
      </c>
      <c r="I20" s="12">
        <v>29</v>
      </c>
      <c r="J20" s="12">
        <v>19</v>
      </c>
      <c r="K20" s="12">
        <v>43</v>
      </c>
      <c r="L20" s="12">
        <v>19</v>
      </c>
      <c r="M20" s="12">
        <v>59</v>
      </c>
      <c r="N20" s="12">
        <v>21</v>
      </c>
      <c r="O20" s="12">
        <v>63</v>
      </c>
      <c r="P20" s="12">
        <v>21</v>
      </c>
      <c r="Q20" s="12">
        <v>28</v>
      </c>
      <c r="R20" s="12">
        <v>22</v>
      </c>
      <c r="S20" s="12">
        <v>32</v>
      </c>
      <c r="T20" s="12">
        <v>11</v>
      </c>
      <c r="U20" s="12">
        <v>19</v>
      </c>
      <c r="V20" s="12">
        <v>30</v>
      </c>
      <c r="W20" s="12">
        <v>8</v>
      </c>
      <c r="X20" s="12">
        <v>30</v>
      </c>
      <c r="Y20" s="12">
        <v>68</v>
      </c>
      <c r="Z20" s="12">
        <v>24</v>
      </c>
      <c r="AA20" s="12">
        <v>3</v>
      </c>
      <c r="AB20" s="12">
        <v>28</v>
      </c>
      <c r="AC20" s="12">
        <v>41</v>
      </c>
      <c r="AD20" s="12">
        <v>38</v>
      </c>
      <c r="AE20" s="12">
        <v>16</v>
      </c>
      <c r="AF20" s="12">
        <v>15</v>
      </c>
    </row>
    <row r="21" spans="1:32">
      <c r="A21" s="23"/>
      <c r="B21" s="13" t="s">
        <v>496</v>
      </c>
      <c r="C21" s="14">
        <v>0.03</v>
      </c>
      <c r="D21" s="14">
        <v>0.03</v>
      </c>
      <c r="E21" s="14">
        <v>0.06</v>
      </c>
      <c r="F21" s="14">
        <v>7.0000000000000007E-2</v>
      </c>
      <c r="G21" s="14">
        <v>0.02</v>
      </c>
      <c r="H21" s="14">
        <v>0.01</v>
      </c>
      <c r="I21" s="14">
        <v>0.02</v>
      </c>
      <c r="J21" s="14">
        <v>7.0000000000000007E-2</v>
      </c>
      <c r="K21" s="14">
        <v>0.04</v>
      </c>
      <c r="L21" s="14">
        <v>0.02</v>
      </c>
      <c r="M21" s="14">
        <v>0.06</v>
      </c>
      <c r="N21" s="14">
        <v>0.02</v>
      </c>
      <c r="O21" s="14">
        <v>0.06</v>
      </c>
      <c r="P21" s="14">
        <v>0.02</v>
      </c>
      <c r="Q21" s="14">
        <v>0.03</v>
      </c>
      <c r="R21" s="14">
        <v>0.04</v>
      </c>
      <c r="S21" s="14">
        <v>0.03</v>
      </c>
      <c r="T21" s="14">
        <v>0.01</v>
      </c>
      <c r="U21" s="14">
        <v>0.04</v>
      </c>
      <c r="V21" s="14">
        <v>0.03</v>
      </c>
      <c r="W21" s="14">
        <v>0.02</v>
      </c>
      <c r="X21" s="14">
        <v>0.03</v>
      </c>
      <c r="Y21" s="14">
        <v>7.0000000000000007E-2</v>
      </c>
      <c r="Z21" s="14">
        <v>0.02</v>
      </c>
      <c r="AA21" s="15" t="s">
        <v>485</v>
      </c>
      <c r="AB21" s="14">
        <v>0.03</v>
      </c>
      <c r="AC21" s="14">
        <v>0.04</v>
      </c>
      <c r="AD21" s="14">
        <v>0.04</v>
      </c>
      <c r="AE21" s="14">
        <v>0.02</v>
      </c>
      <c r="AF21" s="14">
        <v>0.01</v>
      </c>
    </row>
    <row r="22" spans="1:32">
      <c r="A22" s="23"/>
      <c r="B22" s="11" t="s">
        <v>497</v>
      </c>
      <c r="C22" s="12">
        <v>116</v>
      </c>
      <c r="D22" s="12">
        <v>1</v>
      </c>
      <c r="E22" s="12">
        <v>9</v>
      </c>
      <c r="F22" s="12">
        <v>3</v>
      </c>
      <c r="G22" s="12">
        <v>4</v>
      </c>
      <c r="H22" s="12">
        <v>3</v>
      </c>
      <c r="I22" s="12">
        <v>4</v>
      </c>
      <c r="J22" s="12">
        <v>1</v>
      </c>
      <c r="K22" s="12">
        <v>8</v>
      </c>
      <c r="L22" s="12">
        <v>8</v>
      </c>
      <c r="M22" s="12">
        <v>4</v>
      </c>
      <c r="N22" s="12">
        <v>8</v>
      </c>
      <c r="O22" s="12">
        <v>11</v>
      </c>
      <c r="P22" s="12">
        <v>1</v>
      </c>
      <c r="Q22" s="12">
        <v>1</v>
      </c>
      <c r="R22" s="12">
        <v>2</v>
      </c>
      <c r="S22" s="12">
        <v>13</v>
      </c>
      <c r="T22" s="12">
        <v>5</v>
      </c>
      <c r="U22" s="12">
        <v>1</v>
      </c>
      <c r="V22" s="12">
        <v>2</v>
      </c>
      <c r="W22" s="12">
        <v>0</v>
      </c>
      <c r="X22" s="12">
        <v>0</v>
      </c>
      <c r="Y22" s="12">
        <v>1</v>
      </c>
      <c r="Z22" s="12">
        <v>1</v>
      </c>
      <c r="AA22" s="12">
        <v>8</v>
      </c>
      <c r="AB22" s="12">
        <v>9</v>
      </c>
      <c r="AC22" s="12">
        <v>8</v>
      </c>
      <c r="AD22" s="12">
        <v>2</v>
      </c>
      <c r="AE22" s="12">
        <v>6</v>
      </c>
      <c r="AF22" s="12">
        <v>0</v>
      </c>
    </row>
    <row r="23" spans="1:32">
      <c r="A23" s="23"/>
      <c r="B23" s="13" t="s">
        <v>498</v>
      </c>
      <c r="C23" s="14">
        <v>0.01</v>
      </c>
      <c r="D23" s="15" t="s">
        <v>485</v>
      </c>
      <c r="E23" s="14">
        <v>0.01</v>
      </c>
      <c r="F23" s="15" t="s">
        <v>485</v>
      </c>
      <c r="G23" s="15" t="s">
        <v>485</v>
      </c>
      <c r="H23" s="15" t="s">
        <v>485</v>
      </c>
      <c r="I23" s="15" t="s">
        <v>485</v>
      </c>
      <c r="J23" s="15" t="s">
        <v>485</v>
      </c>
      <c r="K23" s="14">
        <v>0.01</v>
      </c>
      <c r="L23" s="14">
        <v>0.01</v>
      </c>
      <c r="M23" s="15" t="s">
        <v>485</v>
      </c>
      <c r="N23" s="14">
        <v>0.01</v>
      </c>
      <c r="O23" s="14">
        <v>0.01</v>
      </c>
      <c r="P23" s="15" t="s">
        <v>485</v>
      </c>
      <c r="Q23" s="15" t="s">
        <v>485</v>
      </c>
      <c r="R23" s="14">
        <v>0.01</v>
      </c>
      <c r="S23" s="14">
        <v>0.01</v>
      </c>
      <c r="T23" s="14">
        <v>0.01</v>
      </c>
      <c r="U23" s="15" t="s">
        <v>485</v>
      </c>
      <c r="V23" s="15" t="s">
        <v>485</v>
      </c>
      <c r="W23" s="15" t="s">
        <v>485</v>
      </c>
      <c r="X23" s="15" t="s">
        <v>485</v>
      </c>
      <c r="Y23" s="15" t="s">
        <v>485</v>
      </c>
      <c r="Z23" s="15" t="s">
        <v>485</v>
      </c>
      <c r="AA23" s="14">
        <v>0.01</v>
      </c>
      <c r="AB23" s="14">
        <v>0.01</v>
      </c>
      <c r="AC23" s="14">
        <v>0.01</v>
      </c>
      <c r="AD23" s="15" t="s">
        <v>485</v>
      </c>
      <c r="AE23" s="14">
        <v>0.01</v>
      </c>
      <c r="AF23" s="15" t="s">
        <v>485</v>
      </c>
    </row>
    <row r="24" spans="1:32">
      <c r="A24" s="23"/>
      <c r="B24" s="11" t="s">
        <v>499</v>
      </c>
      <c r="C24" s="12">
        <v>13336</v>
      </c>
      <c r="D24" s="12">
        <v>510</v>
      </c>
      <c r="E24" s="12">
        <v>565</v>
      </c>
      <c r="F24" s="12">
        <v>324</v>
      </c>
      <c r="G24" s="12">
        <v>626</v>
      </c>
      <c r="H24" s="12">
        <v>664</v>
      </c>
      <c r="I24" s="12">
        <v>773</v>
      </c>
      <c r="J24" s="12">
        <v>109</v>
      </c>
      <c r="K24" s="12">
        <v>470</v>
      </c>
      <c r="L24" s="12">
        <v>671</v>
      </c>
      <c r="M24" s="12">
        <v>383</v>
      </c>
      <c r="N24" s="12">
        <v>484</v>
      </c>
      <c r="O24" s="12">
        <v>414</v>
      </c>
      <c r="P24" s="12">
        <v>562</v>
      </c>
      <c r="Q24" s="12">
        <v>552</v>
      </c>
      <c r="R24" s="12">
        <v>242</v>
      </c>
      <c r="S24" s="12">
        <v>419</v>
      </c>
      <c r="T24" s="12">
        <v>609</v>
      </c>
      <c r="U24" s="12">
        <v>315</v>
      </c>
      <c r="V24" s="12">
        <v>474</v>
      </c>
      <c r="W24" s="12">
        <v>277</v>
      </c>
      <c r="X24" s="12">
        <v>638</v>
      </c>
      <c r="Y24" s="12">
        <v>412</v>
      </c>
      <c r="Z24" s="12">
        <v>534</v>
      </c>
      <c r="AA24" s="12">
        <v>782</v>
      </c>
      <c r="AB24" s="12">
        <v>526</v>
      </c>
      <c r="AC24" s="12">
        <v>472</v>
      </c>
      <c r="AD24" s="12">
        <v>413</v>
      </c>
      <c r="AE24" s="12">
        <v>582</v>
      </c>
      <c r="AF24" s="12">
        <v>730</v>
      </c>
    </row>
    <row r="25" spans="1:32">
      <c r="A25" s="23"/>
      <c r="B25" s="13" t="s">
        <v>499</v>
      </c>
      <c r="C25" s="14">
        <v>0.5</v>
      </c>
      <c r="D25" s="14">
        <v>0.51</v>
      </c>
      <c r="E25" s="14">
        <v>0.54</v>
      </c>
      <c r="F25" s="14">
        <v>0.32</v>
      </c>
      <c r="G25" s="14">
        <v>0.62</v>
      </c>
      <c r="H25" s="14">
        <v>0.55000000000000004</v>
      </c>
      <c r="I25" s="14">
        <v>0.51</v>
      </c>
      <c r="J25" s="14">
        <v>0.37</v>
      </c>
      <c r="K25" s="14">
        <v>0.47</v>
      </c>
      <c r="L25" s="14">
        <v>0.66</v>
      </c>
      <c r="M25" s="14">
        <v>0.38</v>
      </c>
      <c r="N25" s="14">
        <v>0.49</v>
      </c>
      <c r="O25" s="14">
        <v>0.41</v>
      </c>
      <c r="P25" s="14">
        <v>0.56000000000000005</v>
      </c>
      <c r="Q25" s="14">
        <v>0.54</v>
      </c>
      <c r="R25" s="14">
        <v>0.48</v>
      </c>
      <c r="S25" s="14">
        <v>0.42</v>
      </c>
      <c r="T25" s="14">
        <v>0.6</v>
      </c>
      <c r="U25" s="14">
        <v>0.63</v>
      </c>
      <c r="V25" s="14">
        <v>0.47</v>
      </c>
      <c r="W25" s="14">
        <v>0.55000000000000004</v>
      </c>
      <c r="X25" s="14">
        <v>0.63</v>
      </c>
      <c r="Y25" s="14">
        <v>0.41</v>
      </c>
      <c r="Z25" s="14">
        <v>0.53</v>
      </c>
      <c r="AA25" s="14">
        <v>0.75</v>
      </c>
      <c r="AB25" s="14">
        <v>0.51</v>
      </c>
      <c r="AC25" s="14">
        <v>0.47</v>
      </c>
      <c r="AD25" s="14">
        <v>0.41</v>
      </c>
      <c r="AE25" s="14">
        <v>0.57000000000000006</v>
      </c>
      <c r="AF25" s="14">
        <v>0.68</v>
      </c>
    </row>
    <row r="26" spans="1:32">
      <c r="A26" s="23"/>
      <c r="B26" s="11" t="s">
        <v>501</v>
      </c>
      <c r="C26" s="12">
        <v>4000</v>
      </c>
      <c r="D26" s="12">
        <v>189</v>
      </c>
      <c r="E26" s="12">
        <v>204</v>
      </c>
      <c r="F26" s="12">
        <v>258</v>
      </c>
      <c r="G26" s="12">
        <v>87</v>
      </c>
      <c r="H26" s="12">
        <v>121</v>
      </c>
      <c r="I26" s="12">
        <v>193</v>
      </c>
      <c r="J26" s="12">
        <v>72</v>
      </c>
      <c r="K26" s="12">
        <v>165</v>
      </c>
      <c r="L26" s="12">
        <v>76</v>
      </c>
      <c r="M26" s="12">
        <v>247</v>
      </c>
      <c r="N26" s="12">
        <v>142</v>
      </c>
      <c r="O26" s="12">
        <v>238</v>
      </c>
      <c r="P26" s="12">
        <v>115</v>
      </c>
      <c r="Q26" s="12">
        <v>137</v>
      </c>
      <c r="R26" s="12">
        <v>86</v>
      </c>
      <c r="S26" s="12">
        <v>150</v>
      </c>
      <c r="T26" s="12">
        <v>79</v>
      </c>
      <c r="U26" s="12">
        <v>78</v>
      </c>
      <c r="V26" s="12">
        <v>156</v>
      </c>
      <c r="W26" s="12">
        <v>44</v>
      </c>
      <c r="X26" s="12">
        <v>147</v>
      </c>
      <c r="Y26" s="12">
        <v>214</v>
      </c>
      <c r="Z26" s="12">
        <v>92</v>
      </c>
      <c r="AA26" s="12">
        <v>52</v>
      </c>
      <c r="AB26" s="12">
        <v>138</v>
      </c>
      <c r="AC26" s="12">
        <v>163</v>
      </c>
      <c r="AD26" s="12">
        <v>199</v>
      </c>
      <c r="AE26" s="12">
        <v>114</v>
      </c>
      <c r="AF26" s="12">
        <v>97</v>
      </c>
    </row>
    <row r="27" spans="1:32">
      <c r="A27" s="23"/>
      <c r="B27" s="13" t="s">
        <v>501</v>
      </c>
      <c r="C27" s="14">
        <v>0.15</v>
      </c>
      <c r="D27" s="14">
        <v>0.19</v>
      </c>
      <c r="E27" s="14">
        <v>0.19</v>
      </c>
      <c r="F27" s="14">
        <v>0.26</v>
      </c>
      <c r="G27" s="14">
        <v>0.09</v>
      </c>
      <c r="H27" s="14">
        <v>0.1</v>
      </c>
      <c r="I27" s="14">
        <v>0.13</v>
      </c>
      <c r="J27" s="14">
        <v>0.25</v>
      </c>
      <c r="K27" s="14">
        <v>0.16</v>
      </c>
      <c r="L27" s="14">
        <v>0.08</v>
      </c>
      <c r="M27" s="14">
        <v>0.25</v>
      </c>
      <c r="N27" s="14">
        <v>0.14000000000000001</v>
      </c>
      <c r="O27" s="14">
        <v>0.24</v>
      </c>
      <c r="P27" s="14">
        <v>0.11</v>
      </c>
      <c r="Q27" s="14">
        <v>0.14000000000000001</v>
      </c>
      <c r="R27" s="14">
        <v>0.17</v>
      </c>
      <c r="S27" s="14">
        <v>0.15</v>
      </c>
      <c r="T27" s="14">
        <v>0.08</v>
      </c>
      <c r="U27" s="14">
        <v>0.16</v>
      </c>
      <c r="V27" s="14">
        <v>0.15</v>
      </c>
      <c r="W27" s="14">
        <v>0.09</v>
      </c>
      <c r="X27" s="14">
        <v>0.14000000000000001</v>
      </c>
      <c r="Y27" s="14">
        <v>0.21</v>
      </c>
      <c r="Z27" s="14">
        <v>0.09</v>
      </c>
      <c r="AA27" s="14">
        <v>0.05</v>
      </c>
      <c r="AB27" s="14">
        <v>0.13</v>
      </c>
      <c r="AC27" s="14">
        <v>0.16</v>
      </c>
      <c r="AD27" s="14">
        <v>0.2</v>
      </c>
      <c r="AE27" s="14">
        <v>0.12</v>
      </c>
      <c r="AF27" s="14">
        <v>0.09</v>
      </c>
    </row>
  </sheetData>
  <mergeCells count="10">
    <mergeCell ref="H3:L3"/>
    <mergeCell ref="C8:AF8"/>
    <mergeCell ref="B3:F3"/>
    <mergeCell ref="B5:F5"/>
    <mergeCell ref="A24:A27"/>
    <mergeCell ref="H5:L5"/>
    <mergeCell ref="B10:B11"/>
    <mergeCell ref="H4:L4"/>
    <mergeCell ref="A10:A23"/>
    <mergeCell ref="B4:F4"/>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17</v>
      </c>
      <c r="C3" s="19"/>
      <c r="D3" s="19"/>
      <c r="E3" s="19"/>
      <c r="F3" s="19"/>
      <c r="H3" s="19" t="s">
        <v>18</v>
      </c>
      <c r="I3" s="19"/>
      <c r="J3" s="19"/>
      <c r="K3" s="19"/>
      <c r="L3" s="19"/>
    </row>
    <row r="4" spans="1:32" ht="27" customHeight="1">
      <c r="B4" s="19"/>
      <c r="C4" s="19"/>
      <c r="D4" s="19"/>
      <c r="E4" s="19"/>
      <c r="F4" s="19"/>
      <c r="H4" s="19"/>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HYPERLINK("#Content!A10","&lt;&lt;Back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510</v>
      </c>
      <c r="C12" s="12">
        <v>4874</v>
      </c>
      <c r="D12" s="12">
        <v>158</v>
      </c>
      <c r="E12" s="12">
        <v>230</v>
      </c>
      <c r="F12" s="12">
        <v>196</v>
      </c>
      <c r="G12" s="12">
        <v>253</v>
      </c>
      <c r="H12" s="12">
        <v>289</v>
      </c>
      <c r="I12" s="12">
        <v>344</v>
      </c>
      <c r="J12" s="12">
        <v>55</v>
      </c>
      <c r="K12" s="12">
        <v>191</v>
      </c>
      <c r="L12" s="12">
        <v>263</v>
      </c>
      <c r="M12" s="12">
        <v>333</v>
      </c>
      <c r="N12" s="12">
        <v>234</v>
      </c>
      <c r="O12" s="12">
        <v>160</v>
      </c>
      <c r="P12" s="12">
        <v>150</v>
      </c>
      <c r="Q12" s="12">
        <v>106</v>
      </c>
      <c r="R12" s="12">
        <v>155</v>
      </c>
      <c r="S12" s="12">
        <v>200</v>
      </c>
      <c r="T12" s="12">
        <v>134</v>
      </c>
      <c r="U12" s="12">
        <v>163</v>
      </c>
      <c r="V12" s="12">
        <v>154</v>
      </c>
      <c r="W12" s="12">
        <v>129</v>
      </c>
      <c r="X12" s="12">
        <v>206</v>
      </c>
      <c r="Y12" s="12">
        <v>237</v>
      </c>
      <c r="Z12" s="12">
        <v>152</v>
      </c>
      <c r="AA12" s="12">
        <v>169</v>
      </c>
      <c r="AB12" s="12">
        <v>179</v>
      </c>
      <c r="AC12" s="12">
        <v>272</v>
      </c>
      <c r="AD12" s="12">
        <v>177</v>
      </c>
      <c r="AE12" s="12">
        <v>121</v>
      </c>
      <c r="AF12" s="12">
        <v>165</v>
      </c>
    </row>
    <row r="13" spans="1:32">
      <c r="A13" s="23"/>
      <c r="B13" s="13" t="s">
        <v>511</v>
      </c>
      <c r="C13" s="14">
        <v>0.19</v>
      </c>
      <c r="D13" s="14">
        <v>0.16</v>
      </c>
      <c r="E13" s="14">
        <v>0.22</v>
      </c>
      <c r="F13" s="14">
        <v>0.19</v>
      </c>
      <c r="G13" s="14">
        <v>0.25</v>
      </c>
      <c r="H13" s="14">
        <v>0.24</v>
      </c>
      <c r="I13" s="14">
        <v>0.23</v>
      </c>
      <c r="J13" s="14">
        <v>0.19</v>
      </c>
      <c r="K13" s="14">
        <v>0.19</v>
      </c>
      <c r="L13" s="14">
        <v>0.26</v>
      </c>
      <c r="M13" s="14">
        <v>0.33</v>
      </c>
      <c r="N13" s="14">
        <v>0.24</v>
      </c>
      <c r="O13" s="14">
        <v>0.16</v>
      </c>
      <c r="P13" s="14">
        <v>0.15</v>
      </c>
      <c r="Q13" s="14">
        <v>0.1</v>
      </c>
      <c r="R13" s="14">
        <v>0.31</v>
      </c>
      <c r="S13" s="14">
        <v>0.2</v>
      </c>
      <c r="T13" s="14">
        <v>0.13</v>
      </c>
      <c r="U13" s="14">
        <v>0.32</v>
      </c>
      <c r="V13" s="14">
        <v>0.15</v>
      </c>
      <c r="W13" s="14">
        <v>0.26</v>
      </c>
      <c r="X13" s="14">
        <v>0.2</v>
      </c>
      <c r="Y13" s="14">
        <v>0.23</v>
      </c>
      <c r="Z13" s="14">
        <v>0.15</v>
      </c>
      <c r="AA13" s="14">
        <v>0.16</v>
      </c>
      <c r="AB13" s="14">
        <v>0.17</v>
      </c>
      <c r="AC13" s="14">
        <v>0.27</v>
      </c>
      <c r="AD13" s="14">
        <v>0.18</v>
      </c>
      <c r="AE13" s="14">
        <v>0.12</v>
      </c>
      <c r="AF13" s="14">
        <v>0.15</v>
      </c>
    </row>
    <row r="14" spans="1:32" ht="23.25">
      <c r="A14" s="23"/>
      <c r="B14" s="11" t="s">
        <v>512</v>
      </c>
      <c r="C14" s="12">
        <v>14053</v>
      </c>
      <c r="D14" s="12">
        <v>594</v>
      </c>
      <c r="E14" s="12">
        <v>446</v>
      </c>
      <c r="F14" s="12">
        <v>482</v>
      </c>
      <c r="G14" s="12">
        <v>516</v>
      </c>
      <c r="H14" s="12">
        <v>693</v>
      </c>
      <c r="I14" s="12">
        <v>858</v>
      </c>
      <c r="J14" s="12">
        <v>165</v>
      </c>
      <c r="K14" s="12">
        <v>480</v>
      </c>
      <c r="L14" s="12">
        <v>488</v>
      </c>
      <c r="M14" s="12">
        <v>485</v>
      </c>
      <c r="N14" s="12">
        <v>434</v>
      </c>
      <c r="O14" s="12">
        <v>502</v>
      </c>
      <c r="P14" s="12">
        <v>463</v>
      </c>
      <c r="Q14" s="12">
        <v>511</v>
      </c>
      <c r="R14" s="12">
        <v>278</v>
      </c>
      <c r="S14" s="12">
        <v>392</v>
      </c>
      <c r="T14" s="12">
        <v>502</v>
      </c>
      <c r="U14" s="12">
        <v>255</v>
      </c>
      <c r="V14" s="12">
        <v>571</v>
      </c>
      <c r="W14" s="12">
        <v>278</v>
      </c>
      <c r="X14" s="12">
        <v>605</v>
      </c>
      <c r="Y14" s="12">
        <v>506</v>
      </c>
      <c r="Z14" s="12">
        <v>662</v>
      </c>
      <c r="AA14" s="12">
        <v>687</v>
      </c>
      <c r="AB14" s="12">
        <v>542</v>
      </c>
      <c r="AC14" s="12">
        <v>509</v>
      </c>
      <c r="AD14" s="12">
        <v>644</v>
      </c>
      <c r="AE14" s="12">
        <v>641</v>
      </c>
      <c r="AF14" s="12">
        <v>629</v>
      </c>
    </row>
    <row r="15" spans="1:32">
      <c r="A15" s="23"/>
      <c r="B15" s="13" t="s">
        <v>513</v>
      </c>
      <c r="C15" s="14">
        <v>0.53</v>
      </c>
      <c r="D15" s="14">
        <v>0.59</v>
      </c>
      <c r="E15" s="14">
        <v>0.43</v>
      </c>
      <c r="F15" s="14">
        <v>0.48</v>
      </c>
      <c r="G15" s="14">
        <v>0.51</v>
      </c>
      <c r="H15" s="14">
        <v>0.57000000000000006</v>
      </c>
      <c r="I15" s="14">
        <v>0.57000000000000006</v>
      </c>
      <c r="J15" s="14">
        <v>0.56000000000000005</v>
      </c>
      <c r="K15" s="14">
        <v>0.48</v>
      </c>
      <c r="L15" s="14">
        <v>0.48</v>
      </c>
      <c r="M15" s="14">
        <v>0.48</v>
      </c>
      <c r="N15" s="14">
        <v>0.43</v>
      </c>
      <c r="O15" s="14">
        <v>0.5</v>
      </c>
      <c r="P15" s="14">
        <v>0.46</v>
      </c>
      <c r="Q15" s="14">
        <v>0.5</v>
      </c>
      <c r="R15" s="14">
        <v>0.55000000000000004</v>
      </c>
      <c r="S15" s="14">
        <v>0.39</v>
      </c>
      <c r="T15" s="14">
        <v>0.5</v>
      </c>
      <c r="U15" s="14">
        <v>0.51</v>
      </c>
      <c r="V15" s="14">
        <v>0.57000000000000006</v>
      </c>
      <c r="W15" s="14">
        <v>0.55000000000000004</v>
      </c>
      <c r="X15" s="14">
        <v>0.6</v>
      </c>
      <c r="Y15" s="14">
        <v>0.5</v>
      </c>
      <c r="Z15" s="14">
        <v>0.65</v>
      </c>
      <c r="AA15" s="14">
        <v>0.66</v>
      </c>
      <c r="AB15" s="14">
        <v>0.53</v>
      </c>
      <c r="AC15" s="14">
        <v>0.5</v>
      </c>
      <c r="AD15" s="14">
        <v>0.64</v>
      </c>
      <c r="AE15" s="14">
        <v>0.64</v>
      </c>
      <c r="AF15" s="14">
        <v>0.59</v>
      </c>
    </row>
    <row r="16" spans="1:32">
      <c r="A16" s="23"/>
      <c r="B16" s="11" t="s">
        <v>514</v>
      </c>
      <c r="C16" s="12">
        <v>5361</v>
      </c>
      <c r="D16" s="12">
        <v>197</v>
      </c>
      <c r="E16" s="12">
        <v>214</v>
      </c>
      <c r="F16" s="12">
        <v>237</v>
      </c>
      <c r="G16" s="12">
        <v>151</v>
      </c>
      <c r="H16" s="12">
        <v>181</v>
      </c>
      <c r="I16" s="12">
        <v>233</v>
      </c>
      <c r="J16" s="12">
        <v>52</v>
      </c>
      <c r="K16" s="12">
        <v>219</v>
      </c>
      <c r="L16" s="12">
        <v>188</v>
      </c>
      <c r="M16" s="12">
        <v>139</v>
      </c>
      <c r="N16" s="12">
        <v>210</v>
      </c>
      <c r="O16" s="12">
        <v>248</v>
      </c>
      <c r="P16" s="12">
        <v>232</v>
      </c>
      <c r="Q16" s="12">
        <v>281</v>
      </c>
      <c r="R16" s="12">
        <v>53</v>
      </c>
      <c r="S16" s="12">
        <v>289</v>
      </c>
      <c r="T16" s="12">
        <v>236</v>
      </c>
      <c r="U16" s="12">
        <v>67</v>
      </c>
      <c r="V16" s="12">
        <v>204</v>
      </c>
      <c r="W16" s="12">
        <v>80</v>
      </c>
      <c r="X16" s="12">
        <v>170</v>
      </c>
      <c r="Y16" s="12">
        <v>199</v>
      </c>
      <c r="Z16" s="12">
        <v>181</v>
      </c>
      <c r="AA16" s="12">
        <v>118</v>
      </c>
      <c r="AB16" s="12">
        <v>228</v>
      </c>
      <c r="AC16" s="12">
        <v>168</v>
      </c>
      <c r="AD16" s="12">
        <v>151</v>
      </c>
      <c r="AE16" s="12">
        <v>182</v>
      </c>
      <c r="AF16" s="12">
        <v>221</v>
      </c>
    </row>
    <row r="17" spans="1:32">
      <c r="A17" s="23"/>
      <c r="B17" s="13" t="s">
        <v>515</v>
      </c>
      <c r="C17" s="14">
        <v>0.2</v>
      </c>
      <c r="D17" s="14">
        <v>0.2</v>
      </c>
      <c r="E17" s="14">
        <v>0.21</v>
      </c>
      <c r="F17" s="14">
        <v>0.24</v>
      </c>
      <c r="G17" s="14">
        <v>0.15</v>
      </c>
      <c r="H17" s="14">
        <v>0.15</v>
      </c>
      <c r="I17" s="14">
        <v>0.15</v>
      </c>
      <c r="J17" s="14">
        <v>0.18</v>
      </c>
      <c r="K17" s="14">
        <v>0.22</v>
      </c>
      <c r="L17" s="14">
        <v>0.19</v>
      </c>
      <c r="M17" s="14">
        <v>0.14000000000000001</v>
      </c>
      <c r="N17" s="14">
        <v>0.21</v>
      </c>
      <c r="O17" s="14">
        <v>0.25</v>
      </c>
      <c r="P17" s="14">
        <v>0.23</v>
      </c>
      <c r="Q17" s="14">
        <v>0.28000000000000003</v>
      </c>
      <c r="R17" s="14">
        <v>0.1</v>
      </c>
      <c r="S17" s="14">
        <v>0.28999999999999998</v>
      </c>
      <c r="T17" s="14">
        <v>0.23</v>
      </c>
      <c r="U17" s="14">
        <v>0.13</v>
      </c>
      <c r="V17" s="14">
        <v>0.2</v>
      </c>
      <c r="W17" s="14">
        <v>0.16</v>
      </c>
      <c r="X17" s="14">
        <v>0.17</v>
      </c>
      <c r="Y17" s="14">
        <v>0.2</v>
      </c>
      <c r="Z17" s="14">
        <v>0.18</v>
      </c>
      <c r="AA17" s="14">
        <v>0.11</v>
      </c>
      <c r="AB17" s="14">
        <v>0.22</v>
      </c>
      <c r="AC17" s="14">
        <v>0.17</v>
      </c>
      <c r="AD17" s="14">
        <v>0.15</v>
      </c>
      <c r="AE17" s="14">
        <v>0.18</v>
      </c>
      <c r="AF17" s="14">
        <v>0.2</v>
      </c>
    </row>
    <row r="18" spans="1:32">
      <c r="A18" s="23"/>
      <c r="B18" s="11" t="s">
        <v>516</v>
      </c>
      <c r="C18" s="12">
        <v>1698</v>
      </c>
      <c r="D18" s="12">
        <v>44</v>
      </c>
      <c r="E18" s="12">
        <v>120</v>
      </c>
      <c r="F18" s="12">
        <v>77</v>
      </c>
      <c r="G18" s="12">
        <v>66</v>
      </c>
      <c r="H18" s="12">
        <v>37</v>
      </c>
      <c r="I18" s="12">
        <v>56</v>
      </c>
      <c r="J18" s="12">
        <v>19</v>
      </c>
      <c r="K18" s="12">
        <v>106</v>
      </c>
      <c r="L18" s="12">
        <v>56</v>
      </c>
      <c r="M18" s="12">
        <v>39</v>
      </c>
      <c r="N18" s="12">
        <v>100</v>
      </c>
      <c r="O18" s="12">
        <v>83</v>
      </c>
      <c r="P18" s="12">
        <v>165</v>
      </c>
      <c r="Q18" s="12">
        <v>107</v>
      </c>
      <c r="R18" s="12">
        <v>13</v>
      </c>
      <c r="S18" s="12">
        <v>105</v>
      </c>
      <c r="T18" s="12">
        <v>106</v>
      </c>
      <c r="U18" s="12">
        <v>14</v>
      </c>
      <c r="V18" s="12">
        <v>75</v>
      </c>
      <c r="W18" s="12">
        <v>12</v>
      </c>
      <c r="X18" s="12">
        <v>30</v>
      </c>
      <c r="Y18" s="12">
        <v>58</v>
      </c>
      <c r="Z18" s="12">
        <v>6</v>
      </c>
      <c r="AA18" s="12">
        <v>31</v>
      </c>
      <c r="AB18" s="12">
        <v>71</v>
      </c>
      <c r="AC18" s="12">
        <v>47</v>
      </c>
      <c r="AD18" s="12">
        <v>26</v>
      </c>
      <c r="AE18" s="12">
        <v>54</v>
      </c>
      <c r="AF18" s="12">
        <v>50</v>
      </c>
    </row>
    <row r="19" spans="1:32">
      <c r="A19" s="23"/>
      <c r="B19" s="13" t="s">
        <v>517</v>
      </c>
      <c r="C19" s="14">
        <v>7.0000000000000007E-2</v>
      </c>
      <c r="D19" s="14">
        <v>0.04</v>
      </c>
      <c r="E19" s="14">
        <v>0.11</v>
      </c>
      <c r="F19" s="14">
        <v>0.08</v>
      </c>
      <c r="G19" s="14">
        <v>7.0000000000000007E-2</v>
      </c>
      <c r="H19" s="14">
        <v>0.03</v>
      </c>
      <c r="I19" s="14">
        <v>0.04</v>
      </c>
      <c r="J19" s="14">
        <v>0.06</v>
      </c>
      <c r="K19" s="14">
        <v>0.1</v>
      </c>
      <c r="L19" s="14">
        <v>0.06</v>
      </c>
      <c r="M19" s="14">
        <v>0.04</v>
      </c>
      <c r="N19" s="14">
        <v>0.1</v>
      </c>
      <c r="O19" s="14">
        <v>0.08</v>
      </c>
      <c r="P19" s="14">
        <v>0.16</v>
      </c>
      <c r="Q19" s="14">
        <v>0.1</v>
      </c>
      <c r="R19" s="14">
        <v>0.03</v>
      </c>
      <c r="S19" s="14">
        <v>0.1</v>
      </c>
      <c r="T19" s="14">
        <v>0.11</v>
      </c>
      <c r="U19" s="14">
        <v>0.03</v>
      </c>
      <c r="V19" s="14">
        <v>7.0000000000000007E-2</v>
      </c>
      <c r="W19" s="14">
        <v>0.02</v>
      </c>
      <c r="X19" s="14">
        <v>0.03</v>
      </c>
      <c r="Y19" s="14">
        <v>0.06</v>
      </c>
      <c r="Z19" s="14">
        <v>0.01</v>
      </c>
      <c r="AA19" s="14">
        <v>0.03</v>
      </c>
      <c r="AB19" s="14">
        <v>7.0000000000000007E-2</v>
      </c>
      <c r="AC19" s="14">
        <v>0.05</v>
      </c>
      <c r="AD19" s="14">
        <v>0.03</v>
      </c>
      <c r="AE19" s="14">
        <v>0.05</v>
      </c>
      <c r="AF19" s="14">
        <v>0.05</v>
      </c>
    </row>
    <row r="20" spans="1:32">
      <c r="A20" s="23"/>
      <c r="B20" s="11" t="s">
        <v>497</v>
      </c>
      <c r="C20" s="12">
        <v>369</v>
      </c>
      <c r="D20" s="12">
        <v>13</v>
      </c>
      <c r="E20" s="12">
        <v>34</v>
      </c>
      <c r="F20" s="12">
        <v>14</v>
      </c>
      <c r="G20" s="12">
        <v>17</v>
      </c>
      <c r="H20" s="12">
        <v>11</v>
      </c>
      <c r="I20" s="12">
        <v>13</v>
      </c>
      <c r="J20" s="12">
        <v>2</v>
      </c>
      <c r="K20" s="12">
        <v>8</v>
      </c>
      <c r="L20" s="12">
        <v>11</v>
      </c>
      <c r="M20" s="12">
        <v>14</v>
      </c>
      <c r="N20" s="12">
        <v>23</v>
      </c>
      <c r="O20" s="12">
        <v>13</v>
      </c>
      <c r="P20" s="12">
        <v>1</v>
      </c>
      <c r="Q20" s="12">
        <v>19</v>
      </c>
      <c r="R20" s="12">
        <v>4</v>
      </c>
      <c r="S20" s="12">
        <v>18</v>
      </c>
      <c r="T20" s="12">
        <v>26</v>
      </c>
      <c r="U20" s="12">
        <v>3</v>
      </c>
      <c r="V20" s="12">
        <v>7</v>
      </c>
      <c r="W20" s="12">
        <v>3</v>
      </c>
      <c r="X20" s="12">
        <v>5</v>
      </c>
      <c r="Y20" s="12">
        <v>7</v>
      </c>
      <c r="Z20" s="12">
        <v>15</v>
      </c>
      <c r="AA20" s="12">
        <v>35</v>
      </c>
      <c r="AB20" s="12">
        <v>11</v>
      </c>
      <c r="AC20" s="12">
        <v>9</v>
      </c>
      <c r="AD20" s="12">
        <v>5</v>
      </c>
      <c r="AE20" s="12">
        <v>10</v>
      </c>
      <c r="AF20" s="12">
        <v>8</v>
      </c>
    </row>
    <row r="21" spans="1:32">
      <c r="A21" s="23"/>
      <c r="B21" s="13" t="s">
        <v>498</v>
      </c>
      <c r="C21" s="14">
        <v>0.01</v>
      </c>
      <c r="D21" s="14">
        <v>0.01</v>
      </c>
      <c r="E21" s="14">
        <v>0.03</v>
      </c>
      <c r="F21" s="14">
        <v>0.01</v>
      </c>
      <c r="G21" s="14">
        <v>0.02</v>
      </c>
      <c r="H21" s="14">
        <v>0.01</v>
      </c>
      <c r="I21" s="14">
        <v>0.01</v>
      </c>
      <c r="J21" s="14">
        <v>0.01</v>
      </c>
      <c r="K21" s="14">
        <v>0.01</v>
      </c>
      <c r="L21" s="14">
        <v>0.01</v>
      </c>
      <c r="M21" s="14">
        <v>0.01</v>
      </c>
      <c r="N21" s="14">
        <v>0.02</v>
      </c>
      <c r="O21" s="14">
        <v>0.01</v>
      </c>
      <c r="P21" s="15" t="s">
        <v>485</v>
      </c>
      <c r="Q21" s="14">
        <v>0.02</v>
      </c>
      <c r="R21" s="14">
        <v>0.01</v>
      </c>
      <c r="S21" s="14">
        <v>0.02</v>
      </c>
      <c r="T21" s="14">
        <v>0.03</v>
      </c>
      <c r="U21" s="14">
        <v>0.01</v>
      </c>
      <c r="V21" s="14">
        <v>0.01</v>
      </c>
      <c r="W21" s="14">
        <v>0.01</v>
      </c>
      <c r="X21" s="15" t="s">
        <v>485</v>
      </c>
      <c r="Y21" s="14">
        <v>0.01</v>
      </c>
      <c r="Z21" s="14">
        <v>0.01</v>
      </c>
      <c r="AA21" s="14">
        <v>0.04</v>
      </c>
      <c r="AB21" s="14">
        <v>0.01</v>
      </c>
      <c r="AC21" s="14">
        <v>0.01</v>
      </c>
      <c r="AD21" s="15" t="s">
        <v>485</v>
      </c>
      <c r="AE21" s="14">
        <v>0.01</v>
      </c>
      <c r="AF21" s="14">
        <v>0.01</v>
      </c>
    </row>
    <row r="22" spans="1:32">
      <c r="A22" s="23"/>
      <c r="B22" s="11" t="s">
        <v>518</v>
      </c>
      <c r="C22" s="12">
        <v>18927</v>
      </c>
      <c r="D22" s="12">
        <v>752</v>
      </c>
      <c r="E22" s="12">
        <v>676</v>
      </c>
      <c r="F22" s="12">
        <v>678</v>
      </c>
      <c r="G22" s="12">
        <v>769</v>
      </c>
      <c r="H22" s="12">
        <v>982</v>
      </c>
      <c r="I22" s="12">
        <v>1202</v>
      </c>
      <c r="J22" s="12">
        <v>220</v>
      </c>
      <c r="K22" s="12">
        <v>671</v>
      </c>
      <c r="L22" s="12">
        <v>751</v>
      </c>
      <c r="M22" s="12">
        <v>818</v>
      </c>
      <c r="N22" s="12">
        <v>668</v>
      </c>
      <c r="O22" s="12">
        <v>662</v>
      </c>
      <c r="P22" s="12">
        <v>613</v>
      </c>
      <c r="Q22" s="12">
        <v>617</v>
      </c>
      <c r="R22" s="12">
        <v>433</v>
      </c>
      <c r="S22" s="12">
        <v>592</v>
      </c>
      <c r="T22" s="12">
        <v>636</v>
      </c>
      <c r="U22" s="12">
        <v>418</v>
      </c>
      <c r="V22" s="12">
        <v>725</v>
      </c>
      <c r="W22" s="12">
        <v>407</v>
      </c>
      <c r="X22" s="12">
        <v>811</v>
      </c>
      <c r="Y22" s="12">
        <v>743</v>
      </c>
      <c r="Z22" s="12">
        <v>814</v>
      </c>
      <c r="AA22" s="12">
        <v>856</v>
      </c>
      <c r="AB22" s="12">
        <v>721</v>
      </c>
      <c r="AC22" s="12">
        <v>781</v>
      </c>
      <c r="AD22" s="12">
        <v>821</v>
      </c>
      <c r="AE22" s="12">
        <v>762</v>
      </c>
      <c r="AF22" s="12">
        <v>794</v>
      </c>
    </row>
    <row r="23" spans="1:32">
      <c r="A23" s="23"/>
      <c r="B23" s="13" t="s">
        <v>519</v>
      </c>
      <c r="C23" s="14">
        <v>0.72</v>
      </c>
      <c r="D23" s="14">
        <v>0.75</v>
      </c>
      <c r="E23" s="14">
        <v>0.65</v>
      </c>
      <c r="F23" s="14">
        <v>0.67</v>
      </c>
      <c r="G23" s="14">
        <v>0.76</v>
      </c>
      <c r="H23" s="14">
        <v>0.81</v>
      </c>
      <c r="I23" s="14">
        <v>0.8</v>
      </c>
      <c r="J23" s="14">
        <v>0.75</v>
      </c>
      <c r="K23" s="14">
        <v>0.67</v>
      </c>
      <c r="L23" s="14">
        <v>0.74</v>
      </c>
      <c r="M23" s="14">
        <v>0.81</v>
      </c>
      <c r="N23" s="14">
        <v>0.67</v>
      </c>
      <c r="O23" s="14">
        <v>0.66</v>
      </c>
      <c r="P23" s="14">
        <v>0.61</v>
      </c>
      <c r="Q23" s="14">
        <v>0.6</v>
      </c>
      <c r="R23" s="14">
        <v>0.86</v>
      </c>
      <c r="S23" s="14">
        <v>0.59</v>
      </c>
      <c r="T23" s="14">
        <v>0.63</v>
      </c>
      <c r="U23" s="14">
        <v>0.83000000000000007</v>
      </c>
      <c r="V23" s="14">
        <v>0.72</v>
      </c>
      <c r="W23" s="14">
        <v>0.81</v>
      </c>
      <c r="X23" s="14">
        <v>0.8</v>
      </c>
      <c r="Y23" s="14">
        <v>0.73</v>
      </c>
      <c r="Z23" s="14">
        <v>0.8</v>
      </c>
      <c r="AA23" s="14">
        <v>0.82000000000000006</v>
      </c>
      <c r="AB23" s="14">
        <v>0.70000000000000007</v>
      </c>
      <c r="AC23" s="14">
        <v>0.77</v>
      </c>
      <c r="AD23" s="14">
        <v>0.82000000000000006</v>
      </c>
      <c r="AE23" s="14">
        <v>0.76</v>
      </c>
      <c r="AF23" s="14">
        <v>0.74</v>
      </c>
    </row>
    <row r="24" spans="1:32">
      <c r="A24" s="23"/>
      <c r="B24" s="11" t="s">
        <v>520</v>
      </c>
      <c r="C24" s="12">
        <v>7059</v>
      </c>
      <c r="D24" s="12">
        <v>241</v>
      </c>
      <c r="E24" s="12">
        <v>334</v>
      </c>
      <c r="F24" s="12">
        <v>314</v>
      </c>
      <c r="G24" s="12">
        <v>217</v>
      </c>
      <c r="H24" s="12">
        <v>218</v>
      </c>
      <c r="I24" s="12">
        <v>289</v>
      </c>
      <c r="J24" s="12">
        <v>71</v>
      </c>
      <c r="K24" s="12">
        <v>325</v>
      </c>
      <c r="L24" s="12">
        <v>244</v>
      </c>
      <c r="M24" s="12">
        <v>178</v>
      </c>
      <c r="N24" s="12">
        <v>310</v>
      </c>
      <c r="O24" s="12">
        <v>331</v>
      </c>
      <c r="P24" s="12">
        <v>397</v>
      </c>
      <c r="Q24" s="12">
        <v>388</v>
      </c>
      <c r="R24" s="12">
        <v>66</v>
      </c>
      <c r="S24" s="12">
        <v>394</v>
      </c>
      <c r="T24" s="12">
        <v>342</v>
      </c>
      <c r="U24" s="12">
        <v>81</v>
      </c>
      <c r="V24" s="12">
        <v>279</v>
      </c>
      <c r="W24" s="12">
        <v>92</v>
      </c>
      <c r="X24" s="12">
        <v>200</v>
      </c>
      <c r="Y24" s="12">
        <v>257</v>
      </c>
      <c r="Z24" s="12">
        <v>187</v>
      </c>
      <c r="AA24" s="12">
        <v>149</v>
      </c>
      <c r="AB24" s="12">
        <v>299</v>
      </c>
      <c r="AC24" s="12">
        <v>215</v>
      </c>
      <c r="AD24" s="12">
        <v>177</v>
      </c>
      <c r="AE24" s="12">
        <v>236</v>
      </c>
      <c r="AF24" s="12">
        <v>271</v>
      </c>
    </row>
    <row r="25" spans="1:32">
      <c r="A25" s="23"/>
      <c r="B25" s="13" t="s">
        <v>521</v>
      </c>
      <c r="C25" s="14">
        <v>0.27</v>
      </c>
      <c r="D25" s="14">
        <v>0.24</v>
      </c>
      <c r="E25" s="14">
        <v>0.32</v>
      </c>
      <c r="F25" s="14">
        <v>0.32</v>
      </c>
      <c r="G25" s="14">
        <v>0.22</v>
      </c>
      <c r="H25" s="14">
        <v>0.18</v>
      </c>
      <c r="I25" s="14">
        <v>0.19</v>
      </c>
      <c r="J25" s="14">
        <v>0.24</v>
      </c>
      <c r="K25" s="14">
        <v>0.32</v>
      </c>
      <c r="L25" s="14">
        <v>0.25</v>
      </c>
      <c r="M25" s="14">
        <v>0.18</v>
      </c>
      <c r="N25" s="14">
        <v>0.31</v>
      </c>
      <c r="O25" s="14">
        <v>0.33</v>
      </c>
      <c r="P25" s="14">
        <v>0.39</v>
      </c>
      <c r="Q25" s="14">
        <v>0.38</v>
      </c>
      <c r="R25" s="14">
        <v>0.13</v>
      </c>
      <c r="S25" s="14">
        <v>0.39</v>
      </c>
      <c r="T25" s="14">
        <v>0.34</v>
      </c>
      <c r="U25" s="14">
        <v>0.16</v>
      </c>
      <c r="V25" s="14">
        <v>0.27</v>
      </c>
      <c r="W25" s="14">
        <v>0.18</v>
      </c>
      <c r="X25" s="14">
        <v>0.2</v>
      </c>
      <c r="Y25" s="14">
        <v>0.26</v>
      </c>
      <c r="Z25" s="14">
        <v>0.19</v>
      </c>
      <c r="AA25" s="14">
        <v>0.14000000000000001</v>
      </c>
      <c r="AB25" s="14">
        <v>0.28999999999999998</v>
      </c>
      <c r="AC25" s="14">
        <v>0.22</v>
      </c>
      <c r="AD25" s="14">
        <v>0.18</v>
      </c>
      <c r="AE25" s="14">
        <v>0.23</v>
      </c>
      <c r="AF25" s="14">
        <v>0.25</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F17"/>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19</v>
      </c>
      <c r="C3" s="19"/>
      <c r="D3" s="19"/>
      <c r="E3" s="19"/>
      <c r="F3" s="19"/>
      <c r="H3" s="19" t="s">
        <v>20</v>
      </c>
      <c r="I3" s="19"/>
      <c r="J3" s="19"/>
      <c r="K3" s="19"/>
      <c r="L3" s="19"/>
    </row>
    <row r="4" spans="1:32" ht="27" customHeight="1">
      <c r="B4" s="19"/>
      <c r="C4" s="19"/>
      <c r="D4" s="19"/>
      <c r="E4" s="19"/>
      <c r="F4" s="19"/>
      <c r="H4" s="19"/>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HYPERLINK("#Content!A11","&lt;&lt;Back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522</v>
      </c>
      <c r="C12" s="12">
        <v>19442</v>
      </c>
      <c r="D12" s="12">
        <v>738</v>
      </c>
      <c r="E12" s="12">
        <v>635</v>
      </c>
      <c r="F12" s="12">
        <v>655</v>
      </c>
      <c r="G12" s="12">
        <v>908</v>
      </c>
      <c r="H12" s="12">
        <v>969</v>
      </c>
      <c r="I12" s="12">
        <v>1138</v>
      </c>
      <c r="J12" s="12">
        <v>169</v>
      </c>
      <c r="K12" s="12">
        <v>802</v>
      </c>
      <c r="L12" s="12">
        <v>914</v>
      </c>
      <c r="M12" s="12">
        <v>655</v>
      </c>
      <c r="N12" s="12">
        <v>764</v>
      </c>
      <c r="O12" s="12">
        <v>650</v>
      </c>
      <c r="P12" s="12">
        <v>845</v>
      </c>
      <c r="Q12" s="12">
        <v>682</v>
      </c>
      <c r="R12" s="12">
        <v>364</v>
      </c>
      <c r="S12" s="12">
        <v>676</v>
      </c>
      <c r="T12" s="12">
        <v>904</v>
      </c>
      <c r="U12" s="12">
        <v>452</v>
      </c>
      <c r="V12" s="12">
        <v>744</v>
      </c>
      <c r="W12" s="12">
        <v>464</v>
      </c>
      <c r="X12" s="12">
        <v>859</v>
      </c>
      <c r="Y12" s="12">
        <v>651</v>
      </c>
      <c r="Z12" s="12">
        <v>857</v>
      </c>
      <c r="AA12" s="12">
        <v>946</v>
      </c>
      <c r="AB12" s="12">
        <v>722</v>
      </c>
      <c r="AC12" s="12">
        <v>791</v>
      </c>
      <c r="AD12" s="12">
        <v>799</v>
      </c>
      <c r="AE12" s="12">
        <v>818</v>
      </c>
      <c r="AF12" s="12">
        <v>851</v>
      </c>
    </row>
    <row r="13" spans="1:32">
      <c r="A13" s="23"/>
      <c r="B13" s="13" t="s">
        <v>523</v>
      </c>
      <c r="C13" s="14">
        <v>0.74</v>
      </c>
      <c r="D13" s="14">
        <v>0.73</v>
      </c>
      <c r="E13" s="14">
        <v>0.61</v>
      </c>
      <c r="F13" s="14">
        <v>0.65</v>
      </c>
      <c r="G13" s="14">
        <v>0.91</v>
      </c>
      <c r="H13" s="14">
        <v>0.8</v>
      </c>
      <c r="I13" s="14">
        <v>0.76</v>
      </c>
      <c r="J13" s="14">
        <v>0.57999999999999996</v>
      </c>
      <c r="K13" s="14">
        <v>0.8</v>
      </c>
      <c r="L13" s="14">
        <v>0.91</v>
      </c>
      <c r="M13" s="14">
        <v>0.65</v>
      </c>
      <c r="N13" s="14">
        <v>0.76</v>
      </c>
      <c r="O13" s="14">
        <v>0.65</v>
      </c>
      <c r="P13" s="14">
        <v>0.84</v>
      </c>
      <c r="Q13" s="14">
        <v>0.67</v>
      </c>
      <c r="R13" s="14">
        <v>0.73</v>
      </c>
      <c r="S13" s="14">
        <v>0.67</v>
      </c>
      <c r="T13" s="14">
        <v>0.9</v>
      </c>
      <c r="U13" s="14">
        <v>0.9</v>
      </c>
      <c r="V13" s="14">
        <v>0.74</v>
      </c>
      <c r="W13" s="14">
        <v>0.92</v>
      </c>
      <c r="X13" s="14">
        <v>0.85</v>
      </c>
      <c r="Y13" s="14">
        <v>0.65</v>
      </c>
      <c r="Z13" s="14">
        <v>0.84</v>
      </c>
      <c r="AA13" s="14">
        <v>0.91</v>
      </c>
      <c r="AB13" s="14">
        <v>0.70000000000000007</v>
      </c>
      <c r="AC13" s="14">
        <v>0.79</v>
      </c>
      <c r="AD13" s="14">
        <v>0.8</v>
      </c>
      <c r="AE13" s="14">
        <v>0.81</v>
      </c>
      <c r="AF13" s="14">
        <v>0.79</v>
      </c>
    </row>
    <row r="14" spans="1:32">
      <c r="A14" s="23"/>
      <c r="B14" s="11" t="s">
        <v>524</v>
      </c>
      <c r="C14" s="12">
        <v>5730</v>
      </c>
      <c r="D14" s="12">
        <v>241</v>
      </c>
      <c r="E14" s="12">
        <v>299</v>
      </c>
      <c r="F14" s="12">
        <v>308</v>
      </c>
      <c r="G14" s="12">
        <v>61</v>
      </c>
      <c r="H14" s="12">
        <v>200</v>
      </c>
      <c r="I14" s="12">
        <v>316</v>
      </c>
      <c r="J14" s="12">
        <v>115</v>
      </c>
      <c r="K14" s="12">
        <v>147</v>
      </c>
      <c r="L14" s="12">
        <v>69</v>
      </c>
      <c r="M14" s="12">
        <v>294</v>
      </c>
      <c r="N14" s="12">
        <v>179</v>
      </c>
      <c r="O14" s="12">
        <v>274</v>
      </c>
      <c r="P14" s="12">
        <v>156</v>
      </c>
      <c r="Q14" s="12">
        <v>320</v>
      </c>
      <c r="R14" s="12">
        <v>120</v>
      </c>
      <c r="S14" s="12">
        <v>257</v>
      </c>
      <c r="T14" s="12">
        <v>51</v>
      </c>
      <c r="U14" s="12">
        <v>33</v>
      </c>
      <c r="V14" s="12">
        <v>225</v>
      </c>
      <c r="W14" s="12">
        <v>29</v>
      </c>
      <c r="X14" s="12">
        <v>133</v>
      </c>
      <c r="Y14" s="12">
        <v>294</v>
      </c>
      <c r="Z14" s="12">
        <v>125</v>
      </c>
      <c r="AA14" s="12">
        <v>38</v>
      </c>
      <c r="AB14" s="12">
        <v>286</v>
      </c>
      <c r="AC14" s="12">
        <v>169</v>
      </c>
      <c r="AD14" s="12">
        <v>158</v>
      </c>
      <c r="AE14" s="12">
        <v>131</v>
      </c>
      <c r="AF14" s="12">
        <v>158</v>
      </c>
    </row>
    <row r="15" spans="1:32">
      <c r="A15" s="23"/>
      <c r="B15" s="13" t="s">
        <v>525</v>
      </c>
      <c r="C15" s="14">
        <v>0.22</v>
      </c>
      <c r="D15" s="14">
        <v>0.24</v>
      </c>
      <c r="E15" s="14">
        <v>0.28999999999999998</v>
      </c>
      <c r="F15" s="14">
        <v>0.31</v>
      </c>
      <c r="G15" s="14">
        <v>0.06</v>
      </c>
      <c r="H15" s="14">
        <v>0.17</v>
      </c>
      <c r="I15" s="14">
        <v>0.21</v>
      </c>
      <c r="J15" s="14">
        <v>0.39</v>
      </c>
      <c r="K15" s="14">
        <v>0.15</v>
      </c>
      <c r="L15" s="14">
        <v>7.0000000000000007E-2</v>
      </c>
      <c r="M15" s="14">
        <v>0.28999999999999998</v>
      </c>
      <c r="N15" s="14">
        <v>0.18</v>
      </c>
      <c r="O15" s="14">
        <v>0.27</v>
      </c>
      <c r="P15" s="14">
        <v>0.15</v>
      </c>
      <c r="Q15" s="14">
        <v>0.31</v>
      </c>
      <c r="R15" s="14">
        <v>0.24</v>
      </c>
      <c r="S15" s="14">
        <v>0.26</v>
      </c>
      <c r="T15" s="14">
        <v>0.05</v>
      </c>
      <c r="U15" s="14">
        <v>0.06</v>
      </c>
      <c r="V15" s="14">
        <v>0.22</v>
      </c>
      <c r="W15" s="14">
        <v>0.06</v>
      </c>
      <c r="X15" s="14">
        <v>0.13</v>
      </c>
      <c r="Y15" s="14">
        <v>0.28999999999999998</v>
      </c>
      <c r="Z15" s="14">
        <v>0.12</v>
      </c>
      <c r="AA15" s="14">
        <v>0.04</v>
      </c>
      <c r="AB15" s="14">
        <v>0.28000000000000003</v>
      </c>
      <c r="AC15" s="14">
        <v>0.17</v>
      </c>
      <c r="AD15" s="14">
        <v>0.16</v>
      </c>
      <c r="AE15" s="14">
        <v>0.13</v>
      </c>
      <c r="AF15" s="14">
        <v>0.15</v>
      </c>
    </row>
    <row r="16" spans="1:32">
      <c r="A16" s="23"/>
      <c r="B16" s="11" t="s">
        <v>497</v>
      </c>
      <c r="C16" s="12">
        <v>1182</v>
      </c>
      <c r="D16" s="12">
        <v>27</v>
      </c>
      <c r="E16" s="12">
        <v>109</v>
      </c>
      <c r="F16" s="12">
        <v>45</v>
      </c>
      <c r="G16" s="12">
        <v>34</v>
      </c>
      <c r="H16" s="12">
        <v>41</v>
      </c>
      <c r="I16" s="12">
        <v>50</v>
      </c>
      <c r="J16" s="12">
        <v>9</v>
      </c>
      <c r="K16" s="12">
        <v>54</v>
      </c>
      <c r="L16" s="12">
        <v>24</v>
      </c>
      <c r="M16" s="12">
        <v>62</v>
      </c>
      <c r="N16" s="12">
        <v>56</v>
      </c>
      <c r="O16" s="12">
        <v>82</v>
      </c>
      <c r="P16" s="12">
        <v>11</v>
      </c>
      <c r="Q16" s="12">
        <v>23</v>
      </c>
      <c r="R16" s="12">
        <v>17</v>
      </c>
      <c r="S16" s="12">
        <v>72</v>
      </c>
      <c r="T16" s="12">
        <v>49</v>
      </c>
      <c r="U16" s="12">
        <v>19</v>
      </c>
      <c r="V16" s="12">
        <v>42</v>
      </c>
      <c r="W16" s="12">
        <v>10</v>
      </c>
      <c r="X16" s="12">
        <v>23</v>
      </c>
      <c r="Y16" s="12">
        <v>62</v>
      </c>
      <c r="Z16" s="12">
        <v>35</v>
      </c>
      <c r="AA16" s="12">
        <v>57</v>
      </c>
      <c r="AB16" s="12">
        <v>23</v>
      </c>
      <c r="AC16" s="12">
        <v>45</v>
      </c>
      <c r="AD16" s="12">
        <v>45</v>
      </c>
      <c r="AE16" s="12">
        <v>59</v>
      </c>
      <c r="AF16" s="12">
        <v>63</v>
      </c>
    </row>
    <row r="17" spans="1:32">
      <c r="A17" s="23"/>
      <c r="B17" s="13" t="s">
        <v>498</v>
      </c>
      <c r="C17" s="14">
        <v>0.04</v>
      </c>
      <c r="D17" s="14">
        <v>0.03</v>
      </c>
      <c r="E17" s="14">
        <v>0.1</v>
      </c>
      <c r="F17" s="14">
        <v>0.04</v>
      </c>
      <c r="G17" s="14">
        <v>0.03</v>
      </c>
      <c r="H17" s="14">
        <v>0.03</v>
      </c>
      <c r="I17" s="14">
        <v>0.03</v>
      </c>
      <c r="J17" s="14">
        <v>0.03</v>
      </c>
      <c r="K17" s="14">
        <v>0.05</v>
      </c>
      <c r="L17" s="14">
        <v>0.02</v>
      </c>
      <c r="M17" s="14">
        <v>0.06</v>
      </c>
      <c r="N17" s="14">
        <v>0.06</v>
      </c>
      <c r="O17" s="14">
        <v>0.08</v>
      </c>
      <c r="P17" s="14">
        <v>0.01</v>
      </c>
      <c r="Q17" s="14">
        <v>0.02</v>
      </c>
      <c r="R17" s="14">
        <v>0.03</v>
      </c>
      <c r="S17" s="14">
        <v>7.0000000000000007E-2</v>
      </c>
      <c r="T17" s="14">
        <v>0.05</v>
      </c>
      <c r="U17" s="14">
        <v>0.04</v>
      </c>
      <c r="V17" s="14">
        <v>0.04</v>
      </c>
      <c r="W17" s="14">
        <v>0.02</v>
      </c>
      <c r="X17" s="14">
        <v>0.02</v>
      </c>
      <c r="Y17" s="14">
        <v>0.06</v>
      </c>
      <c r="Z17" s="14">
        <v>0.04</v>
      </c>
      <c r="AA17" s="14">
        <v>0.05</v>
      </c>
      <c r="AB17" s="14">
        <v>0.02</v>
      </c>
      <c r="AC17" s="14">
        <v>0.04</v>
      </c>
      <c r="AD17" s="14">
        <v>0.04</v>
      </c>
      <c r="AE17" s="14">
        <v>0.06</v>
      </c>
      <c r="AF17" s="14">
        <v>0.06</v>
      </c>
    </row>
  </sheetData>
  <mergeCells count="9">
    <mergeCell ref="B10:B11"/>
    <mergeCell ref="A10:A17"/>
    <mergeCell ref="H4:L4"/>
    <mergeCell ref="B4:F4"/>
    <mergeCell ref="H3:L3"/>
    <mergeCell ref="C8:AF8"/>
    <mergeCell ref="B3:F3"/>
    <mergeCell ref="B5:F5"/>
    <mergeCell ref="H5:L5"/>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F3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48" customHeight="1">
      <c r="B3" s="19" t="s">
        <v>21</v>
      </c>
      <c r="C3" s="19"/>
      <c r="D3" s="19"/>
      <c r="E3" s="19"/>
      <c r="F3" s="19"/>
      <c r="H3" s="19" t="s">
        <v>22</v>
      </c>
      <c r="I3" s="19"/>
      <c r="J3" s="19"/>
      <c r="K3" s="19"/>
      <c r="L3" s="19"/>
    </row>
    <row r="4" spans="1:32" ht="27" customHeight="1">
      <c r="B4" s="19"/>
      <c r="C4" s="19"/>
      <c r="D4" s="19"/>
      <c r="E4" s="19"/>
      <c r="F4" s="19"/>
      <c r="H4" s="19"/>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HYPERLINK("#Content!A12","&lt;&lt;Back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45.75">
      <c r="A12" s="23"/>
      <c r="B12" s="11" t="s">
        <v>526</v>
      </c>
      <c r="C12" s="12">
        <v>1325</v>
      </c>
      <c r="D12" s="12">
        <v>44</v>
      </c>
      <c r="E12" s="12">
        <v>57</v>
      </c>
      <c r="F12" s="12">
        <v>49</v>
      </c>
      <c r="G12" s="12">
        <v>26</v>
      </c>
      <c r="H12" s="12">
        <v>74</v>
      </c>
      <c r="I12" s="12">
        <v>91</v>
      </c>
      <c r="J12" s="12">
        <v>17</v>
      </c>
      <c r="K12" s="12">
        <v>29</v>
      </c>
      <c r="L12" s="12">
        <v>38</v>
      </c>
      <c r="M12" s="12">
        <v>47</v>
      </c>
      <c r="N12" s="12">
        <v>60</v>
      </c>
      <c r="O12" s="12">
        <v>35</v>
      </c>
      <c r="P12" s="12">
        <v>51</v>
      </c>
      <c r="Q12" s="12">
        <v>62</v>
      </c>
      <c r="R12" s="12">
        <v>32</v>
      </c>
      <c r="S12" s="12">
        <v>47</v>
      </c>
      <c r="T12" s="12">
        <v>41</v>
      </c>
      <c r="U12" s="12">
        <v>25</v>
      </c>
      <c r="V12" s="12">
        <v>56</v>
      </c>
      <c r="W12" s="12">
        <v>21</v>
      </c>
      <c r="X12" s="12">
        <v>18</v>
      </c>
      <c r="Y12" s="12">
        <v>55</v>
      </c>
      <c r="Z12" s="12">
        <v>57</v>
      </c>
      <c r="AA12" s="12">
        <v>50</v>
      </c>
      <c r="AB12" s="12">
        <v>63</v>
      </c>
      <c r="AC12" s="12">
        <v>56</v>
      </c>
      <c r="AD12" s="12">
        <v>48</v>
      </c>
      <c r="AE12" s="12">
        <v>26</v>
      </c>
      <c r="AF12" s="12">
        <v>17</v>
      </c>
    </row>
    <row r="13" spans="1:32" ht="34.5">
      <c r="A13" s="23"/>
      <c r="B13" s="13" t="s">
        <v>527</v>
      </c>
      <c r="C13" s="14">
        <v>0.05</v>
      </c>
      <c r="D13" s="14">
        <v>0.04</v>
      </c>
      <c r="E13" s="14">
        <v>0.05</v>
      </c>
      <c r="F13" s="14">
        <v>0.05</v>
      </c>
      <c r="G13" s="14">
        <v>0.03</v>
      </c>
      <c r="H13" s="14">
        <v>0.06</v>
      </c>
      <c r="I13" s="14">
        <v>0.06</v>
      </c>
      <c r="J13" s="14">
        <v>0.06</v>
      </c>
      <c r="K13" s="14">
        <v>0.03</v>
      </c>
      <c r="L13" s="14">
        <v>0.04</v>
      </c>
      <c r="M13" s="14">
        <v>0.05</v>
      </c>
      <c r="N13" s="14">
        <v>0.06</v>
      </c>
      <c r="O13" s="14">
        <v>0.03</v>
      </c>
      <c r="P13" s="14">
        <v>0.05</v>
      </c>
      <c r="Q13" s="14">
        <v>0.06</v>
      </c>
      <c r="R13" s="14">
        <v>7.0000000000000007E-2</v>
      </c>
      <c r="S13" s="14">
        <v>0.05</v>
      </c>
      <c r="T13" s="14">
        <v>0.04</v>
      </c>
      <c r="U13" s="14">
        <v>0.05</v>
      </c>
      <c r="V13" s="14">
        <v>0.06</v>
      </c>
      <c r="W13" s="14">
        <v>0.04</v>
      </c>
      <c r="X13" s="14">
        <v>0.02</v>
      </c>
      <c r="Y13" s="14">
        <v>0.06</v>
      </c>
      <c r="Z13" s="14">
        <v>0.06</v>
      </c>
      <c r="AA13" s="14">
        <v>0.05</v>
      </c>
      <c r="AB13" s="14">
        <v>0.06</v>
      </c>
      <c r="AC13" s="14">
        <v>0.06</v>
      </c>
      <c r="AD13" s="14">
        <v>0.05</v>
      </c>
      <c r="AE13" s="14">
        <v>0.03</v>
      </c>
      <c r="AF13" s="14">
        <v>0.02</v>
      </c>
    </row>
    <row r="14" spans="1:32" ht="57">
      <c r="A14" s="23"/>
      <c r="B14" s="11" t="s">
        <v>528</v>
      </c>
      <c r="C14" s="12">
        <v>3989</v>
      </c>
      <c r="D14" s="12">
        <v>139</v>
      </c>
      <c r="E14" s="12">
        <v>103</v>
      </c>
      <c r="F14" s="12">
        <v>163</v>
      </c>
      <c r="G14" s="12">
        <v>133</v>
      </c>
      <c r="H14" s="12">
        <v>236</v>
      </c>
      <c r="I14" s="12">
        <v>294</v>
      </c>
      <c r="J14" s="12">
        <v>58</v>
      </c>
      <c r="K14" s="12">
        <v>160</v>
      </c>
      <c r="L14" s="12">
        <v>58</v>
      </c>
      <c r="M14" s="12">
        <v>233</v>
      </c>
      <c r="N14" s="12">
        <v>111</v>
      </c>
      <c r="O14" s="12">
        <v>141</v>
      </c>
      <c r="P14" s="12">
        <v>133</v>
      </c>
      <c r="Q14" s="12">
        <v>167</v>
      </c>
      <c r="R14" s="12">
        <v>86</v>
      </c>
      <c r="S14" s="12">
        <v>203</v>
      </c>
      <c r="T14" s="12">
        <v>199</v>
      </c>
      <c r="U14" s="12">
        <v>65</v>
      </c>
      <c r="V14" s="12">
        <v>96</v>
      </c>
      <c r="W14" s="12">
        <v>34</v>
      </c>
      <c r="X14" s="12">
        <v>210</v>
      </c>
      <c r="Y14" s="12">
        <v>158</v>
      </c>
      <c r="Z14" s="12">
        <v>139</v>
      </c>
      <c r="AA14" s="12">
        <v>77</v>
      </c>
      <c r="AB14" s="12">
        <v>95</v>
      </c>
      <c r="AC14" s="12">
        <v>143</v>
      </c>
      <c r="AD14" s="12">
        <v>123</v>
      </c>
      <c r="AE14" s="12">
        <v>167</v>
      </c>
      <c r="AF14" s="12">
        <v>195</v>
      </c>
    </row>
    <row r="15" spans="1:32" ht="34.5">
      <c r="A15" s="23"/>
      <c r="B15" s="13" t="s">
        <v>529</v>
      </c>
      <c r="C15" s="14">
        <v>0.15</v>
      </c>
      <c r="D15" s="14">
        <v>0.14000000000000001</v>
      </c>
      <c r="E15" s="14">
        <v>0.1</v>
      </c>
      <c r="F15" s="14">
        <v>0.16</v>
      </c>
      <c r="G15" s="14">
        <v>0.13</v>
      </c>
      <c r="H15" s="14">
        <v>0.2</v>
      </c>
      <c r="I15" s="14">
        <v>0.2</v>
      </c>
      <c r="J15" s="14">
        <v>0.19</v>
      </c>
      <c r="K15" s="14">
        <v>0.16</v>
      </c>
      <c r="L15" s="14">
        <v>0.06</v>
      </c>
      <c r="M15" s="14">
        <v>0.23</v>
      </c>
      <c r="N15" s="14">
        <v>0.11</v>
      </c>
      <c r="O15" s="14">
        <v>0.14000000000000001</v>
      </c>
      <c r="P15" s="14">
        <v>0.13</v>
      </c>
      <c r="Q15" s="14">
        <v>0.16</v>
      </c>
      <c r="R15" s="14">
        <v>0.17</v>
      </c>
      <c r="S15" s="14">
        <v>0.2</v>
      </c>
      <c r="T15" s="14">
        <v>0.2</v>
      </c>
      <c r="U15" s="14">
        <v>0.13</v>
      </c>
      <c r="V15" s="14">
        <v>0.1</v>
      </c>
      <c r="W15" s="14">
        <v>7.0000000000000007E-2</v>
      </c>
      <c r="X15" s="14">
        <v>0.21</v>
      </c>
      <c r="Y15" s="14">
        <v>0.16</v>
      </c>
      <c r="Z15" s="14">
        <v>0.14000000000000001</v>
      </c>
      <c r="AA15" s="14">
        <v>0.08</v>
      </c>
      <c r="AB15" s="14">
        <v>0.09</v>
      </c>
      <c r="AC15" s="14">
        <v>0.14000000000000001</v>
      </c>
      <c r="AD15" s="14">
        <v>0.12</v>
      </c>
      <c r="AE15" s="14">
        <v>0.17</v>
      </c>
      <c r="AF15" s="14">
        <v>0.18</v>
      </c>
    </row>
    <row r="16" spans="1:32" ht="45.75">
      <c r="A16" s="23"/>
      <c r="B16" s="11" t="s">
        <v>530</v>
      </c>
      <c r="C16" s="12">
        <v>3116</v>
      </c>
      <c r="D16" s="12">
        <v>103</v>
      </c>
      <c r="E16" s="12">
        <v>69</v>
      </c>
      <c r="F16" s="12">
        <v>104</v>
      </c>
      <c r="G16" s="12">
        <v>162</v>
      </c>
      <c r="H16" s="12">
        <v>133</v>
      </c>
      <c r="I16" s="12">
        <v>159</v>
      </c>
      <c r="J16" s="12">
        <v>26</v>
      </c>
      <c r="K16" s="12">
        <v>103</v>
      </c>
      <c r="L16" s="12">
        <v>236</v>
      </c>
      <c r="M16" s="12">
        <v>111</v>
      </c>
      <c r="N16" s="12">
        <v>216</v>
      </c>
      <c r="O16" s="12">
        <v>79</v>
      </c>
      <c r="P16" s="12">
        <v>113</v>
      </c>
      <c r="Q16" s="12">
        <v>75</v>
      </c>
      <c r="R16" s="12">
        <v>57</v>
      </c>
      <c r="S16" s="12">
        <v>103</v>
      </c>
      <c r="T16" s="12">
        <v>180</v>
      </c>
      <c r="U16" s="12">
        <v>94</v>
      </c>
      <c r="V16" s="12">
        <v>129</v>
      </c>
      <c r="W16" s="12">
        <v>146</v>
      </c>
      <c r="X16" s="12">
        <v>225</v>
      </c>
      <c r="Y16" s="12">
        <v>117</v>
      </c>
      <c r="Z16" s="12">
        <v>95</v>
      </c>
      <c r="AA16" s="12">
        <v>276</v>
      </c>
      <c r="AB16" s="12">
        <v>73</v>
      </c>
      <c r="AC16" s="12">
        <v>157</v>
      </c>
      <c r="AD16" s="12">
        <v>113</v>
      </c>
      <c r="AE16" s="12">
        <v>98</v>
      </c>
      <c r="AF16" s="12">
        <v>105</v>
      </c>
    </row>
    <row r="17" spans="1:32" ht="34.5">
      <c r="A17" s="23"/>
      <c r="B17" s="13" t="s">
        <v>531</v>
      </c>
      <c r="C17" s="14">
        <v>0.12</v>
      </c>
      <c r="D17" s="14">
        <v>0.1</v>
      </c>
      <c r="E17" s="14">
        <v>7.0000000000000007E-2</v>
      </c>
      <c r="F17" s="14">
        <v>0.1</v>
      </c>
      <c r="G17" s="14">
        <v>0.16</v>
      </c>
      <c r="H17" s="14">
        <v>0.11</v>
      </c>
      <c r="I17" s="14">
        <v>0.11</v>
      </c>
      <c r="J17" s="14">
        <v>0.09</v>
      </c>
      <c r="K17" s="14">
        <v>0.1</v>
      </c>
      <c r="L17" s="14">
        <v>0.24</v>
      </c>
      <c r="M17" s="14">
        <v>0.11</v>
      </c>
      <c r="N17" s="14">
        <v>0.22</v>
      </c>
      <c r="O17" s="14">
        <v>0.08</v>
      </c>
      <c r="P17" s="14">
        <v>0.11</v>
      </c>
      <c r="Q17" s="14">
        <v>7.0000000000000007E-2</v>
      </c>
      <c r="R17" s="14">
        <v>0.11</v>
      </c>
      <c r="S17" s="14">
        <v>0.1</v>
      </c>
      <c r="T17" s="14">
        <v>0.18</v>
      </c>
      <c r="U17" s="14">
        <v>0.19</v>
      </c>
      <c r="V17" s="14">
        <v>0.13</v>
      </c>
      <c r="W17" s="14">
        <v>0.28999999999999998</v>
      </c>
      <c r="X17" s="14">
        <v>0.22</v>
      </c>
      <c r="Y17" s="14">
        <v>0.12</v>
      </c>
      <c r="Z17" s="14">
        <v>0.09</v>
      </c>
      <c r="AA17" s="14">
        <v>0.27</v>
      </c>
      <c r="AB17" s="14">
        <v>7.0000000000000007E-2</v>
      </c>
      <c r="AC17" s="14">
        <v>0.16</v>
      </c>
      <c r="AD17" s="14">
        <v>0.11</v>
      </c>
      <c r="AE17" s="14">
        <v>0.1</v>
      </c>
      <c r="AF17" s="14">
        <v>0.1</v>
      </c>
    </row>
    <row r="18" spans="1:32" ht="57">
      <c r="A18" s="23"/>
      <c r="B18" s="11" t="s">
        <v>532</v>
      </c>
      <c r="C18" s="12">
        <v>4173</v>
      </c>
      <c r="D18" s="12">
        <v>219</v>
      </c>
      <c r="E18" s="12">
        <v>109</v>
      </c>
      <c r="F18" s="12">
        <v>121</v>
      </c>
      <c r="G18" s="12">
        <v>327</v>
      </c>
      <c r="H18" s="12">
        <v>260</v>
      </c>
      <c r="I18" s="12">
        <v>323</v>
      </c>
      <c r="J18" s="12">
        <v>63</v>
      </c>
      <c r="K18" s="12">
        <v>134</v>
      </c>
      <c r="L18" s="12">
        <v>82</v>
      </c>
      <c r="M18" s="12">
        <v>114</v>
      </c>
      <c r="N18" s="12">
        <v>97</v>
      </c>
      <c r="O18" s="12">
        <v>149</v>
      </c>
      <c r="P18" s="12">
        <v>79</v>
      </c>
      <c r="Q18" s="12">
        <v>133</v>
      </c>
      <c r="R18" s="12">
        <v>55</v>
      </c>
      <c r="S18" s="12">
        <v>124</v>
      </c>
      <c r="T18" s="12">
        <v>59</v>
      </c>
      <c r="U18" s="12">
        <v>74</v>
      </c>
      <c r="V18" s="12">
        <v>119</v>
      </c>
      <c r="W18" s="12">
        <v>53</v>
      </c>
      <c r="X18" s="12">
        <v>307</v>
      </c>
      <c r="Y18" s="12">
        <v>134</v>
      </c>
      <c r="Z18" s="12">
        <v>86</v>
      </c>
      <c r="AA18" s="12">
        <v>84</v>
      </c>
      <c r="AB18" s="12">
        <v>106</v>
      </c>
      <c r="AC18" s="12">
        <v>145</v>
      </c>
      <c r="AD18" s="12">
        <v>102</v>
      </c>
      <c r="AE18" s="12">
        <v>400</v>
      </c>
      <c r="AF18" s="12">
        <v>482</v>
      </c>
    </row>
    <row r="19" spans="1:32" ht="57">
      <c r="A19" s="23"/>
      <c r="B19" s="13" t="s">
        <v>533</v>
      </c>
      <c r="C19" s="14">
        <v>0.16</v>
      </c>
      <c r="D19" s="14">
        <v>0.22</v>
      </c>
      <c r="E19" s="14">
        <v>0.1</v>
      </c>
      <c r="F19" s="14">
        <v>0.12</v>
      </c>
      <c r="G19" s="14">
        <v>0.33</v>
      </c>
      <c r="H19" s="14">
        <v>0.21</v>
      </c>
      <c r="I19" s="14">
        <v>0.21</v>
      </c>
      <c r="J19" s="14">
        <v>0.21</v>
      </c>
      <c r="K19" s="14">
        <v>0.13</v>
      </c>
      <c r="L19" s="14">
        <v>0.08</v>
      </c>
      <c r="M19" s="14">
        <v>0.11</v>
      </c>
      <c r="N19" s="14">
        <v>0.1</v>
      </c>
      <c r="O19" s="14">
        <v>0.15</v>
      </c>
      <c r="P19" s="14">
        <v>0.08</v>
      </c>
      <c r="Q19" s="14">
        <v>0.13</v>
      </c>
      <c r="R19" s="14">
        <v>0.11</v>
      </c>
      <c r="S19" s="14">
        <v>0.12</v>
      </c>
      <c r="T19" s="14">
        <v>0.06</v>
      </c>
      <c r="U19" s="14">
        <v>0.15</v>
      </c>
      <c r="V19" s="14">
        <v>0.12</v>
      </c>
      <c r="W19" s="14">
        <v>0.11</v>
      </c>
      <c r="X19" s="14">
        <v>0.3</v>
      </c>
      <c r="Y19" s="14">
        <v>0.13</v>
      </c>
      <c r="Z19" s="14">
        <v>0.08</v>
      </c>
      <c r="AA19" s="14">
        <v>0.08</v>
      </c>
      <c r="AB19" s="14">
        <v>0.1</v>
      </c>
      <c r="AC19" s="14">
        <v>0.14000000000000001</v>
      </c>
      <c r="AD19" s="14">
        <v>0.1</v>
      </c>
      <c r="AE19" s="14">
        <v>0.4</v>
      </c>
      <c r="AF19" s="14">
        <v>0.45</v>
      </c>
    </row>
    <row r="20" spans="1:32" ht="68.25">
      <c r="A20" s="23"/>
      <c r="B20" s="11" t="s">
        <v>534</v>
      </c>
      <c r="C20" s="12">
        <v>1541</v>
      </c>
      <c r="D20" s="12">
        <v>66</v>
      </c>
      <c r="E20" s="12">
        <v>33</v>
      </c>
      <c r="F20" s="12">
        <v>35</v>
      </c>
      <c r="G20" s="12">
        <v>66</v>
      </c>
      <c r="H20" s="12">
        <v>98</v>
      </c>
      <c r="I20" s="12">
        <v>113</v>
      </c>
      <c r="J20" s="12">
        <v>15</v>
      </c>
      <c r="K20" s="12">
        <v>44</v>
      </c>
      <c r="L20" s="12">
        <v>42</v>
      </c>
      <c r="M20" s="12">
        <v>47</v>
      </c>
      <c r="N20" s="12">
        <v>47</v>
      </c>
      <c r="O20" s="12">
        <v>50</v>
      </c>
      <c r="P20" s="12">
        <v>55</v>
      </c>
      <c r="Q20" s="12">
        <v>65</v>
      </c>
      <c r="R20" s="12">
        <v>17</v>
      </c>
      <c r="S20" s="12">
        <v>37</v>
      </c>
      <c r="T20" s="12">
        <v>21</v>
      </c>
      <c r="U20" s="12">
        <v>26</v>
      </c>
      <c r="V20" s="12">
        <v>54</v>
      </c>
      <c r="W20" s="12">
        <v>26</v>
      </c>
      <c r="X20" s="12">
        <v>53</v>
      </c>
      <c r="Y20" s="12">
        <v>55</v>
      </c>
      <c r="Z20" s="12">
        <v>68</v>
      </c>
      <c r="AA20" s="12">
        <v>32</v>
      </c>
      <c r="AB20" s="12">
        <v>77</v>
      </c>
      <c r="AC20" s="12">
        <v>37</v>
      </c>
      <c r="AD20" s="12">
        <v>49</v>
      </c>
      <c r="AE20" s="12">
        <v>80</v>
      </c>
      <c r="AF20" s="12">
        <v>56</v>
      </c>
    </row>
    <row r="21" spans="1:32" ht="57">
      <c r="A21" s="23"/>
      <c r="B21" s="13" t="s">
        <v>535</v>
      </c>
      <c r="C21" s="14">
        <v>0.06</v>
      </c>
      <c r="D21" s="14">
        <v>7.0000000000000007E-2</v>
      </c>
      <c r="E21" s="14">
        <v>0.03</v>
      </c>
      <c r="F21" s="14">
        <v>0.04</v>
      </c>
      <c r="G21" s="14">
        <v>7.0000000000000007E-2</v>
      </c>
      <c r="H21" s="14">
        <v>0.08</v>
      </c>
      <c r="I21" s="14">
        <v>0.08</v>
      </c>
      <c r="J21" s="14">
        <v>0.05</v>
      </c>
      <c r="K21" s="14">
        <v>0.04</v>
      </c>
      <c r="L21" s="14">
        <v>0.04</v>
      </c>
      <c r="M21" s="14">
        <v>0.05</v>
      </c>
      <c r="N21" s="14">
        <v>0.05</v>
      </c>
      <c r="O21" s="14">
        <v>0.05</v>
      </c>
      <c r="P21" s="14">
        <v>0.06</v>
      </c>
      <c r="Q21" s="14">
        <v>0.06</v>
      </c>
      <c r="R21" s="14">
        <v>0.04</v>
      </c>
      <c r="S21" s="14">
        <v>0.04</v>
      </c>
      <c r="T21" s="14">
        <v>0.02</v>
      </c>
      <c r="U21" s="14">
        <v>0.05</v>
      </c>
      <c r="V21" s="14">
        <v>0.05</v>
      </c>
      <c r="W21" s="14">
        <v>0.05</v>
      </c>
      <c r="X21" s="14">
        <v>0.05</v>
      </c>
      <c r="Y21" s="14">
        <v>0.05</v>
      </c>
      <c r="Z21" s="14">
        <v>7.0000000000000007E-2</v>
      </c>
      <c r="AA21" s="14">
        <v>0.03</v>
      </c>
      <c r="AB21" s="14">
        <v>7.0000000000000007E-2</v>
      </c>
      <c r="AC21" s="14">
        <v>0.04</v>
      </c>
      <c r="AD21" s="14">
        <v>0.05</v>
      </c>
      <c r="AE21" s="14">
        <v>0.08</v>
      </c>
      <c r="AF21" s="14">
        <v>0.05</v>
      </c>
    </row>
    <row r="22" spans="1:32" ht="57">
      <c r="A22" s="23"/>
      <c r="B22" s="11" t="s">
        <v>536</v>
      </c>
      <c r="C22" s="12">
        <v>1135</v>
      </c>
      <c r="D22" s="12">
        <v>48</v>
      </c>
      <c r="E22" s="12">
        <v>25</v>
      </c>
      <c r="F22" s="12">
        <v>36</v>
      </c>
      <c r="G22" s="12">
        <v>15</v>
      </c>
      <c r="H22" s="12">
        <v>54</v>
      </c>
      <c r="I22" s="12">
        <v>62</v>
      </c>
      <c r="J22" s="12">
        <v>8</v>
      </c>
      <c r="K22" s="12">
        <v>11</v>
      </c>
      <c r="L22" s="12">
        <v>27</v>
      </c>
      <c r="M22" s="12">
        <v>30</v>
      </c>
      <c r="N22" s="12">
        <v>32</v>
      </c>
      <c r="O22" s="12">
        <v>69</v>
      </c>
      <c r="P22" s="12">
        <v>38</v>
      </c>
      <c r="Q22" s="12">
        <v>47</v>
      </c>
      <c r="R22" s="12">
        <v>22</v>
      </c>
      <c r="S22" s="12">
        <v>19</v>
      </c>
      <c r="T22" s="12">
        <v>13</v>
      </c>
      <c r="U22" s="12">
        <v>37</v>
      </c>
      <c r="V22" s="12">
        <v>38</v>
      </c>
      <c r="W22" s="12">
        <v>22</v>
      </c>
      <c r="X22" s="12">
        <v>8</v>
      </c>
      <c r="Y22" s="12">
        <v>55</v>
      </c>
      <c r="Z22" s="12">
        <v>59</v>
      </c>
      <c r="AA22" s="12">
        <v>25</v>
      </c>
      <c r="AB22" s="12">
        <v>69</v>
      </c>
      <c r="AC22" s="12">
        <v>25</v>
      </c>
      <c r="AD22" s="12">
        <v>22</v>
      </c>
      <c r="AE22" s="12">
        <v>5</v>
      </c>
      <c r="AF22" s="12">
        <v>16</v>
      </c>
    </row>
    <row r="23" spans="1:32" ht="45.75">
      <c r="A23" s="23"/>
      <c r="B23" s="13" t="s">
        <v>537</v>
      </c>
      <c r="C23" s="14">
        <v>0.04</v>
      </c>
      <c r="D23" s="14">
        <v>0.05</v>
      </c>
      <c r="E23" s="14">
        <v>0.02</v>
      </c>
      <c r="F23" s="14">
        <v>0.04</v>
      </c>
      <c r="G23" s="14">
        <v>0.01</v>
      </c>
      <c r="H23" s="14">
        <v>0.04</v>
      </c>
      <c r="I23" s="14">
        <v>0.04</v>
      </c>
      <c r="J23" s="14">
        <v>0.03</v>
      </c>
      <c r="K23" s="14">
        <v>0.01</v>
      </c>
      <c r="L23" s="14">
        <v>0.03</v>
      </c>
      <c r="M23" s="14">
        <v>0.03</v>
      </c>
      <c r="N23" s="14">
        <v>0.03</v>
      </c>
      <c r="O23" s="14">
        <v>7.0000000000000007E-2</v>
      </c>
      <c r="P23" s="14">
        <v>0.04</v>
      </c>
      <c r="Q23" s="14">
        <v>0.05</v>
      </c>
      <c r="R23" s="14">
        <v>0.04</v>
      </c>
      <c r="S23" s="14">
        <v>0.02</v>
      </c>
      <c r="T23" s="14">
        <v>0.01</v>
      </c>
      <c r="U23" s="14">
        <v>7.0000000000000007E-2</v>
      </c>
      <c r="V23" s="14">
        <v>0.04</v>
      </c>
      <c r="W23" s="14">
        <v>0.04</v>
      </c>
      <c r="X23" s="14">
        <v>0.01</v>
      </c>
      <c r="Y23" s="14">
        <v>0.05</v>
      </c>
      <c r="Z23" s="14">
        <v>0.06</v>
      </c>
      <c r="AA23" s="14">
        <v>0.02</v>
      </c>
      <c r="AB23" s="14">
        <v>7.0000000000000007E-2</v>
      </c>
      <c r="AC23" s="14">
        <v>0.02</v>
      </c>
      <c r="AD23" s="14">
        <v>0.02</v>
      </c>
      <c r="AE23" s="15" t="s">
        <v>485</v>
      </c>
      <c r="AF23" s="14">
        <v>0.02</v>
      </c>
    </row>
    <row r="24" spans="1:32" ht="57">
      <c r="A24" s="23"/>
      <c r="B24" s="11" t="s">
        <v>538</v>
      </c>
      <c r="C24" s="12">
        <v>2454</v>
      </c>
      <c r="D24" s="12">
        <v>82</v>
      </c>
      <c r="E24" s="12">
        <v>77</v>
      </c>
      <c r="F24" s="12">
        <v>103</v>
      </c>
      <c r="G24" s="12">
        <v>110</v>
      </c>
      <c r="H24" s="12">
        <v>64</v>
      </c>
      <c r="I24" s="12">
        <v>82</v>
      </c>
      <c r="J24" s="12">
        <v>18</v>
      </c>
      <c r="K24" s="12">
        <v>69</v>
      </c>
      <c r="L24" s="12">
        <v>103</v>
      </c>
      <c r="M24" s="12">
        <v>148</v>
      </c>
      <c r="N24" s="12">
        <v>55</v>
      </c>
      <c r="O24" s="12">
        <v>160</v>
      </c>
      <c r="P24" s="12">
        <v>74</v>
      </c>
      <c r="Q24" s="12">
        <v>149</v>
      </c>
      <c r="R24" s="12">
        <v>55</v>
      </c>
      <c r="S24" s="12">
        <v>50</v>
      </c>
      <c r="T24" s="12">
        <v>52</v>
      </c>
      <c r="U24" s="12">
        <v>59</v>
      </c>
      <c r="V24" s="12">
        <v>50</v>
      </c>
      <c r="W24" s="12">
        <v>56</v>
      </c>
      <c r="X24" s="12">
        <v>37</v>
      </c>
      <c r="Y24" s="12">
        <v>99</v>
      </c>
      <c r="Z24" s="12">
        <v>75</v>
      </c>
      <c r="AA24" s="12">
        <v>168</v>
      </c>
      <c r="AB24" s="12">
        <v>83</v>
      </c>
      <c r="AC24" s="12">
        <v>40</v>
      </c>
      <c r="AD24" s="12">
        <v>76</v>
      </c>
      <c r="AE24" s="12">
        <v>34</v>
      </c>
      <c r="AF24" s="12">
        <v>42</v>
      </c>
    </row>
    <row r="25" spans="1:32" ht="34.5">
      <c r="A25" s="23"/>
      <c r="B25" s="13" t="s">
        <v>539</v>
      </c>
      <c r="C25" s="14">
        <v>0.09</v>
      </c>
      <c r="D25" s="14">
        <v>0.08</v>
      </c>
      <c r="E25" s="14">
        <v>7.0000000000000007E-2</v>
      </c>
      <c r="F25" s="14">
        <v>0.1</v>
      </c>
      <c r="G25" s="14">
        <v>0.11</v>
      </c>
      <c r="H25" s="14">
        <v>0.05</v>
      </c>
      <c r="I25" s="14">
        <v>0.06</v>
      </c>
      <c r="J25" s="14">
        <v>0.06</v>
      </c>
      <c r="K25" s="14">
        <v>7.0000000000000007E-2</v>
      </c>
      <c r="L25" s="14">
        <v>0.1</v>
      </c>
      <c r="M25" s="14">
        <v>0.15</v>
      </c>
      <c r="N25" s="14">
        <v>0.06</v>
      </c>
      <c r="O25" s="14">
        <v>0.16</v>
      </c>
      <c r="P25" s="14">
        <v>7.0000000000000007E-2</v>
      </c>
      <c r="Q25" s="14">
        <v>0.15</v>
      </c>
      <c r="R25" s="14">
        <v>0.11</v>
      </c>
      <c r="S25" s="14">
        <v>0.05</v>
      </c>
      <c r="T25" s="14">
        <v>0.05</v>
      </c>
      <c r="U25" s="14">
        <v>0.12</v>
      </c>
      <c r="V25" s="14">
        <v>0.05</v>
      </c>
      <c r="W25" s="14">
        <v>0.11</v>
      </c>
      <c r="X25" s="14">
        <v>0.04</v>
      </c>
      <c r="Y25" s="14">
        <v>0.1</v>
      </c>
      <c r="Z25" s="14">
        <v>7.0000000000000007E-2</v>
      </c>
      <c r="AA25" s="14">
        <v>0.16</v>
      </c>
      <c r="AB25" s="14">
        <v>0.08</v>
      </c>
      <c r="AC25" s="14">
        <v>0.04</v>
      </c>
      <c r="AD25" s="14">
        <v>0.08</v>
      </c>
      <c r="AE25" s="14">
        <v>0.03</v>
      </c>
      <c r="AF25" s="14">
        <v>0.04</v>
      </c>
    </row>
    <row r="26" spans="1:32" ht="34.5">
      <c r="A26" s="23"/>
      <c r="B26" s="11" t="s">
        <v>540</v>
      </c>
      <c r="C26" s="12">
        <v>1778</v>
      </c>
      <c r="D26" s="12">
        <v>54</v>
      </c>
      <c r="E26" s="12">
        <v>100</v>
      </c>
      <c r="F26" s="12">
        <v>79</v>
      </c>
      <c r="G26" s="12">
        <v>39</v>
      </c>
      <c r="H26" s="12">
        <v>59</v>
      </c>
      <c r="I26" s="12">
        <v>81</v>
      </c>
      <c r="J26" s="12">
        <v>23</v>
      </c>
      <c r="K26" s="12">
        <v>133</v>
      </c>
      <c r="L26" s="12">
        <v>164</v>
      </c>
      <c r="M26" s="12">
        <v>57</v>
      </c>
      <c r="N26" s="12">
        <v>85</v>
      </c>
      <c r="O26" s="12">
        <v>32</v>
      </c>
      <c r="P26" s="12">
        <v>124</v>
      </c>
      <c r="Q26" s="12">
        <v>45</v>
      </c>
      <c r="R26" s="12">
        <v>41</v>
      </c>
      <c r="S26" s="12">
        <v>85</v>
      </c>
      <c r="T26" s="12">
        <v>161</v>
      </c>
      <c r="U26" s="12">
        <v>26</v>
      </c>
      <c r="V26" s="12">
        <v>96</v>
      </c>
      <c r="W26" s="12">
        <v>42</v>
      </c>
      <c r="X26" s="12">
        <v>39</v>
      </c>
      <c r="Y26" s="12">
        <v>70</v>
      </c>
      <c r="Z26" s="12">
        <v>136</v>
      </c>
      <c r="AA26" s="12">
        <v>106</v>
      </c>
      <c r="AB26" s="12">
        <v>130</v>
      </c>
      <c r="AC26" s="12">
        <v>122</v>
      </c>
      <c r="AD26" s="12">
        <v>101</v>
      </c>
      <c r="AE26" s="12">
        <v>19</v>
      </c>
      <c r="AF26" s="12">
        <v>14</v>
      </c>
    </row>
    <row r="27" spans="1:32" ht="34.5">
      <c r="A27" s="23"/>
      <c r="B27" s="13" t="s">
        <v>541</v>
      </c>
      <c r="C27" s="14">
        <v>7.0000000000000007E-2</v>
      </c>
      <c r="D27" s="14">
        <v>0.05</v>
      </c>
      <c r="E27" s="14">
        <v>0.1</v>
      </c>
      <c r="F27" s="14">
        <v>0.08</v>
      </c>
      <c r="G27" s="14">
        <v>0.04</v>
      </c>
      <c r="H27" s="14">
        <v>0.05</v>
      </c>
      <c r="I27" s="14">
        <v>0.05</v>
      </c>
      <c r="J27" s="14">
        <v>0.08</v>
      </c>
      <c r="K27" s="14">
        <v>0.13</v>
      </c>
      <c r="L27" s="14">
        <v>0.16</v>
      </c>
      <c r="M27" s="14">
        <v>0.06</v>
      </c>
      <c r="N27" s="14">
        <v>0.08</v>
      </c>
      <c r="O27" s="14">
        <v>0.03</v>
      </c>
      <c r="P27" s="14">
        <v>0.12</v>
      </c>
      <c r="Q27" s="14">
        <v>0.04</v>
      </c>
      <c r="R27" s="14">
        <v>0.08</v>
      </c>
      <c r="S27" s="14">
        <v>0.09</v>
      </c>
      <c r="T27" s="14">
        <v>0.16</v>
      </c>
      <c r="U27" s="14">
        <v>0.05</v>
      </c>
      <c r="V27" s="14">
        <v>0.09</v>
      </c>
      <c r="W27" s="14">
        <v>0.08</v>
      </c>
      <c r="X27" s="14">
        <v>0.04</v>
      </c>
      <c r="Y27" s="14">
        <v>7.0000000000000007E-2</v>
      </c>
      <c r="Z27" s="14">
        <v>0.13</v>
      </c>
      <c r="AA27" s="14">
        <v>0.1</v>
      </c>
      <c r="AB27" s="14">
        <v>0.13</v>
      </c>
      <c r="AC27" s="14">
        <v>0.12</v>
      </c>
      <c r="AD27" s="14">
        <v>0.1</v>
      </c>
      <c r="AE27" s="14">
        <v>0.02</v>
      </c>
      <c r="AF27" s="14">
        <v>0.01</v>
      </c>
    </row>
    <row r="28" spans="1:32" ht="34.5">
      <c r="A28" s="23"/>
      <c r="B28" s="11" t="s">
        <v>542</v>
      </c>
      <c r="C28" s="12">
        <v>1066</v>
      </c>
      <c r="D28" s="12">
        <v>57</v>
      </c>
      <c r="E28" s="12">
        <v>38</v>
      </c>
      <c r="F28" s="12">
        <v>48</v>
      </c>
      <c r="G28" s="12">
        <v>35</v>
      </c>
      <c r="H28" s="12">
        <v>52</v>
      </c>
      <c r="I28" s="12">
        <v>67</v>
      </c>
      <c r="J28" s="12">
        <v>15</v>
      </c>
      <c r="K28" s="12">
        <v>21</v>
      </c>
      <c r="L28" s="12">
        <v>24</v>
      </c>
      <c r="M28" s="12">
        <v>12</v>
      </c>
      <c r="N28" s="12">
        <v>25</v>
      </c>
      <c r="O28" s="12">
        <v>57</v>
      </c>
      <c r="P28" s="12">
        <v>29</v>
      </c>
      <c r="Q28" s="12">
        <v>51</v>
      </c>
      <c r="R28" s="12">
        <v>11</v>
      </c>
      <c r="S28" s="12">
        <v>33</v>
      </c>
      <c r="T28" s="12">
        <v>18</v>
      </c>
      <c r="U28" s="12">
        <v>21</v>
      </c>
      <c r="V28" s="12">
        <v>37</v>
      </c>
      <c r="W28" s="12">
        <v>16</v>
      </c>
      <c r="X28" s="12">
        <v>26</v>
      </c>
      <c r="Y28" s="12">
        <v>57</v>
      </c>
      <c r="Z28" s="12">
        <v>34</v>
      </c>
      <c r="AA28" s="12">
        <v>24</v>
      </c>
      <c r="AB28" s="12">
        <v>47</v>
      </c>
      <c r="AC28" s="12">
        <v>15</v>
      </c>
      <c r="AD28" s="12">
        <v>31</v>
      </c>
      <c r="AE28" s="12">
        <v>19</v>
      </c>
      <c r="AF28" s="12">
        <v>30</v>
      </c>
    </row>
    <row r="29" spans="1:32" ht="34.5">
      <c r="A29" s="23"/>
      <c r="B29" s="13" t="s">
        <v>543</v>
      </c>
      <c r="C29" s="14">
        <v>0.04</v>
      </c>
      <c r="D29" s="14">
        <v>0.06</v>
      </c>
      <c r="E29" s="14">
        <v>0.04</v>
      </c>
      <c r="F29" s="14">
        <v>0.05</v>
      </c>
      <c r="G29" s="14">
        <v>0.03</v>
      </c>
      <c r="H29" s="14">
        <v>0.04</v>
      </c>
      <c r="I29" s="14">
        <v>0.04</v>
      </c>
      <c r="J29" s="14">
        <v>0.05</v>
      </c>
      <c r="K29" s="14">
        <v>0.02</v>
      </c>
      <c r="L29" s="14">
        <v>0.02</v>
      </c>
      <c r="M29" s="14">
        <v>0.01</v>
      </c>
      <c r="N29" s="14">
        <v>0.02</v>
      </c>
      <c r="O29" s="14">
        <v>0.06</v>
      </c>
      <c r="P29" s="14">
        <v>0.03</v>
      </c>
      <c r="Q29" s="14">
        <v>0.05</v>
      </c>
      <c r="R29" s="14">
        <v>0.02</v>
      </c>
      <c r="S29" s="14">
        <v>0.03</v>
      </c>
      <c r="T29" s="14">
        <v>0.02</v>
      </c>
      <c r="U29" s="14">
        <v>0.04</v>
      </c>
      <c r="V29" s="14">
        <v>0.04</v>
      </c>
      <c r="W29" s="14">
        <v>0.03</v>
      </c>
      <c r="X29" s="14">
        <v>0.02</v>
      </c>
      <c r="Y29" s="14">
        <v>0.06</v>
      </c>
      <c r="Z29" s="14">
        <v>0.03</v>
      </c>
      <c r="AA29" s="14">
        <v>0.02</v>
      </c>
      <c r="AB29" s="14">
        <v>0.05</v>
      </c>
      <c r="AC29" s="14">
        <v>0.01</v>
      </c>
      <c r="AD29" s="14">
        <v>0.03</v>
      </c>
      <c r="AE29" s="14">
        <v>0.02</v>
      </c>
      <c r="AF29" s="14">
        <v>0.03</v>
      </c>
    </row>
    <row r="30" spans="1:32" ht="45.75">
      <c r="A30" s="23"/>
      <c r="B30" s="11" t="s">
        <v>544</v>
      </c>
      <c r="C30" s="12">
        <v>1205</v>
      </c>
      <c r="D30" s="12">
        <v>82</v>
      </c>
      <c r="E30" s="12">
        <v>22</v>
      </c>
      <c r="F30" s="12">
        <v>42</v>
      </c>
      <c r="G30" s="12">
        <v>40</v>
      </c>
      <c r="H30" s="12">
        <v>58</v>
      </c>
      <c r="I30" s="12">
        <v>66</v>
      </c>
      <c r="J30" s="12">
        <v>8</v>
      </c>
      <c r="K30" s="12">
        <v>10</v>
      </c>
      <c r="L30" s="12">
        <v>33</v>
      </c>
      <c r="M30" s="12">
        <v>32</v>
      </c>
      <c r="N30" s="12">
        <v>52</v>
      </c>
      <c r="O30" s="12">
        <v>50</v>
      </c>
      <c r="P30" s="12">
        <v>36</v>
      </c>
      <c r="Q30" s="12">
        <v>56</v>
      </c>
      <c r="R30" s="12">
        <v>23</v>
      </c>
      <c r="S30" s="12">
        <v>12</v>
      </c>
      <c r="T30" s="12">
        <v>6</v>
      </c>
      <c r="U30" s="12">
        <v>15</v>
      </c>
      <c r="V30" s="12">
        <v>45</v>
      </c>
      <c r="W30" s="12">
        <v>20</v>
      </c>
      <c r="X30" s="12">
        <v>48</v>
      </c>
      <c r="Y30" s="12">
        <v>68</v>
      </c>
      <c r="Z30" s="12">
        <v>38</v>
      </c>
      <c r="AA30" s="12">
        <v>24</v>
      </c>
      <c r="AB30" s="12">
        <v>31</v>
      </c>
      <c r="AC30" s="12">
        <v>27</v>
      </c>
      <c r="AD30" s="12">
        <v>45</v>
      </c>
      <c r="AE30" s="12">
        <v>24</v>
      </c>
      <c r="AF30" s="12">
        <v>58</v>
      </c>
    </row>
    <row r="31" spans="1:32" ht="34.5">
      <c r="A31" s="23"/>
      <c r="B31" s="13" t="s">
        <v>545</v>
      </c>
      <c r="C31" s="14">
        <v>0.05</v>
      </c>
      <c r="D31" s="14">
        <v>0.08</v>
      </c>
      <c r="E31" s="14">
        <v>0.02</v>
      </c>
      <c r="F31" s="14">
        <v>0.04</v>
      </c>
      <c r="G31" s="14">
        <v>0.04</v>
      </c>
      <c r="H31" s="14">
        <v>0.05</v>
      </c>
      <c r="I31" s="14">
        <v>0.04</v>
      </c>
      <c r="J31" s="14">
        <v>0.03</v>
      </c>
      <c r="K31" s="14">
        <v>0.01</v>
      </c>
      <c r="L31" s="14">
        <v>0.03</v>
      </c>
      <c r="M31" s="14">
        <v>0.03</v>
      </c>
      <c r="N31" s="14">
        <v>0.05</v>
      </c>
      <c r="O31" s="14">
        <v>0.05</v>
      </c>
      <c r="P31" s="14">
        <v>0.04</v>
      </c>
      <c r="Q31" s="14">
        <v>0.06</v>
      </c>
      <c r="R31" s="14">
        <v>0.05</v>
      </c>
      <c r="S31" s="14">
        <v>0.01</v>
      </c>
      <c r="T31" s="14">
        <v>0.01</v>
      </c>
      <c r="U31" s="14">
        <v>0.03</v>
      </c>
      <c r="V31" s="14">
        <v>0.04</v>
      </c>
      <c r="W31" s="14">
        <v>0.04</v>
      </c>
      <c r="X31" s="14">
        <v>0.05</v>
      </c>
      <c r="Y31" s="14">
        <v>7.0000000000000007E-2</v>
      </c>
      <c r="Z31" s="14">
        <v>0.04</v>
      </c>
      <c r="AA31" s="14">
        <v>0.02</v>
      </c>
      <c r="AB31" s="14">
        <v>0.03</v>
      </c>
      <c r="AC31" s="14">
        <v>0.03</v>
      </c>
      <c r="AD31" s="14">
        <v>0.05</v>
      </c>
      <c r="AE31" s="14">
        <v>0.02</v>
      </c>
      <c r="AF31" s="14">
        <v>0.05</v>
      </c>
    </row>
    <row r="32" spans="1:32" ht="57">
      <c r="A32" s="23"/>
      <c r="B32" s="11" t="s">
        <v>546</v>
      </c>
      <c r="C32" s="12">
        <v>2746</v>
      </c>
      <c r="D32" s="12">
        <v>67</v>
      </c>
      <c r="E32" s="12">
        <v>299</v>
      </c>
      <c r="F32" s="12">
        <v>154</v>
      </c>
      <c r="G32" s="12">
        <v>29</v>
      </c>
      <c r="H32" s="12">
        <v>78</v>
      </c>
      <c r="I32" s="12">
        <v>95</v>
      </c>
      <c r="J32" s="12">
        <v>18</v>
      </c>
      <c r="K32" s="12">
        <v>187</v>
      </c>
      <c r="L32" s="12">
        <v>149</v>
      </c>
      <c r="M32" s="12">
        <v>115</v>
      </c>
      <c r="N32" s="12">
        <v>120</v>
      </c>
      <c r="O32" s="12">
        <v>54</v>
      </c>
      <c r="P32" s="12">
        <v>253</v>
      </c>
      <c r="Q32" s="12">
        <v>103</v>
      </c>
      <c r="R32" s="12">
        <v>63</v>
      </c>
      <c r="S32" s="12">
        <v>142</v>
      </c>
      <c r="T32" s="12">
        <v>188</v>
      </c>
      <c r="U32" s="12">
        <v>49</v>
      </c>
      <c r="V32" s="12">
        <v>215</v>
      </c>
      <c r="W32" s="12">
        <v>53</v>
      </c>
      <c r="X32" s="12">
        <v>14</v>
      </c>
      <c r="Y32" s="12">
        <v>75</v>
      </c>
      <c r="Z32" s="12">
        <v>191</v>
      </c>
      <c r="AA32" s="12">
        <v>113</v>
      </c>
      <c r="AB32" s="12">
        <v>198</v>
      </c>
      <c r="AC32" s="12">
        <v>157</v>
      </c>
      <c r="AD32" s="12">
        <v>251</v>
      </c>
      <c r="AE32" s="12">
        <v>86</v>
      </c>
      <c r="AF32" s="12">
        <v>43</v>
      </c>
    </row>
    <row r="33" spans="1:32" ht="34.5">
      <c r="A33" s="23"/>
      <c r="B33" s="13" t="s">
        <v>547</v>
      </c>
      <c r="C33" s="14">
        <v>0.1</v>
      </c>
      <c r="D33" s="14">
        <v>7.0000000000000007E-2</v>
      </c>
      <c r="E33" s="14">
        <v>0.28999999999999998</v>
      </c>
      <c r="F33" s="14">
        <v>0.15</v>
      </c>
      <c r="G33" s="14">
        <v>0.03</v>
      </c>
      <c r="H33" s="14">
        <v>0.06</v>
      </c>
      <c r="I33" s="14">
        <v>0.06</v>
      </c>
      <c r="J33" s="14">
        <v>0.06</v>
      </c>
      <c r="K33" s="14">
        <v>0.19</v>
      </c>
      <c r="L33" s="14">
        <v>0.15</v>
      </c>
      <c r="M33" s="14">
        <v>0.11</v>
      </c>
      <c r="N33" s="14">
        <v>0.12</v>
      </c>
      <c r="O33" s="14">
        <v>0.05</v>
      </c>
      <c r="P33" s="14">
        <v>0.25</v>
      </c>
      <c r="Q33" s="14">
        <v>0.1</v>
      </c>
      <c r="R33" s="14">
        <v>0.13</v>
      </c>
      <c r="S33" s="14">
        <v>0.14000000000000001</v>
      </c>
      <c r="T33" s="14">
        <v>0.19</v>
      </c>
      <c r="U33" s="14">
        <v>0.1</v>
      </c>
      <c r="V33" s="14">
        <v>0.21</v>
      </c>
      <c r="W33" s="14">
        <v>0.11</v>
      </c>
      <c r="X33" s="14">
        <v>0.01</v>
      </c>
      <c r="Y33" s="14">
        <v>7.0000000000000007E-2</v>
      </c>
      <c r="Z33" s="14">
        <v>0.19</v>
      </c>
      <c r="AA33" s="14">
        <v>0.11</v>
      </c>
      <c r="AB33" s="14">
        <v>0.19</v>
      </c>
      <c r="AC33" s="14">
        <v>0.16</v>
      </c>
      <c r="AD33" s="14">
        <v>0.25</v>
      </c>
      <c r="AE33" s="14">
        <v>0.09</v>
      </c>
      <c r="AF33" s="14">
        <v>0.04</v>
      </c>
    </row>
    <row r="34" spans="1:32" ht="45.75">
      <c r="A34" s="23"/>
      <c r="B34" s="11" t="s">
        <v>548</v>
      </c>
      <c r="C34" s="12">
        <v>149</v>
      </c>
      <c r="D34" s="12">
        <v>2</v>
      </c>
      <c r="E34" s="12">
        <v>8</v>
      </c>
      <c r="F34" s="12">
        <v>8</v>
      </c>
      <c r="G34" s="12">
        <v>1</v>
      </c>
      <c r="H34" s="12">
        <v>6</v>
      </c>
      <c r="I34" s="12">
        <v>8</v>
      </c>
      <c r="J34" s="12">
        <v>2</v>
      </c>
      <c r="K34" s="12">
        <v>25</v>
      </c>
      <c r="L34" s="12">
        <v>1</v>
      </c>
      <c r="M34" s="12">
        <v>0</v>
      </c>
      <c r="N34" s="12">
        <v>3</v>
      </c>
      <c r="O34" s="12">
        <v>6</v>
      </c>
      <c r="P34" s="12">
        <v>0</v>
      </c>
      <c r="Q34" s="12">
        <v>10</v>
      </c>
      <c r="R34" s="12">
        <v>0</v>
      </c>
      <c r="S34" s="12">
        <v>14</v>
      </c>
      <c r="T34" s="12">
        <v>6</v>
      </c>
      <c r="U34" s="12">
        <v>1</v>
      </c>
      <c r="V34" s="12">
        <v>2</v>
      </c>
      <c r="W34" s="12">
        <v>2</v>
      </c>
      <c r="X34" s="12">
        <v>3</v>
      </c>
      <c r="Y34" s="12">
        <v>25</v>
      </c>
      <c r="Z34" s="12">
        <v>6</v>
      </c>
      <c r="AA34" s="12">
        <v>14</v>
      </c>
      <c r="AB34" s="12">
        <v>0</v>
      </c>
      <c r="AC34" s="12">
        <v>3</v>
      </c>
      <c r="AD34" s="12">
        <v>1</v>
      </c>
      <c r="AE34" s="12">
        <v>0</v>
      </c>
      <c r="AF34" s="12">
        <v>0</v>
      </c>
    </row>
    <row r="35" spans="1:32" ht="34.5">
      <c r="A35" s="23"/>
      <c r="B35" s="13" t="s">
        <v>549</v>
      </c>
      <c r="C35" s="14">
        <v>0.01</v>
      </c>
      <c r="D35" s="15" t="s">
        <v>485</v>
      </c>
      <c r="E35" s="14">
        <v>0.01</v>
      </c>
      <c r="F35" s="14">
        <v>0.01</v>
      </c>
      <c r="G35" s="15" t="s">
        <v>485</v>
      </c>
      <c r="H35" s="14">
        <v>0.01</v>
      </c>
      <c r="I35" s="14">
        <v>0.01</v>
      </c>
      <c r="J35" s="14">
        <v>0.01</v>
      </c>
      <c r="K35" s="14">
        <v>0.03</v>
      </c>
      <c r="L35" s="15" t="s">
        <v>485</v>
      </c>
      <c r="M35" s="15" t="s">
        <v>485</v>
      </c>
      <c r="N35" s="15" t="s">
        <v>485</v>
      </c>
      <c r="O35" s="14">
        <v>0.01</v>
      </c>
      <c r="P35" s="15" t="s">
        <v>485</v>
      </c>
      <c r="Q35" s="14">
        <v>0.01</v>
      </c>
      <c r="R35" s="15" t="s">
        <v>485</v>
      </c>
      <c r="S35" s="14">
        <v>0.01</v>
      </c>
      <c r="T35" s="15" t="s">
        <v>485</v>
      </c>
      <c r="U35" s="15" t="s">
        <v>485</v>
      </c>
      <c r="V35" s="15" t="s">
        <v>485</v>
      </c>
      <c r="W35" s="14">
        <v>0.01</v>
      </c>
      <c r="X35" s="15" t="s">
        <v>485</v>
      </c>
      <c r="Y35" s="14">
        <v>0.02</v>
      </c>
      <c r="Z35" s="14">
        <v>0.01</v>
      </c>
      <c r="AA35" s="14">
        <v>0.01</v>
      </c>
      <c r="AB35" s="15" t="s">
        <v>485</v>
      </c>
      <c r="AC35" s="15" t="s">
        <v>485</v>
      </c>
      <c r="AD35" s="15" t="s">
        <v>485</v>
      </c>
      <c r="AE35" s="15" t="s">
        <v>485</v>
      </c>
      <c r="AF35" s="15" t="s">
        <v>485</v>
      </c>
    </row>
    <row r="36" spans="1:32">
      <c r="A36" s="23"/>
      <c r="B36" s="11" t="s">
        <v>550</v>
      </c>
      <c r="C36" s="12">
        <v>544</v>
      </c>
      <c r="D36" s="12">
        <v>24</v>
      </c>
      <c r="E36" s="12">
        <v>21</v>
      </c>
      <c r="F36" s="12">
        <v>23</v>
      </c>
      <c r="G36" s="12">
        <v>8</v>
      </c>
      <c r="H36" s="12">
        <v>20</v>
      </c>
      <c r="I36" s="12">
        <v>31</v>
      </c>
      <c r="J36" s="12">
        <v>11</v>
      </c>
      <c r="K36" s="12">
        <v>32</v>
      </c>
      <c r="L36" s="12">
        <v>14</v>
      </c>
      <c r="M36" s="12">
        <v>20</v>
      </c>
      <c r="N36" s="12">
        <v>40</v>
      </c>
      <c r="O36" s="12">
        <v>25</v>
      </c>
      <c r="P36" s="12">
        <v>2</v>
      </c>
      <c r="Q36" s="12">
        <v>18</v>
      </c>
      <c r="R36" s="12">
        <v>7</v>
      </c>
      <c r="S36" s="12">
        <v>61</v>
      </c>
      <c r="T36" s="12">
        <v>21</v>
      </c>
      <c r="U36" s="12">
        <v>3</v>
      </c>
      <c r="V36" s="12">
        <v>18</v>
      </c>
      <c r="W36" s="12">
        <v>1</v>
      </c>
      <c r="X36" s="12">
        <v>7</v>
      </c>
      <c r="Y36" s="12">
        <v>21</v>
      </c>
      <c r="Z36" s="12">
        <v>7</v>
      </c>
      <c r="AA36" s="12">
        <v>2</v>
      </c>
      <c r="AB36" s="12">
        <v>27</v>
      </c>
      <c r="AC36" s="12">
        <v>41</v>
      </c>
      <c r="AD36" s="12">
        <v>22</v>
      </c>
      <c r="AE36" s="12">
        <v>15</v>
      </c>
      <c r="AF36" s="12">
        <v>5</v>
      </c>
    </row>
    <row r="37" spans="1:32">
      <c r="A37" s="23"/>
      <c r="B37" s="13" t="s">
        <v>551</v>
      </c>
      <c r="C37" s="14">
        <v>0.02</v>
      </c>
      <c r="D37" s="14">
        <v>0.02</v>
      </c>
      <c r="E37" s="14">
        <v>0.02</v>
      </c>
      <c r="F37" s="14">
        <v>0.02</v>
      </c>
      <c r="G37" s="14">
        <v>0.01</v>
      </c>
      <c r="H37" s="14">
        <v>0.02</v>
      </c>
      <c r="I37" s="14">
        <v>0.02</v>
      </c>
      <c r="J37" s="14">
        <v>0.04</v>
      </c>
      <c r="K37" s="14">
        <v>0.03</v>
      </c>
      <c r="L37" s="14">
        <v>0.01</v>
      </c>
      <c r="M37" s="14">
        <v>0.02</v>
      </c>
      <c r="N37" s="14">
        <v>0.04</v>
      </c>
      <c r="O37" s="14">
        <v>0.02</v>
      </c>
      <c r="P37" s="15" t="s">
        <v>485</v>
      </c>
      <c r="Q37" s="14">
        <v>0.02</v>
      </c>
      <c r="R37" s="14">
        <v>0.01</v>
      </c>
      <c r="S37" s="14">
        <v>0.06</v>
      </c>
      <c r="T37" s="14">
        <v>0.02</v>
      </c>
      <c r="U37" s="14">
        <v>0.01</v>
      </c>
      <c r="V37" s="14">
        <v>0.02</v>
      </c>
      <c r="W37" s="15" t="s">
        <v>485</v>
      </c>
      <c r="X37" s="14">
        <v>0.01</v>
      </c>
      <c r="Y37" s="14">
        <v>0.02</v>
      </c>
      <c r="Z37" s="14">
        <v>0.01</v>
      </c>
      <c r="AA37" s="15" t="s">
        <v>485</v>
      </c>
      <c r="AB37" s="14">
        <v>0.03</v>
      </c>
      <c r="AC37" s="14">
        <v>0.04</v>
      </c>
      <c r="AD37" s="14">
        <v>0.02</v>
      </c>
      <c r="AE37" s="14">
        <v>0.01</v>
      </c>
      <c r="AF37" s="15" t="s">
        <v>485</v>
      </c>
    </row>
    <row r="38" spans="1:32">
      <c r="A38" s="23"/>
      <c r="B38" s="11" t="s">
        <v>497</v>
      </c>
      <c r="C38" s="12">
        <v>1134</v>
      </c>
      <c r="D38" s="12">
        <v>19</v>
      </c>
      <c r="E38" s="12">
        <v>82</v>
      </c>
      <c r="F38" s="12">
        <v>43</v>
      </c>
      <c r="G38" s="12">
        <v>14</v>
      </c>
      <c r="H38" s="12">
        <v>18</v>
      </c>
      <c r="I38" s="12">
        <v>30</v>
      </c>
      <c r="J38" s="12">
        <v>12</v>
      </c>
      <c r="K38" s="12">
        <v>46</v>
      </c>
      <c r="L38" s="12">
        <v>39</v>
      </c>
      <c r="M38" s="12">
        <v>44</v>
      </c>
      <c r="N38" s="12">
        <v>56</v>
      </c>
      <c r="O38" s="12">
        <v>99</v>
      </c>
      <c r="P38" s="12">
        <v>23</v>
      </c>
      <c r="Q38" s="12">
        <v>43</v>
      </c>
      <c r="R38" s="12">
        <v>31</v>
      </c>
      <c r="S38" s="12">
        <v>75</v>
      </c>
      <c r="T38" s="12">
        <v>38</v>
      </c>
      <c r="U38" s="12">
        <v>7</v>
      </c>
      <c r="V38" s="12">
        <v>55</v>
      </c>
      <c r="W38" s="12">
        <v>10</v>
      </c>
      <c r="X38" s="12">
        <v>20</v>
      </c>
      <c r="Y38" s="12">
        <v>17</v>
      </c>
      <c r="Z38" s="12">
        <v>24</v>
      </c>
      <c r="AA38" s="12">
        <v>46</v>
      </c>
      <c r="AB38" s="12">
        <v>33</v>
      </c>
      <c r="AC38" s="12">
        <v>36</v>
      </c>
      <c r="AD38" s="12">
        <v>16</v>
      </c>
      <c r="AE38" s="12">
        <v>34</v>
      </c>
      <c r="AF38" s="12">
        <v>13</v>
      </c>
    </row>
    <row r="39" spans="1:32">
      <c r="A39" s="23"/>
      <c r="B39" s="13" t="s">
        <v>498</v>
      </c>
      <c r="C39" s="14">
        <v>0.04</v>
      </c>
      <c r="D39" s="14">
        <v>0.02</v>
      </c>
      <c r="E39" s="14">
        <v>0.08</v>
      </c>
      <c r="F39" s="14">
        <v>0.04</v>
      </c>
      <c r="G39" s="14">
        <v>0.01</v>
      </c>
      <c r="H39" s="14">
        <v>0.02</v>
      </c>
      <c r="I39" s="14">
        <v>0.02</v>
      </c>
      <c r="J39" s="14">
        <v>0.04</v>
      </c>
      <c r="K39" s="14">
        <v>0.05</v>
      </c>
      <c r="L39" s="14">
        <v>0.04</v>
      </c>
      <c r="M39" s="14">
        <v>0.04</v>
      </c>
      <c r="N39" s="14">
        <v>0.06</v>
      </c>
      <c r="O39" s="14">
        <v>0.1</v>
      </c>
      <c r="P39" s="14">
        <v>0.02</v>
      </c>
      <c r="Q39" s="14">
        <v>0.04</v>
      </c>
      <c r="R39" s="14">
        <v>0.06</v>
      </c>
      <c r="S39" s="14">
        <v>0.08</v>
      </c>
      <c r="T39" s="14">
        <v>0.04</v>
      </c>
      <c r="U39" s="14">
        <v>0.01</v>
      </c>
      <c r="V39" s="14">
        <v>0.05</v>
      </c>
      <c r="W39" s="14">
        <v>0.02</v>
      </c>
      <c r="X39" s="14">
        <v>0.02</v>
      </c>
      <c r="Y39" s="14">
        <v>0.02</v>
      </c>
      <c r="Z39" s="14">
        <v>0.02</v>
      </c>
      <c r="AA39" s="14">
        <v>0.05</v>
      </c>
      <c r="AB39" s="14">
        <v>0.03</v>
      </c>
      <c r="AC39" s="14">
        <v>0.04</v>
      </c>
      <c r="AD39" s="14">
        <v>0.02</v>
      </c>
      <c r="AE39" s="14">
        <v>0.03</v>
      </c>
      <c r="AF39" s="14">
        <v>0.01</v>
      </c>
    </row>
  </sheetData>
  <mergeCells count="9">
    <mergeCell ref="B10:B11"/>
    <mergeCell ref="A10:A39"/>
    <mergeCell ref="H4:L4"/>
    <mergeCell ref="B4:F4"/>
    <mergeCell ref="H3:L3"/>
    <mergeCell ref="C8:AF8"/>
    <mergeCell ref="B3:F3"/>
    <mergeCell ref="B5:F5"/>
    <mergeCell ref="H5:L5"/>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F3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12" customHeight="1">
      <c r="B3" s="19" t="s">
        <v>23</v>
      </c>
      <c r="C3" s="19"/>
      <c r="D3" s="19"/>
      <c r="E3" s="19"/>
      <c r="F3" s="19"/>
      <c r="H3" s="19" t="s">
        <v>24</v>
      </c>
      <c r="I3" s="19"/>
      <c r="J3" s="19"/>
      <c r="K3" s="19"/>
      <c r="L3" s="19"/>
    </row>
    <row r="4" spans="1:32" ht="27" customHeight="1">
      <c r="B4" s="19"/>
      <c r="C4" s="19"/>
      <c r="D4" s="19"/>
      <c r="E4" s="19"/>
      <c r="F4" s="19"/>
      <c r="H4" s="19"/>
      <c r="I4" s="19"/>
      <c r="J4" s="19"/>
      <c r="K4" s="19"/>
      <c r="L4" s="19"/>
    </row>
    <row r="5" spans="1:32" ht="12" customHeight="1">
      <c r="B5" s="19" t="s">
        <v>552</v>
      </c>
      <c r="C5" s="19"/>
      <c r="D5" s="19"/>
      <c r="E5" s="19"/>
      <c r="F5" s="19"/>
      <c r="H5" s="19" t="s">
        <v>553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HYPERLINK("#Content!A13","&lt;&lt;Back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25220</v>
      </c>
      <c r="D10" s="10">
        <v>987</v>
      </c>
      <c r="E10" s="10">
        <v>962</v>
      </c>
      <c r="F10" s="10">
        <v>964</v>
      </c>
      <c r="G10" s="10">
        <v>989</v>
      </c>
      <c r="H10" s="10">
        <v>1192</v>
      </c>
      <c r="I10" s="10">
        <v>1474</v>
      </c>
      <c r="J10" s="10">
        <v>282</v>
      </c>
      <c r="K10" s="10">
        <v>958</v>
      </c>
      <c r="L10" s="10">
        <v>968</v>
      </c>
      <c r="M10" s="10">
        <v>967</v>
      </c>
      <c r="N10" s="10">
        <v>944</v>
      </c>
      <c r="O10" s="10">
        <v>907</v>
      </c>
      <c r="P10" s="10">
        <v>988</v>
      </c>
      <c r="Q10" s="10">
        <v>981</v>
      </c>
      <c r="R10" s="10">
        <v>471</v>
      </c>
      <c r="S10" s="10">
        <v>930</v>
      </c>
      <c r="T10" s="10">
        <v>966</v>
      </c>
      <c r="U10" s="10">
        <v>496</v>
      </c>
      <c r="V10" s="10">
        <v>956</v>
      </c>
      <c r="W10" s="10">
        <v>493</v>
      </c>
      <c r="X10" s="10">
        <v>996</v>
      </c>
      <c r="Y10" s="10">
        <v>990</v>
      </c>
      <c r="Z10" s="10">
        <v>993</v>
      </c>
      <c r="AA10" s="10">
        <v>994</v>
      </c>
      <c r="AB10" s="10">
        <v>998</v>
      </c>
      <c r="AC10" s="10">
        <v>969</v>
      </c>
      <c r="AD10" s="10">
        <v>986</v>
      </c>
      <c r="AE10" s="10">
        <v>974</v>
      </c>
      <c r="AF10" s="10">
        <v>1060</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45.75">
      <c r="A12" s="23"/>
      <c r="B12" s="11" t="s">
        <v>526</v>
      </c>
      <c r="C12" s="12">
        <v>2821</v>
      </c>
      <c r="D12" s="12">
        <v>110</v>
      </c>
      <c r="E12" s="12">
        <v>123</v>
      </c>
      <c r="F12" s="12">
        <v>107</v>
      </c>
      <c r="G12" s="12">
        <v>45</v>
      </c>
      <c r="H12" s="12">
        <v>174</v>
      </c>
      <c r="I12" s="12">
        <v>197</v>
      </c>
      <c r="J12" s="12">
        <v>24</v>
      </c>
      <c r="K12" s="12">
        <v>70</v>
      </c>
      <c r="L12" s="12">
        <v>84</v>
      </c>
      <c r="M12" s="12">
        <v>123</v>
      </c>
      <c r="N12" s="12">
        <v>106</v>
      </c>
      <c r="O12" s="12">
        <v>87</v>
      </c>
      <c r="P12" s="12">
        <v>139</v>
      </c>
      <c r="Q12" s="12">
        <v>105</v>
      </c>
      <c r="R12" s="12">
        <v>66</v>
      </c>
      <c r="S12" s="12">
        <v>57</v>
      </c>
      <c r="T12" s="12">
        <v>89</v>
      </c>
      <c r="U12" s="12">
        <v>64</v>
      </c>
      <c r="V12" s="12">
        <v>127</v>
      </c>
      <c r="W12" s="12">
        <v>66</v>
      </c>
      <c r="X12" s="12">
        <v>57</v>
      </c>
      <c r="Y12" s="12">
        <v>129</v>
      </c>
      <c r="Z12" s="12">
        <v>130</v>
      </c>
      <c r="AA12" s="12">
        <v>90</v>
      </c>
      <c r="AB12" s="12">
        <v>149</v>
      </c>
      <c r="AC12" s="12">
        <v>105</v>
      </c>
      <c r="AD12" s="12">
        <v>123</v>
      </c>
      <c r="AE12" s="12">
        <v>68</v>
      </c>
      <c r="AF12" s="12">
        <v>48</v>
      </c>
    </row>
    <row r="13" spans="1:32" ht="34.5">
      <c r="A13" s="23"/>
      <c r="B13" s="13" t="s">
        <v>527</v>
      </c>
      <c r="C13" s="14">
        <v>0.12</v>
      </c>
      <c r="D13" s="14">
        <v>0.12</v>
      </c>
      <c r="E13" s="14">
        <v>0.14000000000000001</v>
      </c>
      <c r="F13" s="14">
        <v>0.12</v>
      </c>
      <c r="G13" s="14">
        <v>0.05</v>
      </c>
      <c r="H13" s="14">
        <v>0.16</v>
      </c>
      <c r="I13" s="14">
        <v>0.14000000000000001</v>
      </c>
      <c r="J13" s="14">
        <v>0.09</v>
      </c>
      <c r="K13" s="14">
        <v>0.08</v>
      </c>
      <c r="L13" s="14">
        <v>0.09</v>
      </c>
      <c r="M13" s="14">
        <v>0.13</v>
      </c>
      <c r="N13" s="14">
        <v>0.12</v>
      </c>
      <c r="O13" s="14">
        <v>0.1</v>
      </c>
      <c r="P13" s="14">
        <v>0.15</v>
      </c>
      <c r="Q13" s="14">
        <v>0.11</v>
      </c>
      <c r="R13" s="14">
        <v>0.15</v>
      </c>
      <c r="S13" s="14">
        <v>0.06</v>
      </c>
      <c r="T13" s="14">
        <v>0.1</v>
      </c>
      <c r="U13" s="14">
        <v>0.14000000000000001</v>
      </c>
      <c r="V13" s="14">
        <v>0.14000000000000001</v>
      </c>
      <c r="W13" s="14">
        <v>0.14000000000000001</v>
      </c>
      <c r="X13" s="14">
        <v>0.06</v>
      </c>
      <c r="Y13" s="14">
        <v>0.14000000000000001</v>
      </c>
      <c r="Z13" s="14">
        <v>0.14000000000000001</v>
      </c>
      <c r="AA13" s="14">
        <v>0.1</v>
      </c>
      <c r="AB13" s="14">
        <v>0.16</v>
      </c>
      <c r="AC13" s="14">
        <v>0.12</v>
      </c>
      <c r="AD13" s="14">
        <v>0.13</v>
      </c>
      <c r="AE13" s="14">
        <v>7.0000000000000007E-2</v>
      </c>
      <c r="AF13" s="14">
        <v>0.05</v>
      </c>
    </row>
    <row r="14" spans="1:32" ht="57">
      <c r="A14" s="23"/>
      <c r="B14" s="11" t="s">
        <v>528</v>
      </c>
      <c r="C14" s="12">
        <v>5224</v>
      </c>
      <c r="D14" s="12">
        <v>176</v>
      </c>
      <c r="E14" s="12">
        <v>196</v>
      </c>
      <c r="F14" s="12">
        <v>236</v>
      </c>
      <c r="G14" s="12">
        <v>278</v>
      </c>
      <c r="H14" s="12">
        <v>252</v>
      </c>
      <c r="I14" s="12">
        <v>330</v>
      </c>
      <c r="J14" s="12">
        <v>79</v>
      </c>
      <c r="K14" s="12">
        <v>178</v>
      </c>
      <c r="L14" s="12">
        <v>112</v>
      </c>
      <c r="M14" s="12">
        <v>229</v>
      </c>
      <c r="N14" s="12">
        <v>148</v>
      </c>
      <c r="O14" s="12">
        <v>169</v>
      </c>
      <c r="P14" s="12">
        <v>215</v>
      </c>
      <c r="Q14" s="12">
        <v>196</v>
      </c>
      <c r="R14" s="12">
        <v>114</v>
      </c>
      <c r="S14" s="12">
        <v>175</v>
      </c>
      <c r="T14" s="12">
        <v>217</v>
      </c>
      <c r="U14" s="12">
        <v>64</v>
      </c>
      <c r="V14" s="12">
        <v>167</v>
      </c>
      <c r="W14" s="12">
        <v>52</v>
      </c>
      <c r="X14" s="12">
        <v>301</v>
      </c>
      <c r="Y14" s="12">
        <v>182</v>
      </c>
      <c r="Z14" s="12">
        <v>220</v>
      </c>
      <c r="AA14" s="12">
        <v>157</v>
      </c>
      <c r="AB14" s="12">
        <v>164</v>
      </c>
      <c r="AC14" s="12">
        <v>174</v>
      </c>
      <c r="AD14" s="12">
        <v>196</v>
      </c>
      <c r="AE14" s="12">
        <v>288</v>
      </c>
      <c r="AF14" s="12">
        <v>377</v>
      </c>
    </row>
    <row r="15" spans="1:32" ht="34.5">
      <c r="A15" s="23"/>
      <c r="B15" s="13" t="s">
        <v>529</v>
      </c>
      <c r="C15" s="14">
        <v>0.25</v>
      </c>
      <c r="D15" s="14">
        <v>0.21</v>
      </c>
      <c r="E15" s="14">
        <v>0.23</v>
      </c>
      <c r="F15" s="14">
        <v>0.28999999999999998</v>
      </c>
      <c r="G15" s="14">
        <v>0.33</v>
      </c>
      <c r="H15" s="14">
        <v>0.26</v>
      </c>
      <c r="I15" s="14">
        <v>0.28000000000000003</v>
      </c>
      <c r="J15" s="14">
        <v>0.35</v>
      </c>
      <c r="K15" s="14">
        <v>0.22</v>
      </c>
      <c r="L15" s="14">
        <v>0.12</v>
      </c>
      <c r="M15" s="14">
        <v>0.31</v>
      </c>
      <c r="N15" s="14">
        <v>0.18</v>
      </c>
      <c r="O15" s="14">
        <v>0.22</v>
      </c>
      <c r="P15" s="14">
        <v>0.25</v>
      </c>
      <c r="Q15" s="14">
        <v>0.24</v>
      </c>
      <c r="R15" s="14">
        <v>0.3</v>
      </c>
      <c r="S15" s="14">
        <v>0.24</v>
      </c>
      <c r="T15" s="14">
        <v>0.28000000000000003</v>
      </c>
      <c r="U15" s="14">
        <v>0.15</v>
      </c>
      <c r="V15" s="14">
        <v>0.19</v>
      </c>
      <c r="W15" s="14">
        <v>0.11</v>
      </c>
      <c r="X15" s="14">
        <v>0.38</v>
      </c>
      <c r="Y15" s="14">
        <v>0.22</v>
      </c>
      <c r="Z15" s="14">
        <v>0.26</v>
      </c>
      <c r="AA15" s="14">
        <v>0.17</v>
      </c>
      <c r="AB15" s="14">
        <v>0.18</v>
      </c>
      <c r="AC15" s="14">
        <v>0.21</v>
      </c>
      <c r="AD15" s="14">
        <v>0.23</v>
      </c>
      <c r="AE15" s="14">
        <v>0.36</v>
      </c>
      <c r="AF15" s="14">
        <v>0.44</v>
      </c>
    </row>
    <row r="16" spans="1:32" ht="45.75">
      <c r="A16" s="23"/>
      <c r="B16" s="11" t="s">
        <v>530</v>
      </c>
      <c r="C16" s="12">
        <v>4205</v>
      </c>
      <c r="D16" s="12">
        <v>203</v>
      </c>
      <c r="E16" s="12">
        <v>171</v>
      </c>
      <c r="F16" s="12">
        <v>125</v>
      </c>
      <c r="G16" s="12">
        <v>183</v>
      </c>
      <c r="H16" s="12">
        <v>195</v>
      </c>
      <c r="I16" s="12">
        <v>241</v>
      </c>
      <c r="J16" s="12">
        <v>46</v>
      </c>
      <c r="K16" s="12">
        <v>164</v>
      </c>
      <c r="L16" s="12">
        <v>256</v>
      </c>
      <c r="M16" s="12">
        <v>166</v>
      </c>
      <c r="N16" s="12">
        <v>174</v>
      </c>
      <c r="O16" s="12">
        <v>96</v>
      </c>
      <c r="P16" s="12">
        <v>210</v>
      </c>
      <c r="Q16" s="12">
        <v>147</v>
      </c>
      <c r="R16" s="12">
        <v>101</v>
      </c>
      <c r="S16" s="12">
        <v>154</v>
      </c>
      <c r="T16" s="12">
        <v>278</v>
      </c>
      <c r="U16" s="12">
        <v>93</v>
      </c>
      <c r="V16" s="12">
        <v>205</v>
      </c>
      <c r="W16" s="12">
        <v>106</v>
      </c>
      <c r="X16" s="12">
        <v>247</v>
      </c>
      <c r="Y16" s="12">
        <v>223</v>
      </c>
      <c r="Z16" s="12">
        <v>153</v>
      </c>
      <c r="AA16" s="12">
        <v>202</v>
      </c>
      <c r="AB16" s="12">
        <v>158</v>
      </c>
      <c r="AC16" s="12">
        <v>256</v>
      </c>
      <c r="AD16" s="12">
        <v>207</v>
      </c>
      <c r="AE16" s="12">
        <v>162</v>
      </c>
      <c r="AF16" s="12">
        <v>190</v>
      </c>
    </row>
    <row r="17" spans="1:32" ht="34.5">
      <c r="A17" s="23"/>
      <c r="B17" s="13" t="s">
        <v>531</v>
      </c>
      <c r="C17" s="14">
        <v>0.19</v>
      </c>
      <c r="D17" s="14">
        <v>0.23</v>
      </c>
      <c r="E17" s="14">
        <v>0.19</v>
      </c>
      <c r="F17" s="14">
        <v>0.14000000000000001</v>
      </c>
      <c r="G17" s="14">
        <v>0.22</v>
      </c>
      <c r="H17" s="14">
        <v>0.18</v>
      </c>
      <c r="I17" s="14">
        <v>0.18</v>
      </c>
      <c r="J17" s="14">
        <v>0.18</v>
      </c>
      <c r="K17" s="14">
        <v>0.19</v>
      </c>
      <c r="L17" s="14">
        <v>0.35</v>
      </c>
      <c r="M17" s="14">
        <v>0.19</v>
      </c>
      <c r="N17" s="14">
        <v>0.24</v>
      </c>
      <c r="O17" s="14">
        <v>0.12</v>
      </c>
      <c r="P17" s="14">
        <v>0.24</v>
      </c>
      <c r="Q17" s="14">
        <v>0.16</v>
      </c>
      <c r="R17" s="14">
        <v>0.25</v>
      </c>
      <c r="S17" s="14">
        <v>0.19</v>
      </c>
      <c r="T17" s="14">
        <v>0.35</v>
      </c>
      <c r="U17" s="14">
        <v>0.23</v>
      </c>
      <c r="V17" s="14">
        <v>0.25</v>
      </c>
      <c r="W17" s="14">
        <v>0.3</v>
      </c>
      <c r="X17" s="14">
        <v>0.32</v>
      </c>
      <c r="Y17" s="14">
        <v>0.26</v>
      </c>
      <c r="Z17" s="14">
        <v>0.17</v>
      </c>
      <c r="AA17" s="14">
        <v>0.28000000000000003</v>
      </c>
      <c r="AB17" s="14">
        <v>0.17</v>
      </c>
      <c r="AC17" s="14">
        <v>0.32</v>
      </c>
      <c r="AD17" s="14">
        <v>0.24</v>
      </c>
      <c r="AE17" s="14">
        <v>0.19</v>
      </c>
      <c r="AF17" s="14">
        <v>0.2</v>
      </c>
    </row>
    <row r="18" spans="1:32" ht="57">
      <c r="A18" s="23"/>
      <c r="B18" s="11" t="s">
        <v>532</v>
      </c>
      <c r="C18" s="12">
        <v>4849</v>
      </c>
      <c r="D18" s="12">
        <v>200</v>
      </c>
      <c r="E18" s="12">
        <v>197</v>
      </c>
      <c r="F18" s="12">
        <v>169</v>
      </c>
      <c r="G18" s="12">
        <v>266</v>
      </c>
      <c r="H18" s="12">
        <v>276</v>
      </c>
      <c r="I18" s="12">
        <v>333</v>
      </c>
      <c r="J18" s="12">
        <v>57</v>
      </c>
      <c r="K18" s="12">
        <v>185</v>
      </c>
      <c r="L18" s="12">
        <v>134</v>
      </c>
      <c r="M18" s="12">
        <v>227</v>
      </c>
      <c r="N18" s="12">
        <v>165</v>
      </c>
      <c r="O18" s="12">
        <v>165</v>
      </c>
      <c r="P18" s="12">
        <v>147</v>
      </c>
      <c r="Q18" s="12">
        <v>168</v>
      </c>
      <c r="R18" s="12">
        <v>65</v>
      </c>
      <c r="S18" s="12">
        <v>148</v>
      </c>
      <c r="T18" s="12">
        <v>137</v>
      </c>
      <c r="U18" s="12">
        <v>92</v>
      </c>
      <c r="V18" s="12">
        <v>151</v>
      </c>
      <c r="W18" s="12">
        <v>97</v>
      </c>
      <c r="X18" s="12">
        <v>304</v>
      </c>
      <c r="Y18" s="12">
        <v>185</v>
      </c>
      <c r="Z18" s="12">
        <v>125</v>
      </c>
      <c r="AA18" s="12">
        <v>190</v>
      </c>
      <c r="AB18" s="12">
        <v>150</v>
      </c>
      <c r="AC18" s="12">
        <v>188</v>
      </c>
      <c r="AD18" s="12">
        <v>213</v>
      </c>
      <c r="AE18" s="12">
        <v>240</v>
      </c>
      <c r="AF18" s="12">
        <v>282</v>
      </c>
    </row>
    <row r="19" spans="1:32" ht="57">
      <c r="A19" s="23"/>
      <c r="B19" s="13" t="s">
        <v>533</v>
      </c>
      <c r="C19" s="14">
        <v>0.23</v>
      </c>
      <c r="D19" s="14">
        <v>0.26</v>
      </c>
      <c r="E19" s="14">
        <v>0.23</v>
      </c>
      <c r="F19" s="14">
        <v>0.2</v>
      </c>
      <c r="G19" s="14">
        <v>0.4</v>
      </c>
      <c r="H19" s="14">
        <v>0.3</v>
      </c>
      <c r="I19" s="14">
        <v>0.28999999999999998</v>
      </c>
      <c r="J19" s="14">
        <v>0.26</v>
      </c>
      <c r="K19" s="14">
        <v>0.22</v>
      </c>
      <c r="L19" s="14">
        <v>0.15</v>
      </c>
      <c r="M19" s="14">
        <v>0.27</v>
      </c>
      <c r="N19" s="14">
        <v>0.2</v>
      </c>
      <c r="O19" s="14">
        <v>0.22</v>
      </c>
      <c r="P19" s="14">
        <v>0.16</v>
      </c>
      <c r="Q19" s="14">
        <v>0.2</v>
      </c>
      <c r="R19" s="14">
        <v>0.16</v>
      </c>
      <c r="S19" s="14">
        <v>0.18</v>
      </c>
      <c r="T19" s="14">
        <v>0.15</v>
      </c>
      <c r="U19" s="14">
        <v>0.22</v>
      </c>
      <c r="V19" s="14">
        <v>0.18</v>
      </c>
      <c r="W19" s="14">
        <v>0.22</v>
      </c>
      <c r="X19" s="14">
        <v>0.44</v>
      </c>
      <c r="Y19" s="14">
        <v>0.22</v>
      </c>
      <c r="Z19" s="14">
        <v>0.14000000000000001</v>
      </c>
      <c r="AA19" s="14">
        <v>0.21</v>
      </c>
      <c r="AB19" s="14">
        <v>0.17</v>
      </c>
      <c r="AC19" s="14">
        <v>0.23</v>
      </c>
      <c r="AD19" s="14">
        <v>0.24</v>
      </c>
      <c r="AE19" s="14">
        <v>0.42</v>
      </c>
      <c r="AF19" s="14">
        <v>0.49</v>
      </c>
    </row>
    <row r="20" spans="1:32" ht="68.25">
      <c r="A20" s="23"/>
      <c r="B20" s="11" t="s">
        <v>534</v>
      </c>
      <c r="C20" s="12">
        <v>3233</v>
      </c>
      <c r="D20" s="12">
        <v>156</v>
      </c>
      <c r="E20" s="12">
        <v>95</v>
      </c>
      <c r="F20" s="12">
        <v>80</v>
      </c>
      <c r="G20" s="12">
        <v>143</v>
      </c>
      <c r="H20" s="12">
        <v>165</v>
      </c>
      <c r="I20" s="12">
        <v>212</v>
      </c>
      <c r="J20" s="12">
        <v>48</v>
      </c>
      <c r="K20" s="12">
        <v>121</v>
      </c>
      <c r="L20" s="12">
        <v>83</v>
      </c>
      <c r="M20" s="12">
        <v>180</v>
      </c>
      <c r="N20" s="12">
        <v>109</v>
      </c>
      <c r="O20" s="12">
        <v>111</v>
      </c>
      <c r="P20" s="12">
        <v>108</v>
      </c>
      <c r="Q20" s="12">
        <v>137</v>
      </c>
      <c r="R20" s="12">
        <v>50</v>
      </c>
      <c r="S20" s="12">
        <v>80</v>
      </c>
      <c r="T20" s="12">
        <v>65</v>
      </c>
      <c r="U20" s="12">
        <v>49</v>
      </c>
      <c r="V20" s="12">
        <v>98</v>
      </c>
      <c r="W20" s="12">
        <v>45</v>
      </c>
      <c r="X20" s="12">
        <v>163</v>
      </c>
      <c r="Y20" s="12">
        <v>166</v>
      </c>
      <c r="Z20" s="12">
        <v>106</v>
      </c>
      <c r="AA20" s="12">
        <v>77</v>
      </c>
      <c r="AB20" s="12">
        <v>107</v>
      </c>
      <c r="AC20" s="12">
        <v>91</v>
      </c>
      <c r="AD20" s="12">
        <v>107</v>
      </c>
      <c r="AE20" s="12">
        <v>177</v>
      </c>
      <c r="AF20" s="12">
        <v>133</v>
      </c>
    </row>
    <row r="21" spans="1:32" ht="57">
      <c r="A21" s="23"/>
      <c r="B21" s="13" t="s">
        <v>535</v>
      </c>
      <c r="C21" s="14">
        <v>0.14000000000000001</v>
      </c>
      <c r="D21" s="14">
        <v>0.17</v>
      </c>
      <c r="E21" s="14">
        <v>0.1</v>
      </c>
      <c r="F21" s="14">
        <v>0.09</v>
      </c>
      <c r="G21" s="14">
        <v>0.15</v>
      </c>
      <c r="H21" s="14">
        <v>0.15</v>
      </c>
      <c r="I21" s="14">
        <v>0.16</v>
      </c>
      <c r="J21" s="14">
        <v>0.18</v>
      </c>
      <c r="K21" s="14">
        <v>0.13</v>
      </c>
      <c r="L21" s="14">
        <v>0.09</v>
      </c>
      <c r="M21" s="14">
        <v>0.2</v>
      </c>
      <c r="N21" s="14">
        <v>0.12</v>
      </c>
      <c r="O21" s="14">
        <v>0.13</v>
      </c>
      <c r="P21" s="14">
        <v>0.12</v>
      </c>
      <c r="Q21" s="14">
        <v>0.15</v>
      </c>
      <c r="R21" s="14">
        <v>0.11</v>
      </c>
      <c r="S21" s="14">
        <v>0.09</v>
      </c>
      <c r="T21" s="14">
        <v>7.0000000000000007E-2</v>
      </c>
      <c r="U21" s="14">
        <v>0.1</v>
      </c>
      <c r="V21" s="14">
        <v>0.11</v>
      </c>
      <c r="W21" s="14">
        <v>0.1</v>
      </c>
      <c r="X21" s="14">
        <v>0.17</v>
      </c>
      <c r="Y21" s="14">
        <v>0.18</v>
      </c>
      <c r="Z21" s="14">
        <v>0.12</v>
      </c>
      <c r="AA21" s="14">
        <v>0.08</v>
      </c>
      <c r="AB21" s="14">
        <v>0.12</v>
      </c>
      <c r="AC21" s="14">
        <v>0.1</v>
      </c>
      <c r="AD21" s="14">
        <v>0.11</v>
      </c>
      <c r="AE21" s="14">
        <v>0.2</v>
      </c>
      <c r="AF21" s="14">
        <v>0.13</v>
      </c>
    </row>
    <row r="22" spans="1:32" ht="57">
      <c r="A22" s="23"/>
      <c r="B22" s="11" t="s">
        <v>536</v>
      </c>
      <c r="C22" s="12">
        <v>2347</v>
      </c>
      <c r="D22" s="12">
        <v>76</v>
      </c>
      <c r="E22" s="12">
        <v>50</v>
      </c>
      <c r="F22" s="12">
        <v>61</v>
      </c>
      <c r="G22" s="12">
        <v>61</v>
      </c>
      <c r="H22" s="12">
        <v>140</v>
      </c>
      <c r="I22" s="12">
        <v>159</v>
      </c>
      <c r="J22" s="12">
        <v>20</v>
      </c>
      <c r="K22" s="12">
        <v>58</v>
      </c>
      <c r="L22" s="12">
        <v>70</v>
      </c>
      <c r="M22" s="12">
        <v>96</v>
      </c>
      <c r="N22" s="12">
        <v>68</v>
      </c>
      <c r="O22" s="12">
        <v>93</v>
      </c>
      <c r="P22" s="12">
        <v>106</v>
      </c>
      <c r="Q22" s="12">
        <v>109</v>
      </c>
      <c r="R22" s="12">
        <v>29</v>
      </c>
      <c r="S22" s="12">
        <v>25</v>
      </c>
      <c r="T22" s="12">
        <v>46</v>
      </c>
      <c r="U22" s="12">
        <v>38</v>
      </c>
      <c r="V22" s="12">
        <v>104</v>
      </c>
      <c r="W22" s="12">
        <v>69</v>
      </c>
      <c r="X22" s="12">
        <v>43</v>
      </c>
      <c r="Y22" s="12">
        <v>122</v>
      </c>
      <c r="Z22" s="12">
        <v>99</v>
      </c>
      <c r="AA22" s="12">
        <v>78</v>
      </c>
      <c r="AB22" s="12">
        <v>110</v>
      </c>
      <c r="AC22" s="12">
        <v>51</v>
      </c>
      <c r="AD22" s="12">
        <v>63</v>
      </c>
      <c r="AE22" s="12">
        <v>27</v>
      </c>
      <c r="AF22" s="12">
        <v>94</v>
      </c>
    </row>
    <row r="23" spans="1:32" ht="45.75">
      <c r="A23" s="23"/>
      <c r="B23" s="13" t="s">
        <v>537</v>
      </c>
      <c r="C23" s="14">
        <v>0.1</v>
      </c>
      <c r="D23" s="14">
        <v>0.08</v>
      </c>
      <c r="E23" s="14">
        <v>0.05</v>
      </c>
      <c r="F23" s="14">
        <v>7.0000000000000007E-2</v>
      </c>
      <c r="G23" s="14">
        <v>0.06</v>
      </c>
      <c r="H23" s="14">
        <v>0.12</v>
      </c>
      <c r="I23" s="14">
        <v>0.11</v>
      </c>
      <c r="J23" s="14">
        <v>7.0000000000000007E-2</v>
      </c>
      <c r="K23" s="14">
        <v>0.06</v>
      </c>
      <c r="L23" s="14">
        <v>7.0000000000000007E-2</v>
      </c>
      <c r="M23" s="14">
        <v>0.1</v>
      </c>
      <c r="N23" s="14">
        <v>7.0000000000000007E-2</v>
      </c>
      <c r="O23" s="14">
        <v>0.11</v>
      </c>
      <c r="P23" s="14">
        <v>0.11</v>
      </c>
      <c r="Q23" s="14">
        <v>0.12</v>
      </c>
      <c r="R23" s="14">
        <v>0.06</v>
      </c>
      <c r="S23" s="14">
        <v>0.03</v>
      </c>
      <c r="T23" s="14">
        <v>0.05</v>
      </c>
      <c r="U23" s="14">
        <v>0.08</v>
      </c>
      <c r="V23" s="14">
        <v>0.11</v>
      </c>
      <c r="W23" s="14">
        <v>0.15</v>
      </c>
      <c r="X23" s="14">
        <v>0.04</v>
      </c>
      <c r="Y23" s="14">
        <v>0.13</v>
      </c>
      <c r="Z23" s="14">
        <v>0.11</v>
      </c>
      <c r="AA23" s="14">
        <v>0.08</v>
      </c>
      <c r="AB23" s="14">
        <v>0.12</v>
      </c>
      <c r="AC23" s="14">
        <v>0.05</v>
      </c>
      <c r="AD23" s="14">
        <v>0.06</v>
      </c>
      <c r="AE23" s="14">
        <v>0.03</v>
      </c>
      <c r="AF23" s="14">
        <v>0.09</v>
      </c>
    </row>
    <row r="24" spans="1:32" ht="57">
      <c r="A24" s="23"/>
      <c r="B24" s="11" t="s">
        <v>538</v>
      </c>
      <c r="C24" s="12">
        <v>3772</v>
      </c>
      <c r="D24" s="12">
        <v>131</v>
      </c>
      <c r="E24" s="12">
        <v>88</v>
      </c>
      <c r="F24" s="12">
        <v>152</v>
      </c>
      <c r="G24" s="12">
        <v>241</v>
      </c>
      <c r="H24" s="12">
        <v>164</v>
      </c>
      <c r="I24" s="12">
        <v>195</v>
      </c>
      <c r="J24" s="12">
        <v>30</v>
      </c>
      <c r="K24" s="12">
        <v>113</v>
      </c>
      <c r="L24" s="12">
        <v>154</v>
      </c>
      <c r="M24" s="12">
        <v>188</v>
      </c>
      <c r="N24" s="12">
        <v>115</v>
      </c>
      <c r="O24" s="12">
        <v>183</v>
      </c>
      <c r="P24" s="12">
        <v>135</v>
      </c>
      <c r="Q24" s="12">
        <v>183</v>
      </c>
      <c r="R24" s="12">
        <v>64</v>
      </c>
      <c r="S24" s="12">
        <v>64</v>
      </c>
      <c r="T24" s="12">
        <v>137</v>
      </c>
      <c r="U24" s="12">
        <v>76</v>
      </c>
      <c r="V24" s="12">
        <v>109</v>
      </c>
      <c r="W24" s="12">
        <v>89</v>
      </c>
      <c r="X24" s="12">
        <v>68</v>
      </c>
      <c r="Y24" s="12">
        <v>188</v>
      </c>
      <c r="Z24" s="12">
        <v>106</v>
      </c>
      <c r="AA24" s="12">
        <v>214</v>
      </c>
      <c r="AB24" s="12">
        <v>156</v>
      </c>
      <c r="AC24" s="12">
        <v>80</v>
      </c>
      <c r="AD24" s="12">
        <v>109</v>
      </c>
      <c r="AE24" s="12">
        <v>130</v>
      </c>
      <c r="AF24" s="12">
        <v>125</v>
      </c>
    </row>
    <row r="25" spans="1:32" ht="34.5">
      <c r="A25" s="23"/>
      <c r="B25" s="13" t="s">
        <v>539</v>
      </c>
      <c r="C25" s="14">
        <v>0.17</v>
      </c>
      <c r="D25" s="14">
        <v>0.14000000000000001</v>
      </c>
      <c r="E25" s="14">
        <v>0.1</v>
      </c>
      <c r="F25" s="14">
        <v>0.18</v>
      </c>
      <c r="G25" s="14">
        <v>0.27</v>
      </c>
      <c r="H25" s="14">
        <v>0.15</v>
      </c>
      <c r="I25" s="14">
        <v>0.14000000000000001</v>
      </c>
      <c r="J25" s="14">
        <v>0.12</v>
      </c>
      <c r="K25" s="14">
        <v>0.13</v>
      </c>
      <c r="L25" s="14">
        <v>0.18</v>
      </c>
      <c r="M25" s="14">
        <v>0.23</v>
      </c>
      <c r="N25" s="14">
        <v>0.13</v>
      </c>
      <c r="O25" s="14">
        <v>0.25</v>
      </c>
      <c r="P25" s="14">
        <v>0.15</v>
      </c>
      <c r="Q25" s="14">
        <v>0.22</v>
      </c>
      <c r="R25" s="14">
        <v>0.16</v>
      </c>
      <c r="S25" s="14">
        <v>7.0000000000000007E-2</v>
      </c>
      <c r="T25" s="14">
        <v>0.15</v>
      </c>
      <c r="U25" s="14">
        <v>0.17</v>
      </c>
      <c r="V25" s="14">
        <v>0.12</v>
      </c>
      <c r="W25" s="14">
        <v>0.2</v>
      </c>
      <c r="X25" s="14">
        <v>7.0000000000000007E-2</v>
      </c>
      <c r="Y25" s="14">
        <v>0.21</v>
      </c>
      <c r="Z25" s="14">
        <v>0.12</v>
      </c>
      <c r="AA25" s="14">
        <v>0.26</v>
      </c>
      <c r="AB25" s="14">
        <v>0.17</v>
      </c>
      <c r="AC25" s="14">
        <v>0.09</v>
      </c>
      <c r="AD25" s="14">
        <v>0.12</v>
      </c>
      <c r="AE25" s="14">
        <v>0.14000000000000001</v>
      </c>
      <c r="AF25" s="14">
        <v>0.12</v>
      </c>
    </row>
    <row r="26" spans="1:32" ht="34.5">
      <c r="A26" s="23"/>
      <c r="B26" s="11" t="s">
        <v>540</v>
      </c>
      <c r="C26" s="12">
        <v>2932</v>
      </c>
      <c r="D26" s="12">
        <v>71</v>
      </c>
      <c r="E26" s="12">
        <v>144</v>
      </c>
      <c r="F26" s="12">
        <v>119</v>
      </c>
      <c r="G26" s="12">
        <v>74</v>
      </c>
      <c r="H26" s="12">
        <v>123</v>
      </c>
      <c r="I26" s="12">
        <v>146</v>
      </c>
      <c r="J26" s="12">
        <v>23</v>
      </c>
      <c r="K26" s="12">
        <v>145</v>
      </c>
      <c r="L26" s="12">
        <v>221</v>
      </c>
      <c r="M26" s="12">
        <v>134</v>
      </c>
      <c r="N26" s="12">
        <v>155</v>
      </c>
      <c r="O26" s="12">
        <v>62</v>
      </c>
      <c r="P26" s="12">
        <v>181</v>
      </c>
      <c r="Q26" s="12">
        <v>99</v>
      </c>
      <c r="R26" s="12">
        <v>74</v>
      </c>
      <c r="S26" s="12">
        <v>136</v>
      </c>
      <c r="T26" s="12">
        <v>226</v>
      </c>
      <c r="U26" s="12">
        <v>67</v>
      </c>
      <c r="V26" s="12">
        <v>159</v>
      </c>
      <c r="W26" s="12">
        <v>90</v>
      </c>
      <c r="X26" s="12">
        <v>120</v>
      </c>
      <c r="Y26" s="12">
        <v>139</v>
      </c>
      <c r="Z26" s="12">
        <v>151</v>
      </c>
      <c r="AA26" s="12">
        <v>137</v>
      </c>
      <c r="AB26" s="12">
        <v>147</v>
      </c>
      <c r="AC26" s="12">
        <v>127</v>
      </c>
      <c r="AD26" s="12">
        <v>160</v>
      </c>
      <c r="AE26" s="12">
        <v>62</v>
      </c>
      <c r="AF26" s="12">
        <v>32</v>
      </c>
    </row>
    <row r="27" spans="1:32" ht="34.5">
      <c r="A27" s="23"/>
      <c r="B27" s="13" t="s">
        <v>541</v>
      </c>
      <c r="C27" s="14">
        <v>0.13</v>
      </c>
      <c r="D27" s="14">
        <v>0.08</v>
      </c>
      <c r="E27" s="14">
        <v>0.17</v>
      </c>
      <c r="F27" s="14">
        <v>0.13</v>
      </c>
      <c r="G27" s="14">
        <v>0.08</v>
      </c>
      <c r="H27" s="14">
        <v>0.11</v>
      </c>
      <c r="I27" s="14">
        <v>0.1</v>
      </c>
      <c r="J27" s="14">
        <v>0.09</v>
      </c>
      <c r="K27" s="14">
        <v>0.18</v>
      </c>
      <c r="L27" s="14">
        <v>0.27</v>
      </c>
      <c r="M27" s="14">
        <v>0.15</v>
      </c>
      <c r="N27" s="14">
        <v>0.18</v>
      </c>
      <c r="O27" s="14">
        <v>7.0000000000000007E-2</v>
      </c>
      <c r="P27" s="14">
        <v>0.21</v>
      </c>
      <c r="Q27" s="14">
        <v>0.11</v>
      </c>
      <c r="R27" s="14">
        <v>0.17</v>
      </c>
      <c r="S27" s="14">
        <v>0.16</v>
      </c>
      <c r="T27" s="14">
        <v>0.28000000000000003</v>
      </c>
      <c r="U27" s="14">
        <v>0.14000000000000001</v>
      </c>
      <c r="V27" s="14">
        <v>0.18</v>
      </c>
      <c r="W27" s="14">
        <v>0.2</v>
      </c>
      <c r="X27" s="14">
        <v>0.13</v>
      </c>
      <c r="Y27" s="14">
        <v>0.15</v>
      </c>
      <c r="Z27" s="14">
        <v>0.18</v>
      </c>
      <c r="AA27" s="14">
        <v>0.15</v>
      </c>
      <c r="AB27" s="14">
        <v>0.17</v>
      </c>
      <c r="AC27" s="14">
        <v>0.15</v>
      </c>
      <c r="AD27" s="14">
        <v>0.18</v>
      </c>
      <c r="AE27" s="14">
        <v>0.06</v>
      </c>
      <c r="AF27" s="14">
        <v>0.03</v>
      </c>
    </row>
    <row r="28" spans="1:32" ht="34.5">
      <c r="A28" s="23"/>
      <c r="B28" s="11" t="s">
        <v>542</v>
      </c>
      <c r="C28" s="12">
        <v>2580</v>
      </c>
      <c r="D28" s="12">
        <v>132</v>
      </c>
      <c r="E28" s="12">
        <v>85</v>
      </c>
      <c r="F28" s="12">
        <v>78</v>
      </c>
      <c r="G28" s="12">
        <v>108</v>
      </c>
      <c r="H28" s="12">
        <v>139</v>
      </c>
      <c r="I28" s="12">
        <v>171</v>
      </c>
      <c r="J28" s="12">
        <v>32</v>
      </c>
      <c r="K28" s="12">
        <v>49</v>
      </c>
      <c r="L28" s="12">
        <v>70</v>
      </c>
      <c r="M28" s="12">
        <v>80</v>
      </c>
      <c r="N28" s="12">
        <v>79</v>
      </c>
      <c r="O28" s="12">
        <v>121</v>
      </c>
      <c r="P28" s="12">
        <v>79</v>
      </c>
      <c r="Q28" s="12">
        <v>105</v>
      </c>
      <c r="R28" s="12">
        <v>21</v>
      </c>
      <c r="S28" s="12">
        <v>42</v>
      </c>
      <c r="T28" s="12">
        <v>41</v>
      </c>
      <c r="U28" s="12">
        <v>30</v>
      </c>
      <c r="V28" s="12">
        <v>75</v>
      </c>
      <c r="W28" s="12">
        <v>39</v>
      </c>
      <c r="X28" s="12">
        <v>117</v>
      </c>
      <c r="Y28" s="12">
        <v>108</v>
      </c>
      <c r="Z28" s="12">
        <v>66</v>
      </c>
      <c r="AA28" s="12">
        <v>76</v>
      </c>
      <c r="AB28" s="12">
        <v>119</v>
      </c>
      <c r="AC28" s="12">
        <v>41</v>
      </c>
      <c r="AD28" s="12">
        <v>56</v>
      </c>
      <c r="AE28" s="12">
        <v>62</v>
      </c>
      <c r="AF28" s="12">
        <v>110</v>
      </c>
    </row>
    <row r="29" spans="1:32" ht="34.5">
      <c r="A29" s="23"/>
      <c r="B29" s="13" t="s">
        <v>543</v>
      </c>
      <c r="C29" s="14">
        <v>0.11</v>
      </c>
      <c r="D29" s="14">
        <v>0.14000000000000001</v>
      </c>
      <c r="E29" s="14">
        <v>0.09</v>
      </c>
      <c r="F29" s="14">
        <v>0.08</v>
      </c>
      <c r="G29" s="14">
        <v>0.11</v>
      </c>
      <c r="H29" s="14">
        <v>0.12</v>
      </c>
      <c r="I29" s="14">
        <v>0.12</v>
      </c>
      <c r="J29" s="14">
        <v>0.12</v>
      </c>
      <c r="K29" s="14">
        <v>0.05</v>
      </c>
      <c r="L29" s="14">
        <v>7.0000000000000007E-2</v>
      </c>
      <c r="M29" s="14">
        <v>0.08</v>
      </c>
      <c r="N29" s="14">
        <v>0.09</v>
      </c>
      <c r="O29" s="14">
        <v>0.14000000000000001</v>
      </c>
      <c r="P29" s="14">
        <v>0.08</v>
      </c>
      <c r="Q29" s="14">
        <v>0.11</v>
      </c>
      <c r="R29" s="14">
        <v>0.05</v>
      </c>
      <c r="S29" s="14">
        <v>0.05</v>
      </c>
      <c r="T29" s="14">
        <v>0.04</v>
      </c>
      <c r="U29" s="14">
        <v>0.06</v>
      </c>
      <c r="V29" s="14">
        <v>0.08</v>
      </c>
      <c r="W29" s="14">
        <v>0.08</v>
      </c>
      <c r="X29" s="14">
        <v>0.12</v>
      </c>
      <c r="Y29" s="14">
        <v>0.12</v>
      </c>
      <c r="Z29" s="14">
        <v>7.0000000000000007E-2</v>
      </c>
      <c r="AA29" s="14">
        <v>0.08</v>
      </c>
      <c r="AB29" s="14">
        <v>0.13</v>
      </c>
      <c r="AC29" s="14">
        <v>0.04</v>
      </c>
      <c r="AD29" s="14">
        <v>0.06</v>
      </c>
      <c r="AE29" s="14">
        <v>7.0000000000000007E-2</v>
      </c>
      <c r="AF29" s="14">
        <v>0.11</v>
      </c>
    </row>
    <row r="30" spans="1:32" ht="45.75">
      <c r="A30" s="23"/>
      <c r="B30" s="11" t="s">
        <v>544</v>
      </c>
      <c r="C30" s="12">
        <v>2844</v>
      </c>
      <c r="D30" s="12">
        <v>151</v>
      </c>
      <c r="E30" s="12">
        <v>68</v>
      </c>
      <c r="F30" s="12">
        <v>67</v>
      </c>
      <c r="G30" s="12">
        <v>158</v>
      </c>
      <c r="H30" s="12">
        <v>132</v>
      </c>
      <c r="I30" s="12">
        <v>160</v>
      </c>
      <c r="J30" s="12">
        <v>27</v>
      </c>
      <c r="K30" s="12">
        <v>55</v>
      </c>
      <c r="L30" s="12">
        <v>106</v>
      </c>
      <c r="M30" s="12">
        <v>78</v>
      </c>
      <c r="N30" s="12">
        <v>72</v>
      </c>
      <c r="O30" s="12">
        <v>111</v>
      </c>
      <c r="P30" s="12">
        <v>82</v>
      </c>
      <c r="Q30" s="12">
        <v>145</v>
      </c>
      <c r="R30" s="12">
        <v>51</v>
      </c>
      <c r="S30" s="12">
        <v>36</v>
      </c>
      <c r="T30" s="12">
        <v>49</v>
      </c>
      <c r="U30" s="12">
        <v>42</v>
      </c>
      <c r="V30" s="12">
        <v>123</v>
      </c>
      <c r="W30" s="12">
        <v>60</v>
      </c>
      <c r="X30" s="12">
        <v>165</v>
      </c>
      <c r="Y30" s="12">
        <v>130</v>
      </c>
      <c r="Z30" s="12">
        <v>80</v>
      </c>
      <c r="AA30" s="12">
        <v>65</v>
      </c>
      <c r="AB30" s="12">
        <v>98</v>
      </c>
      <c r="AC30" s="12">
        <v>88</v>
      </c>
      <c r="AD30" s="12">
        <v>82</v>
      </c>
      <c r="AE30" s="12">
        <v>98</v>
      </c>
      <c r="AF30" s="12">
        <v>237</v>
      </c>
    </row>
    <row r="31" spans="1:32" ht="34.5">
      <c r="A31" s="23"/>
      <c r="B31" s="13" t="s">
        <v>545</v>
      </c>
      <c r="C31" s="14">
        <v>0.12</v>
      </c>
      <c r="D31" s="14">
        <v>0.17</v>
      </c>
      <c r="E31" s="14">
        <v>7.0000000000000007E-2</v>
      </c>
      <c r="F31" s="14">
        <v>7.0000000000000007E-2</v>
      </c>
      <c r="G31" s="14">
        <v>0.17</v>
      </c>
      <c r="H31" s="14">
        <v>0.12</v>
      </c>
      <c r="I31" s="14">
        <v>0.11</v>
      </c>
      <c r="J31" s="14">
        <v>0.1</v>
      </c>
      <c r="K31" s="14">
        <v>0.06</v>
      </c>
      <c r="L31" s="14">
        <v>0.11</v>
      </c>
      <c r="M31" s="14">
        <v>0.08</v>
      </c>
      <c r="N31" s="14">
        <v>0.08</v>
      </c>
      <c r="O31" s="14">
        <v>0.13</v>
      </c>
      <c r="P31" s="14">
        <v>0.09</v>
      </c>
      <c r="Q31" s="14">
        <v>0.16</v>
      </c>
      <c r="R31" s="14">
        <v>0.11</v>
      </c>
      <c r="S31" s="14">
        <v>0.04</v>
      </c>
      <c r="T31" s="14">
        <v>0.05</v>
      </c>
      <c r="U31" s="14">
        <v>0.09</v>
      </c>
      <c r="V31" s="14">
        <v>0.14000000000000001</v>
      </c>
      <c r="W31" s="14">
        <v>0.13</v>
      </c>
      <c r="X31" s="14">
        <v>0.17</v>
      </c>
      <c r="Y31" s="14">
        <v>0.14000000000000001</v>
      </c>
      <c r="Z31" s="14">
        <v>0.08</v>
      </c>
      <c r="AA31" s="14">
        <v>7.0000000000000007E-2</v>
      </c>
      <c r="AB31" s="14">
        <v>0.1</v>
      </c>
      <c r="AC31" s="14">
        <v>0.09</v>
      </c>
      <c r="AD31" s="14">
        <v>0.09</v>
      </c>
      <c r="AE31" s="14">
        <v>0.1</v>
      </c>
      <c r="AF31" s="14">
        <v>0.24</v>
      </c>
    </row>
    <row r="32" spans="1:32" ht="57">
      <c r="A32" s="23"/>
      <c r="B32" s="11" t="s">
        <v>546</v>
      </c>
      <c r="C32" s="12">
        <v>4096</v>
      </c>
      <c r="D32" s="12">
        <v>125</v>
      </c>
      <c r="E32" s="12">
        <v>269</v>
      </c>
      <c r="F32" s="12">
        <v>236</v>
      </c>
      <c r="G32" s="12">
        <v>122</v>
      </c>
      <c r="H32" s="12">
        <v>171</v>
      </c>
      <c r="I32" s="12">
        <v>208</v>
      </c>
      <c r="J32" s="12">
        <v>38</v>
      </c>
      <c r="K32" s="12">
        <v>245</v>
      </c>
      <c r="L32" s="12">
        <v>233</v>
      </c>
      <c r="M32" s="12">
        <v>159</v>
      </c>
      <c r="N32" s="12">
        <v>152</v>
      </c>
      <c r="O32" s="12">
        <v>82</v>
      </c>
      <c r="P32" s="12">
        <v>261</v>
      </c>
      <c r="Q32" s="12">
        <v>166</v>
      </c>
      <c r="R32" s="12">
        <v>100</v>
      </c>
      <c r="S32" s="12">
        <v>161</v>
      </c>
      <c r="T32" s="12">
        <v>239</v>
      </c>
      <c r="U32" s="12">
        <v>108</v>
      </c>
      <c r="V32" s="12">
        <v>206</v>
      </c>
      <c r="W32" s="12">
        <v>109</v>
      </c>
      <c r="X32" s="12">
        <v>92</v>
      </c>
      <c r="Y32" s="12">
        <v>168</v>
      </c>
      <c r="Z32" s="12">
        <v>185</v>
      </c>
      <c r="AA32" s="12">
        <v>231</v>
      </c>
      <c r="AB32" s="12">
        <v>234</v>
      </c>
      <c r="AC32" s="12">
        <v>185</v>
      </c>
      <c r="AD32" s="12">
        <v>263</v>
      </c>
      <c r="AE32" s="12">
        <v>250</v>
      </c>
      <c r="AF32" s="12">
        <v>204</v>
      </c>
    </row>
    <row r="33" spans="1:32" ht="34.5">
      <c r="A33" s="23"/>
      <c r="B33" s="13" t="s">
        <v>547</v>
      </c>
      <c r="C33" s="14">
        <v>0.18</v>
      </c>
      <c r="D33" s="14">
        <v>0.14000000000000001</v>
      </c>
      <c r="E33" s="14">
        <v>0.4</v>
      </c>
      <c r="F33" s="14">
        <v>0.28999999999999998</v>
      </c>
      <c r="G33" s="14">
        <v>0.13</v>
      </c>
      <c r="H33" s="14">
        <v>0.15</v>
      </c>
      <c r="I33" s="14">
        <v>0.15</v>
      </c>
      <c r="J33" s="14">
        <v>0.14000000000000001</v>
      </c>
      <c r="K33" s="14">
        <v>0.32</v>
      </c>
      <c r="L33" s="14">
        <v>0.28000000000000003</v>
      </c>
      <c r="M33" s="14">
        <v>0.19</v>
      </c>
      <c r="N33" s="14">
        <v>0.18</v>
      </c>
      <c r="O33" s="14">
        <v>0.1</v>
      </c>
      <c r="P33" s="14">
        <v>0.35</v>
      </c>
      <c r="Q33" s="14">
        <v>0.19</v>
      </c>
      <c r="R33" s="14">
        <v>0.25</v>
      </c>
      <c r="S33" s="14">
        <v>0.2</v>
      </c>
      <c r="T33" s="14">
        <v>0.31</v>
      </c>
      <c r="U33" s="14">
        <v>0.24</v>
      </c>
      <c r="V33" s="14">
        <v>0.28000000000000003</v>
      </c>
      <c r="W33" s="14">
        <v>0.25</v>
      </c>
      <c r="X33" s="14">
        <v>0.09</v>
      </c>
      <c r="Y33" s="14">
        <v>0.18</v>
      </c>
      <c r="Z33" s="14">
        <v>0.23</v>
      </c>
      <c r="AA33" s="14">
        <v>0.26</v>
      </c>
      <c r="AB33" s="14">
        <v>0.28999999999999998</v>
      </c>
      <c r="AC33" s="14">
        <v>0.23</v>
      </c>
      <c r="AD33" s="14">
        <v>0.36</v>
      </c>
      <c r="AE33" s="14">
        <v>0.28000000000000003</v>
      </c>
      <c r="AF33" s="14">
        <v>0.2</v>
      </c>
    </row>
    <row r="34" spans="1:32" ht="45.75">
      <c r="A34" s="23"/>
      <c r="B34" s="11" t="s">
        <v>548</v>
      </c>
      <c r="C34" s="12">
        <v>61</v>
      </c>
      <c r="D34" s="12">
        <v>3</v>
      </c>
      <c r="E34" s="12">
        <v>2</v>
      </c>
      <c r="F34" s="12">
        <v>1</v>
      </c>
      <c r="G34" s="12">
        <v>2</v>
      </c>
      <c r="H34" s="12">
        <v>3</v>
      </c>
      <c r="I34" s="12">
        <v>4</v>
      </c>
      <c r="J34" s="12">
        <v>1</v>
      </c>
      <c r="K34" s="12">
        <v>6</v>
      </c>
      <c r="L34" s="12">
        <v>0</v>
      </c>
      <c r="M34" s="12">
        <v>2</v>
      </c>
      <c r="N34" s="12">
        <v>4</v>
      </c>
      <c r="O34" s="12">
        <v>2</v>
      </c>
      <c r="P34" s="12">
        <v>0</v>
      </c>
      <c r="Q34" s="12">
        <v>0</v>
      </c>
      <c r="R34" s="12">
        <v>3</v>
      </c>
      <c r="S34" s="12">
        <v>13</v>
      </c>
      <c r="T34" s="12">
        <v>4</v>
      </c>
      <c r="U34" s="12">
        <v>1</v>
      </c>
      <c r="V34" s="12">
        <v>5</v>
      </c>
      <c r="W34" s="12">
        <v>1</v>
      </c>
      <c r="X34" s="12">
        <v>2</v>
      </c>
      <c r="Y34" s="12">
        <v>6</v>
      </c>
      <c r="Z34" s="12">
        <v>5</v>
      </c>
      <c r="AA34" s="12">
        <v>2</v>
      </c>
      <c r="AB34" s="12">
        <v>0</v>
      </c>
      <c r="AC34" s="12">
        <v>3</v>
      </c>
      <c r="AD34" s="12">
        <v>1</v>
      </c>
      <c r="AE34" s="12">
        <v>3</v>
      </c>
      <c r="AF34" s="12">
        <v>0</v>
      </c>
    </row>
    <row r="35" spans="1:32" ht="34.5">
      <c r="A35" s="23"/>
      <c r="B35" s="13" t="s">
        <v>549</v>
      </c>
      <c r="C35" s="15" t="s">
        <v>485</v>
      </c>
      <c r="D35" s="15" t="s">
        <v>485</v>
      </c>
      <c r="E35" s="15" t="s">
        <v>485</v>
      </c>
      <c r="F35" s="15" t="s">
        <v>485</v>
      </c>
      <c r="G35" s="15" t="s">
        <v>485</v>
      </c>
      <c r="H35" s="15" t="s">
        <v>485</v>
      </c>
      <c r="I35" s="15" t="s">
        <v>485</v>
      </c>
      <c r="J35" s="15" t="s">
        <v>485</v>
      </c>
      <c r="K35" s="14">
        <v>0.01</v>
      </c>
      <c r="L35" s="15" t="s">
        <v>485</v>
      </c>
      <c r="M35" s="15" t="s">
        <v>485</v>
      </c>
      <c r="N35" s="15" t="s">
        <v>485</v>
      </c>
      <c r="O35" s="15" t="s">
        <v>485</v>
      </c>
      <c r="P35" s="15" t="s">
        <v>485</v>
      </c>
      <c r="Q35" s="15" t="s">
        <v>485</v>
      </c>
      <c r="R35" s="14">
        <v>0.01</v>
      </c>
      <c r="S35" s="14">
        <v>0.01</v>
      </c>
      <c r="T35" s="15" t="s">
        <v>485</v>
      </c>
      <c r="U35" s="15" t="s">
        <v>485</v>
      </c>
      <c r="V35" s="14">
        <v>0.01</v>
      </c>
      <c r="W35" s="15" t="s">
        <v>485</v>
      </c>
      <c r="X35" s="15" t="s">
        <v>485</v>
      </c>
      <c r="Y35" s="14">
        <v>0.01</v>
      </c>
      <c r="Z35" s="15" t="s">
        <v>485</v>
      </c>
      <c r="AA35" s="15" t="s">
        <v>485</v>
      </c>
      <c r="AB35" s="15" t="s">
        <v>485</v>
      </c>
      <c r="AC35" s="15" t="s">
        <v>485</v>
      </c>
      <c r="AD35" s="15" t="s">
        <v>485</v>
      </c>
      <c r="AE35" s="15" t="s">
        <v>485</v>
      </c>
      <c r="AF35" s="15" t="s">
        <v>485</v>
      </c>
    </row>
    <row r="36" spans="1:32">
      <c r="A36" s="23"/>
      <c r="B36" s="11" t="s">
        <v>550</v>
      </c>
      <c r="C36" s="12">
        <v>609</v>
      </c>
      <c r="D36" s="12">
        <v>28</v>
      </c>
      <c r="E36" s="12">
        <v>13</v>
      </c>
      <c r="F36" s="12">
        <v>13</v>
      </c>
      <c r="G36" s="12">
        <v>11</v>
      </c>
      <c r="H36" s="12">
        <v>26</v>
      </c>
      <c r="I36" s="12">
        <v>37</v>
      </c>
      <c r="J36" s="12">
        <v>11</v>
      </c>
      <c r="K36" s="12">
        <v>43</v>
      </c>
      <c r="L36" s="12">
        <v>15</v>
      </c>
      <c r="M36" s="12">
        <v>20</v>
      </c>
      <c r="N36" s="12">
        <v>36</v>
      </c>
      <c r="O36" s="12">
        <v>31</v>
      </c>
      <c r="P36" s="12">
        <v>1</v>
      </c>
      <c r="Q36" s="12">
        <v>18</v>
      </c>
      <c r="R36" s="12">
        <v>7</v>
      </c>
      <c r="S36" s="12">
        <v>72</v>
      </c>
      <c r="T36" s="12">
        <v>28</v>
      </c>
      <c r="U36" s="12">
        <v>12</v>
      </c>
      <c r="V36" s="12">
        <v>25</v>
      </c>
      <c r="W36" s="12">
        <v>5</v>
      </c>
      <c r="X36" s="12">
        <v>24</v>
      </c>
      <c r="Y36" s="12">
        <v>37</v>
      </c>
      <c r="Z36" s="12">
        <v>6</v>
      </c>
      <c r="AA36" s="12">
        <v>2</v>
      </c>
      <c r="AB36" s="12">
        <v>33</v>
      </c>
      <c r="AC36" s="12">
        <v>57</v>
      </c>
      <c r="AD36" s="12">
        <v>29</v>
      </c>
      <c r="AE36" s="12">
        <v>16</v>
      </c>
      <c r="AF36" s="12">
        <v>9</v>
      </c>
    </row>
    <row r="37" spans="1:32">
      <c r="A37" s="23"/>
      <c r="B37" s="13" t="s">
        <v>551</v>
      </c>
      <c r="C37" s="14">
        <v>0.02</v>
      </c>
      <c r="D37" s="14">
        <v>0.03</v>
      </c>
      <c r="E37" s="14">
        <v>0.01</v>
      </c>
      <c r="F37" s="14">
        <v>0.01</v>
      </c>
      <c r="G37" s="14">
        <v>0.01</v>
      </c>
      <c r="H37" s="14">
        <v>0.02</v>
      </c>
      <c r="I37" s="14">
        <v>0.03</v>
      </c>
      <c r="J37" s="14">
        <v>0.04</v>
      </c>
      <c r="K37" s="14">
        <v>0.05</v>
      </c>
      <c r="L37" s="14">
        <v>0.02</v>
      </c>
      <c r="M37" s="14">
        <v>0.02</v>
      </c>
      <c r="N37" s="14">
        <v>0.04</v>
      </c>
      <c r="O37" s="14">
        <v>0.03</v>
      </c>
      <c r="P37" s="15" t="s">
        <v>485</v>
      </c>
      <c r="Q37" s="14">
        <v>0.02</v>
      </c>
      <c r="R37" s="14">
        <v>0.02</v>
      </c>
      <c r="S37" s="14">
        <v>0.08</v>
      </c>
      <c r="T37" s="14">
        <v>0.03</v>
      </c>
      <c r="U37" s="14">
        <v>0.02</v>
      </c>
      <c r="V37" s="14">
        <v>0.03</v>
      </c>
      <c r="W37" s="14">
        <v>0.01</v>
      </c>
      <c r="X37" s="14">
        <v>0.02</v>
      </c>
      <c r="Y37" s="14">
        <v>0.04</v>
      </c>
      <c r="Z37" s="14">
        <v>0.01</v>
      </c>
      <c r="AA37" s="15" t="s">
        <v>485</v>
      </c>
      <c r="AB37" s="14">
        <v>0.03</v>
      </c>
      <c r="AC37" s="14">
        <v>0.06</v>
      </c>
      <c r="AD37" s="14">
        <v>0.03</v>
      </c>
      <c r="AE37" s="14">
        <v>0.02</v>
      </c>
      <c r="AF37" s="14">
        <v>0.01</v>
      </c>
    </row>
    <row r="38" spans="1:32">
      <c r="A38" s="23"/>
      <c r="B38" s="11" t="s">
        <v>497</v>
      </c>
      <c r="C38" s="12">
        <v>1009</v>
      </c>
      <c r="D38" s="12">
        <v>14</v>
      </c>
      <c r="E38" s="12">
        <v>56</v>
      </c>
      <c r="F38" s="12">
        <v>45</v>
      </c>
      <c r="G38" s="12">
        <v>17</v>
      </c>
      <c r="H38" s="12">
        <v>10</v>
      </c>
      <c r="I38" s="12">
        <v>23</v>
      </c>
      <c r="J38" s="12">
        <v>14</v>
      </c>
      <c r="K38" s="12">
        <v>65</v>
      </c>
      <c r="L38" s="12">
        <v>19</v>
      </c>
      <c r="M38" s="12">
        <v>34</v>
      </c>
      <c r="N38" s="12">
        <v>63</v>
      </c>
      <c r="O38" s="12">
        <v>95</v>
      </c>
      <c r="P38" s="12">
        <v>8</v>
      </c>
      <c r="Q38" s="12">
        <v>37</v>
      </c>
      <c r="R38" s="12">
        <v>26</v>
      </c>
      <c r="S38" s="12">
        <v>86</v>
      </c>
      <c r="T38" s="12">
        <v>20</v>
      </c>
      <c r="U38" s="12">
        <v>12</v>
      </c>
      <c r="V38" s="12">
        <v>37</v>
      </c>
      <c r="W38" s="12">
        <v>7</v>
      </c>
      <c r="X38" s="12">
        <v>10</v>
      </c>
      <c r="Y38" s="12">
        <v>16</v>
      </c>
      <c r="Z38" s="12">
        <v>12</v>
      </c>
      <c r="AA38" s="12">
        <v>30</v>
      </c>
      <c r="AB38" s="12">
        <v>20</v>
      </c>
      <c r="AC38" s="12">
        <v>20</v>
      </c>
      <c r="AD38" s="12">
        <v>24</v>
      </c>
      <c r="AE38" s="12">
        <v>34</v>
      </c>
      <c r="AF38" s="12">
        <v>25</v>
      </c>
    </row>
    <row r="39" spans="1:32">
      <c r="A39" s="23"/>
      <c r="B39" s="13" t="s">
        <v>498</v>
      </c>
      <c r="C39" s="14">
        <v>0.04</v>
      </c>
      <c r="D39" s="14">
        <v>0.01</v>
      </c>
      <c r="E39" s="14">
        <v>0.06</v>
      </c>
      <c r="F39" s="14">
        <v>0.05</v>
      </c>
      <c r="G39" s="14">
        <v>0.02</v>
      </c>
      <c r="H39" s="14">
        <v>0.01</v>
      </c>
      <c r="I39" s="14">
        <v>0.02</v>
      </c>
      <c r="J39" s="14">
        <v>0.05</v>
      </c>
      <c r="K39" s="14">
        <v>7.0000000000000007E-2</v>
      </c>
      <c r="L39" s="14">
        <v>0.02</v>
      </c>
      <c r="M39" s="14">
        <v>0.04</v>
      </c>
      <c r="N39" s="14">
        <v>7.0000000000000007E-2</v>
      </c>
      <c r="O39" s="14">
        <v>0.1</v>
      </c>
      <c r="P39" s="14">
        <v>0.01</v>
      </c>
      <c r="Q39" s="14">
        <v>0.04</v>
      </c>
      <c r="R39" s="14">
        <v>0.05</v>
      </c>
      <c r="S39" s="14">
        <v>0.09</v>
      </c>
      <c r="T39" s="14">
        <v>0.02</v>
      </c>
      <c r="U39" s="14">
        <v>0.02</v>
      </c>
      <c r="V39" s="14">
        <v>0.04</v>
      </c>
      <c r="W39" s="14">
        <v>0.01</v>
      </c>
      <c r="X39" s="14">
        <v>0.01</v>
      </c>
      <c r="Y39" s="14">
        <v>0.02</v>
      </c>
      <c r="Z39" s="14">
        <v>0.01</v>
      </c>
      <c r="AA39" s="14">
        <v>0.03</v>
      </c>
      <c r="AB39" s="14">
        <v>0.02</v>
      </c>
      <c r="AC39" s="14">
        <v>0.02</v>
      </c>
      <c r="AD39" s="14">
        <v>0.02</v>
      </c>
      <c r="AE39" s="14">
        <v>0.04</v>
      </c>
      <c r="AF39" s="14">
        <v>0.02</v>
      </c>
    </row>
  </sheetData>
  <mergeCells count="9">
    <mergeCell ref="B10:B11"/>
    <mergeCell ref="A10:A39"/>
    <mergeCell ref="H4:L4"/>
    <mergeCell ref="B4:F4"/>
    <mergeCell ref="H3:L3"/>
    <mergeCell ref="C8:AF8"/>
    <mergeCell ref="B3:F3"/>
    <mergeCell ref="B5:F5"/>
    <mergeCell ref="H5:L5"/>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F3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48" customHeight="1">
      <c r="B3" s="19" t="s">
        <v>25</v>
      </c>
      <c r="C3" s="19"/>
      <c r="D3" s="19"/>
      <c r="E3" s="19"/>
      <c r="F3" s="19"/>
      <c r="H3" s="19" t="s">
        <v>26</v>
      </c>
      <c r="I3" s="19"/>
      <c r="J3" s="19"/>
      <c r="K3" s="19"/>
      <c r="L3" s="19"/>
    </row>
    <row r="4" spans="1:32" ht="27" customHeight="1">
      <c r="B4" s="19"/>
      <c r="C4" s="19"/>
      <c r="D4" s="19"/>
      <c r="E4" s="19"/>
      <c r="F4" s="19"/>
      <c r="H4" s="19"/>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HYPERLINK("#Content!A14","&lt;&lt;Back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45.75">
      <c r="A12" s="23"/>
      <c r="B12" s="11" t="s">
        <v>526</v>
      </c>
      <c r="C12" s="12">
        <v>4146</v>
      </c>
      <c r="D12" s="12">
        <v>155</v>
      </c>
      <c r="E12" s="12">
        <v>181</v>
      </c>
      <c r="F12" s="12">
        <v>156</v>
      </c>
      <c r="G12" s="12">
        <v>70</v>
      </c>
      <c r="H12" s="12">
        <v>248</v>
      </c>
      <c r="I12" s="12">
        <v>289</v>
      </c>
      <c r="J12" s="12">
        <v>41</v>
      </c>
      <c r="K12" s="12">
        <v>99</v>
      </c>
      <c r="L12" s="12">
        <v>122</v>
      </c>
      <c r="M12" s="12">
        <v>170</v>
      </c>
      <c r="N12" s="12">
        <v>166</v>
      </c>
      <c r="O12" s="12">
        <v>122</v>
      </c>
      <c r="P12" s="12">
        <v>190</v>
      </c>
      <c r="Q12" s="12">
        <v>166</v>
      </c>
      <c r="R12" s="12">
        <v>98</v>
      </c>
      <c r="S12" s="12">
        <v>104</v>
      </c>
      <c r="T12" s="12">
        <v>130</v>
      </c>
      <c r="U12" s="12">
        <v>90</v>
      </c>
      <c r="V12" s="12">
        <v>183</v>
      </c>
      <c r="W12" s="12">
        <v>87</v>
      </c>
      <c r="X12" s="12">
        <v>75</v>
      </c>
      <c r="Y12" s="12">
        <v>184</v>
      </c>
      <c r="Z12" s="12">
        <v>186</v>
      </c>
      <c r="AA12" s="12">
        <v>140</v>
      </c>
      <c r="AB12" s="12">
        <v>213</v>
      </c>
      <c r="AC12" s="12">
        <v>161</v>
      </c>
      <c r="AD12" s="12">
        <v>171</v>
      </c>
      <c r="AE12" s="12">
        <v>94</v>
      </c>
      <c r="AF12" s="12">
        <v>65</v>
      </c>
    </row>
    <row r="13" spans="1:32" ht="34.5">
      <c r="A13" s="23"/>
      <c r="B13" s="13" t="s">
        <v>527</v>
      </c>
      <c r="C13" s="14">
        <v>0.16</v>
      </c>
      <c r="D13" s="14">
        <v>0.15</v>
      </c>
      <c r="E13" s="14">
        <v>0.17</v>
      </c>
      <c r="F13" s="14">
        <v>0.16</v>
      </c>
      <c r="G13" s="14">
        <v>7.0000000000000007E-2</v>
      </c>
      <c r="H13" s="14">
        <v>0.2</v>
      </c>
      <c r="I13" s="14">
        <v>0.19</v>
      </c>
      <c r="J13" s="14">
        <v>0.14000000000000001</v>
      </c>
      <c r="K13" s="14">
        <v>0.1</v>
      </c>
      <c r="L13" s="14">
        <v>0.12</v>
      </c>
      <c r="M13" s="14">
        <v>0.17</v>
      </c>
      <c r="N13" s="14">
        <v>0.17</v>
      </c>
      <c r="O13" s="14">
        <v>0.12</v>
      </c>
      <c r="P13" s="14">
        <v>0.19</v>
      </c>
      <c r="Q13" s="14">
        <v>0.16</v>
      </c>
      <c r="R13" s="14">
        <v>0.2</v>
      </c>
      <c r="S13" s="14">
        <v>0.1</v>
      </c>
      <c r="T13" s="14">
        <v>0.13</v>
      </c>
      <c r="U13" s="14">
        <v>0.18</v>
      </c>
      <c r="V13" s="14">
        <v>0.18</v>
      </c>
      <c r="W13" s="14">
        <v>0.17</v>
      </c>
      <c r="X13" s="14">
        <v>7.0000000000000007E-2</v>
      </c>
      <c r="Y13" s="14">
        <v>0.18</v>
      </c>
      <c r="Z13" s="14">
        <v>0.18</v>
      </c>
      <c r="AA13" s="14">
        <v>0.13</v>
      </c>
      <c r="AB13" s="14">
        <v>0.21</v>
      </c>
      <c r="AC13" s="14">
        <v>0.16</v>
      </c>
      <c r="AD13" s="14">
        <v>0.17</v>
      </c>
      <c r="AE13" s="14">
        <v>0.09</v>
      </c>
      <c r="AF13" s="14">
        <v>0.06</v>
      </c>
    </row>
    <row r="14" spans="1:32" ht="57">
      <c r="A14" s="23"/>
      <c r="B14" s="11" t="s">
        <v>528</v>
      </c>
      <c r="C14" s="12">
        <v>9213</v>
      </c>
      <c r="D14" s="12">
        <v>315</v>
      </c>
      <c r="E14" s="12">
        <v>299</v>
      </c>
      <c r="F14" s="12">
        <v>398</v>
      </c>
      <c r="G14" s="12">
        <v>411</v>
      </c>
      <c r="H14" s="12">
        <v>488</v>
      </c>
      <c r="I14" s="12">
        <v>624</v>
      </c>
      <c r="J14" s="12">
        <v>136</v>
      </c>
      <c r="K14" s="12">
        <v>337</v>
      </c>
      <c r="L14" s="12">
        <v>170</v>
      </c>
      <c r="M14" s="12">
        <v>461</v>
      </c>
      <c r="N14" s="12">
        <v>260</v>
      </c>
      <c r="O14" s="12">
        <v>310</v>
      </c>
      <c r="P14" s="12">
        <v>348</v>
      </c>
      <c r="Q14" s="12">
        <v>364</v>
      </c>
      <c r="R14" s="12">
        <v>200</v>
      </c>
      <c r="S14" s="12">
        <v>378</v>
      </c>
      <c r="T14" s="12">
        <v>416</v>
      </c>
      <c r="U14" s="12">
        <v>129</v>
      </c>
      <c r="V14" s="12">
        <v>264</v>
      </c>
      <c r="W14" s="12">
        <v>86</v>
      </c>
      <c r="X14" s="12">
        <v>511</v>
      </c>
      <c r="Y14" s="12">
        <v>340</v>
      </c>
      <c r="Z14" s="12">
        <v>359</v>
      </c>
      <c r="AA14" s="12">
        <v>234</v>
      </c>
      <c r="AB14" s="12">
        <v>259</v>
      </c>
      <c r="AC14" s="12">
        <v>317</v>
      </c>
      <c r="AD14" s="12">
        <v>320</v>
      </c>
      <c r="AE14" s="12">
        <v>455</v>
      </c>
      <c r="AF14" s="12">
        <v>572</v>
      </c>
    </row>
    <row r="15" spans="1:32" ht="34.5">
      <c r="A15" s="23"/>
      <c r="B15" s="13" t="s">
        <v>529</v>
      </c>
      <c r="C15" s="14">
        <v>0.35</v>
      </c>
      <c r="D15" s="14">
        <v>0.31</v>
      </c>
      <c r="E15" s="14">
        <v>0.28999999999999998</v>
      </c>
      <c r="F15" s="14">
        <v>0.4</v>
      </c>
      <c r="G15" s="14">
        <v>0.41</v>
      </c>
      <c r="H15" s="14">
        <v>0.4</v>
      </c>
      <c r="I15" s="14">
        <v>0.42</v>
      </c>
      <c r="J15" s="14">
        <v>0.46</v>
      </c>
      <c r="K15" s="14">
        <v>0.34</v>
      </c>
      <c r="L15" s="14">
        <v>0.17</v>
      </c>
      <c r="M15" s="14">
        <v>0.46</v>
      </c>
      <c r="N15" s="14">
        <v>0.26</v>
      </c>
      <c r="O15" s="14">
        <v>0.31</v>
      </c>
      <c r="P15" s="14">
        <v>0.34</v>
      </c>
      <c r="Q15" s="14">
        <v>0.36</v>
      </c>
      <c r="R15" s="14">
        <v>0.4</v>
      </c>
      <c r="S15" s="14">
        <v>0.38</v>
      </c>
      <c r="T15" s="14">
        <v>0.41</v>
      </c>
      <c r="U15" s="14">
        <v>0.26</v>
      </c>
      <c r="V15" s="14">
        <v>0.26</v>
      </c>
      <c r="W15" s="14">
        <v>0.17</v>
      </c>
      <c r="X15" s="14">
        <v>0.5</v>
      </c>
      <c r="Y15" s="14">
        <v>0.34</v>
      </c>
      <c r="Z15" s="14">
        <v>0.35</v>
      </c>
      <c r="AA15" s="14">
        <v>0.23</v>
      </c>
      <c r="AB15" s="14">
        <v>0.25</v>
      </c>
      <c r="AC15" s="14">
        <v>0.32</v>
      </c>
      <c r="AD15" s="14">
        <v>0.32</v>
      </c>
      <c r="AE15" s="14">
        <v>0.45</v>
      </c>
      <c r="AF15" s="14">
        <v>0.53</v>
      </c>
    </row>
    <row r="16" spans="1:32" ht="45.75">
      <c r="A16" s="23"/>
      <c r="B16" s="11" t="s">
        <v>530</v>
      </c>
      <c r="C16" s="12">
        <v>7321</v>
      </c>
      <c r="D16" s="12">
        <v>306</v>
      </c>
      <c r="E16" s="12">
        <v>240</v>
      </c>
      <c r="F16" s="12">
        <v>228</v>
      </c>
      <c r="G16" s="12">
        <v>345</v>
      </c>
      <c r="H16" s="12">
        <v>329</v>
      </c>
      <c r="I16" s="12">
        <v>400</v>
      </c>
      <c r="J16" s="12">
        <v>71</v>
      </c>
      <c r="K16" s="12">
        <v>266</v>
      </c>
      <c r="L16" s="12">
        <v>491</v>
      </c>
      <c r="M16" s="12">
        <v>277</v>
      </c>
      <c r="N16" s="12">
        <v>390</v>
      </c>
      <c r="O16" s="12">
        <v>175</v>
      </c>
      <c r="P16" s="12">
        <v>323</v>
      </c>
      <c r="Q16" s="12">
        <v>222</v>
      </c>
      <c r="R16" s="12">
        <v>158</v>
      </c>
      <c r="S16" s="12">
        <v>256</v>
      </c>
      <c r="T16" s="12">
        <v>458</v>
      </c>
      <c r="U16" s="12">
        <v>187</v>
      </c>
      <c r="V16" s="12">
        <v>335</v>
      </c>
      <c r="W16" s="12">
        <v>252</v>
      </c>
      <c r="X16" s="12">
        <v>472</v>
      </c>
      <c r="Y16" s="12">
        <v>340</v>
      </c>
      <c r="Z16" s="12">
        <v>248</v>
      </c>
      <c r="AA16" s="12">
        <v>478</v>
      </c>
      <c r="AB16" s="12">
        <v>230</v>
      </c>
      <c r="AC16" s="12">
        <v>413</v>
      </c>
      <c r="AD16" s="12">
        <v>320</v>
      </c>
      <c r="AE16" s="12">
        <v>260</v>
      </c>
      <c r="AF16" s="12">
        <v>295</v>
      </c>
    </row>
    <row r="17" spans="1:32" ht="34.5">
      <c r="A17" s="23"/>
      <c r="B17" s="13" t="s">
        <v>531</v>
      </c>
      <c r="C17" s="14">
        <v>0.28000000000000003</v>
      </c>
      <c r="D17" s="14">
        <v>0.3</v>
      </c>
      <c r="E17" s="14">
        <v>0.23</v>
      </c>
      <c r="F17" s="14">
        <v>0.23</v>
      </c>
      <c r="G17" s="14">
        <v>0.34</v>
      </c>
      <c r="H17" s="14">
        <v>0.27</v>
      </c>
      <c r="I17" s="14">
        <v>0.27</v>
      </c>
      <c r="J17" s="14">
        <v>0.24</v>
      </c>
      <c r="K17" s="14">
        <v>0.27</v>
      </c>
      <c r="L17" s="14">
        <v>0.49</v>
      </c>
      <c r="M17" s="14">
        <v>0.27</v>
      </c>
      <c r="N17" s="14">
        <v>0.39</v>
      </c>
      <c r="O17" s="14">
        <v>0.17</v>
      </c>
      <c r="P17" s="14">
        <v>0.32</v>
      </c>
      <c r="Q17" s="14">
        <v>0.22</v>
      </c>
      <c r="R17" s="14">
        <v>0.32</v>
      </c>
      <c r="S17" s="14">
        <v>0.25</v>
      </c>
      <c r="T17" s="14">
        <v>0.46</v>
      </c>
      <c r="U17" s="14">
        <v>0.37</v>
      </c>
      <c r="V17" s="14">
        <v>0.33</v>
      </c>
      <c r="W17" s="14">
        <v>0.5</v>
      </c>
      <c r="X17" s="14">
        <v>0.46</v>
      </c>
      <c r="Y17" s="14">
        <v>0.34</v>
      </c>
      <c r="Z17" s="14">
        <v>0.24</v>
      </c>
      <c r="AA17" s="14">
        <v>0.46</v>
      </c>
      <c r="AB17" s="14">
        <v>0.22</v>
      </c>
      <c r="AC17" s="14">
        <v>0.41</v>
      </c>
      <c r="AD17" s="14">
        <v>0.32</v>
      </c>
      <c r="AE17" s="14">
        <v>0.26</v>
      </c>
      <c r="AF17" s="14">
        <v>0.28000000000000003</v>
      </c>
    </row>
    <row r="18" spans="1:32" ht="57">
      <c r="A18" s="23"/>
      <c r="B18" s="11" t="s">
        <v>532</v>
      </c>
      <c r="C18" s="12">
        <v>9022</v>
      </c>
      <c r="D18" s="12">
        <v>418</v>
      </c>
      <c r="E18" s="12">
        <v>307</v>
      </c>
      <c r="F18" s="12">
        <v>290</v>
      </c>
      <c r="G18" s="12">
        <v>593</v>
      </c>
      <c r="H18" s="12">
        <v>536</v>
      </c>
      <c r="I18" s="12">
        <v>655</v>
      </c>
      <c r="J18" s="12">
        <v>120</v>
      </c>
      <c r="K18" s="12">
        <v>319</v>
      </c>
      <c r="L18" s="12">
        <v>216</v>
      </c>
      <c r="M18" s="12">
        <v>341</v>
      </c>
      <c r="N18" s="12">
        <v>263</v>
      </c>
      <c r="O18" s="12">
        <v>314</v>
      </c>
      <c r="P18" s="12">
        <v>225</v>
      </c>
      <c r="Q18" s="12">
        <v>301</v>
      </c>
      <c r="R18" s="12">
        <v>120</v>
      </c>
      <c r="S18" s="12">
        <v>272</v>
      </c>
      <c r="T18" s="12">
        <v>196</v>
      </c>
      <c r="U18" s="12">
        <v>167</v>
      </c>
      <c r="V18" s="12">
        <v>270</v>
      </c>
      <c r="W18" s="12">
        <v>150</v>
      </c>
      <c r="X18" s="12">
        <v>611</v>
      </c>
      <c r="Y18" s="12">
        <v>319</v>
      </c>
      <c r="Z18" s="12">
        <v>211</v>
      </c>
      <c r="AA18" s="12">
        <v>275</v>
      </c>
      <c r="AB18" s="12">
        <v>255</v>
      </c>
      <c r="AC18" s="12">
        <v>333</v>
      </c>
      <c r="AD18" s="12">
        <v>316</v>
      </c>
      <c r="AE18" s="12">
        <v>640</v>
      </c>
      <c r="AF18" s="12">
        <v>764</v>
      </c>
    </row>
    <row r="19" spans="1:32" ht="57">
      <c r="A19" s="23"/>
      <c r="B19" s="13" t="s">
        <v>533</v>
      </c>
      <c r="C19" s="14">
        <v>0.34</v>
      </c>
      <c r="D19" s="14">
        <v>0.42</v>
      </c>
      <c r="E19" s="14">
        <v>0.28999999999999998</v>
      </c>
      <c r="F19" s="14">
        <v>0.28999999999999998</v>
      </c>
      <c r="G19" s="14">
        <v>0.59</v>
      </c>
      <c r="H19" s="14">
        <v>0.44</v>
      </c>
      <c r="I19" s="14">
        <v>0.44</v>
      </c>
      <c r="J19" s="14">
        <v>0.41</v>
      </c>
      <c r="K19" s="14">
        <v>0.32</v>
      </c>
      <c r="L19" s="14">
        <v>0.21</v>
      </c>
      <c r="M19" s="14">
        <v>0.34</v>
      </c>
      <c r="N19" s="14">
        <v>0.26</v>
      </c>
      <c r="O19" s="14">
        <v>0.31</v>
      </c>
      <c r="P19" s="14">
        <v>0.22</v>
      </c>
      <c r="Q19" s="14">
        <v>0.28999999999999998</v>
      </c>
      <c r="R19" s="14">
        <v>0.24</v>
      </c>
      <c r="S19" s="14">
        <v>0.27</v>
      </c>
      <c r="T19" s="14">
        <v>0.2</v>
      </c>
      <c r="U19" s="14">
        <v>0.33</v>
      </c>
      <c r="V19" s="14">
        <v>0.27</v>
      </c>
      <c r="W19" s="14">
        <v>0.3</v>
      </c>
      <c r="X19" s="14">
        <v>0.6</v>
      </c>
      <c r="Y19" s="14">
        <v>0.32</v>
      </c>
      <c r="Z19" s="14">
        <v>0.21</v>
      </c>
      <c r="AA19" s="14">
        <v>0.26</v>
      </c>
      <c r="AB19" s="14">
        <v>0.25</v>
      </c>
      <c r="AC19" s="14">
        <v>0.33</v>
      </c>
      <c r="AD19" s="14">
        <v>0.31</v>
      </c>
      <c r="AE19" s="14">
        <v>0.63</v>
      </c>
      <c r="AF19" s="14">
        <v>0.71</v>
      </c>
    </row>
    <row r="20" spans="1:32" ht="68.25">
      <c r="A20" s="23"/>
      <c r="B20" s="11" t="s">
        <v>534</v>
      </c>
      <c r="C20" s="12">
        <v>4774</v>
      </c>
      <c r="D20" s="12">
        <v>222</v>
      </c>
      <c r="E20" s="12">
        <v>128</v>
      </c>
      <c r="F20" s="12">
        <v>114</v>
      </c>
      <c r="G20" s="12">
        <v>209</v>
      </c>
      <c r="H20" s="12">
        <v>263</v>
      </c>
      <c r="I20" s="12">
        <v>325</v>
      </c>
      <c r="J20" s="12">
        <v>62</v>
      </c>
      <c r="K20" s="12">
        <v>165</v>
      </c>
      <c r="L20" s="12">
        <v>125</v>
      </c>
      <c r="M20" s="12">
        <v>227</v>
      </c>
      <c r="N20" s="12">
        <v>156</v>
      </c>
      <c r="O20" s="12">
        <v>161</v>
      </c>
      <c r="P20" s="12">
        <v>164</v>
      </c>
      <c r="Q20" s="12">
        <v>202</v>
      </c>
      <c r="R20" s="12">
        <v>67</v>
      </c>
      <c r="S20" s="12">
        <v>117</v>
      </c>
      <c r="T20" s="12">
        <v>86</v>
      </c>
      <c r="U20" s="12">
        <v>75</v>
      </c>
      <c r="V20" s="12">
        <v>152</v>
      </c>
      <c r="W20" s="12">
        <v>71</v>
      </c>
      <c r="X20" s="12">
        <v>217</v>
      </c>
      <c r="Y20" s="12">
        <v>221</v>
      </c>
      <c r="Z20" s="12">
        <v>175</v>
      </c>
      <c r="AA20" s="12">
        <v>108</v>
      </c>
      <c r="AB20" s="12">
        <v>184</v>
      </c>
      <c r="AC20" s="12">
        <v>127</v>
      </c>
      <c r="AD20" s="12">
        <v>156</v>
      </c>
      <c r="AE20" s="12">
        <v>258</v>
      </c>
      <c r="AF20" s="12">
        <v>189</v>
      </c>
    </row>
    <row r="21" spans="1:32" ht="57">
      <c r="A21" s="23"/>
      <c r="B21" s="13" t="s">
        <v>535</v>
      </c>
      <c r="C21" s="14">
        <v>0.18</v>
      </c>
      <c r="D21" s="14">
        <v>0.22</v>
      </c>
      <c r="E21" s="14">
        <v>0.12</v>
      </c>
      <c r="F21" s="14">
        <v>0.11</v>
      </c>
      <c r="G21" s="14">
        <v>0.21</v>
      </c>
      <c r="H21" s="14">
        <v>0.22</v>
      </c>
      <c r="I21" s="14">
        <v>0.22</v>
      </c>
      <c r="J21" s="14">
        <v>0.21</v>
      </c>
      <c r="K21" s="14">
        <v>0.16</v>
      </c>
      <c r="L21" s="14">
        <v>0.12</v>
      </c>
      <c r="M21" s="14">
        <v>0.22</v>
      </c>
      <c r="N21" s="14">
        <v>0.16</v>
      </c>
      <c r="O21" s="14">
        <v>0.16</v>
      </c>
      <c r="P21" s="14">
        <v>0.16</v>
      </c>
      <c r="Q21" s="14">
        <v>0.2</v>
      </c>
      <c r="R21" s="14">
        <v>0.13</v>
      </c>
      <c r="S21" s="14">
        <v>0.12</v>
      </c>
      <c r="T21" s="14">
        <v>0.09</v>
      </c>
      <c r="U21" s="14">
        <v>0.15</v>
      </c>
      <c r="V21" s="14">
        <v>0.15</v>
      </c>
      <c r="W21" s="14">
        <v>0.14000000000000001</v>
      </c>
      <c r="X21" s="14">
        <v>0.21</v>
      </c>
      <c r="Y21" s="14">
        <v>0.22</v>
      </c>
      <c r="Z21" s="14">
        <v>0.17</v>
      </c>
      <c r="AA21" s="14">
        <v>0.1</v>
      </c>
      <c r="AB21" s="14">
        <v>0.18</v>
      </c>
      <c r="AC21" s="14">
        <v>0.13</v>
      </c>
      <c r="AD21" s="14">
        <v>0.16</v>
      </c>
      <c r="AE21" s="14">
        <v>0.26</v>
      </c>
      <c r="AF21" s="14">
        <v>0.18</v>
      </c>
    </row>
    <row r="22" spans="1:32" ht="57">
      <c r="A22" s="23"/>
      <c r="B22" s="11" t="s">
        <v>536</v>
      </c>
      <c r="C22" s="12">
        <v>3482</v>
      </c>
      <c r="D22" s="12">
        <v>124</v>
      </c>
      <c r="E22" s="12">
        <v>74</v>
      </c>
      <c r="F22" s="12">
        <v>97</v>
      </c>
      <c r="G22" s="12">
        <v>77</v>
      </c>
      <c r="H22" s="12">
        <v>193</v>
      </c>
      <c r="I22" s="12">
        <v>221</v>
      </c>
      <c r="J22" s="12">
        <v>28</v>
      </c>
      <c r="K22" s="12">
        <v>69</v>
      </c>
      <c r="L22" s="12">
        <v>96</v>
      </c>
      <c r="M22" s="12">
        <v>126</v>
      </c>
      <c r="N22" s="12">
        <v>101</v>
      </c>
      <c r="O22" s="12">
        <v>162</v>
      </c>
      <c r="P22" s="12">
        <v>144</v>
      </c>
      <c r="Q22" s="12">
        <v>155</v>
      </c>
      <c r="R22" s="12">
        <v>51</v>
      </c>
      <c r="S22" s="12">
        <v>44</v>
      </c>
      <c r="T22" s="12">
        <v>60</v>
      </c>
      <c r="U22" s="12">
        <v>75</v>
      </c>
      <c r="V22" s="12">
        <v>142</v>
      </c>
      <c r="W22" s="12">
        <v>91</v>
      </c>
      <c r="X22" s="12">
        <v>51</v>
      </c>
      <c r="Y22" s="12">
        <v>177</v>
      </c>
      <c r="Z22" s="12">
        <v>158</v>
      </c>
      <c r="AA22" s="12">
        <v>103</v>
      </c>
      <c r="AB22" s="12">
        <v>179</v>
      </c>
      <c r="AC22" s="12">
        <v>75</v>
      </c>
      <c r="AD22" s="12">
        <v>84</v>
      </c>
      <c r="AE22" s="12">
        <v>32</v>
      </c>
      <c r="AF22" s="12">
        <v>109</v>
      </c>
    </row>
    <row r="23" spans="1:32" ht="45.75">
      <c r="A23" s="23"/>
      <c r="B23" s="13" t="s">
        <v>537</v>
      </c>
      <c r="C23" s="14">
        <v>0.13</v>
      </c>
      <c r="D23" s="14">
        <v>0.12</v>
      </c>
      <c r="E23" s="14">
        <v>7.0000000000000007E-2</v>
      </c>
      <c r="F23" s="14">
        <v>0.1</v>
      </c>
      <c r="G23" s="14">
        <v>0.08</v>
      </c>
      <c r="H23" s="14">
        <v>0.16</v>
      </c>
      <c r="I23" s="14">
        <v>0.15</v>
      </c>
      <c r="J23" s="14">
        <v>0.1</v>
      </c>
      <c r="K23" s="14">
        <v>7.0000000000000007E-2</v>
      </c>
      <c r="L23" s="14">
        <v>0.1</v>
      </c>
      <c r="M23" s="14">
        <v>0.12</v>
      </c>
      <c r="N23" s="14">
        <v>0.1</v>
      </c>
      <c r="O23" s="14">
        <v>0.16</v>
      </c>
      <c r="P23" s="14">
        <v>0.14000000000000001</v>
      </c>
      <c r="Q23" s="14">
        <v>0.15</v>
      </c>
      <c r="R23" s="14">
        <v>0.1</v>
      </c>
      <c r="S23" s="14">
        <v>0.04</v>
      </c>
      <c r="T23" s="14">
        <v>0.06</v>
      </c>
      <c r="U23" s="14">
        <v>0.15</v>
      </c>
      <c r="V23" s="14">
        <v>0.14000000000000001</v>
      </c>
      <c r="W23" s="14">
        <v>0.18</v>
      </c>
      <c r="X23" s="14">
        <v>0.05</v>
      </c>
      <c r="Y23" s="14">
        <v>0.18</v>
      </c>
      <c r="Z23" s="14">
        <v>0.16</v>
      </c>
      <c r="AA23" s="14">
        <v>0.1</v>
      </c>
      <c r="AB23" s="14">
        <v>0.17</v>
      </c>
      <c r="AC23" s="14">
        <v>7.0000000000000007E-2</v>
      </c>
      <c r="AD23" s="14">
        <v>0.08</v>
      </c>
      <c r="AE23" s="14">
        <v>0.03</v>
      </c>
      <c r="AF23" s="14">
        <v>0.1</v>
      </c>
    </row>
    <row r="24" spans="1:32" ht="57">
      <c r="A24" s="23"/>
      <c r="B24" s="11" t="s">
        <v>538</v>
      </c>
      <c r="C24" s="12">
        <v>6226</v>
      </c>
      <c r="D24" s="12">
        <v>213</v>
      </c>
      <c r="E24" s="12">
        <v>166</v>
      </c>
      <c r="F24" s="12">
        <v>255</v>
      </c>
      <c r="G24" s="12">
        <v>351</v>
      </c>
      <c r="H24" s="12">
        <v>228</v>
      </c>
      <c r="I24" s="12">
        <v>277</v>
      </c>
      <c r="J24" s="12">
        <v>49</v>
      </c>
      <c r="K24" s="12">
        <v>182</v>
      </c>
      <c r="L24" s="12">
        <v>257</v>
      </c>
      <c r="M24" s="12">
        <v>336</v>
      </c>
      <c r="N24" s="12">
        <v>170</v>
      </c>
      <c r="O24" s="12">
        <v>343</v>
      </c>
      <c r="P24" s="12">
        <v>209</v>
      </c>
      <c r="Q24" s="12">
        <v>331</v>
      </c>
      <c r="R24" s="12">
        <v>119</v>
      </c>
      <c r="S24" s="12">
        <v>114</v>
      </c>
      <c r="T24" s="12">
        <v>189</v>
      </c>
      <c r="U24" s="12">
        <v>135</v>
      </c>
      <c r="V24" s="12">
        <v>159</v>
      </c>
      <c r="W24" s="12">
        <v>145</v>
      </c>
      <c r="X24" s="12">
        <v>105</v>
      </c>
      <c r="Y24" s="12">
        <v>287</v>
      </c>
      <c r="Z24" s="12">
        <v>180</v>
      </c>
      <c r="AA24" s="12">
        <v>383</v>
      </c>
      <c r="AB24" s="12">
        <v>239</v>
      </c>
      <c r="AC24" s="12">
        <v>120</v>
      </c>
      <c r="AD24" s="12">
        <v>185</v>
      </c>
      <c r="AE24" s="12">
        <v>163</v>
      </c>
      <c r="AF24" s="12">
        <v>167</v>
      </c>
    </row>
    <row r="25" spans="1:32" ht="34.5">
      <c r="A25" s="23"/>
      <c r="B25" s="13" t="s">
        <v>539</v>
      </c>
      <c r="C25" s="14">
        <v>0.24</v>
      </c>
      <c r="D25" s="14">
        <v>0.21</v>
      </c>
      <c r="E25" s="14">
        <v>0.16</v>
      </c>
      <c r="F25" s="14">
        <v>0.25</v>
      </c>
      <c r="G25" s="14">
        <v>0.35</v>
      </c>
      <c r="H25" s="14">
        <v>0.19</v>
      </c>
      <c r="I25" s="14">
        <v>0.18</v>
      </c>
      <c r="J25" s="14">
        <v>0.17</v>
      </c>
      <c r="K25" s="14">
        <v>0.18</v>
      </c>
      <c r="L25" s="14">
        <v>0.26</v>
      </c>
      <c r="M25" s="14">
        <v>0.33</v>
      </c>
      <c r="N25" s="14">
        <v>0.17</v>
      </c>
      <c r="O25" s="14">
        <v>0.34</v>
      </c>
      <c r="P25" s="14">
        <v>0.21</v>
      </c>
      <c r="Q25" s="14">
        <v>0.32</v>
      </c>
      <c r="R25" s="14">
        <v>0.24</v>
      </c>
      <c r="S25" s="14">
        <v>0.11</v>
      </c>
      <c r="T25" s="14">
        <v>0.19</v>
      </c>
      <c r="U25" s="14">
        <v>0.27</v>
      </c>
      <c r="V25" s="14">
        <v>0.16</v>
      </c>
      <c r="W25" s="14">
        <v>0.28999999999999998</v>
      </c>
      <c r="X25" s="14">
        <v>0.1</v>
      </c>
      <c r="Y25" s="14">
        <v>0.28999999999999998</v>
      </c>
      <c r="Z25" s="14">
        <v>0.18</v>
      </c>
      <c r="AA25" s="14">
        <v>0.37</v>
      </c>
      <c r="AB25" s="14">
        <v>0.23</v>
      </c>
      <c r="AC25" s="14">
        <v>0.12</v>
      </c>
      <c r="AD25" s="14">
        <v>0.18</v>
      </c>
      <c r="AE25" s="14">
        <v>0.16</v>
      </c>
      <c r="AF25" s="14">
        <v>0.16</v>
      </c>
    </row>
    <row r="26" spans="1:32" ht="34.5">
      <c r="A26" s="23"/>
      <c r="B26" s="11" t="s">
        <v>540</v>
      </c>
      <c r="C26" s="12">
        <v>4710</v>
      </c>
      <c r="D26" s="12">
        <v>126</v>
      </c>
      <c r="E26" s="12">
        <v>244</v>
      </c>
      <c r="F26" s="12">
        <v>197</v>
      </c>
      <c r="G26" s="12">
        <v>113</v>
      </c>
      <c r="H26" s="12">
        <v>182</v>
      </c>
      <c r="I26" s="12">
        <v>227</v>
      </c>
      <c r="J26" s="12">
        <v>45</v>
      </c>
      <c r="K26" s="12">
        <v>278</v>
      </c>
      <c r="L26" s="12">
        <v>385</v>
      </c>
      <c r="M26" s="12">
        <v>192</v>
      </c>
      <c r="N26" s="12">
        <v>240</v>
      </c>
      <c r="O26" s="12">
        <v>95</v>
      </c>
      <c r="P26" s="12">
        <v>305</v>
      </c>
      <c r="Q26" s="12">
        <v>144</v>
      </c>
      <c r="R26" s="12">
        <v>115</v>
      </c>
      <c r="S26" s="12">
        <v>221</v>
      </c>
      <c r="T26" s="12">
        <v>386</v>
      </c>
      <c r="U26" s="12">
        <v>93</v>
      </c>
      <c r="V26" s="12">
        <v>255</v>
      </c>
      <c r="W26" s="12">
        <v>132</v>
      </c>
      <c r="X26" s="12">
        <v>159</v>
      </c>
      <c r="Y26" s="12">
        <v>208</v>
      </c>
      <c r="Z26" s="12">
        <v>286</v>
      </c>
      <c r="AA26" s="12">
        <v>243</v>
      </c>
      <c r="AB26" s="12">
        <v>276</v>
      </c>
      <c r="AC26" s="12">
        <v>249</v>
      </c>
      <c r="AD26" s="12">
        <v>261</v>
      </c>
      <c r="AE26" s="12">
        <v>81</v>
      </c>
      <c r="AF26" s="12">
        <v>46</v>
      </c>
    </row>
    <row r="27" spans="1:32" ht="34.5">
      <c r="A27" s="23"/>
      <c r="B27" s="13" t="s">
        <v>541</v>
      </c>
      <c r="C27" s="14">
        <v>0.18</v>
      </c>
      <c r="D27" s="14">
        <v>0.12</v>
      </c>
      <c r="E27" s="14">
        <v>0.23</v>
      </c>
      <c r="F27" s="14">
        <v>0.2</v>
      </c>
      <c r="G27" s="14">
        <v>0.11</v>
      </c>
      <c r="H27" s="14">
        <v>0.15</v>
      </c>
      <c r="I27" s="14">
        <v>0.15</v>
      </c>
      <c r="J27" s="14">
        <v>0.16</v>
      </c>
      <c r="K27" s="14">
        <v>0.28000000000000003</v>
      </c>
      <c r="L27" s="14">
        <v>0.38</v>
      </c>
      <c r="M27" s="14">
        <v>0.19</v>
      </c>
      <c r="N27" s="14">
        <v>0.24</v>
      </c>
      <c r="O27" s="14">
        <v>0.09</v>
      </c>
      <c r="P27" s="14">
        <v>0.3</v>
      </c>
      <c r="Q27" s="14">
        <v>0.14000000000000001</v>
      </c>
      <c r="R27" s="14">
        <v>0.23</v>
      </c>
      <c r="S27" s="14">
        <v>0.22</v>
      </c>
      <c r="T27" s="14">
        <v>0.38</v>
      </c>
      <c r="U27" s="14">
        <v>0.18</v>
      </c>
      <c r="V27" s="14">
        <v>0.25</v>
      </c>
      <c r="W27" s="14">
        <v>0.26</v>
      </c>
      <c r="X27" s="14">
        <v>0.16</v>
      </c>
      <c r="Y27" s="14">
        <v>0.21</v>
      </c>
      <c r="Z27" s="14">
        <v>0.28000000000000003</v>
      </c>
      <c r="AA27" s="14">
        <v>0.23</v>
      </c>
      <c r="AB27" s="14">
        <v>0.27</v>
      </c>
      <c r="AC27" s="14">
        <v>0.25</v>
      </c>
      <c r="AD27" s="14">
        <v>0.26</v>
      </c>
      <c r="AE27" s="14">
        <v>0.08</v>
      </c>
      <c r="AF27" s="14">
        <v>0.04</v>
      </c>
    </row>
    <row r="28" spans="1:32" ht="34.5">
      <c r="A28" s="23"/>
      <c r="B28" s="11" t="s">
        <v>542</v>
      </c>
      <c r="C28" s="12">
        <v>3646</v>
      </c>
      <c r="D28" s="12">
        <v>189</v>
      </c>
      <c r="E28" s="12">
        <v>123</v>
      </c>
      <c r="F28" s="12">
        <v>126</v>
      </c>
      <c r="G28" s="12">
        <v>143</v>
      </c>
      <c r="H28" s="12">
        <v>191</v>
      </c>
      <c r="I28" s="12">
        <v>238</v>
      </c>
      <c r="J28" s="12">
        <v>47</v>
      </c>
      <c r="K28" s="12">
        <v>70</v>
      </c>
      <c r="L28" s="12">
        <v>94</v>
      </c>
      <c r="M28" s="12">
        <v>92</v>
      </c>
      <c r="N28" s="12">
        <v>104</v>
      </c>
      <c r="O28" s="12">
        <v>177</v>
      </c>
      <c r="P28" s="12">
        <v>109</v>
      </c>
      <c r="Q28" s="12">
        <v>156</v>
      </c>
      <c r="R28" s="12">
        <v>31</v>
      </c>
      <c r="S28" s="12">
        <v>75</v>
      </c>
      <c r="T28" s="12">
        <v>60</v>
      </c>
      <c r="U28" s="12">
        <v>51</v>
      </c>
      <c r="V28" s="12">
        <v>112</v>
      </c>
      <c r="W28" s="12">
        <v>55</v>
      </c>
      <c r="X28" s="12">
        <v>143</v>
      </c>
      <c r="Y28" s="12">
        <v>165</v>
      </c>
      <c r="Z28" s="12">
        <v>100</v>
      </c>
      <c r="AA28" s="12">
        <v>101</v>
      </c>
      <c r="AB28" s="12">
        <v>166</v>
      </c>
      <c r="AC28" s="12">
        <v>56</v>
      </c>
      <c r="AD28" s="12">
        <v>87</v>
      </c>
      <c r="AE28" s="12">
        <v>81</v>
      </c>
      <c r="AF28" s="12">
        <v>139</v>
      </c>
    </row>
    <row r="29" spans="1:32" ht="34.5">
      <c r="A29" s="23"/>
      <c r="B29" s="13" t="s">
        <v>543</v>
      </c>
      <c r="C29" s="14">
        <v>0.14000000000000001</v>
      </c>
      <c r="D29" s="14">
        <v>0.19</v>
      </c>
      <c r="E29" s="14">
        <v>0.12</v>
      </c>
      <c r="F29" s="14">
        <v>0.13</v>
      </c>
      <c r="G29" s="14">
        <v>0.14000000000000001</v>
      </c>
      <c r="H29" s="14">
        <v>0.16</v>
      </c>
      <c r="I29" s="14">
        <v>0.16</v>
      </c>
      <c r="J29" s="14">
        <v>0.16</v>
      </c>
      <c r="K29" s="14">
        <v>7.0000000000000007E-2</v>
      </c>
      <c r="L29" s="14">
        <v>0.09</v>
      </c>
      <c r="M29" s="14">
        <v>0.09</v>
      </c>
      <c r="N29" s="14">
        <v>0.1</v>
      </c>
      <c r="O29" s="14">
        <v>0.18</v>
      </c>
      <c r="P29" s="14">
        <v>0.11</v>
      </c>
      <c r="Q29" s="14">
        <v>0.15</v>
      </c>
      <c r="R29" s="14">
        <v>0.06</v>
      </c>
      <c r="S29" s="14">
        <v>7.0000000000000007E-2</v>
      </c>
      <c r="T29" s="14">
        <v>0.06</v>
      </c>
      <c r="U29" s="14">
        <v>0.1</v>
      </c>
      <c r="V29" s="14">
        <v>0.11</v>
      </c>
      <c r="W29" s="14">
        <v>0.11</v>
      </c>
      <c r="X29" s="14">
        <v>0.14000000000000001</v>
      </c>
      <c r="Y29" s="14">
        <v>0.16</v>
      </c>
      <c r="Z29" s="14">
        <v>0.1</v>
      </c>
      <c r="AA29" s="14">
        <v>0.1</v>
      </c>
      <c r="AB29" s="14">
        <v>0.16</v>
      </c>
      <c r="AC29" s="14">
        <v>0.06</v>
      </c>
      <c r="AD29" s="14">
        <v>0.09</v>
      </c>
      <c r="AE29" s="14">
        <v>0.08</v>
      </c>
      <c r="AF29" s="14">
        <v>0.13</v>
      </c>
    </row>
    <row r="30" spans="1:32" ht="45.75">
      <c r="A30" s="23"/>
      <c r="B30" s="11" t="s">
        <v>544</v>
      </c>
      <c r="C30" s="12">
        <v>4048</v>
      </c>
      <c r="D30" s="12">
        <v>233</v>
      </c>
      <c r="E30" s="12">
        <v>90</v>
      </c>
      <c r="F30" s="12">
        <v>110</v>
      </c>
      <c r="G30" s="12">
        <v>198</v>
      </c>
      <c r="H30" s="12">
        <v>191</v>
      </c>
      <c r="I30" s="12">
        <v>226</v>
      </c>
      <c r="J30" s="12">
        <v>35</v>
      </c>
      <c r="K30" s="12">
        <v>66</v>
      </c>
      <c r="L30" s="12">
        <v>138</v>
      </c>
      <c r="M30" s="12">
        <v>111</v>
      </c>
      <c r="N30" s="12">
        <v>123</v>
      </c>
      <c r="O30" s="12">
        <v>162</v>
      </c>
      <c r="P30" s="12">
        <v>118</v>
      </c>
      <c r="Q30" s="12">
        <v>201</v>
      </c>
      <c r="R30" s="12">
        <v>75</v>
      </c>
      <c r="S30" s="12">
        <v>48</v>
      </c>
      <c r="T30" s="12">
        <v>55</v>
      </c>
      <c r="U30" s="12">
        <v>57</v>
      </c>
      <c r="V30" s="12">
        <v>169</v>
      </c>
      <c r="W30" s="12">
        <v>80</v>
      </c>
      <c r="X30" s="12">
        <v>213</v>
      </c>
      <c r="Y30" s="12">
        <v>198</v>
      </c>
      <c r="Z30" s="12">
        <v>119</v>
      </c>
      <c r="AA30" s="12">
        <v>89</v>
      </c>
      <c r="AB30" s="12">
        <v>130</v>
      </c>
      <c r="AC30" s="12">
        <v>116</v>
      </c>
      <c r="AD30" s="12">
        <v>128</v>
      </c>
      <c r="AE30" s="12">
        <v>122</v>
      </c>
      <c r="AF30" s="12">
        <v>295</v>
      </c>
    </row>
    <row r="31" spans="1:32" ht="34.5">
      <c r="A31" s="23"/>
      <c r="B31" s="13" t="s">
        <v>545</v>
      </c>
      <c r="C31" s="14">
        <v>0.15</v>
      </c>
      <c r="D31" s="14">
        <v>0.23</v>
      </c>
      <c r="E31" s="14">
        <v>0.09</v>
      </c>
      <c r="F31" s="14">
        <v>0.11</v>
      </c>
      <c r="G31" s="14">
        <v>0.2</v>
      </c>
      <c r="H31" s="14">
        <v>0.16</v>
      </c>
      <c r="I31" s="14">
        <v>0.15</v>
      </c>
      <c r="J31" s="14">
        <v>0.12</v>
      </c>
      <c r="K31" s="14">
        <v>7.0000000000000007E-2</v>
      </c>
      <c r="L31" s="14">
        <v>0.14000000000000001</v>
      </c>
      <c r="M31" s="14">
        <v>0.11</v>
      </c>
      <c r="N31" s="14">
        <v>0.12</v>
      </c>
      <c r="O31" s="14">
        <v>0.16</v>
      </c>
      <c r="P31" s="14">
        <v>0.12</v>
      </c>
      <c r="Q31" s="14">
        <v>0.2</v>
      </c>
      <c r="R31" s="14">
        <v>0.15</v>
      </c>
      <c r="S31" s="14">
        <v>0.05</v>
      </c>
      <c r="T31" s="14">
        <v>0.06</v>
      </c>
      <c r="U31" s="14">
        <v>0.11</v>
      </c>
      <c r="V31" s="14">
        <v>0.17</v>
      </c>
      <c r="W31" s="14">
        <v>0.16</v>
      </c>
      <c r="X31" s="14">
        <v>0.21</v>
      </c>
      <c r="Y31" s="14">
        <v>0.2</v>
      </c>
      <c r="Z31" s="14">
        <v>0.12</v>
      </c>
      <c r="AA31" s="14">
        <v>0.09</v>
      </c>
      <c r="AB31" s="14">
        <v>0.13</v>
      </c>
      <c r="AC31" s="14">
        <v>0.12</v>
      </c>
      <c r="AD31" s="14">
        <v>0.13</v>
      </c>
      <c r="AE31" s="14">
        <v>0.12</v>
      </c>
      <c r="AF31" s="14">
        <v>0.27</v>
      </c>
    </row>
    <row r="32" spans="1:32" ht="57">
      <c r="A32" s="23"/>
      <c r="B32" s="11" t="s">
        <v>546</v>
      </c>
      <c r="C32" s="12">
        <v>6841</v>
      </c>
      <c r="D32" s="12">
        <v>192</v>
      </c>
      <c r="E32" s="12">
        <v>568</v>
      </c>
      <c r="F32" s="12">
        <v>390</v>
      </c>
      <c r="G32" s="12">
        <v>151</v>
      </c>
      <c r="H32" s="12">
        <v>249</v>
      </c>
      <c r="I32" s="12">
        <v>304</v>
      </c>
      <c r="J32" s="12">
        <v>55</v>
      </c>
      <c r="K32" s="12">
        <v>432</v>
      </c>
      <c r="L32" s="12">
        <v>382</v>
      </c>
      <c r="M32" s="12">
        <v>274</v>
      </c>
      <c r="N32" s="12">
        <v>272</v>
      </c>
      <c r="O32" s="12">
        <v>136</v>
      </c>
      <c r="P32" s="12">
        <v>514</v>
      </c>
      <c r="Q32" s="12">
        <v>269</v>
      </c>
      <c r="R32" s="12">
        <v>164</v>
      </c>
      <c r="S32" s="12">
        <v>302</v>
      </c>
      <c r="T32" s="12">
        <v>426</v>
      </c>
      <c r="U32" s="12">
        <v>157</v>
      </c>
      <c r="V32" s="12">
        <v>421</v>
      </c>
      <c r="W32" s="12">
        <v>162</v>
      </c>
      <c r="X32" s="12">
        <v>106</v>
      </c>
      <c r="Y32" s="12">
        <v>243</v>
      </c>
      <c r="Z32" s="12">
        <v>376</v>
      </c>
      <c r="AA32" s="12">
        <v>344</v>
      </c>
      <c r="AB32" s="12">
        <v>432</v>
      </c>
      <c r="AC32" s="12">
        <v>342</v>
      </c>
      <c r="AD32" s="12">
        <v>514</v>
      </c>
      <c r="AE32" s="12">
        <v>337</v>
      </c>
      <c r="AF32" s="12">
        <v>246</v>
      </c>
    </row>
    <row r="33" spans="1:32" ht="34.5">
      <c r="A33" s="23"/>
      <c r="B33" s="13" t="s">
        <v>547</v>
      </c>
      <c r="C33" s="14">
        <v>0.26</v>
      </c>
      <c r="D33" s="14">
        <v>0.19</v>
      </c>
      <c r="E33" s="14">
        <v>0.54</v>
      </c>
      <c r="F33" s="14">
        <v>0.39</v>
      </c>
      <c r="G33" s="14">
        <v>0.15</v>
      </c>
      <c r="H33" s="14">
        <v>0.21</v>
      </c>
      <c r="I33" s="14">
        <v>0.2</v>
      </c>
      <c r="J33" s="14">
        <v>0.19</v>
      </c>
      <c r="K33" s="14">
        <v>0.43</v>
      </c>
      <c r="L33" s="14">
        <v>0.38</v>
      </c>
      <c r="M33" s="14">
        <v>0.27</v>
      </c>
      <c r="N33" s="14">
        <v>0.27</v>
      </c>
      <c r="O33" s="14">
        <v>0.14000000000000001</v>
      </c>
      <c r="P33" s="14">
        <v>0.51</v>
      </c>
      <c r="Q33" s="14">
        <v>0.26</v>
      </c>
      <c r="R33" s="14">
        <v>0.33</v>
      </c>
      <c r="S33" s="14">
        <v>0.3</v>
      </c>
      <c r="T33" s="14">
        <v>0.42</v>
      </c>
      <c r="U33" s="14">
        <v>0.31</v>
      </c>
      <c r="V33" s="14">
        <v>0.42</v>
      </c>
      <c r="W33" s="14">
        <v>0.32</v>
      </c>
      <c r="X33" s="14">
        <v>0.1</v>
      </c>
      <c r="Y33" s="14">
        <v>0.24</v>
      </c>
      <c r="Z33" s="14">
        <v>0.37</v>
      </c>
      <c r="AA33" s="14">
        <v>0.33</v>
      </c>
      <c r="AB33" s="14">
        <v>0.42</v>
      </c>
      <c r="AC33" s="14">
        <v>0.34</v>
      </c>
      <c r="AD33" s="14">
        <v>0.51</v>
      </c>
      <c r="AE33" s="14">
        <v>0.33</v>
      </c>
      <c r="AF33" s="14">
        <v>0.23</v>
      </c>
    </row>
    <row r="34" spans="1:32" ht="45.75">
      <c r="A34" s="23"/>
      <c r="B34" s="11" t="s">
        <v>548</v>
      </c>
      <c r="C34" s="12">
        <v>210</v>
      </c>
      <c r="D34" s="12">
        <v>4</v>
      </c>
      <c r="E34" s="12">
        <v>10</v>
      </c>
      <c r="F34" s="12">
        <v>9</v>
      </c>
      <c r="G34" s="12">
        <v>3</v>
      </c>
      <c r="H34" s="12">
        <v>9</v>
      </c>
      <c r="I34" s="12">
        <v>12</v>
      </c>
      <c r="J34" s="12">
        <v>3</v>
      </c>
      <c r="K34" s="12">
        <v>31</v>
      </c>
      <c r="L34" s="12">
        <v>1</v>
      </c>
      <c r="M34" s="12">
        <v>2</v>
      </c>
      <c r="N34" s="12">
        <v>7</v>
      </c>
      <c r="O34" s="12">
        <v>9</v>
      </c>
      <c r="P34" s="12">
        <v>0</v>
      </c>
      <c r="Q34" s="12">
        <v>10</v>
      </c>
      <c r="R34" s="12">
        <v>3</v>
      </c>
      <c r="S34" s="12">
        <v>27</v>
      </c>
      <c r="T34" s="12">
        <v>10</v>
      </c>
      <c r="U34" s="12">
        <v>2</v>
      </c>
      <c r="V34" s="12">
        <v>7</v>
      </c>
      <c r="W34" s="12">
        <v>3</v>
      </c>
      <c r="X34" s="12">
        <v>5</v>
      </c>
      <c r="Y34" s="12">
        <v>30</v>
      </c>
      <c r="Z34" s="12">
        <v>11</v>
      </c>
      <c r="AA34" s="12">
        <v>16</v>
      </c>
      <c r="AB34" s="12">
        <v>0</v>
      </c>
      <c r="AC34" s="12">
        <v>6</v>
      </c>
      <c r="AD34" s="12">
        <v>2</v>
      </c>
      <c r="AE34" s="12">
        <v>3</v>
      </c>
      <c r="AF34" s="12">
        <v>0</v>
      </c>
    </row>
    <row r="35" spans="1:32" ht="34.5">
      <c r="A35" s="23"/>
      <c r="B35" s="13" t="s">
        <v>549</v>
      </c>
      <c r="C35" s="14">
        <v>0.01</v>
      </c>
      <c r="D35" s="15" t="s">
        <v>485</v>
      </c>
      <c r="E35" s="14">
        <v>0.01</v>
      </c>
      <c r="F35" s="14">
        <v>0.01</v>
      </c>
      <c r="G35" s="15" t="s">
        <v>485</v>
      </c>
      <c r="H35" s="14">
        <v>0.01</v>
      </c>
      <c r="I35" s="14">
        <v>0.01</v>
      </c>
      <c r="J35" s="14">
        <v>0.01</v>
      </c>
      <c r="K35" s="14">
        <v>0.03</v>
      </c>
      <c r="L35" s="15" t="s">
        <v>485</v>
      </c>
      <c r="M35" s="15" t="s">
        <v>485</v>
      </c>
      <c r="N35" s="14">
        <v>0.01</v>
      </c>
      <c r="O35" s="14">
        <v>0.01</v>
      </c>
      <c r="P35" s="15" t="s">
        <v>485</v>
      </c>
      <c r="Q35" s="14">
        <v>0.01</v>
      </c>
      <c r="R35" s="14">
        <v>0.01</v>
      </c>
      <c r="S35" s="14">
        <v>0.03</v>
      </c>
      <c r="T35" s="14">
        <v>0.01</v>
      </c>
      <c r="U35" s="15" t="s">
        <v>485</v>
      </c>
      <c r="V35" s="14">
        <v>0.01</v>
      </c>
      <c r="W35" s="14">
        <v>0.01</v>
      </c>
      <c r="X35" s="15" t="s">
        <v>485</v>
      </c>
      <c r="Y35" s="14">
        <v>0.03</v>
      </c>
      <c r="Z35" s="14">
        <v>0.01</v>
      </c>
      <c r="AA35" s="14">
        <v>0.02</v>
      </c>
      <c r="AB35" s="15" t="s">
        <v>485</v>
      </c>
      <c r="AC35" s="14">
        <v>0.01</v>
      </c>
      <c r="AD35" s="15" t="s">
        <v>485</v>
      </c>
      <c r="AE35" s="15" t="s">
        <v>485</v>
      </c>
      <c r="AF35" s="15" t="s">
        <v>485</v>
      </c>
    </row>
    <row r="36" spans="1:32">
      <c r="A36" s="23"/>
      <c r="B36" s="11" t="s">
        <v>550</v>
      </c>
      <c r="C36" s="12">
        <v>799</v>
      </c>
      <c r="D36" s="12">
        <v>31</v>
      </c>
      <c r="E36" s="12">
        <v>27</v>
      </c>
      <c r="F36" s="12">
        <v>29</v>
      </c>
      <c r="G36" s="12">
        <v>13</v>
      </c>
      <c r="H36" s="12">
        <v>34</v>
      </c>
      <c r="I36" s="12">
        <v>49</v>
      </c>
      <c r="J36" s="12">
        <v>15</v>
      </c>
      <c r="K36" s="12">
        <v>65</v>
      </c>
      <c r="L36" s="12">
        <v>17</v>
      </c>
      <c r="M36" s="12">
        <v>27</v>
      </c>
      <c r="N36" s="12">
        <v>52</v>
      </c>
      <c r="O36" s="12">
        <v>37</v>
      </c>
      <c r="P36" s="12">
        <v>4</v>
      </c>
      <c r="Q36" s="12">
        <v>24</v>
      </c>
      <c r="R36" s="12">
        <v>12</v>
      </c>
      <c r="S36" s="12">
        <v>93</v>
      </c>
      <c r="T36" s="12">
        <v>34</v>
      </c>
      <c r="U36" s="12">
        <v>14</v>
      </c>
      <c r="V36" s="12">
        <v>32</v>
      </c>
      <c r="W36" s="12">
        <v>6</v>
      </c>
      <c r="X36" s="12">
        <v>26</v>
      </c>
      <c r="Y36" s="12">
        <v>48</v>
      </c>
      <c r="Z36" s="12">
        <v>7</v>
      </c>
      <c r="AA36" s="12">
        <v>3</v>
      </c>
      <c r="AB36" s="12">
        <v>38</v>
      </c>
      <c r="AC36" s="12">
        <v>70</v>
      </c>
      <c r="AD36" s="12">
        <v>36</v>
      </c>
      <c r="AE36" s="12">
        <v>24</v>
      </c>
      <c r="AF36" s="12">
        <v>11</v>
      </c>
    </row>
    <row r="37" spans="1:32">
      <c r="A37" s="23"/>
      <c r="B37" s="13" t="s">
        <v>551</v>
      </c>
      <c r="C37" s="14">
        <v>0.03</v>
      </c>
      <c r="D37" s="14">
        <v>0.03</v>
      </c>
      <c r="E37" s="14">
        <v>0.03</v>
      </c>
      <c r="F37" s="14">
        <v>0.03</v>
      </c>
      <c r="G37" s="14">
        <v>0.01</v>
      </c>
      <c r="H37" s="14">
        <v>0.03</v>
      </c>
      <c r="I37" s="14">
        <v>0.03</v>
      </c>
      <c r="J37" s="14">
        <v>0.05</v>
      </c>
      <c r="K37" s="14">
        <v>0.06</v>
      </c>
      <c r="L37" s="14">
        <v>0.02</v>
      </c>
      <c r="M37" s="14">
        <v>0.03</v>
      </c>
      <c r="N37" s="14">
        <v>0.05</v>
      </c>
      <c r="O37" s="14">
        <v>0.04</v>
      </c>
      <c r="P37" s="15" t="s">
        <v>485</v>
      </c>
      <c r="Q37" s="14">
        <v>0.02</v>
      </c>
      <c r="R37" s="14">
        <v>0.02</v>
      </c>
      <c r="S37" s="14">
        <v>0.09</v>
      </c>
      <c r="T37" s="14">
        <v>0.03</v>
      </c>
      <c r="U37" s="14">
        <v>0.03</v>
      </c>
      <c r="V37" s="14">
        <v>0.03</v>
      </c>
      <c r="W37" s="14">
        <v>0.01</v>
      </c>
      <c r="X37" s="14">
        <v>0.03</v>
      </c>
      <c r="Y37" s="14">
        <v>0.05</v>
      </c>
      <c r="Z37" s="14">
        <v>0.01</v>
      </c>
      <c r="AA37" s="15" t="s">
        <v>485</v>
      </c>
      <c r="AB37" s="14">
        <v>0.04</v>
      </c>
      <c r="AC37" s="14">
        <v>7.0000000000000007E-2</v>
      </c>
      <c r="AD37" s="14">
        <v>0.04</v>
      </c>
      <c r="AE37" s="14">
        <v>0.02</v>
      </c>
      <c r="AF37" s="14">
        <v>0.01</v>
      </c>
    </row>
    <row r="38" spans="1:32">
      <c r="A38" s="23"/>
      <c r="B38" s="11" t="s">
        <v>497</v>
      </c>
      <c r="C38" s="12">
        <v>1134</v>
      </c>
      <c r="D38" s="12">
        <v>19</v>
      </c>
      <c r="E38" s="12">
        <v>82</v>
      </c>
      <c r="F38" s="12">
        <v>43</v>
      </c>
      <c r="G38" s="12">
        <v>14</v>
      </c>
      <c r="H38" s="12">
        <v>18</v>
      </c>
      <c r="I38" s="12">
        <v>30</v>
      </c>
      <c r="J38" s="12">
        <v>12</v>
      </c>
      <c r="K38" s="12">
        <v>46</v>
      </c>
      <c r="L38" s="12">
        <v>39</v>
      </c>
      <c r="M38" s="12">
        <v>44</v>
      </c>
      <c r="N38" s="12">
        <v>56</v>
      </c>
      <c r="O38" s="12">
        <v>99</v>
      </c>
      <c r="P38" s="12">
        <v>23</v>
      </c>
      <c r="Q38" s="12">
        <v>43</v>
      </c>
      <c r="R38" s="12">
        <v>31</v>
      </c>
      <c r="S38" s="12">
        <v>75</v>
      </c>
      <c r="T38" s="12">
        <v>38</v>
      </c>
      <c r="U38" s="12">
        <v>7</v>
      </c>
      <c r="V38" s="12">
        <v>55</v>
      </c>
      <c r="W38" s="12">
        <v>10</v>
      </c>
      <c r="X38" s="12">
        <v>20</v>
      </c>
      <c r="Y38" s="12">
        <v>17</v>
      </c>
      <c r="Z38" s="12">
        <v>24</v>
      </c>
      <c r="AA38" s="12">
        <v>46</v>
      </c>
      <c r="AB38" s="12">
        <v>33</v>
      </c>
      <c r="AC38" s="12">
        <v>36</v>
      </c>
      <c r="AD38" s="12">
        <v>16</v>
      </c>
      <c r="AE38" s="12">
        <v>34</v>
      </c>
      <c r="AF38" s="12">
        <v>13</v>
      </c>
    </row>
    <row r="39" spans="1:32">
      <c r="A39" s="23"/>
      <c r="B39" s="13" t="s">
        <v>498</v>
      </c>
      <c r="C39" s="14">
        <v>0.04</v>
      </c>
      <c r="D39" s="14">
        <v>0.02</v>
      </c>
      <c r="E39" s="14">
        <v>0.08</v>
      </c>
      <c r="F39" s="14">
        <v>0.04</v>
      </c>
      <c r="G39" s="14">
        <v>0.01</v>
      </c>
      <c r="H39" s="14">
        <v>0.02</v>
      </c>
      <c r="I39" s="14">
        <v>0.02</v>
      </c>
      <c r="J39" s="14">
        <v>0.04</v>
      </c>
      <c r="K39" s="14">
        <v>0.05</v>
      </c>
      <c r="L39" s="14">
        <v>0.04</v>
      </c>
      <c r="M39" s="14">
        <v>0.04</v>
      </c>
      <c r="N39" s="14">
        <v>0.06</v>
      </c>
      <c r="O39" s="14">
        <v>0.1</v>
      </c>
      <c r="P39" s="14">
        <v>0.02</v>
      </c>
      <c r="Q39" s="14">
        <v>0.04</v>
      </c>
      <c r="R39" s="14">
        <v>0.06</v>
      </c>
      <c r="S39" s="14">
        <v>7.0000000000000007E-2</v>
      </c>
      <c r="T39" s="14">
        <v>0.04</v>
      </c>
      <c r="U39" s="14">
        <v>0.01</v>
      </c>
      <c r="V39" s="14">
        <v>0.05</v>
      </c>
      <c r="W39" s="14">
        <v>0.02</v>
      </c>
      <c r="X39" s="14">
        <v>0.02</v>
      </c>
      <c r="Y39" s="14">
        <v>0.02</v>
      </c>
      <c r="Z39" s="14">
        <v>0.02</v>
      </c>
      <c r="AA39" s="14">
        <v>0.04</v>
      </c>
      <c r="AB39" s="14">
        <v>0.03</v>
      </c>
      <c r="AC39" s="14">
        <v>0.04</v>
      </c>
      <c r="AD39" s="14">
        <v>0.02</v>
      </c>
      <c r="AE39" s="14">
        <v>0.03</v>
      </c>
      <c r="AF39" s="14">
        <v>0.01</v>
      </c>
    </row>
  </sheetData>
  <mergeCells count="9">
    <mergeCell ref="B10:B11"/>
    <mergeCell ref="A10:A39"/>
    <mergeCell ref="H4:L4"/>
    <mergeCell ref="B4:F4"/>
    <mergeCell ref="H3:L3"/>
    <mergeCell ref="C8:AF8"/>
    <mergeCell ref="B3:F3"/>
    <mergeCell ref="B5:F5"/>
    <mergeCell ref="H5:L5"/>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31"/>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36" customHeight="1">
      <c r="B3" s="19" t="s">
        <v>27</v>
      </c>
      <c r="C3" s="19"/>
      <c r="D3" s="19"/>
      <c r="E3" s="19"/>
      <c r="F3" s="19"/>
      <c r="H3" s="19" t="s">
        <v>28</v>
      </c>
      <c r="I3" s="19"/>
      <c r="J3" s="19"/>
      <c r="K3" s="19"/>
      <c r="L3" s="19"/>
    </row>
    <row r="4" spans="1:32" ht="27" customHeight="1">
      <c r="B4" s="19"/>
      <c r="C4" s="19"/>
      <c r="D4" s="19"/>
      <c r="E4" s="19"/>
      <c r="F4" s="19"/>
      <c r="H4" s="19"/>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HYPERLINK("#Content!A15","&lt;&lt;Back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45.75">
      <c r="A12" s="23"/>
      <c r="B12" s="11" t="s">
        <v>554</v>
      </c>
      <c r="C12" s="12">
        <v>2937</v>
      </c>
      <c r="D12" s="12">
        <v>117</v>
      </c>
      <c r="E12" s="12">
        <v>78</v>
      </c>
      <c r="F12" s="12">
        <v>97</v>
      </c>
      <c r="G12" s="12">
        <v>132</v>
      </c>
      <c r="H12" s="12">
        <v>163</v>
      </c>
      <c r="I12" s="12">
        <v>185</v>
      </c>
      <c r="J12" s="12">
        <v>22</v>
      </c>
      <c r="K12" s="12">
        <v>49</v>
      </c>
      <c r="L12" s="12">
        <v>118</v>
      </c>
      <c r="M12" s="12">
        <v>103</v>
      </c>
      <c r="N12" s="12">
        <v>88</v>
      </c>
      <c r="O12" s="12">
        <v>122</v>
      </c>
      <c r="P12" s="12">
        <v>112</v>
      </c>
      <c r="Q12" s="12">
        <v>121</v>
      </c>
      <c r="R12" s="12">
        <v>62</v>
      </c>
      <c r="S12" s="12">
        <v>61</v>
      </c>
      <c r="T12" s="12">
        <v>47</v>
      </c>
      <c r="U12" s="12">
        <v>76</v>
      </c>
      <c r="V12" s="12">
        <v>66</v>
      </c>
      <c r="W12" s="12">
        <v>61</v>
      </c>
      <c r="X12" s="12">
        <v>132</v>
      </c>
      <c r="Y12" s="12">
        <v>116</v>
      </c>
      <c r="Z12" s="12">
        <v>128</v>
      </c>
      <c r="AA12" s="12">
        <v>75</v>
      </c>
      <c r="AB12" s="12">
        <v>93</v>
      </c>
      <c r="AC12" s="12">
        <v>93</v>
      </c>
      <c r="AD12" s="12">
        <v>112</v>
      </c>
      <c r="AE12" s="12">
        <v>89</v>
      </c>
      <c r="AF12" s="12">
        <v>147</v>
      </c>
    </row>
    <row r="13" spans="1:32" ht="34.5">
      <c r="A13" s="23"/>
      <c r="B13" s="13" t="s">
        <v>555</v>
      </c>
      <c r="C13" s="14">
        <v>0.11</v>
      </c>
      <c r="D13" s="14">
        <v>0.12</v>
      </c>
      <c r="E13" s="14">
        <v>7.0000000000000007E-2</v>
      </c>
      <c r="F13" s="14">
        <v>0.1</v>
      </c>
      <c r="G13" s="14">
        <v>0.13</v>
      </c>
      <c r="H13" s="14">
        <v>0.14000000000000001</v>
      </c>
      <c r="I13" s="14">
        <v>0.12</v>
      </c>
      <c r="J13" s="14">
        <v>0.08</v>
      </c>
      <c r="K13" s="14">
        <v>0.05</v>
      </c>
      <c r="L13" s="14">
        <v>0.12</v>
      </c>
      <c r="M13" s="14">
        <v>0.1</v>
      </c>
      <c r="N13" s="14">
        <v>0.09</v>
      </c>
      <c r="O13" s="14">
        <v>0.12</v>
      </c>
      <c r="P13" s="14">
        <v>0.11</v>
      </c>
      <c r="Q13" s="14">
        <v>0.12</v>
      </c>
      <c r="R13" s="14">
        <v>0.12</v>
      </c>
      <c r="S13" s="14">
        <v>0.06</v>
      </c>
      <c r="T13" s="14">
        <v>0.05</v>
      </c>
      <c r="U13" s="14">
        <v>0.15</v>
      </c>
      <c r="V13" s="14">
        <v>0.06</v>
      </c>
      <c r="W13" s="14">
        <v>0.12</v>
      </c>
      <c r="X13" s="14">
        <v>0.13</v>
      </c>
      <c r="Y13" s="14">
        <v>0.12</v>
      </c>
      <c r="Z13" s="14">
        <v>0.13</v>
      </c>
      <c r="AA13" s="14">
        <v>7.0000000000000007E-2</v>
      </c>
      <c r="AB13" s="14">
        <v>0.09</v>
      </c>
      <c r="AC13" s="14">
        <v>0.09</v>
      </c>
      <c r="AD13" s="14">
        <v>0.11</v>
      </c>
      <c r="AE13" s="14">
        <v>0.09</v>
      </c>
      <c r="AF13" s="14">
        <v>0.14000000000000001</v>
      </c>
    </row>
    <row r="14" spans="1:32" ht="57">
      <c r="A14" s="23"/>
      <c r="B14" s="11" t="s">
        <v>556</v>
      </c>
      <c r="C14" s="12">
        <v>3578</v>
      </c>
      <c r="D14" s="12">
        <v>104</v>
      </c>
      <c r="E14" s="12">
        <v>152</v>
      </c>
      <c r="F14" s="12">
        <v>72</v>
      </c>
      <c r="G14" s="12">
        <v>60</v>
      </c>
      <c r="H14" s="12">
        <v>256</v>
      </c>
      <c r="I14" s="12">
        <v>300</v>
      </c>
      <c r="J14" s="12">
        <v>45</v>
      </c>
      <c r="K14" s="12">
        <v>72</v>
      </c>
      <c r="L14" s="12">
        <v>100</v>
      </c>
      <c r="M14" s="12">
        <v>111</v>
      </c>
      <c r="N14" s="12">
        <v>101</v>
      </c>
      <c r="O14" s="12">
        <v>88</v>
      </c>
      <c r="P14" s="12">
        <v>123</v>
      </c>
      <c r="Q14" s="12">
        <v>223</v>
      </c>
      <c r="R14" s="12">
        <v>31</v>
      </c>
      <c r="S14" s="12">
        <v>42</v>
      </c>
      <c r="T14" s="12">
        <v>54</v>
      </c>
      <c r="U14" s="12">
        <v>67</v>
      </c>
      <c r="V14" s="12">
        <v>110</v>
      </c>
      <c r="W14" s="12">
        <v>40</v>
      </c>
      <c r="X14" s="12">
        <v>137</v>
      </c>
      <c r="Y14" s="12">
        <v>121</v>
      </c>
      <c r="Z14" s="12">
        <v>127</v>
      </c>
      <c r="AA14" s="12">
        <v>64</v>
      </c>
      <c r="AB14" s="12">
        <v>121</v>
      </c>
      <c r="AC14" s="12">
        <v>66</v>
      </c>
      <c r="AD14" s="12">
        <v>82</v>
      </c>
      <c r="AE14" s="12">
        <v>100</v>
      </c>
      <c r="AF14" s="12">
        <v>112</v>
      </c>
    </row>
    <row r="15" spans="1:32" ht="57">
      <c r="A15" s="23"/>
      <c r="B15" s="13" t="s">
        <v>557</v>
      </c>
      <c r="C15" s="14">
        <v>0.14000000000000001</v>
      </c>
      <c r="D15" s="14">
        <v>0.1</v>
      </c>
      <c r="E15" s="14">
        <v>0.14000000000000001</v>
      </c>
      <c r="F15" s="14">
        <v>7.0000000000000007E-2</v>
      </c>
      <c r="G15" s="14">
        <v>0.06</v>
      </c>
      <c r="H15" s="14">
        <v>0.21</v>
      </c>
      <c r="I15" s="14">
        <v>0.2</v>
      </c>
      <c r="J15" s="14">
        <v>0.15</v>
      </c>
      <c r="K15" s="14">
        <v>7.0000000000000007E-2</v>
      </c>
      <c r="L15" s="14">
        <v>0.1</v>
      </c>
      <c r="M15" s="14">
        <v>0.11</v>
      </c>
      <c r="N15" s="14">
        <v>0.1</v>
      </c>
      <c r="O15" s="14">
        <v>0.09</v>
      </c>
      <c r="P15" s="14">
        <v>0.12</v>
      </c>
      <c r="Q15" s="14">
        <v>0.22</v>
      </c>
      <c r="R15" s="14">
        <v>0.06</v>
      </c>
      <c r="S15" s="14">
        <v>0.04</v>
      </c>
      <c r="T15" s="14">
        <v>0.05</v>
      </c>
      <c r="U15" s="14">
        <v>0.13</v>
      </c>
      <c r="V15" s="14">
        <v>0.11</v>
      </c>
      <c r="W15" s="14">
        <v>0.08</v>
      </c>
      <c r="X15" s="14">
        <v>0.13</v>
      </c>
      <c r="Y15" s="14">
        <v>0.12</v>
      </c>
      <c r="Z15" s="14">
        <v>0.12</v>
      </c>
      <c r="AA15" s="14">
        <v>0.06</v>
      </c>
      <c r="AB15" s="14">
        <v>0.12</v>
      </c>
      <c r="AC15" s="14">
        <v>7.0000000000000007E-2</v>
      </c>
      <c r="AD15" s="14">
        <v>0.08</v>
      </c>
      <c r="AE15" s="14">
        <v>0.1</v>
      </c>
      <c r="AF15" s="14">
        <v>0.1</v>
      </c>
    </row>
    <row r="16" spans="1:32" ht="45.75">
      <c r="A16" s="23"/>
      <c r="B16" s="11" t="s">
        <v>558</v>
      </c>
      <c r="C16" s="12">
        <v>3670</v>
      </c>
      <c r="D16" s="12">
        <v>125</v>
      </c>
      <c r="E16" s="12">
        <v>132</v>
      </c>
      <c r="F16" s="12">
        <v>135</v>
      </c>
      <c r="G16" s="12">
        <v>136</v>
      </c>
      <c r="H16" s="12">
        <v>162</v>
      </c>
      <c r="I16" s="12">
        <v>201</v>
      </c>
      <c r="J16" s="12">
        <v>40</v>
      </c>
      <c r="K16" s="12">
        <v>150</v>
      </c>
      <c r="L16" s="12">
        <v>181</v>
      </c>
      <c r="M16" s="12">
        <v>95</v>
      </c>
      <c r="N16" s="12">
        <v>192</v>
      </c>
      <c r="O16" s="12">
        <v>143</v>
      </c>
      <c r="P16" s="12">
        <v>145</v>
      </c>
      <c r="Q16" s="12">
        <v>113</v>
      </c>
      <c r="R16" s="12">
        <v>56</v>
      </c>
      <c r="S16" s="12">
        <v>158</v>
      </c>
      <c r="T16" s="12">
        <v>75</v>
      </c>
      <c r="U16" s="12">
        <v>86</v>
      </c>
      <c r="V16" s="12">
        <v>172</v>
      </c>
      <c r="W16" s="12">
        <v>74</v>
      </c>
      <c r="X16" s="12">
        <v>154</v>
      </c>
      <c r="Y16" s="12">
        <v>125</v>
      </c>
      <c r="Z16" s="12">
        <v>145</v>
      </c>
      <c r="AA16" s="12">
        <v>126</v>
      </c>
      <c r="AB16" s="12">
        <v>117</v>
      </c>
      <c r="AC16" s="12">
        <v>128</v>
      </c>
      <c r="AD16" s="12">
        <v>135</v>
      </c>
      <c r="AE16" s="12">
        <v>199</v>
      </c>
      <c r="AF16" s="12">
        <v>155</v>
      </c>
    </row>
    <row r="17" spans="1:32" ht="34.5">
      <c r="A17" s="23"/>
      <c r="B17" s="13" t="s">
        <v>559</v>
      </c>
      <c r="C17" s="14">
        <v>0.14000000000000001</v>
      </c>
      <c r="D17" s="14">
        <v>0.12</v>
      </c>
      <c r="E17" s="14">
        <v>0.13</v>
      </c>
      <c r="F17" s="14">
        <v>0.13</v>
      </c>
      <c r="G17" s="14">
        <v>0.14000000000000001</v>
      </c>
      <c r="H17" s="14">
        <v>0.13</v>
      </c>
      <c r="I17" s="14">
        <v>0.13</v>
      </c>
      <c r="J17" s="14">
        <v>0.13</v>
      </c>
      <c r="K17" s="14">
        <v>0.15</v>
      </c>
      <c r="L17" s="14">
        <v>0.18</v>
      </c>
      <c r="M17" s="14">
        <v>0.1</v>
      </c>
      <c r="N17" s="14">
        <v>0.19</v>
      </c>
      <c r="O17" s="14">
        <v>0.14000000000000001</v>
      </c>
      <c r="P17" s="14">
        <v>0.14000000000000001</v>
      </c>
      <c r="Q17" s="14">
        <v>0.11</v>
      </c>
      <c r="R17" s="14">
        <v>0.11</v>
      </c>
      <c r="S17" s="14">
        <v>0.16</v>
      </c>
      <c r="T17" s="14">
        <v>7.0000000000000007E-2</v>
      </c>
      <c r="U17" s="14">
        <v>0.17</v>
      </c>
      <c r="V17" s="14">
        <v>0.17</v>
      </c>
      <c r="W17" s="14">
        <v>0.15</v>
      </c>
      <c r="X17" s="14">
        <v>0.15</v>
      </c>
      <c r="Y17" s="14">
        <v>0.12</v>
      </c>
      <c r="Z17" s="14">
        <v>0.14000000000000001</v>
      </c>
      <c r="AA17" s="14">
        <v>0.12</v>
      </c>
      <c r="AB17" s="14">
        <v>0.12</v>
      </c>
      <c r="AC17" s="14">
        <v>0.13</v>
      </c>
      <c r="AD17" s="14">
        <v>0.14000000000000001</v>
      </c>
      <c r="AE17" s="14">
        <v>0.2</v>
      </c>
      <c r="AF17" s="14">
        <v>0.14000000000000001</v>
      </c>
    </row>
    <row r="18" spans="1:32" ht="45.75">
      <c r="A18" s="23"/>
      <c r="B18" s="11" t="s">
        <v>560</v>
      </c>
      <c r="C18" s="12">
        <v>2802</v>
      </c>
      <c r="D18" s="12">
        <v>97</v>
      </c>
      <c r="E18" s="12">
        <v>163</v>
      </c>
      <c r="F18" s="12">
        <v>153</v>
      </c>
      <c r="G18" s="12">
        <v>98</v>
      </c>
      <c r="H18" s="12">
        <v>125</v>
      </c>
      <c r="I18" s="12">
        <v>148</v>
      </c>
      <c r="J18" s="12">
        <v>23</v>
      </c>
      <c r="K18" s="12">
        <v>130</v>
      </c>
      <c r="L18" s="12">
        <v>144</v>
      </c>
      <c r="M18" s="12">
        <v>114</v>
      </c>
      <c r="N18" s="12">
        <v>77</v>
      </c>
      <c r="O18" s="12">
        <v>133</v>
      </c>
      <c r="P18" s="12">
        <v>118</v>
      </c>
      <c r="Q18" s="12">
        <v>85</v>
      </c>
      <c r="R18" s="12">
        <v>106</v>
      </c>
      <c r="S18" s="12">
        <v>199</v>
      </c>
      <c r="T18" s="12">
        <v>239</v>
      </c>
      <c r="U18" s="12">
        <v>60</v>
      </c>
      <c r="V18" s="12">
        <v>129</v>
      </c>
      <c r="W18" s="12">
        <v>95</v>
      </c>
      <c r="X18" s="12">
        <v>76</v>
      </c>
      <c r="Y18" s="12">
        <v>151</v>
      </c>
      <c r="Z18" s="12">
        <v>85</v>
      </c>
      <c r="AA18" s="12">
        <v>64</v>
      </c>
      <c r="AB18" s="12">
        <v>155</v>
      </c>
      <c r="AC18" s="12">
        <v>114</v>
      </c>
      <c r="AD18" s="12">
        <v>163</v>
      </c>
      <c r="AE18" s="12">
        <v>123</v>
      </c>
      <c r="AF18" s="12">
        <v>138</v>
      </c>
    </row>
    <row r="19" spans="1:32" ht="34.5">
      <c r="A19" s="23"/>
      <c r="B19" s="13" t="s">
        <v>561</v>
      </c>
      <c r="C19" s="14">
        <v>0.11</v>
      </c>
      <c r="D19" s="14">
        <v>0.1</v>
      </c>
      <c r="E19" s="14">
        <v>0.16</v>
      </c>
      <c r="F19" s="14">
        <v>0.15</v>
      </c>
      <c r="G19" s="14">
        <v>0.1</v>
      </c>
      <c r="H19" s="14">
        <v>0.1</v>
      </c>
      <c r="I19" s="14">
        <v>0.1</v>
      </c>
      <c r="J19" s="14">
        <v>0.08</v>
      </c>
      <c r="K19" s="14">
        <v>0.13</v>
      </c>
      <c r="L19" s="14">
        <v>0.14000000000000001</v>
      </c>
      <c r="M19" s="14">
        <v>0.11</v>
      </c>
      <c r="N19" s="14">
        <v>0.08</v>
      </c>
      <c r="O19" s="14">
        <v>0.13</v>
      </c>
      <c r="P19" s="14">
        <v>0.12</v>
      </c>
      <c r="Q19" s="14">
        <v>0.08</v>
      </c>
      <c r="R19" s="14">
        <v>0.21</v>
      </c>
      <c r="S19" s="14">
        <v>0.2</v>
      </c>
      <c r="T19" s="14">
        <v>0.24</v>
      </c>
      <c r="U19" s="14">
        <v>0.12</v>
      </c>
      <c r="V19" s="14">
        <v>0.13</v>
      </c>
      <c r="W19" s="14">
        <v>0.19</v>
      </c>
      <c r="X19" s="14">
        <v>7.0000000000000007E-2</v>
      </c>
      <c r="Y19" s="14">
        <v>0.15</v>
      </c>
      <c r="Z19" s="14">
        <v>0.08</v>
      </c>
      <c r="AA19" s="14">
        <v>0.06</v>
      </c>
      <c r="AB19" s="14">
        <v>0.15</v>
      </c>
      <c r="AC19" s="14">
        <v>0.11</v>
      </c>
      <c r="AD19" s="14">
        <v>0.16</v>
      </c>
      <c r="AE19" s="14">
        <v>0.12</v>
      </c>
      <c r="AF19" s="14">
        <v>0.13</v>
      </c>
    </row>
    <row r="20" spans="1:32" ht="34.5">
      <c r="A20" s="23"/>
      <c r="B20" s="11" t="s">
        <v>562</v>
      </c>
      <c r="C20" s="12">
        <v>3719</v>
      </c>
      <c r="D20" s="12">
        <v>165</v>
      </c>
      <c r="E20" s="12">
        <v>117</v>
      </c>
      <c r="F20" s="12">
        <v>129</v>
      </c>
      <c r="G20" s="12">
        <v>296</v>
      </c>
      <c r="H20" s="12">
        <v>151</v>
      </c>
      <c r="I20" s="12">
        <v>196</v>
      </c>
      <c r="J20" s="12">
        <v>45</v>
      </c>
      <c r="K20" s="12">
        <v>129</v>
      </c>
      <c r="L20" s="12">
        <v>107</v>
      </c>
      <c r="M20" s="12">
        <v>133</v>
      </c>
      <c r="N20" s="12">
        <v>115</v>
      </c>
      <c r="O20" s="12">
        <v>147</v>
      </c>
      <c r="P20" s="12">
        <v>93</v>
      </c>
      <c r="Q20" s="12">
        <v>134</v>
      </c>
      <c r="R20" s="12">
        <v>69</v>
      </c>
      <c r="S20" s="12">
        <v>121</v>
      </c>
      <c r="T20" s="12">
        <v>120</v>
      </c>
      <c r="U20" s="12">
        <v>47</v>
      </c>
      <c r="V20" s="12">
        <v>151</v>
      </c>
      <c r="W20" s="12">
        <v>63</v>
      </c>
      <c r="X20" s="12">
        <v>260</v>
      </c>
      <c r="Y20" s="12">
        <v>134</v>
      </c>
      <c r="Z20" s="12">
        <v>115</v>
      </c>
      <c r="AA20" s="12">
        <v>88</v>
      </c>
      <c r="AB20" s="12">
        <v>148</v>
      </c>
      <c r="AC20" s="12">
        <v>161</v>
      </c>
      <c r="AD20" s="12">
        <v>81</v>
      </c>
      <c r="AE20" s="12">
        <v>252</v>
      </c>
      <c r="AF20" s="12">
        <v>310</v>
      </c>
    </row>
    <row r="21" spans="1:32" ht="34.5">
      <c r="A21" s="23"/>
      <c r="B21" s="13" t="s">
        <v>563</v>
      </c>
      <c r="C21" s="14">
        <v>0.14000000000000001</v>
      </c>
      <c r="D21" s="14">
        <v>0.16</v>
      </c>
      <c r="E21" s="14">
        <v>0.11</v>
      </c>
      <c r="F21" s="14">
        <v>0.13</v>
      </c>
      <c r="G21" s="14">
        <v>0.28999999999999998</v>
      </c>
      <c r="H21" s="14">
        <v>0.12</v>
      </c>
      <c r="I21" s="14">
        <v>0.13</v>
      </c>
      <c r="J21" s="14">
        <v>0.15</v>
      </c>
      <c r="K21" s="14">
        <v>0.13</v>
      </c>
      <c r="L21" s="14">
        <v>0.1</v>
      </c>
      <c r="M21" s="14">
        <v>0.13</v>
      </c>
      <c r="N21" s="14">
        <v>0.11</v>
      </c>
      <c r="O21" s="14">
        <v>0.15</v>
      </c>
      <c r="P21" s="14">
        <v>0.09</v>
      </c>
      <c r="Q21" s="14">
        <v>0.13</v>
      </c>
      <c r="R21" s="14">
        <v>0.14000000000000001</v>
      </c>
      <c r="S21" s="14">
        <v>0.12</v>
      </c>
      <c r="T21" s="14">
        <v>0.12</v>
      </c>
      <c r="U21" s="14">
        <v>0.09</v>
      </c>
      <c r="V21" s="14">
        <v>0.15</v>
      </c>
      <c r="W21" s="14">
        <v>0.13</v>
      </c>
      <c r="X21" s="14">
        <v>0.26</v>
      </c>
      <c r="Y21" s="14">
        <v>0.13</v>
      </c>
      <c r="Z21" s="14">
        <v>0.11</v>
      </c>
      <c r="AA21" s="14">
        <v>0.09</v>
      </c>
      <c r="AB21" s="14">
        <v>0.14000000000000001</v>
      </c>
      <c r="AC21" s="14">
        <v>0.16</v>
      </c>
      <c r="AD21" s="14">
        <v>0.08</v>
      </c>
      <c r="AE21" s="14">
        <v>0.25</v>
      </c>
      <c r="AF21" s="14">
        <v>0.28999999999999998</v>
      </c>
    </row>
    <row r="22" spans="1:32" ht="45.75">
      <c r="A22" s="23"/>
      <c r="B22" s="11" t="s">
        <v>564</v>
      </c>
      <c r="C22" s="12">
        <v>2945</v>
      </c>
      <c r="D22" s="12">
        <v>150</v>
      </c>
      <c r="E22" s="12">
        <v>113</v>
      </c>
      <c r="F22" s="12">
        <v>121</v>
      </c>
      <c r="G22" s="12">
        <v>68</v>
      </c>
      <c r="H22" s="12">
        <v>120</v>
      </c>
      <c r="I22" s="12">
        <v>154</v>
      </c>
      <c r="J22" s="12">
        <v>34</v>
      </c>
      <c r="K22" s="12">
        <v>108</v>
      </c>
      <c r="L22" s="12">
        <v>101</v>
      </c>
      <c r="M22" s="12">
        <v>182</v>
      </c>
      <c r="N22" s="12">
        <v>81</v>
      </c>
      <c r="O22" s="12">
        <v>125</v>
      </c>
      <c r="P22" s="12">
        <v>141</v>
      </c>
      <c r="Q22" s="12">
        <v>126</v>
      </c>
      <c r="R22" s="12">
        <v>63</v>
      </c>
      <c r="S22" s="12">
        <v>74</v>
      </c>
      <c r="T22" s="12">
        <v>79</v>
      </c>
      <c r="U22" s="12">
        <v>47</v>
      </c>
      <c r="V22" s="12">
        <v>136</v>
      </c>
      <c r="W22" s="12">
        <v>47</v>
      </c>
      <c r="X22" s="12">
        <v>106</v>
      </c>
      <c r="Y22" s="12">
        <v>135</v>
      </c>
      <c r="Z22" s="12">
        <v>111</v>
      </c>
      <c r="AA22" s="12">
        <v>107</v>
      </c>
      <c r="AB22" s="12">
        <v>148</v>
      </c>
      <c r="AC22" s="12">
        <v>108</v>
      </c>
      <c r="AD22" s="12">
        <v>125</v>
      </c>
      <c r="AE22" s="12">
        <v>79</v>
      </c>
      <c r="AF22" s="12">
        <v>51</v>
      </c>
    </row>
    <row r="23" spans="1:32" ht="45.75">
      <c r="A23" s="23"/>
      <c r="B23" s="13" t="s">
        <v>565</v>
      </c>
      <c r="C23" s="14">
        <v>0.11</v>
      </c>
      <c r="D23" s="14">
        <v>0.15</v>
      </c>
      <c r="E23" s="14">
        <v>0.11</v>
      </c>
      <c r="F23" s="14">
        <v>0.12</v>
      </c>
      <c r="G23" s="14">
        <v>7.0000000000000007E-2</v>
      </c>
      <c r="H23" s="14">
        <v>0.1</v>
      </c>
      <c r="I23" s="14">
        <v>0.1</v>
      </c>
      <c r="J23" s="14">
        <v>0.12</v>
      </c>
      <c r="K23" s="14">
        <v>0.11</v>
      </c>
      <c r="L23" s="14">
        <v>0.1</v>
      </c>
      <c r="M23" s="14">
        <v>0.18</v>
      </c>
      <c r="N23" s="14">
        <v>0.08</v>
      </c>
      <c r="O23" s="14">
        <v>0.12</v>
      </c>
      <c r="P23" s="14">
        <v>0.14000000000000001</v>
      </c>
      <c r="Q23" s="14">
        <v>0.12</v>
      </c>
      <c r="R23" s="14">
        <v>0.13</v>
      </c>
      <c r="S23" s="14">
        <v>7.0000000000000007E-2</v>
      </c>
      <c r="T23" s="14">
        <v>0.08</v>
      </c>
      <c r="U23" s="14">
        <v>0.1</v>
      </c>
      <c r="V23" s="14">
        <v>0.13</v>
      </c>
      <c r="W23" s="14">
        <v>0.09</v>
      </c>
      <c r="X23" s="14">
        <v>0.1</v>
      </c>
      <c r="Y23" s="14">
        <v>0.13</v>
      </c>
      <c r="Z23" s="14">
        <v>0.11</v>
      </c>
      <c r="AA23" s="14">
        <v>0.1</v>
      </c>
      <c r="AB23" s="14">
        <v>0.14000000000000001</v>
      </c>
      <c r="AC23" s="14">
        <v>0.11</v>
      </c>
      <c r="AD23" s="14">
        <v>0.13</v>
      </c>
      <c r="AE23" s="14">
        <v>0.08</v>
      </c>
      <c r="AF23" s="14">
        <v>0.05</v>
      </c>
    </row>
    <row r="24" spans="1:32" ht="45.75">
      <c r="A24" s="23"/>
      <c r="B24" s="11" t="s">
        <v>566</v>
      </c>
      <c r="C24" s="12">
        <v>4111</v>
      </c>
      <c r="D24" s="12">
        <v>180</v>
      </c>
      <c r="E24" s="12">
        <v>191</v>
      </c>
      <c r="F24" s="12">
        <v>188</v>
      </c>
      <c r="G24" s="12">
        <v>87</v>
      </c>
      <c r="H24" s="12">
        <v>153</v>
      </c>
      <c r="I24" s="12">
        <v>204</v>
      </c>
      <c r="J24" s="12">
        <v>51</v>
      </c>
      <c r="K24" s="12">
        <v>158</v>
      </c>
      <c r="L24" s="12">
        <v>128</v>
      </c>
      <c r="M24" s="12">
        <v>169</v>
      </c>
      <c r="N24" s="12">
        <v>142</v>
      </c>
      <c r="O24" s="12">
        <v>161</v>
      </c>
      <c r="P24" s="12">
        <v>208</v>
      </c>
      <c r="Q24" s="12">
        <v>161</v>
      </c>
      <c r="R24" s="12">
        <v>81</v>
      </c>
      <c r="S24" s="12">
        <v>155</v>
      </c>
      <c r="T24" s="12">
        <v>167</v>
      </c>
      <c r="U24" s="12">
        <v>74</v>
      </c>
      <c r="V24" s="12">
        <v>137</v>
      </c>
      <c r="W24" s="12">
        <v>66</v>
      </c>
      <c r="X24" s="12">
        <v>100</v>
      </c>
      <c r="Y24" s="12">
        <v>136</v>
      </c>
      <c r="Z24" s="12">
        <v>191</v>
      </c>
      <c r="AA24" s="12">
        <v>299</v>
      </c>
      <c r="AB24" s="12">
        <v>195</v>
      </c>
      <c r="AC24" s="12">
        <v>187</v>
      </c>
      <c r="AD24" s="12">
        <v>222</v>
      </c>
      <c r="AE24" s="12">
        <v>79</v>
      </c>
      <c r="AF24" s="12">
        <v>137</v>
      </c>
    </row>
    <row r="25" spans="1:32" ht="45.75">
      <c r="A25" s="23"/>
      <c r="B25" s="13" t="s">
        <v>567</v>
      </c>
      <c r="C25" s="14">
        <v>0.16</v>
      </c>
      <c r="D25" s="14">
        <v>0.18</v>
      </c>
      <c r="E25" s="14">
        <v>0.18</v>
      </c>
      <c r="F25" s="14">
        <v>0.19</v>
      </c>
      <c r="G25" s="14">
        <v>0.09</v>
      </c>
      <c r="H25" s="14">
        <v>0.13</v>
      </c>
      <c r="I25" s="14">
        <v>0.14000000000000001</v>
      </c>
      <c r="J25" s="14">
        <v>0.17</v>
      </c>
      <c r="K25" s="14">
        <v>0.16</v>
      </c>
      <c r="L25" s="14">
        <v>0.13</v>
      </c>
      <c r="M25" s="14">
        <v>0.17</v>
      </c>
      <c r="N25" s="14">
        <v>0.14000000000000001</v>
      </c>
      <c r="O25" s="14">
        <v>0.16</v>
      </c>
      <c r="P25" s="14">
        <v>0.21</v>
      </c>
      <c r="Q25" s="14">
        <v>0.16</v>
      </c>
      <c r="R25" s="14">
        <v>0.16</v>
      </c>
      <c r="S25" s="14">
        <v>0.15</v>
      </c>
      <c r="T25" s="14">
        <v>0.17</v>
      </c>
      <c r="U25" s="14">
        <v>0.15</v>
      </c>
      <c r="V25" s="14">
        <v>0.14000000000000001</v>
      </c>
      <c r="W25" s="14">
        <v>0.13</v>
      </c>
      <c r="X25" s="14">
        <v>0.1</v>
      </c>
      <c r="Y25" s="14">
        <v>0.14000000000000001</v>
      </c>
      <c r="Z25" s="14">
        <v>0.19</v>
      </c>
      <c r="AA25" s="14">
        <v>0.28999999999999998</v>
      </c>
      <c r="AB25" s="14">
        <v>0.19</v>
      </c>
      <c r="AC25" s="14">
        <v>0.19</v>
      </c>
      <c r="AD25" s="14">
        <v>0.22</v>
      </c>
      <c r="AE25" s="14">
        <v>0.08</v>
      </c>
      <c r="AF25" s="14">
        <v>0.13</v>
      </c>
    </row>
    <row r="26" spans="1:32" ht="45.75">
      <c r="A26" s="23"/>
      <c r="B26" s="11" t="s">
        <v>568</v>
      </c>
      <c r="C26" s="12">
        <v>1865</v>
      </c>
      <c r="D26" s="12">
        <v>61</v>
      </c>
      <c r="E26" s="12">
        <v>80</v>
      </c>
      <c r="F26" s="12">
        <v>73</v>
      </c>
      <c r="G26" s="12">
        <v>73</v>
      </c>
      <c r="H26" s="12">
        <v>72</v>
      </c>
      <c r="I26" s="12">
        <v>98</v>
      </c>
      <c r="J26" s="12">
        <v>26</v>
      </c>
      <c r="K26" s="12">
        <v>164</v>
      </c>
      <c r="L26" s="12">
        <v>80</v>
      </c>
      <c r="M26" s="12">
        <v>93</v>
      </c>
      <c r="N26" s="12">
        <v>143</v>
      </c>
      <c r="O26" s="12">
        <v>48</v>
      </c>
      <c r="P26" s="12">
        <v>44</v>
      </c>
      <c r="Q26" s="12">
        <v>42</v>
      </c>
      <c r="R26" s="12">
        <v>17</v>
      </c>
      <c r="S26" s="12">
        <v>147</v>
      </c>
      <c r="T26" s="12">
        <v>184</v>
      </c>
      <c r="U26" s="12">
        <v>40</v>
      </c>
      <c r="V26" s="12">
        <v>99</v>
      </c>
      <c r="W26" s="12">
        <v>32</v>
      </c>
      <c r="X26" s="12">
        <v>38</v>
      </c>
      <c r="Y26" s="12">
        <v>74</v>
      </c>
      <c r="Z26" s="12">
        <v>77</v>
      </c>
      <c r="AA26" s="12">
        <v>161</v>
      </c>
      <c r="AB26" s="12">
        <v>43</v>
      </c>
      <c r="AC26" s="12">
        <v>135</v>
      </c>
      <c r="AD26" s="12">
        <v>71</v>
      </c>
      <c r="AE26" s="12">
        <v>55</v>
      </c>
      <c r="AF26" s="12">
        <v>12</v>
      </c>
    </row>
    <row r="27" spans="1:32" ht="45.75">
      <c r="A27" s="23"/>
      <c r="B27" s="13" t="s">
        <v>569</v>
      </c>
      <c r="C27" s="14">
        <v>7.0000000000000007E-2</v>
      </c>
      <c r="D27" s="14">
        <v>0.06</v>
      </c>
      <c r="E27" s="14">
        <v>0.08</v>
      </c>
      <c r="F27" s="14">
        <v>7.0000000000000007E-2</v>
      </c>
      <c r="G27" s="14">
        <v>7.0000000000000007E-2</v>
      </c>
      <c r="H27" s="14">
        <v>0.06</v>
      </c>
      <c r="I27" s="14">
        <v>7.0000000000000007E-2</v>
      </c>
      <c r="J27" s="14">
        <v>0.09</v>
      </c>
      <c r="K27" s="14">
        <v>0.16</v>
      </c>
      <c r="L27" s="14">
        <v>0.08</v>
      </c>
      <c r="M27" s="14">
        <v>0.09</v>
      </c>
      <c r="N27" s="14">
        <v>0.14000000000000001</v>
      </c>
      <c r="O27" s="14">
        <v>0.05</v>
      </c>
      <c r="P27" s="14">
        <v>0.04</v>
      </c>
      <c r="Q27" s="14">
        <v>0.04</v>
      </c>
      <c r="R27" s="14">
        <v>0.03</v>
      </c>
      <c r="S27" s="14">
        <v>0.15</v>
      </c>
      <c r="T27" s="14">
        <v>0.18</v>
      </c>
      <c r="U27" s="14">
        <v>0.08</v>
      </c>
      <c r="V27" s="14">
        <v>0.1</v>
      </c>
      <c r="W27" s="14">
        <v>0.06</v>
      </c>
      <c r="X27" s="14">
        <v>0.04</v>
      </c>
      <c r="Y27" s="14">
        <v>7.0000000000000007E-2</v>
      </c>
      <c r="Z27" s="14">
        <v>0.08</v>
      </c>
      <c r="AA27" s="14">
        <v>0.16</v>
      </c>
      <c r="AB27" s="14">
        <v>0.04</v>
      </c>
      <c r="AC27" s="14">
        <v>0.13</v>
      </c>
      <c r="AD27" s="14">
        <v>7.0000000000000007E-2</v>
      </c>
      <c r="AE27" s="14">
        <v>0.05</v>
      </c>
      <c r="AF27" s="14">
        <v>0.01</v>
      </c>
    </row>
    <row r="28" spans="1:32">
      <c r="A28" s="23"/>
      <c r="B28" s="11" t="s">
        <v>550</v>
      </c>
      <c r="C28" s="12">
        <v>81</v>
      </c>
      <c r="D28" s="12">
        <v>2</v>
      </c>
      <c r="E28" s="12">
        <v>0</v>
      </c>
      <c r="F28" s="12">
        <v>3</v>
      </c>
      <c r="G28" s="12">
        <v>14</v>
      </c>
      <c r="H28" s="12">
        <v>3</v>
      </c>
      <c r="I28" s="12">
        <v>4</v>
      </c>
      <c r="J28" s="12">
        <v>1</v>
      </c>
      <c r="K28" s="12">
        <v>9</v>
      </c>
      <c r="L28" s="12">
        <v>7</v>
      </c>
      <c r="M28" s="12">
        <v>1</v>
      </c>
      <c r="N28" s="12">
        <v>5</v>
      </c>
      <c r="O28" s="12">
        <v>2</v>
      </c>
      <c r="P28" s="12">
        <v>7</v>
      </c>
      <c r="Q28" s="12">
        <v>2</v>
      </c>
      <c r="R28" s="12">
        <v>3</v>
      </c>
      <c r="S28" s="12">
        <v>16</v>
      </c>
      <c r="T28" s="12">
        <v>8</v>
      </c>
      <c r="U28" s="12">
        <v>1</v>
      </c>
      <c r="V28" s="12">
        <v>0</v>
      </c>
      <c r="W28" s="12">
        <v>3</v>
      </c>
      <c r="X28" s="12">
        <v>5</v>
      </c>
      <c r="Y28" s="12">
        <v>7</v>
      </c>
      <c r="Z28" s="12">
        <v>2</v>
      </c>
      <c r="AA28" s="12">
        <v>4</v>
      </c>
      <c r="AB28" s="12">
        <v>0</v>
      </c>
      <c r="AC28" s="12">
        <v>3</v>
      </c>
      <c r="AD28" s="12">
        <v>0</v>
      </c>
      <c r="AE28" s="12">
        <v>2</v>
      </c>
      <c r="AF28" s="12">
        <v>6</v>
      </c>
    </row>
    <row r="29" spans="1:32">
      <c r="A29" s="23"/>
      <c r="B29" s="13" t="s">
        <v>551</v>
      </c>
      <c r="C29" s="15" t="s">
        <v>485</v>
      </c>
      <c r="D29" s="15" t="s">
        <v>485</v>
      </c>
      <c r="E29" s="15" t="s">
        <v>485</v>
      </c>
      <c r="F29" s="15" t="s">
        <v>485</v>
      </c>
      <c r="G29" s="14">
        <v>0.01</v>
      </c>
      <c r="H29" s="15" t="s">
        <v>485</v>
      </c>
      <c r="I29" s="15" t="s">
        <v>485</v>
      </c>
      <c r="J29" s="14">
        <v>0.01</v>
      </c>
      <c r="K29" s="14">
        <v>0.01</v>
      </c>
      <c r="L29" s="14">
        <v>0.01</v>
      </c>
      <c r="M29" s="15" t="s">
        <v>485</v>
      </c>
      <c r="N29" s="14">
        <v>0.01</v>
      </c>
      <c r="O29" s="15" t="s">
        <v>485</v>
      </c>
      <c r="P29" s="14">
        <v>0.01</v>
      </c>
      <c r="Q29" s="15" t="s">
        <v>485</v>
      </c>
      <c r="R29" s="14">
        <v>0.01</v>
      </c>
      <c r="S29" s="14">
        <v>0.02</v>
      </c>
      <c r="T29" s="14">
        <v>0.01</v>
      </c>
      <c r="U29" s="15" t="s">
        <v>485</v>
      </c>
      <c r="V29" s="15" t="s">
        <v>485</v>
      </c>
      <c r="W29" s="14">
        <v>0.01</v>
      </c>
      <c r="X29" s="14">
        <v>0.01</v>
      </c>
      <c r="Y29" s="14">
        <v>0.01</v>
      </c>
      <c r="Z29" s="15" t="s">
        <v>485</v>
      </c>
      <c r="AA29" s="15" t="s">
        <v>485</v>
      </c>
      <c r="AB29" s="15" t="s">
        <v>485</v>
      </c>
      <c r="AC29" s="15" t="s">
        <v>485</v>
      </c>
      <c r="AD29" s="15" t="s">
        <v>485</v>
      </c>
      <c r="AE29" s="15" t="s">
        <v>485</v>
      </c>
      <c r="AF29" s="14">
        <v>0.01</v>
      </c>
    </row>
    <row r="30" spans="1:32">
      <c r="A30" s="23"/>
      <c r="B30" s="11" t="s">
        <v>497</v>
      </c>
      <c r="C30" s="12">
        <v>645</v>
      </c>
      <c r="D30" s="12">
        <v>5</v>
      </c>
      <c r="E30" s="12">
        <v>16</v>
      </c>
      <c r="F30" s="12">
        <v>35</v>
      </c>
      <c r="G30" s="12">
        <v>39</v>
      </c>
      <c r="H30" s="12">
        <v>7</v>
      </c>
      <c r="I30" s="12">
        <v>13</v>
      </c>
      <c r="J30" s="12">
        <v>6</v>
      </c>
      <c r="K30" s="12">
        <v>36</v>
      </c>
      <c r="L30" s="12">
        <v>42</v>
      </c>
      <c r="M30" s="12">
        <v>10</v>
      </c>
      <c r="N30" s="12">
        <v>56</v>
      </c>
      <c r="O30" s="12">
        <v>36</v>
      </c>
      <c r="P30" s="12">
        <v>20</v>
      </c>
      <c r="Q30" s="12">
        <v>19</v>
      </c>
      <c r="R30" s="12">
        <v>13</v>
      </c>
      <c r="S30" s="12">
        <v>30</v>
      </c>
      <c r="T30" s="12">
        <v>31</v>
      </c>
      <c r="U30" s="12">
        <v>5</v>
      </c>
      <c r="V30" s="12">
        <v>11</v>
      </c>
      <c r="W30" s="12">
        <v>22</v>
      </c>
      <c r="X30" s="12">
        <v>6</v>
      </c>
      <c r="Y30" s="12">
        <v>8</v>
      </c>
      <c r="Z30" s="12">
        <v>37</v>
      </c>
      <c r="AA30" s="12">
        <v>52</v>
      </c>
      <c r="AB30" s="12">
        <v>12</v>
      </c>
      <c r="AC30" s="12">
        <v>9</v>
      </c>
      <c r="AD30" s="12">
        <v>12</v>
      </c>
      <c r="AE30" s="12">
        <v>30</v>
      </c>
      <c r="AF30" s="12">
        <v>4</v>
      </c>
    </row>
    <row r="31" spans="1:32">
      <c r="A31" s="23"/>
      <c r="B31" s="13" t="s">
        <v>498</v>
      </c>
      <c r="C31" s="14">
        <v>0.02</v>
      </c>
      <c r="D31" s="14">
        <v>0.01</v>
      </c>
      <c r="E31" s="14">
        <v>0.02</v>
      </c>
      <c r="F31" s="14">
        <v>0.04</v>
      </c>
      <c r="G31" s="14">
        <v>0.04</v>
      </c>
      <c r="H31" s="14">
        <v>0.01</v>
      </c>
      <c r="I31" s="14">
        <v>0.01</v>
      </c>
      <c r="J31" s="14">
        <v>0.02</v>
      </c>
      <c r="K31" s="14">
        <v>0.03</v>
      </c>
      <c r="L31" s="14">
        <v>0.04</v>
      </c>
      <c r="M31" s="14">
        <v>0.01</v>
      </c>
      <c r="N31" s="14">
        <v>0.06</v>
      </c>
      <c r="O31" s="14">
        <v>0.04</v>
      </c>
      <c r="P31" s="14">
        <v>0.02</v>
      </c>
      <c r="Q31" s="14">
        <v>0.02</v>
      </c>
      <c r="R31" s="14">
        <v>0.03</v>
      </c>
      <c r="S31" s="14">
        <v>0.03</v>
      </c>
      <c r="T31" s="14">
        <v>0.03</v>
      </c>
      <c r="U31" s="14">
        <v>0.01</v>
      </c>
      <c r="V31" s="14">
        <v>0.01</v>
      </c>
      <c r="W31" s="14">
        <v>0.04</v>
      </c>
      <c r="X31" s="14">
        <v>0.01</v>
      </c>
      <c r="Y31" s="14">
        <v>0.01</v>
      </c>
      <c r="Z31" s="14">
        <v>0.04</v>
      </c>
      <c r="AA31" s="14">
        <v>0.05</v>
      </c>
      <c r="AB31" s="14">
        <v>0.01</v>
      </c>
      <c r="AC31" s="14">
        <v>0.01</v>
      </c>
      <c r="AD31" s="14">
        <v>0.01</v>
      </c>
      <c r="AE31" s="14">
        <v>0.03</v>
      </c>
      <c r="AF31" s="15" t="s">
        <v>485</v>
      </c>
    </row>
  </sheetData>
  <mergeCells count="9">
    <mergeCell ref="H3:L3"/>
    <mergeCell ref="C8:AF8"/>
    <mergeCell ref="B3:F3"/>
    <mergeCell ref="B5:F5"/>
    <mergeCell ref="A10:A31"/>
    <mergeCell ref="H5:L5"/>
    <mergeCell ref="B10:B11"/>
    <mergeCell ref="H4:L4"/>
    <mergeCell ref="B4:F4"/>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F31"/>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12" customHeight="1">
      <c r="B3" s="19" t="s">
        <v>29</v>
      </c>
      <c r="C3" s="19"/>
      <c r="D3" s="19"/>
      <c r="E3" s="19"/>
      <c r="F3" s="19"/>
      <c r="H3" s="19" t="s">
        <v>30</v>
      </c>
      <c r="I3" s="19"/>
      <c r="J3" s="19"/>
      <c r="K3" s="19"/>
      <c r="L3" s="19"/>
    </row>
    <row r="4" spans="1:32" ht="27" customHeight="1">
      <c r="B4" s="19"/>
      <c r="C4" s="19"/>
      <c r="D4" s="19"/>
      <c r="E4" s="19"/>
      <c r="F4" s="19"/>
      <c r="H4" s="19"/>
      <c r="I4" s="19"/>
      <c r="J4" s="19"/>
      <c r="K4" s="19"/>
      <c r="L4" s="19"/>
    </row>
    <row r="5" spans="1:32" ht="12" customHeight="1">
      <c r="B5" s="19" t="s">
        <v>570</v>
      </c>
      <c r="C5" s="19"/>
      <c r="D5" s="19"/>
      <c r="E5" s="19"/>
      <c r="F5" s="19"/>
      <c r="H5" s="19" t="s">
        <v>571</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HYPERLINK("#Content!A16","&lt;&lt;Back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25709</v>
      </c>
      <c r="D10" s="10">
        <v>1001</v>
      </c>
      <c r="E10" s="10">
        <v>1028</v>
      </c>
      <c r="F10" s="10">
        <v>972</v>
      </c>
      <c r="G10" s="10">
        <v>964</v>
      </c>
      <c r="H10" s="10">
        <v>1203</v>
      </c>
      <c r="I10" s="10">
        <v>1491</v>
      </c>
      <c r="J10" s="10">
        <v>288</v>
      </c>
      <c r="K10" s="10">
        <v>968</v>
      </c>
      <c r="L10" s="10">
        <v>965</v>
      </c>
      <c r="M10" s="10">
        <v>1001</v>
      </c>
      <c r="N10" s="10">
        <v>944</v>
      </c>
      <c r="O10" s="10">
        <v>970</v>
      </c>
      <c r="P10" s="10">
        <v>991</v>
      </c>
      <c r="Q10" s="10">
        <v>1005</v>
      </c>
      <c r="R10" s="10">
        <v>489</v>
      </c>
      <c r="S10" s="10">
        <v>975</v>
      </c>
      <c r="T10" s="10">
        <v>973</v>
      </c>
      <c r="U10" s="10">
        <v>498</v>
      </c>
      <c r="V10" s="10">
        <v>1000</v>
      </c>
      <c r="W10" s="10">
        <v>481</v>
      </c>
      <c r="X10" s="10">
        <v>1010</v>
      </c>
      <c r="Y10" s="10">
        <v>999</v>
      </c>
      <c r="Z10" s="10">
        <v>980</v>
      </c>
      <c r="AA10" s="10">
        <v>988</v>
      </c>
      <c r="AB10" s="10">
        <v>1019</v>
      </c>
      <c r="AC10" s="10">
        <v>996</v>
      </c>
      <c r="AD10" s="10">
        <v>990</v>
      </c>
      <c r="AE10" s="10">
        <v>978</v>
      </c>
      <c r="AF10" s="10">
        <v>1069</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45.75">
      <c r="A12" s="23"/>
      <c r="B12" s="11" t="s">
        <v>554</v>
      </c>
      <c r="C12" s="12">
        <v>6251</v>
      </c>
      <c r="D12" s="12">
        <v>227</v>
      </c>
      <c r="E12" s="12">
        <v>228</v>
      </c>
      <c r="F12" s="12">
        <v>211</v>
      </c>
      <c r="G12" s="12">
        <v>271</v>
      </c>
      <c r="H12" s="12">
        <v>311</v>
      </c>
      <c r="I12" s="12">
        <v>399</v>
      </c>
      <c r="J12" s="12">
        <v>88</v>
      </c>
      <c r="K12" s="12">
        <v>155</v>
      </c>
      <c r="L12" s="12">
        <v>221</v>
      </c>
      <c r="M12" s="12">
        <v>325</v>
      </c>
      <c r="N12" s="12">
        <v>152</v>
      </c>
      <c r="O12" s="12">
        <v>238</v>
      </c>
      <c r="P12" s="12">
        <v>241</v>
      </c>
      <c r="Q12" s="12">
        <v>293</v>
      </c>
      <c r="R12" s="12">
        <v>176</v>
      </c>
      <c r="S12" s="12">
        <v>88</v>
      </c>
      <c r="T12" s="12">
        <v>148</v>
      </c>
      <c r="U12" s="12">
        <v>91</v>
      </c>
      <c r="V12" s="12">
        <v>240</v>
      </c>
      <c r="W12" s="12">
        <v>102</v>
      </c>
      <c r="X12" s="12">
        <v>309</v>
      </c>
      <c r="Y12" s="12">
        <v>280</v>
      </c>
      <c r="Z12" s="12">
        <v>175</v>
      </c>
      <c r="AA12" s="12">
        <v>154</v>
      </c>
      <c r="AB12" s="12">
        <v>246</v>
      </c>
      <c r="AC12" s="12">
        <v>156</v>
      </c>
      <c r="AD12" s="12">
        <v>272</v>
      </c>
      <c r="AE12" s="12">
        <v>211</v>
      </c>
      <c r="AF12" s="12">
        <v>347</v>
      </c>
    </row>
    <row r="13" spans="1:32" ht="34.5">
      <c r="A13" s="23"/>
      <c r="B13" s="13" t="s">
        <v>555</v>
      </c>
      <c r="C13" s="14">
        <v>0.27</v>
      </c>
      <c r="D13" s="14">
        <v>0.26</v>
      </c>
      <c r="E13" s="14">
        <v>0.24</v>
      </c>
      <c r="F13" s="14">
        <v>0.24</v>
      </c>
      <c r="G13" s="14">
        <v>0.33</v>
      </c>
      <c r="H13" s="14">
        <v>0.3</v>
      </c>
      <c r="I13" s="14">
        <v>0.31</v>
      </c>
      <c r="J13" s="14">
        <v>0.33</v>
      </c>
      <c r="K13" s="14">
        <v>0.17</v>
      </c>
      <c r="L13" s="14">
        <v>0.26</v>
      </c>
      <c r="M13" s="14">
        <v>0.36</v>
      </c>
      <c r="N13" s="14">
        <v>0.18</v>
      </c>
      <c r="O13" s="14">
        <v>0.28000000000000003</v>
      </c>
      <c r="P13" s="14">
        <v>0.27</v>
      </c>
      <c r="Q13" s="14">
        <v>0.33</v>
      </c>
      <c r="R13" s="14">
        <v>0.41</v>
      </c>
      <c r="S13" s="14">
        <v>0.1</v>
      </c>
      <c r="T13" s="14">
        <v>0.16</v>
      </c>
      <c r="U13" s="14">
        <v>0.22</v>
      </c>
      <c r="V13" s="14">
        <v>0.26</v>
      </c>
      <c r="W13" s="14">
        <v>0.24</v>
      </c>
      <c r="X13" s="14">
        <v>0.35</v>
      </c>
      <c r="Y13" s="14">
        <v>0.32</v>
      </c>
      <c r="Z13" s="14">
        <v>0.21</v>
      </c>
      <c r="AA13" s="14">
        <v>0.17</v>
      </c>
      <c r="AB13" s="14">
        <v>0.27</v>
      </c>
      <c r="AC13" s="14">
        <v>0.17</v>
      </c>
      <c r="AD13" s="14">
        <v>0.31</v>
      </c>
      <c r="AE13" s="14">
        <v>0.24</v>
      </c>
      <c r="AF13" s="14">
        <v>0.38</v>
      </c>
    </row>
    <row r="14" spans="1:32" ht="57">
      <c r="A14" s="23"/>
      <c r="B14" s="11" t="s">
        <v>556</v>
      </c>
      <c r="C14" s="12">
        <v>4501</v>
      </c>
      <c r="D14" s="12">
        <v>160</v>
      </c>
      <c r="E14" s="12">
        <v>205</v>
      </c>
      <c r="F14" s="12">
        <v>125</v>
      </c>
      <c r="G14" s="12">
        <v>144</v>
      </c>
      <c r="H14" s="12">
        <v>222</v>
      </c>
      <c r="I14" s="12">
        <v>278</v>
      </c>
      <c r="J14" s="12">
        <v>56</v>
      </c>
      <c r="K14" s="12">
        <v>142</v>
      </c>
      <c r="L14" s="12">
        <v>160</v>
      </c>
      <c r="M14" s="12">
        <v>265</v>
      </c>
      <c r="N14" s="12">
        <v>124</v>
      </c>
      <c r="O14" s="12">
        <v>130</v>
      </c>
      <c r="P14" s="12">
        <v>207</v>
      </c>
      <c r="Q14" s="12">
        <v>240</v>
      </c>
      <c r="R14" s="12">
        <v>114</v>
      </c>
      <c r="S14" s="12">
        <v>73</v>
      </c>
      <c r="T14" s="12">
        <v>68</v>
      </c>
      <c r="U14" s="12">
        <v>65</v>
      </c>
      <c r="V14" s="12">
        <v>226</v>
      </c>
      <c r="W14" s="12">
        <v>72</v>
      </c>
      <c r="X14" s="12">
        <v>183</v>
      </c>
      <c r="Y14" s="12">
        <v>251</v>
      </c>
      <c r="Z14" s="12">
        <v>151</v>
      </c>
      <c r="AA14" s="12">
        <v>114</v>
      </c>
      <c r="AB14" s="12">
        <v>188</v>
      </c>
      <c r="AC14" s="12">
        <v>90</v>
      </c>
      <c r="AD14" s="12">
        <v>182</v>
      </c>
      <c r="AE14" s="12">
        <v>153</v>
      </c>
      <c r="AF14" s="12">
        <v>202</v>
      </c>
    </row>
    <row r="15" spans="1:32" ht="57">
      <c r="A15" s="23"/>
      <c r="B15" s="13" t="s">
        <v>557</v>
      </c>
      <c r="C15" s="14">
        <v>0.2</v>
      </c>
      <c r="D15" s="14">
        <v>0.18</v>
      </c>
      <c r="E15" s="14">
        <v>0.23</v>
      </c>
      <c r="F15" s="14">
        <v>0.14000000000000001</v>
      </c>
      <c r="G15" s="14">
        <v>0.16</v>
      </c>
      <c r="H15" s="14">
        <v>0.23</v>
      </c>
      <c r="I15" s="14">
        <v>0.23</v>
      </c>
      <c r="J15" s="14">
        <v>0.23</v>
      </c>
      <c r="K15" s="14">
        <v>0.16</v>
      </c>
      <c r="L15" s="14">
        <v>0.19</v>
      </c>
      <c r="M15" s="14">
        <v>0.3</v>
      </c>
      <c r="N15" s="14">
        <v>0.15</v>
      </c>
      <c r="O15" s="14">
        <v>0.15</v>
      </c>
      <c r="P15" s="14">
        <v>0.24</v>
      </c>
      <c r="Q15" s="14">
        <v>0.31</v>
      </c>
      <c r="R15" s="14">
        <v>0.25</v>
      </c>
      <c r="S15" s="14">
        <v>0.08</v>
      </c>
      <c r="T15" s="14">
        <v>7.0000000000000007E-2</v>
      </c>
      <c r="U15" s="14">
        <v>0.15</v>
      </c>
      <c r="V15" s="14">
        <v>0.25</v>
      </c>
      <c r="W15" s="14">
        <v>0.16</v>
      </c>
      <c r="X15" s="14">
        <v>0.21</v>
      </c>
      <c r="Y15" s="14">
        <v>0.28999999999999998</v>
      </c>
      <c r="Z15" s="14">
        <v>0.18</v>
      </c>
      <c r="AA15" s="14">
        <v>0.12</v>
      </c>
      <c r="AB15" s="14">
        <v>0.21</v>
      </c>
      <c r="AC15" s="14">
        <v>0.1</v>
      </c>
      <c r="AD15" s="14">
        <v>0.2</v>
      </c>
      <c r="AE15" s="14">
        <v>0.17</v>
      </c>
      <c r="AF15" s="14">
        <v>0.21</v>
      </c>
    </row>
    <row r="16" spans="1:32" ht="45.75">
      <c r="A16" s="23"/>
      <c r="B16" s="11" t="s">
        <v>558</v>
      </c>
      <c r="C16" s="12">
        <v>6836</v>
      </c>
      <c r="D16" s="12">
        <v>238</v>
      </c>
      <c r="E16" s="12">
        <v>259</v>
      </c>
      <c r="F16" s="12">
        <v>269</v>
      </c>
      <c r="G16" s="12">
        <v>243</v>
      </c>
      <c r="H16" s="12">
        <v>362</v>
      </c>
      <c r="I16" s="12">
        <v>469</v>
      </c>
      <c r="J16" s="12">
        <v>108</v>
      </c>
      <c r="K16" s="12">
        <v>266</v>
      </c>
      <c r="L16" s="12">
        <v>239</v>
      </c>
      <c r="M16" s="12">
        <v>345</v>
      </c>
      <c r="N16" s="12">
        <v>190</v>
      </c>
      <c r="O16" s="12">
        <v>237</v>
      </c>
      <c r="P16" s="12">
        <v>270</v>
      </c>
      <c r="Q16" s="12">
        <v>238</v>
      </c>
      <c r="R16" s="12">
        <v>163</v>
      </c>
      <c r="S16" s="12">
        <v>170</v>
      </c>
      <c r="T16" s="12">
        <v>177</v>
      </c>
      <c r="U16" s="12">
        <v>117</v>
      </c>
      <c r="V16" s="12">
        <v>277</v>
      </c>
      <c r="W16" s="12">
        <v>130</v>
      </c>
      <c r="X16" s="12">
        <v>280</v>
      </c>
      <c r="Y16" s="12">
        <v>319</v>
      </c>
      <c r="Z16" s="12">
        <v>259</v>
      </c>
      <c r="AA16" s="12">
        <v>253</v>
      </c>
      <c r="AB16" s="12">
        <v>266</v>
      </c>
      <c r="AC16" s="12">
        <v>193</v>
      </c>
      <c r="AD16" s="12">
        <v>344</v>
      </c>
      <c r="AE16" s="12">
        <v>342</v>
      </c>
      <c r="AF16" s="12">
        <v>359</v>
      </c>
    </row>
    <row r="17" spans="1:32" ht="34.5">
      <c r="A17" s="23"/>
      <c r="B17" s="13" t="s">
        <v>559</v>
      </c>
      <c r="C17" s="14">
        <v>0.31</v>
      </c>
      <c r="D17" s="14">
        <v>0.27</v>
      </c>
      <c r="E17" s="14">
        <v>0.28999999999999998</v>
      </c>
      <c r="F17" s="14">
        <v>0.32</v>
      </c>
      <c r="G17" s="14">
        <v>0.28999999999999998</v>
      </c>
      <c r="H17" s="14">
        <v>0.35</v>
      </c>
      <c r="I17" s="14">
        <v>0.36</v>
      </c>
      <c r="J17" s="14">
        <v>0.43</v>
      </c>
      <c r="K17" s="14">
        <v>0.32</v>
      </c>
      <c r="L17" s="14">
        <v>0.3</v>
      </c>
      <c r="M17" s="14">
        <v>0.38</v>
      </c>
      <c r="N17" s="14">
        <v>0.25</v>
      </c>
      <c r="O17" s="14">
        <v>0.28999999999999998</v>
      </c>
      <c r="P17" s="14">
        <v>0.32</v>
      </c>
      <c r="Q17" s="14">
        <v>0.27</v>
      </c>
      <c r="R17" s="14">
        <v>0.38</v>
      </c>
      <c r="S17" s="14">
        <v>0.21</v>
      </c>
      <c r="T17" s="14">
        <v>0.2</v>
      </c>
      <c r="U17" s="14">
        <v>0.28000000000000003</v>
      </c>
      <c r="V17" s="14">
        <v>0.34</v>
      </c>
      <c r="W17" s="14">
        <v>0.32</v>
      </c>
      <c r="X17" s="14">
        <v>0.33</v>
      </c>
      <c r="Y17" s="14">
        <v>0.37</v>
      </c>
      <c r="Z17" s="14">
        <v>0.31</v>
      </c>
      <c r="AA17" s="14">
        <v>0.28999999999999998</v>
      </c>
      <c r="AB17" s="14">
        <v>0.28999999999999998</v>
      </c>
      <c r="AC17" s="14">
        <v>0.22</v>
      </c>
      <c r="AD17" s="14">
        <v>0.4</v>
      </c>
      <c r="AE17" s="14">
        <v>0.44</v>
      </c>
      <c r="AF17" s="14">
        <v>0.39</v>
      </c>
    </row>
    <row r="18" spans="1:32" ht="45.75">
      <c r="A18" s="23"/>
      <c r="B18" s="11" t="s">
        <v>560</v>
      </c>
      <c r="C18" s="12">
        <v>6164</v>
      </c>
      <c r="D18" s="12">
        <v>212</v>
      </c>
      <c r="E18" s="12">
        <v>323</v>
      </c>
      <c r="F18" s="12">
        <v>263</v>
      </c>
      <c r="G18" s="12">
        <v>200</v>
      </c>
      <c r="H18" s="12">
        <v>319</v>
      </c>
      <c r="I18" s="12">
        <v>393</v>
      </c>
      <c r="J18" s="12">
        <v>74</v>
      </c>
      <c r="K18" s="12">
        <v>231</v>
      </c>
      <c r="L18" s="12">
        <v>267</v>
      </c>
      <c r="M18" s="12">
        <v>371</v>
      </c>
      <c r="N18" s="12">
        <v>177</v>
      </c>
      <c r="O18" s="12">
        <v>217</v>
      </c>
      <c r="P18" s="12">
        <v>278</v>
      </c>
      <c r="Q18" s="12">
        <v>270</v>
      </c>
      <c r="R18" s="12">
        <v>192</v>
      </c>
      <c r="S18" s="12">
        <v>170</v>
      </c>
      <c r="T18" s="12">
        <v>238</v>
      </c>
      <c r="U18" s="12">
        <v>76</v>
      </c>
      <c r="V18" s="12">
        <v>277</v>
      </c>
      <c r="W18" s="12">
        <v>111</v>
      </c>
      <c r="X18" s="12">
        <v>160</v>
      </c>
      <c r="Y18" s="12">
        <v>320</v>
      </c>
      <c r="Z18" s="12">
        <v>149</v>
      </c>
      <c r="AA18" s="12">
        <v>179</v>
      </c>
      <c r="AB18" s="12">
        <v>316</v>
      </c>
      <c r="AC18" s="12">
        <v>134</v>
      </c>
      <c r="AD18" s="12">
        <v>361</v>
      </c>
      <c r="AE18" s="12">
        <v>232</v>
      </c>
      <c r="AF18" s="12">
        <v>263</v>
      </c>
    </row>
    <row r="19" spans="1:32" ht="34.5">
      <c r="A19" s="23"/>
      <c r="B19" s="13" t="s">
        <v>561</v>
      </c>
      <c r="C19" s="14">
        <v>0.27</v>
      </c>
      <c r="D19" s="14">
        <v>0.23</v>
      </c>
      <c r="E19" s="14">
        <v>0.37</v>
      </c>
      <c r="F19" s="14">
        <v>0.32</v>
      </c>
      <c r="G19" s="14">
        <v>0.23</v>
      </c>
      <c r="H19" s="14">
        <v>0.3</v>
      </c>
      <c r="I19" s="14">
        <v>0.28999999999999998</v>
      </c>
      <c r="J19" s="14">
        <v>0.28000000000000003</v>
      </c>
      <c r="K19" s="14">
        <v>0.28000000000000003</v>
      </c>
      <c r="L19" s="14">
        <v>0.33</v>
      </c>
      <c r="M19" s="14">
        <v>0.42</v>
      </c>
      <c r="N19" s="14">
        <v>0.2</v>
      </c>
      <c r="O19" s="14">
        <v>0.26</v>
      </c>
      <c r="P19" s="14">
        <v>0.32</v>
      </c>
      <c r="Q19" s="14">
        <v>0.28999999999999998</v>
      </c>
      <c r="R19" s="14">
        <v>0.5</v>
      </c>
      <c r="S19" s="14">
        <v>0.22</v>
      </c>
      <c r="T19" s="14">
        <v>0.32</v>
      </c>
      <c r="U19" s="14">
        <v>0.17</v>
      </c>
      <c r="V19" s="14">
        <v>0.32</v>
      </c>
      <c r="W19" s="14">
        <v>0.28999999999999998</v>
      </c>
      <c r="X19" s="14">
        <v>0.17</v>
      </c>
      <c r="Y19" s="14">
        <v>0.38</v>
      </c>
      <c r="Z19" s="14">
        <v>0.17</v>
      </c>
      <c r="AA19" s="14">
        <v>0.19</v>
      </c>
      <c r="AB19" s="14">
        <v>0.37</v>
      </c>
      <c r="AC19" s="14">
        <v>0.15</v>
      </c>
      <c r="AD19" s="14">
        <v>0.44</v>
      </c>
      <c r="AE19" s="14">
        <v>0.27</v>
      </c>
      <c r="AF19" s="14">
        <v>0.28000000000000003</v>
      </c>
    </row>
    <row r="20" spans="1:32" ht="34.5">
      <c r="A20" s="23"/>
      <c r="B20" s="11" t="s">
        <v>562</v>
      </c>
      <c r="C20" s="12">
        <v>6911</v>
      </c>
      <c r="D20" s="12">
        <v>268</v>
      </c>
      <c r="E20" s="12">
        <v>322</v>
      </c>
      <c r="F20" s="12">
        <v>296</v>
      </c>
      <c r="G20" s="12">
        <v>273</v>
      </c>
      <c r="H20" s="12">
        <v>344</v>
      </c>
      <c r="I20" s="12">
        <v>441</v>
      </c>
      <c r="J20" s="12">
        <v>98</v>
      </c>
      <c r="K20" s="12">
        <v>277</v>
      </c>
      <c r="L20" s="12">
        <v>227</v>
      </c>
      <c r="M20" s="12">
        <v>406</v>
      </c>
      <c r="N20" s="12">
        <v>181</v>
      </c>
      <c r="O20" s="12">
        <v>253</v>
      </c>
      <c r="P20" s="12">
        <v>273</v>
      </c>
      <c r="Q20" s="12">
        <v>263</v>
      </c>
      <c r="R20" s="12">
        <v>173</v>
      </c>
      <c r="S20" s="12">
        <v>162</v>
      </c>
      <c r="T20" s="12">
        <v>267</v>
      </c>
      <c r="U20" s="12">
        <v>104</v>
      </c>
      <c r="V20" s="12">
        <v>288</v>
      </c>
      <c r="W20" s="12">
        <v>104</v>
      </c>
      <c r="X20" s="12">
        <v>330</v>
      </c>
      <c r="Y20" s="12">
        <v>320</v>
      </c>
      <c r="Z20" s="12">
        <v>168</v>
      </c>
      <c r="AA20" s="12">
        <v>226</v>
      </c>
      <c r="AB20" s="12">
        <v>361</v>
      </c>
      <c r="AC20" s="12">
        <v>214</v>
      </c>
      <c r="AD20" s="12">
        <v>321</v>
      </c>
      <c r="AE20" s="12">
        <v>287</v>
      </c>
      <c r="AF20" s="12">
        <v>342</v>
      </c>
    </row>
    <row r="21" spans="1:32" ht="34.5">
      <c r="A21" s="23"/>
      <c r="B21" s="13" t="s">
        <v>563</v>
      </c>
      <c r="C21" s="14">
        <v>0.31</v>
      </c>
      <c r="D21" s="14">
        <v>0.32</v>
      </c>
      <c r="E21" s="14">
        <v>0.35</v>
      </c>
      <c r="F21" s="14">
        <v>0.35</v>
      </c>
      <c r="G21" s="14">
        <v>0.41</v>
      </c>
      <c r="H21" s="14">
        <v>0.33</v>
      </c>
      <c r="I21" s="14">
        <v>0.34</v>
      </c>
      <c r="J21" s="14">
        <v>0.4</v>
      </c>
      <c r="K21" s="14">
        <v>0.33</v>
      </c>
      <c r="L21" s="14">
        <v>0.26</v>
      </c>
      <c r="M21" s="14">
        <v>0.47</v>
      </c>
      <c r="N21" s="14">
        <v>0.22</v>
      </c>
      <c r="O21" s="14">
        <v>0.31</v>
      </c>
      <c r="P21" s="14">
        <v>0.3</v>
      </c>
      <c r="Q21" s="14">
        <v>0.3</v>
      </c>
      <c r="R21" s="14">
        <v>0.41</v>
      </c>
      <c r="S21" s="14">
        <v>0.19</v>
      </c>
      <c r="T21" s="14">
        <v>0.31</v>
      </c>
      <c r="U21" s="14">
        <v>0.23</v>
      </c>
      <c r="V21" s="14">
        <v>0.34</v>
      </c>
      <c r="W21" s="14">
        <v>0.25</v>
      </c>
      <c r="X21" s="14">
        <v>0.44</v>
      </c>
      <c r="Y21" s="14">
        <v>0.37</v>
      </c>
      <c r="Z21" s="14">
        <v>0.19</v>
      </c>
      <c r="AA21" s="14">
        <v>0.25</v>
      </c>
      <c r="AB21" s="14">
        <v>0.41</v>
      </c>
      <c r="AC21" s="14">
        <v>0.26</v>
      </c>
      <c r="AD21" s="14">
        <v>0.35</v>
      </c>
      <c r="AE21" s="14">
        <v>0.4</v>
      </c>
      <c r="AF21" s="14">
        <v>0.45</v>
      </c>
    </row>
    <row r="22" spans="1:32" ht="45.75">
      <c r="A22" s="23"/>
      <c r="B22" s="11" t="s">
        <v>564</v>
      </c>
      <c r="C22" s="12">
        <v>6199</v>
      </c>
      <c r="D22" s="12">
        <v>213</v>
      </c>
      <c r="E22" s="12">
        <v>270</v>
      </c>
      <c r="F22" s="12">
        <v>254</v>
      </c>
      <c r="G22" s="12">
        <v>159</v>
      </c>
      <c r="H22" s="12">
        <v>331</v>
      </c>
      <c r="I22" s="12">
        <v>410</v>
      </c>
      <c r="J22" s="12">
        <v>79</v>
      </c>
      <c r="K22" s="12">
        <v>220</v>
      </c>
      <c r="L22" s="12">
        <v>211</v>
      </c>
      <c r="M22" s="12">
        <v>374</v>
      </c>
      <c r="N22" s="12">
        <v>176</v>
      </c>
      <c r="O22" s="12">
        <v>225</v>
      </c>
      <c r="P22" s="12">
        <v>301</v>
      </c>
      <c r="Q22" s="12">
        <v>249</v>
      </c>
      <c r="R22" s="12">
        <v>172</v>
      </c>
      <c r="S22" s="12">
        <v>105</v>
      </c>
      <c r="T22" s="12">
        <v>164</v>
      </c>
      <c r="U22" s="12">
        <v>98</v>
      </c>
      <c r="V22" s="12">
        <v>288</v>
      </c>
      <c r="W22" s="12">
        <v>103</v>
      </c>
      <c r="X22" s="12">
        <v>181</v>
      </c>
      <c r="Y22" s="12">
        <v>294</v>
      </c>
      <c r="Z22" s="12">
        <v>186</v>
      </c>
      <c r="AA22" s="12">
        <v>210</v>
      </c>
      <c r="AB22" s="12">
        <v>346</v>
      </c>
      <c r="AC22" s="12">
        <v>201</v>
      </c>
      <c r="AD22" s="12">
        <v>283</v>
      </c>
      <c r="AE22" s="12">
        <v>181</v>
      </c>
      <c r="AF22" s="12">
        <v>225</v>
      </c>
    </row>
    <row r="23" spans="1:32" ht="45.75">
      <c r="A23" s="23"/>
      <c r="B23" s="13" t="s">
        <v>565</v>
      </c>
      <c r="C23" s="14">
        <v>0.27</v>
      </c>
      <c r="D23" s="14">
        <v>0.25</v>
      </c>
      <c r="E23" s="14">
        <v>0.3</v>
      </c>
      <c r="F23" s="14">
        <v>0.3</v>
      </c>
      <c r="G23" s="14">
        <v>0.18</v>
      </c>
      <c r="H23" s="14">
        <v>0.31</v>
      </c>
      <c r="I23" s="14">
        <v>0.31</v>
      </c>
      <c r="J23" s="14">
        <v>0.31</v>
      </c>
      <c r="K23" s="14">
        <v>0.26</v>
      </c>
      <c r="L23" s="14">
        <v>0.24</v>
      </c>
      <c r="M23" s="14">
        <v>0.46</v>
      </c>
      <c r="N23" s="14">
        <v>0.2</v>
      </c>
      <c r="O23" s="14">
        <v>0.27</v>
      </c>
      <c r="P23" s="14">
        <v>0.35</v>
      </c>
      <c r="Q23" s="14">
        <v>0.28000000000000003</v>
      </c>
      <c r="R23" s="14">
        <v>0.4</v>
      </c>
      <c r="S23" s="14">
        <v>0.12</v>
      </c>
      <c r="T23" s="14">
        <v>0.18</v>
      </c>
      <c r="U23" s="14">
        <v>0.22</v>
      </c>
      <c r="V23" s="14">
        <v>0.33</v>
      </c>
      <c r="W23" s="14">
        <v>0.24</v>
      </c>
      <c r="X23" s="14">
        <v>0.2</v>
      </c>
      <c r="Y23" s="14">
        <v>0.34</v>
      </c>
      <c r="Z23" s="14">
        <v>0.21</v>
      </c>
      <c r="AA23" s="14">
        <v>0.24</v>
      </c>
      <c r="AB23" s="14">
        <v>0.4</v>
      </c>
      <c r="AC23" s="14">
        <v>0.23</v>
      </c>
      <c r="AD23" s="14">
        <v>0.33</v>
      </c>
      <c r="AE23" s="14">
        <v>0.2</v>
      </c>
      <c r="AF23" s="14">
        <v>0.22</v>
      </c>
    </row>
    <row r="24" spans="1:32" ht="45.75">
      <c r="A24" s="23"/>
      <c r="B24" s="11" t="s">
        <v>566</v>
      </c>
      <c r="C24" s="12">
        <v>6791</v>
      </c>
      <c r="D24" s="12">
        <v>241</v>
      </c>
      <c r="E24" s="12">
        <v>305</v>
      </c>
      <c r="F24" s="12">
        <v>274</v>
      </c>
      <c r="G24" s="12">
        <v>188</v>
      </c>
      <c r="H24" s="12">
        <v>296</v>
      </c>
      <c r="I24" s="12">
        <v>386</v>
      </c>
      <c r="J24" s="12">
        <v>90</v>
      </c>
      <c r="K24" s="12">
        <v>287</v>
      </c>
      <c r="L24" s="12">
        <v>254</v>
      </c>
      <c r="M24" s="12">
        <v>422</v>
      </c>
      <c r="N24" s="12">
        <v>195</v>
      </c>
      <c r="O24" s="12">
        <v>272</v>
      </c>
      <c r="P24" s="12">
        <v>320</v>
      </c>
      <c r="Q24" s="12">
        <v>305</v>
      </c>
      <c r="R24" s="12">
        <v>183</v>
      </c>
      <c r="S24" s="12">
        <v>199</v>
      </c>
      <c r="T24" s="12">
        <v>288</v>
      </c>
      <c r="U24" s="12">
        <v>112</v>
      </c>
      <c r="V24" s="12">
        <v>280</v>
      </c>
      <c r="W24" s="12">
        <v>114</v>
      </c>
      <c r="X24" s="12">
        <v>208</v>
      </c>
      <c r="Y24" s="12">
        <v>337</v>
      </c>
      <c r="Z24" s="12">
        <v>198</v>
      </c>
      <c r="AA24" s="12">
        <v>242</v>
      </c>
      <c r="AB24" s="12">
        <v>336</v>
      </c>
      <c r="AC24" s="12">
        <v>206</v>
      </c>
      <c r="AD24" s="12">
        <v>310</v>
      </c>
      <c r="AE24" s="12">
        <v>165</v>
      </c>
      <c r="AF24" s="12">
        <v>262</v>
      </c>
    </row>
    <row r="25" spans="1:32" ht="45.75">
      <c r="A25" s="23"/>
      <c r="B25" s="13" t="s">
        <v>567</v>
      </c>
      <c r="C25" s="14">
        <v>0.31</v>
      </c>
      <c r="D25" s="14">
        <v>0.28999999999999998</v>
      </c>
      <c r="E25" s="14">
        <v>0.36</v>
      </c>
      <c r="F25" s="14">
        <v>0.35</v>
      </c>
      <c r="G25" s="14">
        <v>0.21</v>
      </c>
      <c r="H25" s="14">
        <v>0.28000000000000003</v>
      </c>
      <c r="I25" s="14">
        <v>0.3</v>
      </c>
      <c r="J25" s="14">
        <v>0.38</v>
      </c>
      <c r="K25" s="14">
        <v>0.35</v>
      </c>
      <c r="L25" s="14">
        <v>0.3</v>
      </c>
      <c r="M25" s="14">
        <v>0.51</v>
      </c>
      <c r="N25" s="14">
        <v>0.24</v>
      </c>
      <c r="O25" s="14">
        <v>0.34</v>
      </c>
      <c r="P25" s="14">
        <v>0.41</v>
      </c>
      <c r="Q25" s="14">
        <v>0.36</v>
      </c>
      <c r="R25" s="14">
        <v>0.45</v>
      </c>
      <c r="S25" s="14">
        <v>0.24</v>
      </c>
      <c r="T25" s="14">
        <v>0.36</v>
      </c>
      <c r="U25" s="14">
        <v>0.26</v>
      </c>
      <c r="V25" s="14">
        <v>0.32</v>
      </c>
      <c r="W25" s="14">
        <v>0.28000000000000003</v>
      </c>
      <c r="X25" s="14">
        <v>0.23</v>
      </c>
      <c r="Y25" s="14">
        <v>0.39</v>
      </c>
      <c r="Z25" s="14">
        <v>0.25</v>
      </c>
      <c r="AA25" s="14">
        <v>0.35</v>
      </c>
      <c r="AB25" s="14">
        <v>0.41</v>
      </c>
      <c r="AC25" s="14">
        <v>0.25</v>
      </c>
      <c r="AD25" s="14">
        <v>0.4</v>
      </c>
      <c r="AE25" s="14">
        <v>0.18</v>
      </c>
      <c r="AF25" s="14">
        <v>0.28000000000000003</v>
      </c>
    </row>
    <row r="26" spans="1:32" ht="45.75">
      <c r="A26" s="23"/>
      <c r="B26" s="11" t="s">
        <v>568</v>
      </c>
      <c r="C26" s="12">
        <v>373</v>
      </c>
      <c r="D26" s="12">
        <v>24</v>
      </c>
      <c r="E26" s="12">
        <v>12</v>
      </c>
      <c r="F26" s="12">
        <v>10</v>
      </c>
      <c r="G26" s="12">
        <v>26</v>
      </c>
      <c r="H26" s="12">
        <v>3</v>
      </c>
      <c r="I26" s="12">
        <v>5</v>
      </c>
      <c r="J26" s="12">
        <v>2</v>
      </c>
      <c r="K26" s="12">
        <v>31</v>
      </c>
      <c r="L26" s="12">
        <v>7</v>
      </c>
      <c r="M26" s="12">
        <v>10</v>
      </c>
      <c r="N26" s="12">
        <v>44</v>
      </c>
      <c r="O26" s="12">
        <v>17</v>
      </c>
      <c r="P26" s="12">
        <v>2</v>
      </c>
      <c r="Q26" s="12">
        <v>6</v>
      </c>
      <c r="R26" s="12">
        <v>12</v>
      </c>
      <c r="S26" s="12">
        <v>30</v>
      </c>
      <c r="T26" s="12">
        <v>17</v>
      </c>
      <c r="U26" s="12">
        <v>6</v>
      </c>
      <c r="V26" s="12">
        <v>11</v>
      </c>
      <c r="W26" s="12">
        <v>10</v>
      </c>
      <c r="X26" s="12">
        <v>26</v>
      </c>
      <c r="Y26" s="12">
        <v>21</v>
      </c>
      <c r="Z26" s="12">
        <v>6</v>
      </c>
      <c r="AA26" s="12">
        <v>7</v>
      </c>
      <c r="AB26" s="12">
        <v>3</v>
      </c>
      <c r="AC26" s="12">
        <v>31</v>
      </c>
      <c r="AD26" s="12">
        <v>9</v>
      </c>
      <c r="AE26" s="12">
        <v>21</v>
      </c>
      <c r="AF26" s="12">
        <v>18</v>
      </c>
    </row>
    <row r="27" spans="1:32" ht="45.75">
      <c r="A27" s="23"/>
      <c r="B27" s="13" t="s">
        <v>569</v>
      </c>
      <c r="C27" s="14">
        <v>0.01</v>
      </c>
      <c r="D27" s="14">
        <v>0.02</v>
      </c>
      <c r="E27" s="14">
        <v>0.01</v>
      </c>
      <c r="F27" s="14">
        <v>0.01</v>
      </c>
      <c r="G27" s="14">
        <v>0.03</v>
      </c>
      <c r="H27" s="15" t="s">
        <v>485</v>
      </c>
      <c r="I27" s="15" t="s">
        <v>485</v>
      </c>
      <c r="J27" s="14">
        <v>0.01</v>
      </c>
      <c r="K27" s="14">
        <v>0.03</v>
      </c>
      <c r="L27" s="14">
        <v>0.01</v>
      </c>
      <c r="M27" s="14">
        <v>0.01</v>
      </c>
      <c r="N27" s="14">
        <v>0.05</v>
      </c>
      <c r="O27" s="14">
        <v>0.02</v>
      </c>
      <c r="P27" s="15" t="s">
        <v>485</v>
      </c>
      <c r="Q27" s="14">
        <v>0.01</v>
      </c>
      <c r="R27" s="14">
        <v>0.02</v>
      </c>
      <c r="S27" s="14">
        <v>0.03</v>
      </c>
      <c r="T27" s="14">
        <v>0.02</v>
      </c>
      <c r="U27" s="14">
        <v>0.01</v>
      </c>
      <c r="V27" s="14">
        <v>0.01</v>
      </c>
      <c r="W27" s="14">
        <v>0.02</v>
      </c>
      <c r="X27" s="14">
        <v>0.03</v>
      </c>
      <c r="Y27" s="14">
        <v>0.02</v>
      </c>
      <c r="Z27" s="14">
        <v>0.01</v>
      </c>
      <c r="AA27" s="14">
        <v>0.01</v>
      </c>
      <c r="AB27" s="15" t="s">
        <v>485</v>
      </c>
      <c r="AC27" s="14">
        <v>0.03</v>
      </c>
      <c r="AD27" s="14">
        <v>0.01</v>
      </c>
      <c r="AE27" s="14">
        <v>0.02</v>
      </c>
      <c r="AF27" s="14">
        <v>0.02</v>
      </c>
    </row>
    <row r="28" spans="1:32">
      <c r="A28" s="23"/>
      <c r="B28" s="11" t="s">
        <v>550</v>
      </c>
      <c r="C28" s="12">
        <v>515</v>
      </c>
      <c r="D28" s="12">
        <v>26</v>
      </c>
      <c r="E28" s="12">
        <v>4</v>
      </c>
      <c r="F28" s="12">
        <v>6</v>
      </c>
      <c r="G28" s="12">
        <v>37</v>
      </c>
      <c r="H28" s="12">
        <v>25</v>
      </c>
      <c r="I28" s="12">
        <v>31</v>
      </c>
      <c r="J28" s="12">
        <v>6</v>
      </c>
      <c r="K28" s="12">
        <v>44</v>
      </c>
      <c r="L28" s="12">
        <v>8</v>
      </c>
      <c r="M28" s="12">
        <v>17</v>
      </c>
      <c r="N28" s="12">
        <v>39</v>
      </c>
      <c r="O28" s="12">
        <v>13</v>
      </c>
      <c r="P28" s="12">
        <v>7</v>
      </c>
      <c r="Q28" s="12">
        <v>12</v>
      </c>
      <c r="R28" s="12">
        <v>5</v>
      </c>
      <c r="S28" s="12">
        <v>76</v>
      </c>
      <c r="T28" s="12">
        <v>54</v>
      </c>
      <c r="U28" s="12">
        <v>34</v>
      </c>
      <c r="V28" s="12">
        <v>8</v>
      </c>
      <c r="W28" s="12">
        <v>9</v>
      </c>
      <c r="X28" s="12">
        <v>19</v>
      </c>
      <c r="Y28" s="12">
        <v>49</v>
      </c>
      <c r="Z28" s="12">
        <v>6</v>
      </c>
      <c r="AA28" s="12">
        <v>45</v>
      </c>
      <c r="AB28" s="12">
        <v>14</v>
      </c>
      <c r="AC28" s="12">
        <v>95</v>
      </c>
      <c r="AD28" s="12">
        <v>18</v>
      </c>
      <c r="AE28" s="12">
        <v>7</v>
      </c>
      <c r="AF28" s="12">
        <v>17</v>
      </c>
    </row>
    <row r="29" spans="1:32">
      <c r="A29" s="23"/>
      <c r="B29" s="13" t="s">
        <v>551</v>
      </c>
      <c r="C29" s="14">
        <v>0.02</v>
      </c>
      <c r="D29" s="14">
        <v>0.03</v>
      </c>
      <c r="E29" s="15" t="s">
        <v>485</v>
      </c>
      <c r="F29" s="14">
        <v>0.01</v>
      </c>
      <c r="G29" s="14">
        <v>0.04</v>
      </c>
      <c r="H29" s="14">
        <v>0.02</v>
      </c>
      <c r="I29" s="14">
        <v>0.02</v>
      </c>
      <c r="J29" s="14">
        <v>0.02</v>
      </c>
      <c r="K29" s="14">
        <v>0.05</v>
      </c>
      <c r="L29" s="14">
        <v>0.01</v>
      </c>
      <c r="M29" s="14">
        <v>0.02</v>
      </c>
      <c r="N29" s="14">
        <v>0.04</v>
      </c>
      <c r="O29" s="14">
        <v>0.01</v>
      </c>
      <c r="P29" s="14">
        <v>0.01</v>
      </c>
      <c r="Q29" s="14">
        <v>0.01</v>
      </c>
      <c r="R29" s="14">
        <v>0.01</v>
      </c>
      <c r="S29" s="14">
        <v>0.08</v>
      </c>
      <c r="T29" s="14">
        <v>0.06</v>
      </c>
      <c r="U29" s="14">
        <v>7.0000000000000007E-2</v>
      </c>
      <c r="V29" s="14">
        <v>0.01</v>
      </c>
      <c r="W29" s="14">
        <v>0.02</v>
      </c>
      <c r="X29" s="14">
        <v>0.02</v>
      </c>
      <c r="Y29" s="14">
        <v>0.05</v>
      </c>
      <c r="Z29" s="14">
        <v>0.01</v>
      </c>
      <c r="AA29" s="14">
        <v>0.05</v>
      </c>
      <c r="AB29" s="14">
        <v>0.01</v>
      </c>
      <c r="AC29" s="14">
        <v>0.1</v>
      </c>
      <c r="AD29" s="14">
        <v>0.02</v>
      </c>
      <c r="AE29" s="14">
        <v>0.01</v>
      </c>
      <c r="AF29" s="14">
        <v>0.02</v>
      </c>
    </row>
    <row r="30" spans="1:32">
      <c r="A30" s="23"/>
      <c r="B30" s="11" t="s">
        <v>497</v>
      </c>
      <c r="C30" s="12">
        <v>1549</v>
      </c>
      <c r="D30" s="12">
        <v>42</v>
      </c>
      <c r="E30" s="12">
        <v>76</v>
      </c>
      <c r="F30" s="12">
        <v>77</v>
      </c>
      <c r="G30" s="12">
        <v>71</v>
      </c>
      <c r="H30" s="12">
        <v>43</v>
      </c>
      <c r="I30" s="12">
        <v>56</v>
      </c>
      <c r="J30" s="12">
        <v>12</v>
      </c>
      <c r="K30" s="12">
        <v>124</v>
      </c>
      <c r="L30" s="12">
        <v>88</v>
      </c>
      <c r="M30" s="12">
        <v>56</v>
      </c>
      <c r="N30" s="12">
        <v>116</v>
      </c>
      <c r="O30" s="12">
        <v>79</v>
      </c>
      <c r="P30" s="12">
        <v>37</v>
      </c>
      <c r="Q30" s="12">
        <v>25</v>
      </c>
      <c r="R30" s="12">
        <v>21</v>
      </c>
      <c r="S30" s="12">
        <v>156</v>
      </c>
      <c r="T30" s="12">
        <v>121</v>
      </c>
      <c r="U30" s="12">
        <v>30</v>
      </c>
      <c r="V30" s="12">
        <v>76</v>
      </c>
      <c r="W30" s="12">
        <v>38</v>
      </c>
      <c r="X30" s="12">
        <v>28</v>
      </c>
      <c r="Y30" s="12">
        <v>29</v>
      </c>
      <c r="Z30" s="12">
        <v>62</v>
      </c>
      <c r="AA30" s="12">
        <v>119</v>
      </c>
      <c r="AB30" s="12">
        <v>27</v>
      </c>
      <c r="AC30" s="12">
        <v>49</v>
      </c>
      <c r="AD30" s="12">
        <v>58</v>
      </c>
      <c r="AE30" s="12">
        <v>75</v>
      </c>
      <c r="AF30" s="12">
        <v>36</v>
      </c>
    </row>
    <row r="31" spans="1:32">
      <c r="A31" s="23"/>
      <c r="B31" s="13" t="s">
        <v>498</v>
      </c>
      <c r="C31" s="14">
        <v>0.06</v>
      </c>
      <c r="D31" s="14">
        <v>0.04</v>
      </c>
      <c r="E31" s="14">
        <v>7.0000000000000007E-2</v>
      </c>
      <c r="F31" s="14">
        <v>0.08</v>
      </c>
      <c r="G31" s="14">
        <v>7.0000000000000007E-2</v>
      </c>
      <c r="H31" s="14">
        <v>0.04</v>
      </c>
      <c r="I31" s="14">
        <v>0.04</v>
      </c>
      <c r="J31" s="14">
        <v>0.04</v>
      </c>
      <c r="K31" s="14">
        <v>0.13</v>
      </c>
      <c r="L31" s="14">
        <v>0.09</v>
      </c>
      <c r="M31" s="14">
        <v>0.06</v>
      </c>
      <c r="N31" s="14">
        <v>0.12</v>
      </c>
      <c r="O31" s="14">
        <v>0.08</v>
      </c>
      <c r="P31" s="14">
        <v>0.04</v>
      </c>
      <c r="Q31" s="14">
        <v>0.02</v>
      </c>
      <c r="R31" s="14">
        <v>0.04</v>
      </c>
      <c r="S31" s="14">
        <v>0.16</v>
      </c>
      <c r="T31" s="14">
        <v>0.12</v>
      </c>
      <c r="U31" s="14">
        <v>0.06</v>
      </c>
      <c r="V31" s="14">
        <v>0.08</v>
      </c>
      <c r="W31" s="14">
        <v>0.08</v>
      </c>
      <c r="X31" s="14">
        <v>0.03</v>
      </c>
      <c r="Y31" s="14">
        <v>0.03</v>
      </c>
      <c r="Z31" s="14">
        <v>0.06</v>
      </c>
      <c r="AA31" s="14">
        <v>0.12</v>
      </c>
      <c r="AB31" s="14">
        <v>0.03</v>
      </c>
      <c r="AC31" s="14">
        <v>0.05</v>
      </c>
      <c r="AD31" s="14">
        <v>0.06</v>
      </c>
      <c r="AE31" s="14">
        <v>0.08</v>
      </c>
      <c r="AF31" s="14">
        <v>0.03</v>
      </c>
    </row>
  </sheetData>
  <mergeCells count="9">
    <mergeCell ref="H3:L3"/>
    <mergeCell ref="C8:AF8"/>
    <mergeCell ref="B3:F3"/>
    <mergeCell ref="B5:F5"/>
    <mergeCell ref="A10:A31"/>
    <mergeCell ref="H5:L5"/>
    <mergeCell ref="B10:B11"/>
    <mergeCell ref="H4:L4"/>
    <mergeCell ref="B4:F4"/>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F31"/>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36" customHeight="1">
      <c r="B3" s="19" t="s">
        <v>31</v>
      </c>
      <c r="C3" s="19"/>
      <c r="D3" s="19"/>
      <c r="E3" s="19"/>
      <c r="F3" s="19"/>
      <c r="H3" s="19" t="s">
        <v>32</v>
      </c>
      <c r="I3" s="19"/>
      <c r="J3" s="19"/>
      <c r="K3" s="19"/>
      <c r="L3" s="19"/>
    </row>
    <row r="4" spans="1:32" ht="27" customHeight="1">
      <c r="B4" s="19"/>
      <c r="C4" s="19"/>
      <c r="D4" s="19"/>
      <c r="E4" s="19"/>
      <c r="F4" s="19"/>
      <c r="H4" s="19"/>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HYPERLINK("#Content!A17","&lt;&lt;Back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45.75">
      <c r="A12" s="23"/>
      <c r="B12" s="11" t="s">
        <v>554</v>
      </c>
      <c r="C12" s="12">
        <v>9188</v>
      </c>
      <c r="D12" s="12">
        <v>344</v>
      </c>
      <c r="E12" s="12">
        <v>306</v>
      </c>
      <c r="F12" s="12">
        <v>308</v>
      </c>
      <c r="G12" s="12">
        <v>403</v>
      </c>
      <c r="H12" s="12">
        <v>474</v>
      </c>
      <c r="I12" s="12">
        <v>585</v>
      </c>
      <c r="J12" s="12">
        <v>111</v>
      </c>
      <c r="K12" s="12">
        <v>204</v>
      </c>
      <c r="L12" s="12">
        <v>339</v>
      </c>
      <c r="M12" s="12">
        <v>428</v>
      </c>
      <c r="N12" s="12">
        <v>239</v>
      </c>
      <c r="O12" s="12">
        <v>361</v>
      </c>
      <c r="P12" s="12">
        <v>354</v>
      </c>
      <c r="Q12" s="12">
        <v>414</v>
      </c>
      <c r="R12" s="12">
        <v>237</v>
      </c>
      <c r="S12" s="12">
        <v>149</v>
      </c>
      <c r="T12" s="12">
        <v>195</v>
      </c>
      <c r="U12" s="12">
        <v>167</v>
      </c>
      <c r="V12" s="12">
        <v>306</v>
      </c>
      <c r="W12" s="12">
        <v>163</v>
      </c>
      <c r="X12" s="12">
        <v>441</v>
      </c>
      <c r="Y12" s="12">
        <v>396</v>
      </c>
      <c r="Z12" s="12">
        <v>302</v>
      </c>
      <c r="AA12" s="12">
        <v>229</v>
      </c>
      <c r="AB12" s="12">
        <v>339</v>
      </c>
      <c r="AC12" s="12">
        <v>249</v>
      </c>
      <c r="AD12" s="12">
        <v>383</v>
      </c>
      <c r="AE12" s="12">
        <v>300</v>
      </c>
      <c r="AF12" s="12">
        <v>495</v>
      </c>
    </row>
    <row r="13" spans="1:32" ht="34.5">
      <c r="A13" s="23"/>
      <c r="B13" s="13" t="s">
        <v>555</v>
      </c>
      <c r="C13" s="14">
        <v>0.35</v>
      </c>
      <c r="D13" s="14">
        <v>0.34</v>
      </c>
      <c r="E13" s="14">
        <v>0.28999999999999998</v>
      </c>
      <c r="F13" s="14">
        <v>0.31</v>
      </c>
      <c r="G13" s="14">
        <v>0.4</v>
      </c>
      <c r="H13" s="14">
        <v>0.39</v>
      </c>
      <c r="I13" s="14">
        <v>0.39</v>
      </c>
      <c r="J13" s="14">
        <v>0.38</v>
      </c>
      <c r="K13" s="14">
        <v>0.2</v>
      </c>
      <c r="L13" s="14">
        <v>0.34</v>
      </c>
      <c r="M13" s="14">
        <v>0.42</v>
      </c>
      <c r="N13" s="14">
        <v>0.24</v>
      </c>
      <c r="O13" s="14">
        <v>0.36</v>
      </c>
      <c r="P13" s="14">
        <v>0.35</v>
      </c>
      <c r="Q13" s="14">
        <v>0.4</v>
      </c>
      <c r="R13" s="14">
        <v>0.47</v>
      </c>
      <c r="S13" s="14">
        <v>0.15</v>
      </c>
      <c r="T13" s="14">
        <v>0.19</v>
      </c>
      <c r="U13" s="14">
        <v>0.33</v>
      </c>
      <c r="V13" s="14">
        <v>0.3</v>
      </c>
      <c r="W13" s="14">
        <v>0.32</v>
      </c>
      <c r="X13" s="14">
        <v>0.43</v>
      </c>
      <c r="Y13" s="14">
        <v>0.39</v>
      </c>
      <c r="Z13" s="14">
        <v>0.3</v>
      </c>
      <c r="AA13" s="14">
        <v>0.22</v>
      </c>
      <c r="AB13" s="14">
        <v>0.33</v>
      </c>
      <c r="AC13" s="14">
        <v>0.25</v>
      </c>
      <c r="AD13" s="14">
        <v>0.38</v>
      </c>
      <c r="AE13" s="14">
        <v>0.3</v>
      </c>
      <c r="AF13" s="14">
        <v>0.46</v>
      </c>
    </row>
    <row r="14" spans="1:32" ht="57">
      <c r="A14" s="23"/>
      <c r="B14" s="11" t="s">
        <v>556</v>
      </c>
      <c r="C14" s="12">
        <v>8079</v>
      </c>
      <c r="D14" s="12">
        <v>263</v>
      </c>
      <c r="E14" s="12">
        <v>357</v>
      </c>
      <c r="F14" s="12">
        <v>197</v>
      </c>
      <c r="G14" s="12">
        <v>205</v>
      </c>
      <c r="H14" s="12">
        <v>477</v>
      </c>
      <c r="I14" s="12">
        <v>578</v>
      </c>
      <c r="J14" s="12">
        <v>101</v>
      </c>
      <c r="K14" s="12">
        <v>214</v>
      </c>
      <c r="L14" s="12">
        <v>260</v>
      </c>
      <c r="M14" s="12">
        <v>376</v>
      </c>
      <c r="N14" s="12">
        <v>225</v>
      </c>
      <c r="O14" s="12">
        <v>218</v>
      </c>
      <c r="P14" s="12">
        <v>329</v>
      </c>
      <c r="Q14" s="12">
        <v>463</v>
      </c>
      <c r="R14" s="12">
        <v>145</v>
      </c>
      <c r="S14" s="12">
        <v>116</v>
      </c>
      <c r="T14" s="12">
        <v>122</v>
      </c>
      <c r="U14" s="12">
        <v>132</v>
      </c>
      <c r="V14" s="12">
        <v>336</v>
      </c>
      <c r="W14" s="12">
        <v>111</v>
      </c>
      <c r="X14" s="12">
        <v>320</v>
      </c>
      <c r="Y14" s="12">
        <v>371</v>
      </c>
      <c r="Z14" s="12">
        <v>278</v>
      </c>
      <c r="AA14" s="12">
        <v>178</v>
      </c>
      <c r="AB14" s="12">
        <v>309</v>
      </c>
      <c r="AC14" s="12">
        <v>157</v>
      </c>
      <c r="AD14" s="12">
        <v>263</v>
      </c>
      <c r="AE14" s="12">
        <v>254</v>
      </c>
      <c r="AF14" s="12">
        <v>314</v>
      </c>
    </row>
    <row r="15" spans="1:32" ht="57">
      <c r="A15" s="23"/>
      <c r="B15" s="13" t="s">
        <v>557</v>
      </c>
      <c r="C15" s="14">
        <v>0.31</v>
      </c>
      <c r="D15" s="14">
        <v>0.26</v>
      </c>
      <c r="E15" s="14">
        <v>0.34</v>
      </c>
      <c r="F15" s="14">
        <v>0.2</v>
      </c>
      <c r="G15" s="14">
        <v>0.2</v>
      </c>
      <c r="H15" s="14">
        <v>0.39</v>
      </c>
      <c r="I15" s="14">
        <v>0.38</v>
      </c>
      <c r="J15" s="14">
        <v>0.34</v>
      </c>
      <c r="K15" s="14">
        <v>0.21</v>
      </c>
      <c r="L15" s="14">
        <v>0.26</v>
      </c>
      <c r="M15" s="14">
        <v>0.37</v>
      </c>
      <c r="N15" s="14">
        <v>0.22</v>
      </c>
      <c r="O15" s="14">
        <v>0.22</v>
      </c>
      <c r="P15" s="14">
        <v>0.33</v>
      </c>
      <c r="Q15" s="14">
        <v>0.45</v>
      </c>
      <c r="R15" s="14">
        <v>0.28999999999999998</v>
      </c>
      <c r="S15" s="14">
        <v>0.12</v>
      </c>
      <c r="T15" s="14">
        <v>0.12</v>
      </c>
      <c r="U15" s="14">
        <v>0.26</v>
      </c>
      <c r="V15" s="14">
        <v>0.33</v>
      </c>
      <c r="W15" s="14">
        <v>0.22</v>
      </c>
      <c r="X15" s="14">
        <v>0.32</v>
      </c>
      <c r="Y15" s="14">
        <v>0.37</v>
      </c>
      <c r="Z15" s="14">
        <v>0.27</v>
      </c>
      <c r="AA15" s="14">
        <v>0.17</v>
      </c>
      <c r="AB15" s="14">
        <v>0.3</v>
      </c>
      <c r="AC15" s="14">
        <v>0.16</v>
      </c>
      <c r="AD15" s="14">
        <v>0.26</v>
      </c>
      <c r="AE15" s="14">
        <v>0.25</v>
      </c>
      <c r="AF15" s="14">
        <v>0.28999999999999998</v>
      </c>
    </row>
    <row r="16" spans="1:32" ht="45.75">
      <c r="A16" s="23"/>
      <c r="B16" s="11" t="s">
        <v>558</v>
      </c>
      <c r="C16" s="12">
        <v>10506</v>
      </c>
      <c r="D16" s="12">
        <v>363</v>
      </c>
      <c r="E16" s="12">
        <v>391</v>
      </c>
      <c r="F16" s="12">
        <v>404</v>
      </c>
      <c r="G16" s="12">
        <v>379</v>
      </c>
      <c r="H16" s="12">
        <v>523</v>
      </c>
      <c r="I16" s="12">
        <v>670</v>
      </c>
      <c r="J16" s="12">
        <v>147</v>
      </c>
      <c r="K16" s="12">
        <v>415</v>
      </c>
      <c r="L16" s="12">
        <v>420</v>
      </c>
      <c r="M16" s="12">
        <v>440</v>
      </c>
      <c r="N16" s="12">
        <v>381</v>
      </c>
      <c r="O16" s="12">
        <v>380</v>
      </c>
      <c r="P16" s="12">
        <v>414</v>
      </c>
      <c r="Q16" s="12">
        <v>351</v>
      </c>
      <c r="R16" s="12">
        <v>219</v>
      </c>
      <c r="S16" s="12">
        <v>329</v>
      </c>
      <c r="T16" s="12">
        <v>252</v>
      </c>
      <c r="U16" s="12">
        <v>203</v>
      </c>
      <c r="V16" s="12">
        <v>449</v>
      </c>
      <c r="W16" s="12">
        <v>205</v>
      </c>
      <c r="X16" s="12">
        <v>434</v>
      </c>
      <c r="Y16" s="12">
        <v>444</v>
      </c>
      <c r="Z16" s="12">
        <v>404</v>
      </c>
      <c r="AA16" s="12">
        <v>379</v>
      </c>
      <c r="AB16" s="12">
        <v>383</v>
      </c>
      <c r="AC16" s="12">
        <v>322</v>
      </c>
      <c r="AD16" s="12">
        <v>478</v>
      </c>
      <c r="AE16" s="12">
        <v>541</v>
      </c>
      <c r="AF16" s="12">
        <v>513</v>
      </c>
    </row>
    <row r="17" spans="1:32" ht="34.5">
      <c r="A17" s="23"/>
      <c r="B17" s="13" t="s">
        <v>559</v>
      </c>
      <c r="C17" s="14">
        <v>0.4</v>
      </c>
      <c r="D17" s="14">
        <v>0.36</v>
      </c>
      <c r="E17" s="14">
        <v>0.37</v>
      </c>
      <c r="F17" s="14">
        <v>0.4</v>
      </c>
      <c r="G17" s="14">
        <v>0.38</v>
      </c>
      <c r="H17" s="14">
        <v>0.43</v>
      </c>
      <c r="I17" s="14">
        <v>0.45</v>
      </c>
      <c r="J17" s="14">
        <v>0.5</v>
      </c>
      <c r="K17" s="14">
        <v>0.41</v>
      </c>
      <c r="L17" s="14">
        <v>0.42</v>
      </c>
      <c r="M17" s="14">
        <v>0.44</v>
      </c>
      <c r="N17" s="14">
        <v>0.38</v>
      </c>
      <c r="O17" s="14">
        <v>0.38</v>
      </c>
      <c r="P17" s="14">
        <v>0.41</v>
      </c>
      <c r="Q17" s="14">
        <v>0.34</v>
      </c>
      <c r="R17" s="14">
        <v>0.44</v>
      </c>
      <c r="S17" s="14">
        <v>0.33</v>
      </c>
      <c r="T17" s="14">
        <v>0.25</v>
      </c>
      <c r="U17" s="14">
        <v>0.4</v>
      </c>
      <c r="V17" s="14">
        <v>0.44</v>
      </c>
      <c r="W17" s="14">
        <v>0.41</v>
      </c>
      <c r="X17" s="14">
        <v>0.43</v>
      </c>
      <c r="Y17" s="14">
        <v>0.44</v>
      </c>
      <c r="Z17" s="14">
        <v>0.4</v>
      </c>
      <c r="AA17" s="14">
        <v>0.36</v>
      </c>
      <c r="AB17" s="14">
        <v>0.37</v>
      </c>
      <c r="AC17" s="14">
        <v>0.32</v>
      </c>
      <c r="AD17" s="14">
        <v>0.48</v>
      </c>
      <c r="AE17" s="14">
        <v>0.54</v>
      </c>
      <c r="AF17" s="14">
        <v>0.48</v>
      </c>
    </row>
    <row r="18" spans="1:32" ht="45.75">
      <c r="A18" s="23"/>
      <c r="B18" s="11" t="s">
        <v>560</v>
      </c>
      <c r="C18" s="12">
        <v>8966</v>
      </c>
      <c r="D18" s="12">
        <v>309</v>
      </c>
      <c r="E18" s="12">
        <v>487</v>
      </c>
      <c r="F18" s="12">
        <v>416</v>
      </c>
      <c r="G18" s="12">
        <v>297</v>
      </c>
      <c r="H18" s="12">
        <v>443</v>
      </c>
      <c r="I18" s="12">
        <v>541</v>
      </c>
      <c r="J18" s="12">
        <v>98</v>
      </c>
      <c r="K18" s="12">
        <v>361</v>
      </c>
      <c r="L18" s="12">
        <v>411</v>
      </c>
      <c r="M18" s="12">
        <v>484</v>
      </c>
      <c r="N18" s="12">
        <v>253</v>
      </c>
      <c r="O18" s="12">
        <v>349</v>
      </c>
      <c r="P18" s="12">
        <v>396</v>
      </c>
      <c r="Q18" s="12">
        <v>355</v>
      </c>
      <c r="R18" s="12">
        <v>298</v>
      </c>
      <c r="S18" s="12">
        <v>369</v>
      </c>
      <c r="T18" s="12">
        <v>478</v>
      </c>
      <c r="U18" s="12">
        <v>137</v>
      </c>
      <c r="V18" s="12">
        <v>406</v>
      </c>
      <c r="W18" s="12">
        <v>206</v>
      </c>
      <c r="X18" s="12">
        <v>236</v>
      </c>
      <c r="Y18" s="12">
        <v>472</v>
      </c>
      <c r="Z18" s="12">
        <v>234</v>
      </c>
      <c r="AA18" s="12">
        <v>243</v>
      </c>
      <c r="AB18" s="12">
        <v>471</v>
      </c>
      <c r="AC18" s="12">
        <v>248</v>
      </c>
      <c r="AD18" s="12">
        <v>523</v>
      </c>
      <c r="AE18" s="12">
        <v>355</v>
      </c>
      <c r="AF18" s="12">
        <v>401</v>
      </c>
    </row>
    <row r="19" spans="1:32" ht="34.5">
      <c r="A19" s="23"/>
      <c r="B19" s="13" t="s">
        <v>561</v>
      </c>
      <c r="C19" s="14">
        <v>0.34</v>
      </c>
      <c r="D19" s="14">
        <v>0.31</v>
      </c>
      <c r="E19" s="14">
        <v>0.47</v>
      </c>
      <c r="F19" s="14">
        <v>0.41</v>
      </c>
      <c r="G19" s="14">
        <v>0.3</v>
      </c>
      <c r="H19" s="14">
        <v>0.37</v>
      </c>
      <c r="I19" s="14">
        <v>0.36</v>
      </c>
      <c r="J19" s="14">
        <v>0.33</v>
      </c>
      <c r="K19" s="14">
        <v>0.36</v>
      </c>
      <c r="L19" s="14">
        <v>0.41</v>
      </c>
      <c r="M19" s="14">
        <v>0.48</v>
      </c>
      <c r="N19" s="14">
        <v>0.25</v>
      </c>
      <c r="O19" s="14">
        <v>0.35</v>
      </c>
      <c r="P19" s="14">
        <v>0.39</v>
      </c>
      <c r="Q19" s="14">
        <v>0.35</v>
      </c>
      <c r="R19" s="14">
        <v>0.59</v>
      </c>
      <c r="S19" s="14">
        <v>0.37</v>
      </c>
      <c r="T19" s="14">
        <v>0.48</v>
      </c>
      <c r="U19" s="14">
        <v>0.27</v>
      </c>
      <c r="V19" s="14">
        <v>0.4</v>
      </c>
      <c r="W19" s="14">
        <v>0.41</v>
      </c>
      <c r="X19" s="14">
        <v>0.23</v>
      </c>
      <c r="Y19" s="14">
        <v>0.47</v>
      </c>
      <c r="Z19" s="14">
        <v>0.23</v>
      </c>
      <c r="AA19" s="14">
        <v>0.23</v>
      </c>
      <c r="AB19" s="14">
        <v>0.46</v>
      </c>
      <c r="AC19" s="14">
        <v>0.25</v>
      </c>
      <c r="AD19" s="14">
        <v>0.52</v>
      </c>
      <c r="AE19" s="14">
        <v>0.35</v>
      </c>
      <c r="AF19" s="14">
        <v>0.37</v>
      </c>
    </row>
    <row r="20" spans="1:32" ht="34.5">
      <c r="A20" s="23"/>
      <c r="B20" s="11" t="s">
        <v>562</v>
      </c>
      <c r="C20" s="12">
        <v>10630</v>
      </c>
      <c r="D20" s="12">
        <v>433</v>
      </c>
      <c r="E20" s="12">
        <v>439</v>
      </c>
      <c r="F20" s="12">
        <v>425</v>
      </c>
      <c r="G20" s="12">
        <v>570</v>
      </c>
      <c r="H20" s="12">
        <v>494</v>
      </c>
      <c r="I20" s="12">
        <v>637</v>
      </c>
      <c r="J20" s="12">
        <v>143</v>
      </c>
      <c r="K20" s="12">
        <v>406</v>
      </c>
      <c r="L20" s="12">
        <v>334</v>
      </c>
      <c r="M20" s="12">
        <v>539</v>
      </c>
      <c r="N20" s="12">
        <v>296</v>
      </c>
      <c r="O20" s="12">
        <v>401</v>
      </c>
      <c r="P20" s="12">
        <v>367</v>
      </c>
      <c r="Q20" s="12">
        <v>397</v>
      </c>
      <c r="R20" s="12">
        <v>243</v>
      </c>
      <c r="S20" s="12">
        <v>283</v>
      </c>
      <c r="T20" s="12">
        <v>387</v>
      </c>
      <c r="U20" s="12">
        <v>151</v>
      </c>
      <c r="V20" s="12">
        <v>439</v>
      </c>
      <c r="W20" s="12">
        <v>167</v>
      </c>
      <c r="X20" s="12">
        <v>590</v>
      </c>
      <c r="Y20" s="12">
        <v>454</v>
      </c>
      <c r="Z20" s="12">
        <v>283</v>
      </c>
      <c r="AA20" s="12">
        <v>315</v>
      </c>
      <c r="AB20" s="12">
        <v>509</v>
      </c>
      <c r="AC20" s="12">
        <v>375</v>
      </c>
      <c r="AD20" s="12">
        <v>401</v>
      </c>
      <c r="AE20" s="12">
        <v>539</v>
      </c>
      <c r="AF20" s="12">
        <v>652</v>
      </c>
    </row>
    <row r="21" spans="1:32" ht="34.5">
      <c r="A21" s="23"/>
      <c r="B21" s="13" t="s">
        <v>563</v>
      </c>
      <c r="C21" s="14">
        <v>0.4</v>
      </c>
      <c r="D21" s="14">
        <v>0.43</v>
      </c>
      <c r="E21" s="14">
        <v>0.42</v>
      </c>
      <c r="F21" s="14">
        <v>0.42</v>
      </c>
      <c r="G21" s="14">
        <v>0.57000000000000006</v>
      </c>
      <c r="H21" s="14">
        <v>0.41</v>
      </c>
      <c r="I21" s="14">
        <v>0.42</v>
      </c>
      <c r="J21" s="14">
        <v>0.49</v>
      </c>
      <c r="K21" s="14">
        <v>0.4</v>
      </c>
      <c r="L21" s="14">
        <v>0.33</v>
      </c>
      <c r="M21" s="14">
        <v>0.53</v>
      </c>
      <c r="N21" s="14">
        <v>0.3</v>
      </c>
      <c r="O21" s="14">
        <v>0.4</v>
      </c>
      <c r="P21" s="14">
        <v>0.36</v>
      </c>
      <c r="Q21" s="14">
        <v>0.39</v>
      </c>
      <c r="R21" s="14">
        <v>0.48</v>
      </c>
      <c r="S21" s="14">
        <v>0.28000000000000003</v>
      </c>
      <c r="T21" s="14">
        <v>0.39</v>
      </c>
      <c r="U21" s="14">
        <v>0.3</v>
      </c>
      <c r="V21" s="14">
        <v>0.43</v>
      </c>
      <c r="W21" s="14">
        <v>0.33</v>
      </c>
      <c r="X21" s="14">
        <v>0.57999999999999996</v>
      </c>
      <c r="Y21" s="14">
        <v>0.45</v>
      </c>
      <c r="Z21" s="14">
        <v>0.28000000000000003</v>
      </c>
      <c r="AA21" s="14">
        <v>0.3</v>
      </c>
      <c r="AB21" s="14">
        <v>0.49</v>
      </c>
      <c r="AC21" s="14">
        <v>0.37</v>
      </c>
      <c r="AD21" s="14">
        <v>0.4</v>
      </c>
      <c r="AE21" s="14">
        <v>0.53</v>
      </c>
      <c r="AF21" s="14">
        <v>0.61</v>
      </c>
    </row>
    <row r="22" spans="1:32" ht="45.75">
      <c r="A22" s="23"/>
      <c r="B22" s="11" t="s">
        <v>564</v>
      </c>
      <c r="C22" s="12">
        <v>9145</v>
      </c>
      <c r="D22" s="12">
        <v>363</v>
      </c>
      <c r="E22" s="12">
        <v>383</v>
      </c>
      <c r="F22" s="12">
        <v>375</v>
      </c>
      <c r="G22" s="12">
        <v>227</v>
      </c>
      <c r="H22" s="12">
        <v>451</v>
      </c>
      <c r="I22" s="12">
        <v>565</v>
      </c>
      <c r="J22" s="12">
        <v>113</v>
      </c>
      <c r="K22" s="12">
        <v>328</v>
      </c>
      <c r="L22" s="12">
        <v>312</v>
      </c>
      <c r="M22" s="12">
        <v>556</v>
      </c>
      <c r="N22" s="12">
        <v>258</v>
      </c>
      <c r="O22" s="12">
        <v>350</v>
      </c>
      <c r="P22" s="12">
        <v>442</v>
      </c>
      <c r="Q22" s="12">
        <v>375</v>
      </c>
      <c r="R22" s="12">
        <v>234</v>
      </c>
      <c r="S22" s="12">
        <v>179</v>
      </c>
      <c r="T22" s="12">
        <v>243</v>
      </c>
      <c r="U22" s="12">
        <v>145</v>
      </c>
      <c r="V22" s="12">
        <v>424</v>
      </c>
      <c r="W22" s="12">
        <v>150</v>
      </c>
      <c r="X22" s="12">
        <v>287</v>
      </c>
      <c r="Y22" s="12">
        <v>429</v>
      </c>
      <c r="Z22" s="12">
        <v>297</v>
      </c>
      <c r="AA22" s="12">
        <v>318</v>
      </c>
      <c r="AB22" s="12">
        <v>494</v>
      </c>
      <c r="AC22" s="12">
        <v>309</v>
      </c>
      <c r="AD22" s="12">
        <v>409</v>
      </c>
      <c r="AE22" s="12">
        <v>260</v>
      </c>
      <c r="AF22" s="12">
        <v>277</v>
      </c>
    </row>
    <row r="23" spans="1:32" ht="45.75">
      <c r="A23" s="23"/>
      <c r="B23" s="13" t="s">
        <v>565</v>
      </c>
      <c r="C23" s="14">
        <v>0.35</v>
      </c>
      <c r="D23" s="14">
        <v>0.36</v>
      </c>
      <c r="E23" s="14">
        <v>0.37</v>
      </c>
      <c r="F23" s="14">
        <v>0.37</v>
      </c>
      <c r="G23" s="14">
        <v>0.23</v>
      </c>
      <c r="H23" s="14">
        <v>0.37</v>
      </c>
      <c r="I23" s="14">
        <v>0.38</v>
      </c>
      <c r="J23" s="14">
        <v>0.39</v>
      </c>
      <c r="K23" s="14">
        <v>0.33</v>
      </c>
      <c r="L23" s="14">
        <v>0.31</v>
      </c>
      <c r="M23" s="14">
        <v>0.55000000000000004</v>
      </c>
      <c r="N23" s="14">
        <v>0.26</v>
      </c>
      <c r="O23" s="14">
        <v>0.35</v>
      </c>
      <c r="P23" s="14">
        <v>0.44</v>
      </c>
      <c r="Q23" s="14">
        <v>0.37</v>
      </c>
      <c r="R23" s="14">
        <v>0.47</v>
      </c>
      <c r="S23" s="14">
        <v>0.18</v>
      </c>
      <c r="T23" s="14">
        <v>0.24</v>
      </c>
      <c r="U23" s="14">
        <v>0.28999999999999998</v>
      </c>
      <c r="V23" s="14">
        <v>0.42</v>
      </c>
      <c r="W23" s="14">
        <v>0.3</v>
      </c>
      <c r="X23" s="14">
        <v>0.28000000000000003</v>
      </c>
      <c r="Y23" s="14">
        <v>0.43</v>
      </c>
      <c r="Z23" s="14">
        <v>0.28999999999999998</v>
      </c>
      <c r="AA23" s="14">
        <v>0.31</v>
      </c>
      <c r="AB23" s="14">
        <v>0.48</v>
      </c>
      <c r="AC23" s="14">
        <v>0.31</v>
      </c>
      <c r="AD23" s="14">
        <v>0.41</v>
      </c>
      <c r="AE23" s="14">
        <v>0.26</v>
      </c>
      <c r="AF23" s="14">
        <v>0.26</v>
      </c>
    </row>
    <row r="24" spans="1:32" ht="45.75">
      <c r="A24" s="23"/>
      <c r="B24" s="11" t="s">
        <v>566</v>
      </c>
      <c r="C24" s="12">
        <v>10902</v>
      </c>
      <c r="D24" s="12">
        <v>422</v>
      </c>
      <c r="E24" s="12">
        <v>496</v>
      </c>
      <c r="F24" s="12">
        <v>462</v>
      </c>
      <c r="G24" s="12">
        <v>275</v>
      </c>
      <c r="H24" s="12">
        <v>449</v>
      </c>
      <c r="I24" s="12">
        <v>590</v>
      </c>
      <c r="J24" s="12">
        <v>141</v>
      </c>
      <c r="K24" s="12">
        <v>445</v>
      </c>
      <c r="L24" s="12">
        <v>382</v>
      </c>
      <c r="M24" s="12">
        <v>591</v>
      </c>
      <c r="N24" s="12">
        <v>337</v>
      </c>
      <c r="O24" s="12">
        <v>433</v>
      </c>
      <c r="P24" s="12">
        <v>528</v>
      </c>
      <c r="Q24" s="12">
        <v>466</v>
      </c>
      <c r="R24" s="12">
        <v>264</v>
      </c>
      <c r="S24" s="12">
        <v>354</v>
      </c>
      <c r="T24" s="12">
        <v>456</v>
      </c>
      <c r="U24" s="12">
        <v>186</v>
      </c>
      <c r="V24" s="12">
        <v>417</v>
      </c>
      <c r="W24" s="12">
        <v>180</v>
      </c>
      <c r="X24" s="12">
        <v>309</v>
      </c>
      <c r="Y24" s="12">
        <v>473</v>
      </c>
      <c r="Z24" s="12">
        <v>389</v>
      </c>
      <c r="AA24" s="12">
        <v>541</v>
      </c>
      <c r="AB24" s="12">
        <v>531</v>
      </c>
      <c r="AC24" s="12">
        <v>393</v>
      </c>
      <c r="AD24" s="12">
        <v>532</v>
      </c>
      <c r="AE24" s="12">
        <v>244</v>
      </c>
      <c r="AF24" s="12">
        <v>400</v>
      </c>
    </row>
    <row r="25" spans="1:32" ht="45.75">
      <c r="A25" s="23"/>
      <c r="B25" s="13" t="s">
        <v>567</v>
      </c>
      <c r="C25" s="14">
        <v>0.41</v>
      </c>
      <c r="D25" s="14">
        <v>0.42</v>
      </c>
      <c r="E25" s="14">
        <v>0.48</v>
      </c>
      <c r="F25" s="14">
        <v>0.46</v>
      </c>
      <c r="G25" s="14">
        <v>0.27</v>
      </c>
      <c r="H25" s="14">
        <v>0.37</v>
      </c>
      <c r="I25" s="14">
        <v>0.39</v>
      </c>
      <c r="J25" s="14">
        <v>0.48</v>
      </c>
      <c r="K25" s="14">
        <v>0.44</v>
      </c>
      <c r="L25" s="14">
        <v>0.38</v>
      </c>
      <c r="M25" s="14">
        <v>0.57999999999999996</v>
      </c>
      <c r="N25" s="14">
        <v>0.34</v>
      </c>
      <c r="O25" s="14">
        <v>0.43</v>
      </c>
      <c r="P25" s="14">
        <v>0.52</v>
      </c>
      <c r="Q25" s="14">
        <v>0.46</v>
      </c>
      <c r="R25" s="14">
        <v>0.53</v>
      </c>
      <c r="S25" s="14">
        <v>0.35</v>
      </c>
      <c r="T25" s="14">
        <v>0.45</v>
      </c>
      <c r="U25" s="14">
        <v>0.37</v>
      </c>
      <c r="V25" s="14">
        <v>0.41</v>
      </c>
      <c r="W25" s="14">
        <v>0.36</v>
      </c>
      <c r="X25" s="14">
        <v>0.3</v>
      </c>
      <c r="Y25" s="14">
        <v>0.47</v>
      </c>
      <c r="Z25" s="14">
        <v>0.38</v>
      </c>
      <c r="AA25" s="14">
        <v>0.52</v>
      </c>
      <c r="AB25" s="14">
        <v>0.51</v>
      </c>
      <c r="AC25" s="14">
        <v>0.39</v>
      </c>
      <c r="AD25" s="14">
        <v>0.53</v>
      </c>
      <c r="AE25" s="14">
        <v>0.24</v>
      </c>
      <c r="AF25" s="14">
        <v>0.37</v>
      </c>
    </row>
    <row r="26" spans="1:32" ht="45.75">
      <c r="A26" s="23"/>
      <c r="B26" s="11" t="s">
        <v>568</v>
      </c>
      <c r="C26" s="12">
        <v>2238</v>
      </c>
      <c r="D26" s="12">
        <v>85</v>
      </c>
      <c r="E26" s="12">
        <v>92</v>
      </c>
      <c r="F26" s="12">
        <v>82</v>
      </c>
      <c r="G26" s="12">
        <v>99</v>
      </c>
      <c r="H26" s="12">
        <v>74</v>
      </c>
      <c r="I26" s="12">
        <v>103</v>
      </c>
      <c r="J26" s="12">
        <v>28</v>
      </c>
      <c r="K26" s="12">
        <v>195</v>
      </c>
      <c r="L26" s="12">
        <v>87</v>
      </c>
      <c r="M26" s="12">
        <v>103</v>
      </c>
      <c r="N26" s="12">
        <v>187</v>
      </c>
      <c r="O26" s="12">
        <v>65</v>
      </c>
      <c r="P26" s="12">
        <v>46</v>
      </c>
      <c r="Q26" s="12">
        <v>48</v>
      </c>
      <c r="R26" s="12">
        <v>29</v>
      </c>
      <c r="S26" s="12">
        <v>178</v>
      </c>
      <c r="T26" s="12">
        <v>202</v>
      </c>
      <c r="U26" s="12">
        <v>46</v>
      </c>
      <c r="V26" s="12">
        <v>110</v>
      </c>
      <c r="W26" s="12">
        <v>42</v>
      </c>
      <c r="X26" s="12">
        <v>65</v>
      </c>
      <c r="Y26" s="12">
        <v>95</v>
      </c>
      <c r="Z26" s="12">
        <v>83</v>
      </c>
      <c r="AA26" s="12">
        <v>168</v>
      </c>
      <c r="AB26" s="12">
        <v>46</v>
      </c>
      <c r="AC26" s="12">
        <v>167</v>
      </c>
      <c r="AD26" s="12">
        <v>79</v>
      </c>
      <c r="AE26" s="12">
        <v>76</v>
      </c>
      <c r="AF26" s="12">
        <v>30</v>
      </c>
    </row>
    <row r="27" spans="1:32" ht="45.75">
      <c r="A27" s="23"/>
      <c r="B27" s="13" t="s">
        <v>569</v>
      </c>
      <c r="C27" s="14">
        <v>0.08</v>
      </c>
      <c r="D27" s="14">
        <v>0.08</v>
      </c>
      <c r="E27" s="14">
        <v>0.09</v>
      </c>
      <c r="F27" s="14">
        <v>0.08</v>
      </c>
      <c r="G27" s="14">
        <v>0.1</v>
      </c>
      <c r="H27" s="14">
        <v>0.06</v>
      </c>
      <c r="I27" s="14">
        <v>7.0000000000000007E-2</v>
      </c>
      <c r="J27" s="14">
        <v>0.1</v>
      </c>
      <c r="K27" s="14">
        <v>0.19</v>
      </c>
      <c r="L27" s="14">
        <v>0.09</v>
      </c>
      <c r="M27" s="14">
        <v>0.1</v>
      </c>
      <c r="N27" s="14">
        <v>0.19</v>
      </c>
      <c r="O27" s="14">
        <v>0.06</v>
      </c>
      <c r="P27" s="14">
        <v>0.05</v>
      </c>
      <c r="Q27" s="14">
        <v>0.05</v>
      </c>
      <c r="R27" s="14">
        <v>0.06</v>
      </c>
      <c r="S27" s="14">
        <v>0.18</v>
      </c>
      <c r="T27" s="14">
        <v>0.2</v>
      </c>
      <c r="U27" s="14">
        <v>0.09</v>
      </c>
      <c r="V27" s="14">
        <v>0.11</v>
      </c>
      <c r="W27" s="14">
        <v>0.08</v>
      </c>
      <c r="X27" s="14">
        <v>0.06</v>
      </c>
      <c r="Y27" s="14">
        <v>0.09</v>
      </c>
      <c r="Z27" s="14">
        <v>0.08</v>
      </c>
      <c r="AA27" s="14">
        <v>0.16</v>
      </c>
      <c r="AB27" s="14">
        <v>0.04</v>
      </c>
      <c r="AC27" s="14">
        <v>0.17</v>
      </c>
      <c r="AD27" s="14">
        <v>0.08</v>
      </c>
      <c r="AE27" s="14">
        <v>0.08</v>
      </c>
      <c r="AF27" s="14">
        <v>0.03</v>
      </c>
    </row>
    <row r="28" spans="1:32">
      <c r="A28" s="23"/>
      <c r="B28" s="11" t="s">
        <v>550</v>
      </c>
      <c r="C28" s="12">
        <v>560</v>
      </c>
      <c r="D28" s="12">
        <v>26</v>
      </c>
      <c r="E28" s="12">
        <v>4</v>
      </c>
      <c r="F28" s="12">
        <v>9</v>
      </c>
      <c r="G28" s="12">
        <v>43</v>
      </c>
      <c r="H28" s="12">
        <v>25</v>
      </c>
      <c r="I28" s="12">
        <v>32</v>
      </c>
      <c r="J28" s="12">
        <v>7</v>
      </c>
      <c r="K28" s="12">
        <v>48</v>
      </c>
      <c r="L28" s="12">
        <v>15</v>
      </c>
      <c r="M28" s="12">
        <v>18</v>
      </c>
      <c r="N28" s="12">
        <v>43</v>
      </c>
      <c r="O28" s="12">
        <v>13</v>
      </c>
      <c r="P28" s="12">
        <v>14</v>
      </c>
      <c r="Q28" s="12">
        <v>13</v>
      </c>
      <c r="R28" s="12">
        <v>7</v>
      </c>
      <c r="S28" s="12">
        <v>82</v>
      </c>
      <c r="T28" s="12">
        <v>58</v>
      </c>
      <c r="U28" s="12">
        <v>34</v>
      </c>
      <c r="V28" s="12">
        <v>8</v>
      </c>
      <c r="W28" s="12">
        <v>12</v>
      </c>
      <c r="X28" s="12">
        <v>22</v>
      </c>
      <c r="Y28" s="12">
        <v>56</v>
      </c>
      <c r="Z28" s="12">
        <v>8</v>
      </c>
      <c r="AA28" s="12">
        <v>49</v>
      </c>
      <c r="AB28" s="12">
        <v>14</v>
      </c>
      <c r="AC28" s="12">
        <v>95</v>
      </c>
      <c r="AD28" s="12">
        <v>18</v>
      </c>
      <c r="AE28" s="12">
        <v>9</v>
      </c>
      <c r="AF28" s="12">
        <v>19</v>
      </c>
    </row>
    <row r="29" spans="1:32">
      <c r="A29" s="23"/>
      <c r="B29" s="13" t="s">
        <v>551</v>
      </c>
      <c r="C29" s="14">
        <v>0.02</v>
      </c>
      <c r="D29" s="14">
        <v>0.03</v>
      </c>
      <c r="E29" s="15" t="s">
        <v>485</v>
      </c>
      <c r="F29" s="14">
        <v>0.01</v>
      </c>
      <c r="G29" s="14">
        <v>0.04</v>
      </c>
      <c r="H29" s="14">
        <v>0.02</v>
      </c>
      <c r="I29" s="14">
        <v>0.02</v>
      </c>
      <c r="J29" s="14">
        <v>0.03</v>
      </c>
      <c r="K29" s="14">
        <v>0.05</v>
      </c>
      <c r="L29" s="14">
        <v>0.01</v>
      </c>
      <c r="M29" s="14">
        <v>0.02</v>
      </c>
      <c r="N29" s="14">
        <v>0.04</v>
      </c>
      <c r="O29" s="14">
        <v>0.01</v>
      </c>
      <c r="P29" s="14">
        <v>0.01</v>
      </c>
      <c r="Q29" s="14">
        <v>0.01</v>
      </c>
      <c r="R29" s="14">
        <v>0.01</v>
      </c>
      <c r="S29" s="14">
        <v>0.08</v>
      </c>
      <c r="T29" s="14">
        <v>0.06</v>
      </c>
      <c r="U29" s="14">
        <v>7.0000000000000007E-2</v>
      </c>
      <c r="V29" s="14">
        <v>0.01</v>
      </c>
      <c r="W29" s="14">
        <v>0.02</v>
      </c>
      <c r="X29" s="14">
        <v>0.02</v>
      </c>
      <c r="Y29" s="14">
        <v>0.06</v>
      </c>
      <c r="Z29" s="14">
        <v>0.01</v>
      </c>
      <c r="AA29" s="14">
        <v>0.05</v>
      </c>
      <c r="AB29" s="14">
        <v>0.01</v>
      </c>
      <c r="AC29" s="14">
        <v>0.09</v>
      </c>
      <c r="AD29" s="14">
        <v>0.02</v>
      </c>
      <c r="AE29" s="14">
        <v>0.01</v>
      </c>
      <c r="AF29" s="14">
        <v>0.02</v>
      </c>
    </row>
    <row r="30" spans="1:32">
      <c r="A30" s="23"/>
      <c r="B30" s="11" t="s">
        <v>497</v>
      </c>
      <c r="C30" s="12">
        <v>645</v>
      </c>
      <c r="D30" s="12">
        <v>5</v>
      </c>
      <c r="E30" s="12">
        <v>16</v>
      </c>
      <c r="F30" s="12">
        <v>35</v>
      </c>
      <c r="G30" s="12">
        <v>39</v>
      </c>
      <c r="H30" s="12">
        <v>7</v>
      </c>
      <c r="I30" s="12">
        <v>13</v>
      </c>
      <c r="J30" s="12">
        <v>6</v>
      </c>
      <c r="K30" s="12">
        <v>36</v>
      </c>
      <c r="L30" s="12">
        <v>42</v>
      </c>
      <c r="M30" s="12">
        <v>10</v>
      </c>
      <c r="N30" s="12">
        <v>56</v>
      </c>
      <c r="O30" s="12">
        <v>36</v>
      </c>
      <c r="P30" s="12">
        <v>20</v>
      </c>
      <c r="Q30" s="12">
        <v>19</v>
      </c>
      <c r="R30" s="12">
        <v>13</v>
      </c>
      <c r="S30" s="12">
        <v>30</v>
      </c>
      <c r="T30" s="12">
        <v>31</v>
      </c>
      <c r="U30" s="12">
        <v>5</v>
      </c>
      <c r="V30" s="12">
        <v>11</v>
      </c>
      <c r="W30" s="12">
        <v>22</v>
      </c>
      <c r="X30" s="12">
        <v>6</v>
      </c>
      <c r="Y30" s="12">
        <v>8</v>
      </c>
      <c r="Z30" s="12">
        <v>37</v>
      </c>
      <c r="AA30" s="12">
        <v>52</v>
      </c>
      <c r="AB30" s="12">
        <v>12</v>
      </c>
      <c r="AC30" s="12">
        <v>9</v>
      </c>
      <c r="AD30" s="12">
        <v>12</v>
      </c>
      <c r="AE30" s="12">
        <v>30</v>
      </c>
      <c r="AF30" s="12">
        <v>4</v>
      </c>
    </row>
    <row r="31" spans="1:32">
      <c r="A31" s="23"/>
      <c r="B31" s="13" t="s">
        <v>498</v>
      </c>
      <c r="C31" s="14">
        <v>0.02</v>
      </c>
      <c r="D31" s="15" t="s">
        <v>485</v>
      </c>
      <c r="E31" s="14">
        <v>0.02</v>
      </c>
      <c r="F31" s="14">
        <v>0.03</v>
      </c>
      <c r="G31" s="14">
        <v>0.04</v>
      </c>
      <c r="H31" s="14">
        <v>0.01</v>
      </c>
      <c r="I31" s="14">
        <v>0.01</v>
      </c>
      <c r="J31" s="14">
        <v>0.02</v>
      </c>
      <c r="K31" s="14">
        <v>0.04</v>
      </c>
      <c r="L31" s="14">
        <v>0.04</v>
      </c>
      <c r="M31" s="14">
        <v>0.01</v>
      </c>
      <c r="N31" s="14">
        <v>0.06</v>
      </c>
      <c r="O31" s="14">
        <v>0.04</v>
      </c>
      <c r="P31" s="14">
        <v>0.02</v>
      </c>
      <c r="Q31" s="14">
        <v>0.02</v>
      </c>
      <c r="R31" s="14">
        <v>0.03</v>
      </c>
      <c r="S31" s="14">
        <v>0.03</v>
      </c>
      <c r="T31" s="14">
        <v>0.03</v>
      </c>
      <c r="U31" s="14">
        <v>0.01</v>
      </c>
      <c r="V31" s="14">
        <v>0.01</v>
      </c>
      <c r="W31" s="14">
        <v>0.04</v>
      </c>
      <c r="X31" s="14">
        <v>0.01</v>
      </c>
      <c r="Y31" s="14">
        <v>0.01</v>
      </c>
      <c r="Z31" s="14">
        <v>0.04</v>
      </c>
      <c r="AA31" s="14">
        <v>0.05</v>
      </c>
      <c r="AB31" s="14">
        <v>0.01</v>
      </c>
      <c r="AC31" s="14">
        <v>0.01</v>
      </c>
      <c r="AD31" s="14">
        <v>0.01</v>
      </c>
      <c r="AE31" s="14">
        <v>0.03</v>
      </c>
      <c r="AF31" s="15" t="s">
        <v>485</v>
      </c>
    </row>
  </sheetData>
  <mergeCells count="9">
    <mergeCell ref="H3:L3"/>
    <mergeCell ref="C8:AF8"/>
    <mergeCell ref="B3:F3"/>
    <mergeCell ref="B5:F5"/>
    <mergeCell ref="A10:A31"/>
    <mergeCell ref="H5:L5"/>
    <mergeCell ref="B10:B11"/>
    <mergeCell ref="H4:L4"/>
    <mergeCell ref="B4:F4"/>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F31"/>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36" customHeight="1">
      <c r="B3" s="19" t="s">
        <v>33</v>
      </c>
      <c r="C3" s="19"/>
      <c r="D3" s="19"/>
      <c r="E3" s="19"/>
      <c r="F3" s="19"/>
      <c r="H3" s="19" t="s">
        <v>34</v>
      </c>
      <c r="I3" s="19"/>
      <c r="J3" s="19"/>
      <c r="K3" s="19"/>
      <c r="L3" s="19"/>
    </row>
    <row r="4" spans="1:32" ht="27" customHeight="1">
      <c r="B4" s="19"/>
      <c r="C4" s="19"/>
      <c r="D4" s="19"/>
      <c r="E4" s="19"/>
      <c r="F4" s="19"/>
      <c r="H4" s="19"/>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HYPERLINK("#Content!A18","&lt;&lt;Back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68.25">
      <c r="A12" s="23"/>
      <c r="B12" s="11" t="s">
        <v>572</v>
      </c>
      <c r="C12" s="12">
        <v>4054</v>
      </c>
      <c r="D12" s="12">
        <v>146</v>
      </c>
      <c r="E12" s="12">
        <v>199</v>
      </c>
      <c r="F12" s="12">
        <v>123</v>
      </c>
      <c r="G12" s="12">
        <v>137</v>
      </c>
      <c r="H12" s="12">
        <v>208</v>
      </c>
      <c r="I12" s="12">
        <v>253</v>
      </c>
      <c r="J12" s="12">
        <v>46</v>
      </c>
      <c r="K12" s="12">
        <v>125</v>
      </c>
      <c r="L12" s="12">
        <v>174</v>
      </c>
      <c r="M12" s="12">
        <v>165</v>
      </c>
      <c r="N12" s="12">
        <v>89</v>
      </c>
      <c r="O12" s="12">
        <v>125</v>
      </c>
      <c r="P12" s="12">
        <v>203</v>
      </c>
      <c r="Q12" s="12">
        <v>183</v>
      </c>
      <c r="R12" s="12">
        <v>161</v>
      </c>
      <c r="S12" s="12">
        <v>131</v>
      </c>
      <c r="T12" s="12">
        <v>142</v>
      </c>
      <c r="U12" s="12">
        <v>100</v>
      </c>
      <c r="V12" s="12">
        <v>196</v>
      </c>
      <c r="W12" s="12">
        <v>120</v>
      </c>
      <c r="X12" s="12">
        <v>127</v>
      </c>
      <c r="Y12" s="12">
        <v>237</v>
      </c>
      <c r="Z12" s="12">
        <v>162</v>
      </c>
      <c r="AA12" s="12">
        <v>87</v>
      </c>
      <c r="AB12" s="12">
        <v>210</v>
      </c>
      <c r="AC12" s="12">
        <v>91</v>
      </c>
      <c r="AD12" s="12">
        <v>184</v>
      </c>
      <c r="AE12" s="12">
        <v>183</v>
      </c>
      <c r="AF12" s="12">
        <v>272</v>
      </c>
    </row>
    <row r="13" spans="1:32" ht="45.75">
      <c r="A13" s="23"/>
      <c r="B13" s="13" t="s">
        <v>573</v>
      </c>
      <c r="C13" s="14">
        <v>0.15</v>
      </c>
      <c r="D13" s="14">
        <v>0.15</v>
      </c>
      <c r="E13" s="14">
        <v>0.19</v>
      </c>
      <c r="F13" s="14">
        <v>0.12</v>
      </c>
      <c r="G13" s="14">
        <v>0.14000000000000001</v>
      </c>
      <c r="H13" s="14">
        <v>0.17</v>
      </c>
      <c r="I13" s="14">
        <v>0.17</v>
      </c>
      <c r="J13" s="14">
        <v>0.16</v>
      </c>
      <c r="K13" s="14">
        <v>0.12</v>
      </c>
      <c r="L13" s="14">
        <v>0.17</v>
      </c>
      <c r="M13" s="14">
        <v>0.16</v>
      </c>
      <c r="N13" s="14">
        <v>0.09</v>
      </c>
      <c r="O13" s="14">
        <v>0.12</v>
      </c>
      <c r="P13" s="14">
        <v>0.2</v>
      </c>
      <c r="Q13" s="14">
        <v>0.18</v>
      </c>
      <c r="R13" s="14">
        <v>0.32</v>
      </c>
      <c r="S13" s="14">
        <v>0.13</v>
      </c>
      <c r="T13" s="14">
        <v>0.14000000000000001</v>
      </c>
      <c r="U13" s="14">
        <v>0.2</v>
      </c>
      <c r="V13" s="14">
        <v>0.19</v>
      </c>
      <c r="W13" s="14">
        <v>0.24</v>
      </c>
      <c r="X13" s="14">
        <v>0.12</v>
      </c>
      <c r="Y13" s="14">
        <v>0.24</v>
      </c>
      <c r="Z13" s="14">
        <v>0.16</v>
      </c>
      <c r="AA13" s="14">
        <v>0.08</v>
      </c>
      <c r="AB13" s="14">
        <v>0.2</v>
      </c>
      <c r="AC13" s="14">
        <v>0.09</v>
      </c>
      <c r="AD13" s="14">
        <v>0.18</v>
      </c>
      <c r="AE13" s="14">
        <v>0.18</v>
      </c>
      <c r="AF13" s="14">
        <v>0.25</v>
      </c>
    </row>
    <row r="14" spans="1:32" ht="34.5">
      <c r="A14" s="23"/>
      <c r="B14" s="11" t="s">
        <v>574</v>
      </c>
      <c r="C14" s="12">
        <v>3466</v>
      </c>
      <c r="D14" s="12">
        <v>172</v>
      </c>
      <c r="E14" s="12">
        <v>127</v>
      </c>
      <c r="F14" s="12">
        <v>128</v>
      </c>
      <c r="G14" s="12">
        <v>114</v>
      </c>
      <c r="H14" s="12">
        <v>193</v>
      </c>
      <c r="I14" s="12">
        <v>235</v>
      </c>
      <c r="J14" s="12">
        <v>42</v>
      </c>
      <c r="K14" s="12">
        <v>121</v>
      </c>
      <c r="L14" s="12">
        <v>177</v>
      </c>
      <c r="M14" s="12">
        <v>125</v>
      </c>
      <c r="N14" s="12">
        <v>81</v>
      </c>
      <c r="O14" s="12">
        <v>121</v>
      </c>
      <c r="P14" s="12">
        <v>209</v>
      </c>
      <c r="Q14" s="12">
        <v>118</v>
      </c>
      <c r="R14" s="12">
        <v>126</v>
      </c>
      <c r="S14" s="12">
        <v>101</v>
      </c>
      <c r="T14" s="12">
        <v>108</v>
      </c>
      <c r="U14" s="12">
        <v>94</v>
      </c>
      <c r="V14" s="12">
        <v>160</v>
      </c>
      <c r="W14" s="12">
        <v>130</v>
      </c>
      <c r="X14" s="12">
        <v>127</v>
      </c>
      <c r="Y14" s="12">
        <v>185</v>
      </c>
      <c r="Z14" s="12">
        <v>131</v>
      </c>
      <c r="AA14" s="12">
        <v>104</v>
      </c>
      <c r="AB14" s="12">
        <v>164</v>
      </c>
      <c r="AC14" s="12">
        <v>105</v>
      </c>
      <c r="AD14" s="12">
        <v>156</v>
      </c>
      <c r="AE14" s="12">
        <v>165</v>
      </c>
      <c r="AF14" s="12">
        <v>186</v>
      </c>
    </row>
    <row r="15" spans="1:32" ht="23.25">
      <c r="A15" s="23"/>
      <c r="B15" s="13" t="s">
        <v>575</v>
      </c>
      <c r="C15" s="14">
        <v>0.13</v>
      </c>
      <c r="D15" s="14">
        <v>0.17</v>
      </c>
      <c r="E15" s="14">
        <v>0.12</v>
      </c>
      <c r="F15" s="14">
        <v>0.13</v>
      </c>
      <c r="G15" s="14">
        <v>0.11</v>
      </c>
      <c r="H15" s="14">
        <v>0.16</v>
      </c>
      <c r="I15" s="14">
        <v>0.16</v>
      </c>
      <c r="J15" s="14">
        <v>0.14000000000000001</v>
      </c>
      <c r="K15" s="14">
        <v>0.12</v>
      </c>
      <c r="L15" s="14">
        <v>0.18</v>
      </c>
      <c r="M15" s="14">
        <v>0.12</v>
      </c>
      <c r="N15" s="14">
        <v>0.08</v>
      </c>
      <c r="O15" s="14">
        <v>0.12</v>
      </c>
      <c r="P15" s="14">
        <v>0.21</v>
      </c>
      <c r="Q15" s="14">
        <v>0.12</v>
      </c>
      <c r="R15" s="14">
        <v>0.25</v>
      </c>
      <c r="S15" s="14">
        <v>0.1</v>
      </c>
      <c r="T15" s="14">
        <v>0.11</v>
      </c>
      <c r="U15" s="14">
        <v>0.19</v>
      </c>
      <c r="V15" s="14">
        <v>0.16</v>
      </c>
      <c r="W15" s="14">
        <v>0.26</v>
      </c>
      <c r="X15" s="14">
        <v>0.13</v>
      </c>
      <c r="Y15" s="14">
        <v>0.18</v>
      </c>
      <c r="Z15" s="14">
        <v>0.13</v>
      </c>
      <c r="AA15" s="14">
        <v>0.1</v>
      </c>
      <c r="AB15" s="14">
        <v>0.16</v>
      </c>
      <c r="AC15" s="14">
        <v>0.1</v>
      </c>
      <c r="AD15" s="14">
        <v>0.16</v>
      </c>
      <c r="AE15" s="14">
        <v>0.16</v>
      </c>
      <c r="AF15" s="14">
        <v>0.17</v>
      </c>
    </row>
    <row r="16" spans="1:32" ht="57">
      <c r="A16" s="23"/>
      <c r="B16" s="11" t="s">
        <v>576</v>
      </c>
      <c r="C16" s="12">
        <v>7720</v>
      </c>
      <c r="D16" s="12">
        <v>335</v>
      </c>
      <c r="E16" s="12">
        <v>344</v>
      </c>
      <c r="F16" s="12">
        <v>161</v>
      </c>
      <c r="G16" s="12">
        <v>322</v>
      </c>
      <c r="H16" s="12">
        <v>422</v>
      </c>
      <c r="I16" s="12">
        <v>517</v>
      </c>
      <c r="J16" s="12">
        <v>95</v>
      </c>
      <c r="K16" s="12">
        <v>176</v>
      </c>
      <c r="L16" s="12">
        <v>376</v>
      </c>
      <c r="M16" s="12">
        <v>333</v>
      </c>
      <c r="N16" s="12">
        <v>241</v>
      </c>
      <c r="O16" s="12">
        <v>228</v>
      </c>
      <c r="P16" s="12">
        <v>237</v>
      </c>
      <c r="Q16" s="12">
        <v>315</v>
      </c>
      <c r="R16" s="12">
        <v>196</v>
      </c>
      <c r="S16" s="12">
        <v>241</v>
      </c>
      <c r="T16" s="12">
        <v>264</v>
      </c>
      <c r="U16" s="12">
        <v>134</v>
      </c>
      <c r="V16" s="12">
        <v>241</v>
      </c>
      <c r="W16" s="12">
        <v>142</v>
      </c>
      <c r="X16" s="12">
        <v>452</v>
      </c>
      <c r="Y16" s="12">
        <v>290</v>
      </c>
      <c r="Z16" s="12">
        <v>194</v>
      </c>
      <c r="AA16" s="12">
        <v>353</v>
      </c>
      <c r="AB16" s="12">
        <v>339</v>
      </c>
      <c r="AC16" s="12">
        <v>222</v>
      </c>
      <c r="AD16" s="12">
        <v>228</v>
      </c>
      <c r="AE16" s="12">
        <v>432</v>
      </c>
      <c r="AF16" s="12">
        <v>540</v>
      </c>
    </row>
    <row r="17" spans="1:32" ht="45.75">
      <c r="A17" s="23"/>
      <c r="B17" s="13" t="s">
        <v>577</v>
      </c>
      <c r="C17" s="14">
        <v>0.28999999999999998</v>
      </c>
      <c r="D17" s="14">
        <v>0.33</v>
      </c>
      <c r="E17" s="14">
        <v>0.33</v>
      </c>
      <c r="F17" s="14">
        <v>0.16</v>
      </c>
      <c r="G17" s="14">
        <v>0.32</v>
      </c>
      <c r="H17" s="14">
        <v>0.35</v>
      </c>
      <c r="I17" s="14">
        <v>0.34</v>
      </c>
      <c r="J17" s="14">
        <v>0.32</v>
      </c>
      <c r="K17" s="14">
        <v>0.18</v>
      </c>
      <c r="L17" s="14">
        <v>0.37</v>
      </c>
      <c r="M17" s="14">
        <v>0.33</v>
      </c>
      <c r="N17" s="14">
        <v>0.24</v>
      </c>
      <c r="O17" s="14">
        <v>0.23</v>
      </c>
      <c r="P17" s="14">
        <v>0.23</v>
      </c>
      <c r="Q17" s="14">
        <v>0.31</v>
      </c>
      <c r="R17" s="14">
        <v>0.39</v>
      </c>
      <c r="S17" s="14">
        <v>0.24</v>
      </c>
      <c r="T17" s="14">
        <v>0.26</v>
      </c>
      <c r="U17" s="14">
        <v>0.27</v>
      </c>
      <c r="V17" s="14">
        <v>0.24</v>
      </c>
      <c r="W17" s="14">
        <v>0.28000000000000003</v>
      </c>
      <c r="X17" s="14">
        <v>0.44</v>
      </c>
      <c r="Y17" s="14">
        <v>0.28999999999999998</v>
      </c>
      <c r="Z17" s="14">
        <v>0.19</v>
      </c>
      <c r="AA17" s="14">
        <v>0.34</v>
      </c>
      <c r="AB17" s="14">
        <v>0.33</v>
      </c>
      <c r="AC17" s="14">
        <v>0.22</v>
      </c>
      <c r="AD17" s="14">
        <v>0.23</v>
      </c>
      <c r="AE17" s="14">
        <v>0.43</v>
      </c>
      <c r="AF17" s="14">
        <v>0.5</v>
      </c>
    </row>
    <row r="18" spans="1:32" ht="45.75">
      <c r="A18" s="23"/>
      <c r="B18" s="11" t="s">
        <v>578</v>
      </c>
      <c r="C18" s="12">
        <v>7543</v>
      </c>
      <c r="D18" s="12">
        <v>354</v>
      </c>
      <c r="E18" s="12">
        <v>292</v>
      </c>
      <c r="F18" s="12">
        <v>176</v>
      </c>
      <c r="G18" s="12">
        <v>295</v>
      </c>
      <c r="H18" s="12">
        <v>407</v>
      </c>
      <c r="I18" s="12">
        <v>505</v>
      </c>
      <c r="J18" s="12">
        <v>98</v>
      </c>
      <c r="K18" s="12">
        <v>198</v>
      </c>
      <c r="L18" s="12">
        <v>272</v>
      </c>
      <c r="M18" s="12">
        <v>400</v>
      </c>
      <c r="N18" s="12">
        <v>214</v>
      </c>
      <c r="O18" s="12">
        <v>303</v>
      </c>
      <c r="P18" s="12">
        <v>319</v>
      </c>
      <c r="Q18" s="12">
        <v>271</v>
      </c>
      <c r="R18" s="12">
        <v>194</v>
      </c>
      <c r="S18" s="12">
        <v>316</v>
      </c>
      <c r="T18" s="12">
        <v>247</v>
      </c>
      <c r="U18" s="12">
        <v>156</v>
      </c>
      <c r="V18" s="12">
        <v>311</v>
      </c>
      <c r="W18" s="12">
        <v>153</v>
      </c>
      <c r="X18" s="12">
        <v>422</v>
      </c>
      <c r="Y18" s="12">
        <v>294</v>
      </c>
      <c r="Z18" s="12">
        <v>201</v>
      </c>
      <c r="AA18" s="12">
        <v>162</v>
      </c>
      <c r="AB18" s="12">
        <v>226</v>
      </c>
      <c r="AC18" s="12">
        <v>275</v>
      </c>
      <c r="AD18" s="12">
        <v>231</v>
      </c>
      <c r="AE18" s="12">
        <v>339</v>
      </c>
      <c r="AF18" s="12">
        <v>556</v>
      </c>
    </row>
    <row r="19" spans="1:32" ht="45.75">
      <c r="A19" s="23"/>
      <c r="B19" s="13" t="s">
        <v>579</v>
      </c>
      <c r="C19" s="14">
        <v>0.28999999999999998</v>
      </c>
      <c r="D19" s="14">
        <v>0.35</v>
      </c>
      <c r="E19" s="14">
        <v>0.28000000000000003</v>
      </c>
      <c r="F19" s="14">
        <v>0.17</v>
      </c>
      <c r="G19" s="14">
        <v>0.28999999999999998</v>
      </c>
      <c r="H19" s="14">
        <v>0.34</v>
      </c>
      <c r="I19" s="14">
        <v>0.34</v>
      </c>
      <c r="J19" s="14">
        <v>0.33</v>
      </c>
      <c r="K19" s="14">
        <v>0.2</v>
      </c>
      <c r="L19" s="14">
        <v>0.27</v>
      </c>
      <c r="M19" s="14">
        <v>0.4</v>
      </c>
      <c r="N19" s="14">
        <v>0.21</v>
      </c>
      <c r="O19" s="14">
        <v>0.3</v>
      </c>
      <c r="P19" s="14">
        <v>0.32</v>
      </c>
      <c r="Q19" s="14">
        <v>0.26</v>
      </c>
      <c r="R19" s="14">
        <v>0.39</v>
      </c>
      <c r="S19" s="14">
        <v>0.31</v>
      </c>
      <c r="T19" s="14">
        <v>0.25</v>
      </c>
      <c r="U19" s="14">
        <v>0.31</v>
      </c>
      <c r="V19" s="14">
        <v>0.31</v>
      </c>
      <c r="W19" s="14">
        <v>0.3</v>
      </c>
      <c r="X19" s="14">
        <v>0.41</v>
      </c>
      <c r="Y19" s="14">
        <v>0.28999999999999998</v>
      </c>
      <c r="Z19" s="14">
        <v>0.2</v>
      </c>
      <c r="AA19" s="14">
        <v>0.16</v>
      </c>
      <c r="AB19" s="14">
        <v>0.22</v>
      </c>
      <c r="AC19" s="14">
        <v>0.27</v>
      </c>
      <c r="AD19" s="14">
        <v>0.23</v>
      </c>
      <c r="AE19" s="14">
        <v>0.34</v>
      </c>
      <c r="AF19" s="14">
        <v>0.52</v>
      </c>
    </row>
    <row r="20" spans="1:32" ht="57">
      <c r="A20" s="23"/>
      <c r="B20" s="11" t="s">
        <v>580</v>
      </c>
      <c r="C20" s="12">
        <v>4725</v>
      </c>
      <c r="D20" s="12">
        <v>189</v>
      </c>
      <c r="E20" s="12">
        <v>175</v>
      </c>
      <c r="F20" s="12">
        <v>133</v>
      </c>
      <c r="G20" s="12">
        <v>144</v>
      </c>
      <c r="H20" s="12">
        <v>255</v>
      </c>
      <c r="I20" s="12">
        <v>319</v>
      </c>
      <c r="J20" s="12">
        <v>63</v>
      </c>
      <c r="K20" s="12">
        <v>137</v>
      </c>
      <c r="L20" s="12">
        <v>156</v>
      </c>
      <c r="M20" s="12">
        <v>256</v>
      </c>
      <c r="N20" s="12">
        <v>146</v>
      </c>
      <c r="O20" s="12">
        <v>163</v>
      </c>
      <c r="P20" s="12">
        <v>231</v>
      </c>
      <c r="Q20" s="12">
        <v>174</v>
      </c>
      <c r="R20" s="12">
        <v>202</v>
      </c>
      <c r="S20" s="12">
        <v>175</v>
      </c>
      <c r="T20" s="12">
        <v>158</v>
      </c>
      <c r="U20" s="12">
        <v>80</v>
      </c>
      <c r="V20" s="12">
        <v>216</v>
      </c>
      <c r="W20" s="12">
        <v>167</v>
      </c>
      <c r="X20" s="12">
        <v>134</v>
      </c>
      <c r="Y20" s="12">
        <v>272</v>
      </c>
      <c r="Z20" s="12">
        <v>144</v>
      </c>
      <c r="AA20" s="12">
        <v>99</v>
      </c>
      <c r="AB20" s="12">
        <v>251</v>
      </c>
      <c r="AC20" s="12">
        <v>131</v>
      </c>
      <c r="AD20" s="12">
        <v>161</v>
      </c>
      <c r="AE20" s="12">
        <v>256</v>
      </c>
      <c r="AF20" s="12">
        <v>275</v>
      </c>
    </row>
    <row r="21" spans="1:32" ht="45.75">
      <c r="A21" s="23"/>
      <c r="B21" s="13" t="s">
        <v>581</v>
      </c>
      <c r="C21" s="14">
        <v>0.18</v>
      </c>
      <c r="D21" s="14">
        <v>0.19</v>
      </c>
      <c r="E21" s="14">
        <v>0.17</v>
      </c>
      <c r="F21" s="14">
        <v>0.13</v>
      </c>
      <c r="G21" s="14">
        <v>0.14000000000000001</v>
      </c>
      <c r="H21" s="14">
        <v>0.21</v>
      </c>
      <c r="I21" s="14">
        <v>0.21</v>
      </c>
      <c r="J21" s="14">
        <v>0.22</v>
      </c>
      <c r="K21" s="14">
        <v>0.14000000000000001</v>
      </c>
      <c r="L21" s="14">
        <v>0.15</v>
      </c>
      <c r="M21" s="14">
        <v>0.25</v>
      </c>
      <c r="N21" s="14">
        <v>0.15</v>
      </c>
      <c r="O21" s="14">
        <v>0.16</v>
      </c>
      <c r="P21" s="14">
        <v>0.23</v>
      </c>
      <c r="Q21" s="14">
        <v>0.17</v>
      </c>
      <c r="R21" s="14">
        <v>0.4</v>
      </c>
      <c r="S21" s="14">
        <v>0.17</v>
      </c>
      <c r="T21" s="14">
        <v>0.16</v>
      </c>
      <c r="U21" s="14">
        <v>0.16</v>
      </c>
      <c r="V21" s="14">
        <v>0.21</v>
      </c>
      <c r="W21" s="14">
        <v>0.33</v>
      </c>
      <c r="X21" s="14">
        <v>0.13</v>
      </c>
      <c r="Y21" s="14">
        <v>0.27</v>
      </c>
      <c r="Z21" s="14">
        <v>0.14000000000000001</v>
      </c>
      <c r="AA21" s="14">
        <v>0.1</v>
      </c>
      <c r="AB21" s="14">
        <v>0.24</v>
      </c>
      <c r="AC21" s="14">
        <v>0.13</v>
      </c>
      <c r="AD21" s="14">
        <v>0.16</v>
      </c>
      <c r="AE21" s="14">
        <v>0.25</v>
      </c>
      <c r="AF21" s="14">
        <v>0.26</v>
      </c>
    </row>
    <row r="22" spans="1:32" ht="45.75">
      <c r="A22" s="23"/>
      <c r="B22" s="11" t="s">
        <v>582</v>
      </c>
      <c r="C22" s="12">
        <v>3423</v>
      </c>
      <c r="D22" s="12">
        <v>144</v>
      </c>
      <c r="E22" s="12">
        <v>117</v>
      </c>
      <c r="F22" s="12">
        <v>74</v>
      </c>
      <c r="G22" s="12">
        <v>80</v>
      </c>
      <c r="H22" s="12">
        <v>219</v>
      </c>
      <c r="I22" s="12">
        <v>252</v>
      </c>
      <c r="J22" s="12">
        <v>33</v>
      </c>
      <c r="K22" s="12">
        <v>127</v>
      </c>
      <c r="L22" s="12">
        <v>113</v>
      </c>
      <c r="M22" s="12">
        <v>77</v>
      </c>
      <c r="N22" s="12">
        <v>79</v>
      </c>
      <c r="O22" s="12">
        <v>86</v>
      </c>
      <c r="P22" s="12">
        <v>151</v>
      </c>
      <c r="Q22" s="12">
        <v>171</v>
      </c>
      <c r="R22" s="12">
        <v>70</v>
      </c>
      <c r="S22" s="12">
        <v>75</v>
      </c>
      <c r="T22" s="12">
        <v>141</v>
      </c>
      <c r="U22" s="12">
        <v>40</v>
      </c>
      <c r="V22" s="12">
        <v>199</v>
      </c>
      <c r="W22" s="12">
        <v>82</v>
      </c>
      <c r="X22" s="12">
        <v>120</v>
      </c>
      <c r="Y22" s="12">
        <v>178</v>
      </c>
      <c r="Z22" s="12">
        <v>131</v>
      </c>
      <c r="AA22" s="12">
        <v>88</v>
      </c>
      <c r="AB22" s="12">
        <v>191</v>
      </c>
      <c r="AC22" s="12">
        <v>89</v>
      </c>
      <c r="AD22" s="12">
        <v>156</v>
      </c>
      <c r="AE22" s="12">
        <v>146</v>
      </c>
      <c r="AF22" s="12">
        <v>145</v>
      </c>
    </row>
    <row r="23" spans="1:32" ht="45.75">
      <c r="A23" s="23"/>
      <c r="B23" s="13" t="s">
        <v>583</v>
      </c>
      <c r="C23" s="14">
        <v>0.13</v>
      </c>
      <c r="D23" s="14">
        <v>0.14000000000000001</v>
      </c>
      <c r="E23" s="14">
        <v>0.11</v>
      </c>
      <c r="F23" s="14">
        <v>7.0000000000000007E-2</v>
      </c>
      <c r="G23" s="14">
        <v>0.08</v>
      </c>
      <c r="H23" s="14">
        <v>0.18</v>
      </c>
      <c r="I23" s="14">
        <v>0.17</v>
      </c>
      <c r="J23" s="14">
        <v>0.11</v>
      </c>
      <c r="K23" s="14">
        <v>0.13</v>
      </c>
      <c r="L23" s="14">
        <v>0.11</v>
      </c>
      <c r="M23" s="14">
        <v>0.08</v>
      </c>
      <c r="N23" s="14">
        <v>0.08</v>
      </c>
      <c r="O23" s="14">
        <v>0.09</v>
      </c>
      <c r="P23" s="14">
        <v>0.15</v>
      </c>
      <c r="Q23" s="14">
        <v>0.17</v>
      </c>
      <c r="R23" s="14">
        <v>0.14000000000000001</v>
      </c>
      <c r="S23" s="14">
        <v>7.0000000000000007E-2</v>
      </c>
      <c r="T23" s="14">
        <v>0.14000000000000001</v>
      </c>
      <c r="U23" s="14">
        <v>0.08</v>
      </c>
      <c r="V23" s="14">
        <v>0.2</v>
      </c>
      <c r="W23" s="14">
        <v>0.16</v>
      </c>
      <c r="X23" s="14">
        <v>0.12</v>
      </c>
      <c r="Y23" s="14">
        <v>0.18</v>
      </c>
      <c r="Z23" s="14">
        <v>0.13</v>
      </c>
      <c r="AA23" s="14">
        <v>0.08</v>
      </c>
      <c r="AB23" s="14">
        <v>0.19</v>
      </c>
      <c r="AC23" s="14">
        <v>0.09</v>
      </c>
      <c r="AD23" s="14">
        <v>0.16</v>
      </c>
      <c r="AE23" s="14">
        <v>0.14000000000000001</v>
      </c>
      <c r="AF23" s="14">
        <v>0.14000000000000001</v>
      </c>
    </row>
    <row r="24" spans="1:32" ht="57">
      <c r="A24" s="23"/>
      <c r="B24" s="11" t="s">
        <v>584</v>
      </c>
      <c r="C24" s="12">
        <v>7123</v>
      </c>
      <c r="D24" s="12">
        <v>189</v>
      </c>
      <c r="E24" s="12">
        <v>267</v>
      </c>
      <c r="F24" s="12">
        <v>460</v>
      </c>
      <c r="G24" s="12">
        <v>276</v>
      </c>
      <c r="H24" s="12">
        <v>195</v>
      </c>
      <c r="I24" s="12">
        <v>271</v>
      </c>
      <c r="J24" s="12">
        <v>75</v>
      </c>
      <c r="K24" s="12">
        <v>384</v>
      </c>
      <c r="L24" s="12">
        <v>201</v>
      </c>
      <c r="M24" s="12">
        <v>348</v>
      </c>
      <c r="N24" s="12">
        <v>350</v>
      </c>
      <c r="O24" s="12">
        <v>346</v>
      </c>
      <c r="P24" s="12">
        <v>258</v>
      </c>
      <c r="Q24" s="12">
        <v>266</v>
      </c>
      <c r="R24" s="12">
        <v>82</v>
      </c>
      <c r="S24" s="12">
        <v>233</v>
      </c>
      <c r="T24" s="12">
        <v>276</v>
      </c>
      <c r="U24" s="12">
        <v>105</v>
      </c>
      <c r="V24" s="12">
        <v>306</v>
      </c>
      <c r="W24" s="12">
        <v>88</v>
      </c>
      <c r="X24" s="12">
        <v>193</v>
      </c>
      <c r="Y24" s="12">
        <v>304</v>
      </c>
      <c r="Z24" s="12">
        <v>306</v>
      </c>
      <c r="AA24" s="12">
        <v>391</v>
      </c>
      <c r="AB24" s="12">
        <v>216</v>
      </c>
      <c r="AC24" s="12">
        <v>341</v>
      </c>
      <c r="AD24" s="12">
        <v>354</v>
      </c>
      <c r="AE24" s="12">
        <v>145</v>
      </c>
      <c r="AF24" s="12">
        <v>97</v>
      </c>
    </row>
    <row r="25" spans="1:32" ht="45.75">
      <c r="A25" s="23"/>
      <c r="B25" s="13" t="s">
        <v>585</v>
      </c>
      <c r="C25" s="14">
        <v>0.27</v>
      </c>
      <c r="D25" s="14">
        <v>0.19</v>
      </c>
      <c r="E25" s="14">
        <v>0.26</v>
      </c>
      <c r="F25" s="14">
        <v>0.46</v>
      </c>
      <c r="G25" s="14">
        <v>0.28000000000000003</v>
      </c>
      <c r="H25" s="14">
        <v>0.16</v>
      </c>
      <c r="I25" s="14">
        <v>0.18</v>
      </c>
      <c r="J25" s="14">
        <v>0.26</v>
      </c>
      <c r="K25" s="14">
        <v>0.38</v>
      </c>
      <c r="L25" s="14">
        <v>0.2</v>
      </c>
      <c r="M25" s="14">
        <v>0.34</v>
      </c>
      <c r="N25" s="14">
        <v>0.35</v>
      </c>
      <c r="O25" s="14">
        <v>0.34</v>
      </c>
      <c r="P25" s="14">
        <v>0.26</v>
      </c>
      <c r="Q25" s="14">
        <v>0.26</v>
      </c>
      <c r="R25" s="14">
        <v>0.16</v>
      </c>
      <c r="S25" s="14">
        <v>0.23</v>
      </c>
      <c r="T25" s="14">
        <v>0.28000000000000003</v>
      </c>
      <c r="U25" s="14">
        <v>0.21</v>
      </c>
      <c r="V25" s="14">
        <v>0.3</v>
      </c>
      <c r="W25" s="14">
        <v>0.17</v>
      </c>
      <c r="X25" s="14">
        <v>0.19</v>
      </c>
      <c r="Y25" s="14">
        <v>0.3</v>
      </c>
      <c r="Z25" s="14">
        <v>0.3</v>
      </c>
      <c r="AA25" s="14">
        <v>0.38</v>
      </c>
      <c r="AB25" s="14">
        <v>0.21</v>
      </c>
      <c r="AC25" s="14">
        <v>0.34</v>
      </c>
      <c r="AD25" s="14">
        <v>0.35</v>
      </c>
      <c r="AE25" s="14">
        <v>0.14000000000000001</v>
      </c>
      <c r="AF25" s="14">
        <v>0.09</v>
      </c>
    </row>
    <row r="26" spans="1:32">
      <c r="A26" s="23"/>
      <c r="B26" s="11" t="s">
        <v>550</v>
      </c>
      <c r="C26" s="12">
        <v>192</v>
      </c>
      <c r="D26" s="12">
        <v>8</v>
      </c>
      <c r="E26" s="12">
        <v>6</v>
      </c>
      <c r="F26" s="12">
        <v>0</v>
      </c>
      <c r="G26" s="12">
        <v>16</v>
      </c>
      <c r="H26" s="12">
        <v>17</v>
      </c>
      <c r="I26" s="12">
        <v>19</v>
      </c>
      <c r="J26" s="12">
        <v>2</v>
      </c>
      <c r="K26" s="12">
        <v>20</v>
      </c>
      <c r="L26" s="12">
        <v>8</v>
      </c>
      <c r="M26" s="12">
        <v>0</v>
      </c>
      <c r="N26" s="12">
        <v>8</v>
      </c>
      <c r="O26" s="12">
        <v>5</v>
      </c>
      <c r="P26" s="12">
        <v>0</v>
      </c>
      <c r="Q26" s="12">
        <v>7</v>
      </c>
      <c r="R26" s="12">
        <v>3</v>
      </c>
      <c r="S26" s="12">
        <v>17</v>
      </c>
      <c r="T26" s="12">
        <v>17</v>
      </c>
      <c r="U26" s="12">
        <v>8</v>
      </c>
      <c r="V26" s="12">
        <v>2</v>
      </c>
      <c r="W26" s="12">
        <v>6</v>
      </c>
      <c r="X26" s="12">
        <v>12</v>
      </c>
      <c r="Y26" s="12">
        <v>11</v>
      </c>
      <c r="Z26" s="12">
        <v>0</v>
      </c>
      <c r="AA26" s="12">
        <v>10</v>
      </c>
      <c r="AB26" s="12">
        <v>4</v>
      </c>
      <c r="AC26" s="12">
        <v>10</v>
      </c>
      <c r="AD26" s="12">
        <v>1</v>
      </c>
      <c r="AE26" s="12">
        <v>12</v>
      </c>
      <c r="AF26" s="12">
        <v>11</v>
      </c>
    </row>
    <row r="27" spans="1:32">
      <c r="A27" s="23"/>
      <c r="B27" s="13" t="s">
        <v>551</v>
      </c>
      <c r="C27" s="14">
        <v>0.01</v>
      </c>
      <c r="D27" s="14">
        <v>0.01</v>
      </c>
      <c r="E27" s="14">
        <v>0.01</v>
      </c>
      <c r="F27" s="15" t="s">
        <v>485</v>
      </c>
      <c r="G27" s="14">
        <v>0.02</v>
      </c>
      <c r="H27" s="14">
        <v>0.01</v>
      </c>
      <c r="I27" s="14">
        <v>0.01</v>
      </c>
      <c r="J27" s="14">
        <v>0.01</v>
      </c>
      <c r="K27" s="14">
        <v>0.02</v>
      </c>
      <c r="L27" s="14">
        <v>0.01</v>
      </c>
      <c r="M27" s="15" t="s">
        <v>485</v>
      </c>
      <c r="N27" s="14">
        <v>0.01</v>
      </c>
      <c r="O27" s="15" t="s">
        <v>485</v>
      </c>
      <c r="P27" s="15" t="s">
        <v>485</v>
      </c>
      <c r="Q27" s="14">
        <v>0.01</v>
      </c>
      <c r="R27" s="14">
        <v>0.01</v>
      </c>
      <c r="S27" s="14">
        <v>0.02</v>
      </c>
      <c r="T27" s="14">
        <v>0.02</v>
      </c>
      <c r="U27" s="14">
        <v>0.02</v>
      </c>
      <c r="V27" s="15" t="s">
        <v>485</v>
      </c>
      <c r="W27" s="14">
        <v>0.01</v>
      </c>
      <c r="X27" s="14">
        <v>0.01</v>
      </c>
      <c r="Y27" s="14">
        <v>0.01</v>
      </c>
      <c r="Z27" s="15" t="s">
        <v>485</v>
      </c>
      <c r="AA27" s="14">
        <v>0.01</v>
      </c>
      <c r="AB27" s="15" t="s">
        <v>485</v>
      </c>
      <c r="AC27" s="14">
        <v>0.01</v>
      </c>
      <c r="AD27" s="15" t="s">
        <v>485</v>
      </c>
      <c r="AE27" s="14">
        <v>0.01</v>
      </c>
      <c r="AF27" s="14">
        <v>0.01</v>
      </c>
    </row>
    <row r="28" spans="1:32">
      <c r="A28" s="23"/>
      <c r="B28" s="11" t="s">
        <v>497</v>
      </c>
      <c r="C28" s="12">
        <v>658</v>
      </c>
      <c r="D28" s="12">
        <v>10</v>
      </c>
      <c r="E28" s="12">
        <v>41</v>
      </c>
      <c r="F28" s="12">
        <v>25</v>
      </c>
      <c r="G28" s="12">
        <v>41</v>
      </c>
      <c r="H28" s="12">
        <v>16</v>
      </c>
      <c r="I28" s="12">
        <v>27</v>
      </c>
      <c r="J28" s="12">
        <v>10</v>
      </c>
      <c r="K28" s="12">
        <v>50</v>
      </c>
      <c r="L28" s="12">
        <v>24</v>
      </c>
      <c r="M28" s="12">
        <v>6</v>
      </c>
      <c r="N28" s="12">
        <v>45</v>
      </c>
      <c r="O28" s="12">
        <v>43</v>
      </c>
      <c r="P28" s="12">
        <v>17</v>
      </c>
      <c r="Q28" s="12">
        <v>16</v>
      </c>
      <c r="R28" s="12">
        <v>14</v>
      </c>
      <c r="S28" s="12">
        <v>32</v>
      </c>
      <c r="T28" s="12">
        <v>46</v>
      </c>
      <c r="U28" s="12">
        <v>8</v>
      </c>
      <c r="V28" s="12">
        <v>16</v>
      </c>
      <c r="W28" s="12">
        <v>16</v>
      </c>
      <c r="X28" s="12">
        <v>8</v>
      </c>
      <c r="Y28" s="12">
        <v>6</v>
      </c>
      <c r="Z28" s="12">
        <v>26</v>
      </c>
      <c r="AA28" s="12">
        <v>33</v>
      </c>
      <c r="AB28" s="12">
        <v>12</v>
      </c>
      <c r="AC28" s="12">
        <v>10</v>
      </c>
      <c r="AD28" s="12">
        <v>29</v>
      </c>
      <c r="AE28" s="12">
        <v>27</v>
      </c>
      <c r="AF28" s="12">
        <v>11</v>
      </c>
    </row>
    <row r="29" spans="1:32">
      <c r="A29" s="23"/>
      <c r="B29" s="13" t="s">
        <v>498</v>
      </c>
      <c r="C29" s="14">
        <v>0.02</v>
      </c>
      <c r="D29" s="14">
        <v>0.01</v>
      </c>
      <c r="E29" s="14">
        <v>0.04</v>
      </c>
      <c r="F29" s="14">
        <v>0.02</v>
      </c>
      <c r="G29" s="14">
        <v>0.04</v>
      </c>
      <c r="H29" s="14">
        <v>0.01</v>
      </c>
      <c r="I29" s="14">
        <v>0.02</v>
      </c>
      <c r="J29" s="14">
        <v>0.04</v>
      </c>
      <c r="K29" s="14">
        <v>0.05</v>
      </c>
      <c r="L29" s="14">
        <v>0.02</v>
      </c>
      <c r="M29" s="14">
        <v>0.01</v>
      </c>
      <c r="N29" s="14">
        <v>0.04</v>
      </c>
      <c r="O29" s="14">
        <v>0.04</v>
      </c>
      <c r="P29" s="14">
        <v>0.02</v>
      </c>
      <c r="Q29" s="14">
        <v>0.02</v>
      </c>
      <c r="R29" s="14">
        <v>0.03</v>
      </c>
      <c r="S29" s="14">
        <v>0.03</v>
      </c>
      <c r="T29" s="14">
        <v>0.05</v>
      </c>
      <c r="U29" s="14">
        <v>0.02</v>
      </c>
      <c r="V29" s="14">
        <v>0.02</v>
      </c>
      <c r="W29" s="14">
        <v>0.03</v>
      </c>
      <c r="X29" s="14">
        <v>0.01</v>
      </c>
      <c r="Y29" s="14">
        <v>0.01</v>
      </c>
      <c r="Z29" s="14">
        <v>0.03</v>
      </c>
      <c r="AA29" s="14">
        <v>0.03</v>
      </c>
      <c r="AB29" s="14">
        <v>0.01</v>
      </c>
      <c r="AC29" s="14">
        <v>0.01</v>
      </c>
      <c r="AD29" s="14">
        <v>0.03</v>
      </c>
      <c r="AE29" s="14">
        <v>0.03</v>
      </c>
      <c r="AF29" s="14">
        <v>0.01</v>
      </c>
    </row>
    <row r="30" spans="1:32" ht="23.25">
      <c r="A30" s="23"/>
      <c r="B30" s="11" t="s">
        <v>586</v>
      </c>
      <c r="C30" s="12">
        <v>18385</v>
      </c>
      <c r="D30" s="12">
        <v>799</v>
      </c>
      <c r="E30" s="12">
        <v>730</v>
      </c>
      <c r="F30" s="12">
        <v>522</v>
      </c>
      <c r="G30" s="12">
        <v>670</v>
      </c>
      <c r="H30" s="12">
        <v>981</v>
      </c>
      <c r="I30" s="12">
        <v>1188</v>
      </c>
      <c r="J30" s="12">
        <v>206</v>
      </c>
      <c r="K30" s="12">
        <v>552</v>
      </c>
      <c r="L30" s="12">
        <v>774</v>
      </c>
      <c r="M30" s="12">
        <v>657</v>
      </c>
      <c r="N30" s="12">
        <v>598</v>
      </c>
      <c r="O30" s="12">
        <v>612</v>
      </c>
      <c r="P30" s="12">
        <v>735</v>
      </c>
      <c r="Q30" s="12">
        <v>735</v>
      </c>
      <c r="R30" s="12">
        <v>403</v>
      </c>
      <c r="S30" s="12">
        <v>723</v>
      </c>
      <c r="T30" s="12">
        <v>666</v>
      </c>
      <c r="U30" s="12">
        <v>382</v>
      </c>
      <c r="V30" s="12">
        <v>688</v>
      </c>
      <c r="W30" s="12">
        <v>393</v>
      </c>
      <c r="X30" s="12">
        <v>806</v>
      </c>
      <c r="Y30" s="12">
        <v>686</v>
      </c>
      <c r="Z30" s="12">
        <v>686</v>
      </c>
      <c r="AA30" s="12">
        <v>606</v>
      </c>
      <c r="AB30" s="12">
        <v>800</v>
      </c>
      <c r="AC30" s="12">
        <v>645</v>
      </c>
      <c r="AD30" s="12">
        <v>617</v>
      </c>
      <c r="AE30" s="12">
        <v>825</v>
      </c>
      <c r="AF30" s="12">
        <v>954</v>
      </c>
    </row>
    <row r="31" spans="1:32">
      <c r="A31" s="23"/>
      <c r="B31" s="13" t="s">
        <v>587</v>
      </c>
      <c r="C31" s="14">
        <v>0.70000000000000007</v>
      </c>
      <c r="D31" s="14">
        <v>0.79</v>
      </c>
      <c r="E31" s="14">
        <v>0.70000000000000007</v>
      </c>
      <c r="F31" s="14">
        <v>0.52</v>
      </c>
      <c r="G31" s="14">
        <v>0.67</v>
      </c>
      <c r="H31" s="14">
        <v>0.81</v>
      </c>
      <c r="I31" s="14">
        <v>0.79</v>
      </c>
      <c r="J31" s="14">
        <v>0.70000000000000007</v>
      </c>
      <c r="K31" s="14">
        <v>0.55000000000000004</v>
      </c>
      <c r="L31" s="14">
        <v>0.77</v>
      </c>
      <c r="M31" s="14">
        <v>0.65</v>
      </c>
      <c r="N31" s="14">
        <v>0.6</v>
      </c>
      <c r="O31" s="14">
        <v>0.61</v>
      </c>
      <c r="P31" s="14">
        <v>0.73</v>
      </c>
      <c r="Q31" s="14">
        <v>0.72</v>
      </c>
      <c r="R31" s="14">
        <v>0.8</v>
      </c>
      <c r="S31" s="14">
        <v>0.72</v>
      </c>
      <c r="T31" s="14">
        <v>0.66</v>
      </c>
      <c r="U31" s="14">
        <v>0.76</v>
      </c>
      <c r="V31" s="14">
        <v>0.68</v>
      </c>
      <c r="W31" s="14">
        <v>0.78</v>
      </c>
      <c r="X31" s="14">
        <v>0.79</v>
      </c>
      <c r="Y31" s="14">
        <v>0.68</v>
      </c>
      <c r="Z31" s="14">
        <v>0.67</v>
      </c>
      <c r="AA31" s="14">
        <v>0.57999999999999996</v>
      </c>
      <c r="AB31" s="14">
        <v>0.78</v>
      </c>
      <c r="AC31" s="14">
        <v>0.64</v>
      </c>
      <c r="AD31" s="14">
        <v>0.62</v>
      </c>
      <c r="AE31" s="14">
        <v>0.82000000000000006</v>
      </c>
      <c r="AF31" s="14">
        <v>0.89</v>
      </c>
    </row>
  </sheetData>
  <mergeCells count="10">
    <mergeCell ref="A30:A31"/>
    <mergeCell ref="B4:F4"/>
    <mergeCell ref="H3:L3"/>
    <mergeCell ref="C8:AF8"/>
    <mergeCell ref="A10:A29"/>
    <mergeCell ref="B5:F5"/>
    <mergeCell ref="B3:F3"/>
    <mergeCell ref="H5:L5"/>
    <mergeCell ref="B10:B11"/>
    <mergeCell ref="H4:L4"/>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F47"/>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35</v>
      </c>
      <c r="C3" s="19"/>
      <c r="D3" s="19"/>
      <c r="E3" s="19"/>
      <c r="F3" s="19"/>
      <c r="H3" s="19" t="s">
        <v>36</v>
      </c>
      <c r="I3" s="19"/>
      <c r="J3" s="19"/>
      <c r="K3" s="19"/>
      <c r="L3" s="19"/>
    </row>
    <row r="4" spans="1:32" ht="27" customHeight="1">
      <c r="B4" s="19"/>
      <c r="C4" s="19"/>
      <c r="D4" s="19"/>
      <c r="E4" s="19"/>
      <c r="F4" s="19"/>
      <c r="H4" s="19"/>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HYPERLINK("#Content!A19","&lt;&lt;Back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23.25">
      <c r="A12" s="23"/>
      <c r="B12" s="11" t="s">
        <v>588</v>
      </c>
      <c r="C12" s="12">
        <v>1681</v>
      </c>
      <c r="D12" s="12">
        <v>44</v>
      </c>
      <c r="E12" s="12">
        <v>93</v>
      </c>
      <c r="F12" s="12">
        <v>45</v>
      </c>
      <c r="G12" s="12">
        <v>36</v>
      </c>
      <c r="H12" s="12">
        <v>29</v>
      </c>
      <c r="I12" s="12">
        <v>36</v>
      </c>
      <c r="J12" s="12">
        <v>7</v>
      </c>
      <c r="K12" s="12">
        <v>84</v>
      </c>
      <c r="L12" s="12">
        <v>126</v>
      </c>
      <c r="M12" s="12">
        <v>106</v>
      </c>
      <c r="N12" s="12">
        <v>120</v>
      </c>
      <c r="O12" s="12">
        <v>46</v>
      </c>
      <c r="P12" s="12">
        <v>64</v>
      </c>
      <c r="Q12" s="12">
        <v>67</v>
      </c>
      <c r="R12" s="12">
        <v>34</v>
      </c>
      <c r="S12" s="12">
        <v>133</v>
      </c>
      <c r="T12" s="12">
        <v>94</v>
      </c>
      <c r="U12" s="12">
        <v>18</v>
      </c>
      <c r="V12" s="12">
        <v>107</v>
      </c>
      <c r="W12" s="12">
        <v>65</v>
      </c>
      <c r="X12" s="12">
        <v>32</v>
      </c>
      <c r="Y12" s="12">
        <v>47</v>
      </c>
      <c r="Z12" s="12">
        <v>80</v>
      </c>
      <c r="AA12" s="12">
        <v>180</v>
      </c>
      <c r="AB12" s="12">
        <v>74</v>
      </c>
      <c r="AC12" s="12">
        <v>122</v>
      </c>
      <c r="AD12" s="12">
        <v>84</v>
      </c>
      <c r="AE12" s="12">
        <v>19</v>
      </c>
      <c r="AF12" s="12">
        <v>27</v>
      </c>
    </row>
    <row r="13" spans="1:32" ht="23.25">
      <c r="A13" s="23"/>
      <c r="B13" s="13" t="s">
        <v>589</v>
      </c>
      <c r="C13" s="14">
        <v>0.06</v>
      </c>
      <c r="D13" s="14">
        <v>0.04</v>
      </c>
      <c r="E13" s="14">
        <v>0.09</v>
      </c>
      <c r="F13" s="14">
        <v>0.04</v>
      </c>
      <c r="G13" s="14">
        <v>0.04</v>
      </c>
      <c r="H13" s="14">
        <v>0.02</v>
      </c>
      <c r="I13" s="14">
        <v>0.02</v>
      </c>
      <c r="J13" s="14">
        <v>0.02</v>
      </c>
      <c r="K13" s="14">
        <v>0.08</v>
      </c>
      <c r="L13" s="14">
        <v>0.12</v>
      </c>
      <c r="M13" s="14">
        <v>0.11</v>
      </c>
      <c r="N13" s="14">
        <v>0.12</v>
      </c>
      <c r="O13" s="14">
        <v>0.05</v>
      </c>
      <c r="P13" s="14">
        <v>0.06</v>
      </c>
      <c r="Q13" s="14">
        <v>7.0000000000000007E-2</v>
      </c>
      <c r="R13" s="14">
        <v>7.0000000000000007E-2</v>
      </c>
      <c r="S13" s="14">
        <v>0.13</v>
      </c>
      <c r="T13" s="14">
        <v>0.09</v>
      </c>
      <c r="U13" s="14">
        <v>0.04</v>
      </c>
      <c r="V13" s="14">
        <v>0.11</v>
      </c>
      <c r="W13" s="14">
        <v>0.13</v>
      </c>
      <c r="X13" s="14">
        <v>0.03</v>
      </c>
      <c r="Y13" s="14">
        <v>0.05</v>
      </c>
      <c r="Z13" s="14">
        <v>0.08</v>
      </c>
      <c r="AA13" s="14">
        <v>0.17</v>
      </c>
      <c r="AB13" s="14">
        <v>7.0000000000000007E-2</v>
      </c>
      <c r="AC13" s="14">
        <v>0.12</v>
      </c>
      <c r="AD13" s="14">
        <v>0.08</v>
      </c>
      <c r="AE13" s="14">
        <v>0.02</v>
      </c>
      <c r="AF13" s="14">
        <v>0.03</v>
      </c>
    </row>
    <row r="14" spans="1:32" ht="23.25">
      <c r="A14" s="23"/>
      <c r="B14" s="11" t="s">
        <v>590</v>
      </c>
      <c r="C14" s="12">
        <v>1691</v>
      </c>
      <c r="D14" s="12">
        <v>72</v>
      </c>
      <c r="E14" s="12">
        <v>18</v>
      </c>
      <c r="F14" s="12">
        <v>24</v>
      </c>
      <c r="G14" s="12">
        <v>189</v>
      </c>
      <c r="H14" s="12">
        <v>78</v>
      </c>
      <c r="I14" s="12">
        <v>95</v>
      </c>
      <c r="J14" s="12">
        <v>17</v>
      </c>
      <c r="K14" s="12">
        <v>14</v>
      </c>
      <c r="L14" s="12">
        <v>73</v>
      </c>
      <c r="M14" s="12">
        <v>26</v>
      </c>
      <c r="N14" s="12">
        <v>41</v>
      </c>
      <c r="O14" s="12">
        <v>83</v>
      </c>
      <c r="P14" s="12">
        <v>26</v>
      </c>
      <c r="Q14" s="12">
        <v>51</v>
      </c>
      <c r="R14" s="12">
        <v>7</v>
      </c>
      <c r="S14" s="12">
        <v>11</v>
      </c>
      <c r="T14" s="12">
        <v>15</v>
      </c>
      <c r="U14" s="12">
        <v>41</v>
      </c>
      <c r="V14" s="12">
        <v>31</v>
      </c>
      <c r="W14" s="12">
        <v>30</v>
      </c>
      <c r="X14" s="12">
        <v>172</v>
      </c>
      <c r="Y14" s="12">
        <v>93</v>
      </c>
      <c r="Z14" s="12">
        <v>24</v>
      </c>
      <c r="AA14" s="12">
        <v>28</v>
      </c>
      <c r="AB14" s="12">
        <v>36</v>
      </c>
      <c r="AC14" s="12">
        <v>52</v>
      </c>
      <c r="AD14" s="12">
        <v>30</v>
      </c>
      <c r="AE14" s="12">
        <v>134</v>
      </c>
      <c r="AF14" s="12">
        <v>285</v>
      </c>
    </row>
    <row r="15" spans="1:32" ht="23.25">
      <c r="A15" s="23"/>
      <c r="B15" s="13" t="s">
        <v>591</v>
      </c>
      <c r="C15" s="14">
        <v>0.06</v>
      </c>
      <c r="D15" s="14">
        <v>7.0000000000000007E-2</v>
      </c>
      <c r="E15" s="14">
        <v>0.02</v>
      </c>
      <c r="F15" s="14">
        <v>0.02</v>
      </c>
      <c r="G15" s="14">
        <v>0.19</v>
      </c>
      <c r="H15" s="14">
        <v>0.06</v>
      </c>
      <c r="I15" s="14">
        <v>0.06</v>
      </c>
      <c r="J15" s="14">
        <v>0.06</v>
      </c>
      <c r="K15" s="14">
        <v>0.01</v>
      </c>
      <c r="L15" s="14">
        <v>7.0000000000000007E-2</v>
      </c>
      <c r="M15" s="14">
        <v>0.03</v>
      </c>
      <c r="N15" s="14">
        <v>0.04</v>
      </c>
      <c r="O15" s="14">
        <v>0.08</v>
      </c>
      <c r="P15" s="14">
        <v>0.03</v>
      </c>
      <c r="Q15" s="14">
        <v>0.05</v>
      </c>
      <c r="R15" s="14">
        <v>0.02</v>
      </c>
      <c r="S15" s="14">
        <v>0.01</v>
      </c>
      <c r="T15" s="14">
        <v>0.02</v>
      </c>
      <c r="U15" s="14">
        <v>0.08</v>
      </c>
      <c r="V15" s="14">
        <v>0.03</v>
      </c>
      <c r="W15" s="14">
        <v>0.06</v>
      </c>
      <c r="X15" s="14">
        <v>0.17</v>
      </c>
      <c r="Y15" s="14">
        <v>0.09</v>
      </c>
      <c r="Z15" s="14">
        <v>0.02</v>
      </c>
      <c r="AA15" s="14">
        <v>0.03</v>
      </c>
      <c r="AB15" s="14">
        <v>0.03</v>
      </c>
      <c r="AC15" s="14">
        <v>0.05</v>
      </c>
      <c r="AD15" s="14">
        <v>0.03</v>
      </c>
      <c r="AE15" s="14">
        <v>0.13</v>
      </c>
      <c r="AF15" s="14">
        <v>0.27</v>
      </c>
    </row>
    <row r="16" spans="1:32" ht="23.25">
      <c r="A16" s="23"/>
      <c r="B16" s="11" t="s">
        <v>592</v>
      </c>
      <c r="C16" s="12">
        <v>2302</v>
      </c>
      <c r="D16" s="12">
        <v>92</v>
      </c>
      <c r="E16" s="12">
        <v>138</v>
      </c>
      <c r="F16" s="12">
        <v>64</v>
      </c>
      <c r="G16" s="12">
        <v>62</v>
      </c>
      <c r="H16" s="12">
        <v>91</v>
      </c>
      <c r="I16" s="12">
        <v>114</v>
      </c>
      <c r="J16" s="12">
        <v>23</v>
      </c>
      <c r="K16" s="12">
        <v>60</v>
      </c>
      <c r="L16" s="12">
        <v>68</v>
      </c>
      <c r="M16" s="12">
        <v>126</v>
      </c>
      <c r="N16" s="12">
        <v>118</v>
      </c>
      <c r="O16" s="12">
        <v>92</v>
      </c>
      <c r="P16" s="12">
        <v>103</v>
      </c>
      <c r="Q16" s="12">
        <v>76</v>
      </c>
      <c r="R16" s="12">
        <v>72</v>
      </c>
      <c r="S16" s="12">
        <v>143</v>
      </c>
      <c r="T16" s="12">
        <v>138</v>
      </c>
      <c r="U16" s="12">
        <v>67</v>
      </c>
      <c r="V16" s="12">
        <v>66</v>
      </c>
      <c r="W16" s="12">
        <v>47</v>
      </c>
      <c r="X16" s="12">
        <v>58</v>
      </c>
      <c r="Y16" s="12">
        <v>88</v>
      </c>
      <c r="Z16" s="12">
        <v>64</v>
      </c>
      <c r="AA16" s="12">
        <v>188</v>
      </c>
      <c r="AB16" s="12">
        <v>91</v>
      </c>
      <c r="AC16" s="12">
        <v>106</v>
      </c>
      <c r="AD16" s="12">
        <v>83</v>
      </c>
      <c r="AE16" s="12">
        <v>107</v>
      </c>
      <c r="AF16" s="12">
        <v>83</v>
      </c>
    </row>
    <row r="17" spans="1:32" ht="23.25">
      <c r="A17" s="23"/>
      <c r="B17" s="13" t="s">
        <v>593</v>
      </c>
      <c r="C17" s="14">
        <v>0.09</v>
      </c>
      <c r="D17" s="14">
        <v>0.09</v>
      </c>
      <c r="E17" s="14">
        <v>0.13</v>
      </c>
      <c r="F17" s="14">
        <v>0.06</v>
      </c>
      <c r="G17" s="14">
        <v>0.06</v>
      </c>
      <c r="H17" s="14">
        <v>7.0000000000000007E-2</v>
      </c>
      <c r="I17" s="14">
        <v>0.08</v>
      </c>
      <c r="J17" s="14">
        <v>0.08</v>
      </c>
      <c r="K17" s="14">
        <v>0.06</v>
      </c>
      <c r="L17" s="14">
        <v>7.0000000000000007E-2</v>
      </c>
      <c r="M17" s="14">
        <v>0.13</v>
      </c>
      <c r="N17" s="14">
        <v>0.12</v>
      </c>
      <c r="O17" s="14">
        <v>0.09</v>
      </c>
      <c r="P17" s="14">
        <v>0.1</v>
      </c>
      <c r="Q17" s="14">
        <v>7.0000000000000007E-2</v>
      </c>
      <c r="R17" s="14">
        <v>0.14000000000000001</v>
      </c>
      <c r="S17" s="14">
        <v>0.14000000000000001</v>
      </c>
      <c r="T17" s="14">
        <v>0.14000000000000001</v>
      </c>
      <c r="U17" s="14">
        <v>0.13</v>
      </c>
      <c r="V17" s="14">
        <v>0.06</v>
      </c>
      <c r="W17" s="14">
        <v>0.09</v>
      </c>
      <c r="X17" s="14">
        <v>0.06</v>
      </c>
      <c r="Y17" s="14">
        <v>0.09</v>
      </c>
      <c r="Z17" s="14">
        <v>0.06</v>
      </c>
      <c r="AA17" s="14">
        <v>0.18</v>
      </c>
      <c r="AB17" s="14">
        <v>0.09</v>
      </c>
      <c r="AC17" s="14">
        <v>0.11</v>
      </c>
      <c r="AD17" s="14">
        <v>0.08</v>
      </c>
      <c r="AE17" s="14">
        <v>0.11</v>
      </c>
      <c r="AF17" s="14">
        <v>0.08</v>
      </c>
    </row>
    <row r="18" spans="1:32" ht="34.5">
      <c r="A18" s="23"/>
      <c r="B18" s="11" t="s">
        <v>594</v>
      </c>
      <c r="C18" s="12">
        <v>2456</v>
      </c>
      <c r="D18" s="12">
        <v>46</v>
      </c>
      <c r="E18" s="12">
        <v>139</v>
      </c>
      <c r="F18" s="12">
        <v>68</v>
      </c>
      <c r="G18" s="12">
        <v>42</v>
      </c>
      <c r="H18" s="12">
        <v>69</v>
      </c>
      <c r="I18" s="12">
        <v>93</v>
      </c>
      <c r="J18" s="12">
        <v>24</v>
      </c>
      <c r="K18" s="12">
        <v>178</v>
      </c>
      <c r="L18" s="12">
        <v>86</v>
      </c>
      <c r="M18" s="12">
        <v>176</v>
      </c>
      <c r="N18" s="12">
        <v>137</v>
      </c>
      <c r="O18" s="12">
        <v>65</v>
      </c>
      <c r="P18" s="12">
        <v>115</v>
      </c>
      <c r="Q18" s="12">
        <v>127</v>
      </c>
      <c r="R18" s="12">
        <v>52</v>
      </c>
      <c r="S18" s="12">
        <v>158</v>
      </c>
      <c r="T18" s="12">
        <v>161</v>
      </c>
      <c r="U18" s="12">
        <v>37</v>
      </c>
      <c r="V18" s="12">
        <v>108</v>
      </c>
      <c r="W18" s="12">
        <v>32</v>
      </c>
      <c r="X18" s="12">
        <v>27</v>
      </c>
      <c r="Y18" s="12">
        <v>71</v>
      </c>
      <c r="Z18" s="12">
        <v>93</v>
      </c>
      <c r="AA18" s="12">
        <v>178</v>
      </c>
      <c r="AB18" s="12">
        <v>143</v>
      </c>
      <c r="AC18" s="12">
        <v>97</v>
      </c>
      <c r="AD18" s="12">
        <v>95</v>
      </c>
      <c r="AE18" s="12">
        <v>144</v>
      </c>
      <c r="AF18" s="12">
        <v>45</v>
      </c>
    </row>
    <row r="19" spans="1:32" ht="34.5">
      <c r="A19" s="23"/>
      <c r="B19" s="13" t="s">
        <v>595</v>
      </c>
      <c r="C19" s="14">
        <v>0.09</v>
      </c>
      <c r="D19" s="14">
        <v>0.05</v>
      </c>
      <c r="E19" s="14">
        <v>0.13</v>
      </c>
      <c r="F19" s="14">
        <v>7.0000000000000007E-2</v>
      </c>
      <c r="G19" s="14">
        <v>0.04</v>
      </c>
      <c r="H19" s="14">
        <v>0.06</v>
      </c>
      <c r="I19" s="14">
        <v>0.06</v>
      </c>
      <c r="J19" s="14">
        <v>0.08</v>
      </c>
      <c r="K19" s="14">
        <v>0.18</v>
      </c>
      <c r="L19" s="14">
        <v>0.08</v>
      </c>
      <c r="M19" s="14">
        <v>0.17</v>
      </c>
      <c r="N19" s="14">
        <v>0.14000000000000001</v>
      </c>
      <c r="O19" s="14">
        <v>0.06</v>
      </c>
      <c r="P19" s="14">
        <v>0.11</v>
      </c>
      <c r="Q19" s="14">
        <v>0.12</v>
      </c>
      <c r="R19" s="14">
        <v>0.1</v>
      </c>
      <c r="S19" s="14">
        <v>0.16</v>
      </c>
      <c r="T19" s="14">
        <v>0.16</v>
      </c>
      <c r="U19" s="14">
        <v>7.0000000000000007E-2</v>
      </c>
      <c r="V19" s="14">
        <v>0.11</v>
      </c>
      <c r="W19" s="14">
        <v>0.06</v>
      </c>
      <c r="X19" s="14">
        <v>0.03</v>
      </c>
      <c r="Y19" s="14">
        <v>7.0000000000000007E-2</v>
      </c>
      <c r="Z19" s="14">
        <v>0.09</v>
      </c>
      <c r="AA19" s="14">
        <v>0.17</v>
      </c>
      <c r="AB19" s="14">
        <v>0.14000000000000001</v>
      </c>
      <c r="AC19" s="14">
        <v>0.1</v>
      </c>
      <c r="AD19" s="14">
        <v>0.09</v>
      </c>
      <c r="AE19" s="14">
        <v>0.14000000000000001</v>
      </c>
      <c r="AF19" s="14">
        <v>0.04</v>
      </c>
    </row>
    <row r="20" spans="1:32" ht="23.25">
      <c r="A20" s="23"/>
      <c r="B20" s="11" t="s">
        <v>596</v>
      </c>
      <c r="C20" s="12">
        <v>4471</v>
      </c>
      <c r="D20" s="12">
        <v>199</v>
      </c>
      <c r="E20" s="12">
        <v>241</v>
      </c>
      <c r="F20" s="12">
        <v>176</v>
      </c>
      <c r="G20" s="12">
        <v>83</v>
      </c>
      <c r="H20" s="12">
        <v>138</v>
      </c>
      <c r="I20" s="12">
        <v>187</v>
      </c>
      <c r="J20" s="12">
        <v>48</v>
      </c>
      <c r="K20" s="12">
        <v>201</v>
      </c>
      <c r="L20" s="12">
        <v>202</v>
      </c>
      <c r="M20" s="12">
        <v>213</v>
      </c>
      <c r="N20" s="12">
        <v>163</v>
      </c>
      <c r="O20" s="12">
        <v>258</v>
      </c>
      <c r="P20" s="12">
        <v>271</v>
      </c>
      <c r="Q20" s="12">
        <v>171</v>
      </c>
      <c r="R20" s="12">
        <v>61</v>
      </c>
      <c r="S20" s="12">
        <v>169</v>
      </c>
      <c r="T20" s="12">
        <v>119</v>
      </c>
      <c r="U20" s="12">
        <v>68</v>
      </c>
      <c r="V20" s="12">
        <v>189</v>
      </c>
      <c r="W20" s="12">
        <v>100</v>
      </c>
      <c r="X20" s="12">
        <v>116</v>
      </c>
      <c r="Y20" s="12">
        <v>161</v>
      </c>
      <c r="Z20" s="12">
        <v>176</v>
      </c>
      <c r="AA20" s="12">
        <v>180</v>
      </c>
      <c r="AB20" s="12">
        <v>170</v>
      </c>
      <c r="AC20" s="12">
        <v>146</v>
      </c>
      <c r="AD20" s="12">
        <v>220</v>
      </c>
      <c r="AE20" s="12">
        <v>73</v>
      </c>
      <c r="AF20" s="12">
        <v>42</v>
      </c>
    </row>
    <row r="21" spans="1:32" ht="23.25">
      <c r="A21" s="23"/>
      <c r="B21" s="13" t="s">
        <v>597</v>
      </c>
      <c r="C21" s="14">
        <v>0.17</v>
      </c>
      <c r="D21" s="14">
        <v>0.2</v>
      </c>
      <c r="E21" s="14">
        <v>0.23</v>
      </c>
      <c r="F21" s="14">
        <v>0.17</v>
      </c>
      <c r="G21" s="14">
        <v>0.08</v>
      </c>
      <c r="H21" s="14">
        <v>0.11</v>
      </c>
      <c r="I21" s="14">
        <v>0.12</v>
      </c>
      <c r="J21" s="14">
        <v>0.17</v>
      </c>
      <c r="K21" s="14">
        <v>0.2</v>
      </c>
      <c r="L21" s="14">
        <v>0.2</v>
      </c>
      <c r="M21" s="14">
        <v>0.21</v>
      </c>
      <c r="N21" s="14">
        <v>0.16</v>
      </c>
      <c r="O21" s="14">
        <v>0.26</v>
      </c>
      <c r="P21" s="14">
        <v>0.27</v>
      </c>
      <c r="Q21" s="14">
        <v>0.17</v>
      </c>
      <c r="R21" s="14">
        <v>0.12</v>
      </c>
      <c r="S21" s="14">
        <v>0.17</v>
      </c>
      <c r="T21" s="14">
        <v>0.12</v>
      </c>
      <c r="U21" s="14">
        <v>0.14000000000000001</v>
      </c>
      <c r="V21" s="14">
        <v>0.19</v>
      </c>
      <c r="W21" s="14">
        <v>0.2</v>
      </c>
      <c r="X21" s="14">
        <v>0.11</v>
      </c>
      <c r="Y21" s="14">
        <v>0.16</v>
      </c>
      <c r="Z21" s="14">
        <v>0.17</v>
      </c>
      <c r="AA21" s="14">
        <v>0.17</v>
      </c>
      <c r="AB21" s="14">
        <v>0.16</v>
      </c>
      <c r="AC21" s="14">
        <v>0.14000000000000001</v>
      </c>
      <c r="AD21" s="14">
        <v>0.22</v>
      </c>
      <c r="AE21" s="14">
        <v>7.0000000000000007E-2</v>
      </c>
      <c r="AF21" s="14">
        <v>0.04</v>
      </c>
    </row>
    <row r="22" spans="1:32" ht="34.5">
      <c r="A22" s="23"/>
      <c r="B22" s="11" t="s">
        <v>598</v>
      </c>
      <c r="C22" s="12">
        <v>597</v>
      </c>
      <c r="D22" s="12">
        <v>25</v>
      </c>
      <c r="E22" s="12">
        <v>30</v>
      </c>
      <c r="F22" s="12">
        <v>17</v>
      </c>
      <c r="G22" s="12">
        <v>17</v>
      </c>
      <c r="H22" s="12">
        <v>31</v>
      </c>
      <c r="I22" s="12">
        <v>39</v>
      </c>
      <c r="J22" s="12">
        <v>8</v>
      </c>
      <c r="K22" s="12">
        <v>19</v>
      </c>
      <c r="L22" s="12">
        <v>17</v>
      </c>
      <c r="M22" s="12">
        <v>13</v>
      </c>
      <c r="N22" s="12">
        <v>15</v>
      </c>
      <c r="O22" s="12">
        <v>8</v>
      </c>
      <c r="P22" s="12">
        <v>35</v>
      </c>
      <c r="Q22" s="12">
        <v>36</v>
      </c>
      <c r="R22" s="12">
        <v>7</v>
      </c>
      <c r="S22" s="12">
        <v>18</v>
      </c>
      <c r="T22" s="12">
        <v>14</v>
      </c>
      <c r="U22" s="12">
        <v>11</v>
      </c>
      <c r="V22" s="12">
        <v>30</v>
      </c>
      <c r="W22" s="12">
        <v>10</v>
      </c>
      <c r="X22" s="12">
        <v>13</v>
      </c>
      <c r="Y22" s="12">
        <v>35</v>
      </c>
      <c r="Z22" s="12">
        <v>38</v>
      </c>
      <c r="AA22" s="12">
        <v>21</v>
      </c>
      <c r="AB22" s="12">
        <v>37</v>
      </c>
      <c r="AC22" s="12">
        <v>27</v>
      </c>
      <c r="AD22" s="12">
        <v>14</v>
      </c>
      <c r="AE22" s="12">
        <v>15</v>
      </c>
      <c r="AF22" s="12">
        <v>9</v>
      </c>
    </row>
    <row r="23" spans="1:32" ht="34.5">
      <c r="A23" s="23"/>
      <c r="B23" s="13" t="s">
        <v>599</v>
      </c>
      <c r="C23" s="14">
        <v>0.02</v>
      </c>
      <c r="D23" s="14">
        <v>0.03</v>
      </c>
      <c r="E23" s="14">
        <v>0.03</v>
      </c>
      <c r="F23" s="14">
        <v>0.02</v>
      </c>
      <c r="G23" s="14">
        <v>0.02</v>
      </c>
      <c r="H23" s="14">
        <v>0.03</v>
      </c>
      <c r="I23" s="14">
        <v>0.03</v>
      </c>
      <c r="J23" s="14">
        <v>0.03</v>
      </c>
      <c r="K23" s="14">
        <v>0.02</v>
      </c>
      <c r="L23" s="14">
        <v>0.02</v>
      </c>
      <c r="M23" s="14">
        <v>0.01</v>
      </c>
      <c r="N23" s="14">
        <v>0.01</v>
      </c>
      <c r="O23" s="14">
        <v>0.01</v>
      </c>
      <c r="P23" s="14">
        <v>0.04</v>
      </c>
      <c r="Q23" s="14">
        <v>0.03</v>
      </c>
      <c r="R23" s="14">
        <v>0.01</v>
      </c>
      <c r="S23" s="14">
        <v>0.02</v>
      </c>
      <c r="T23" s="14">
        <v>0.02</v>
      </c>
      <c r="U23" s="14">
        <v>0.02</v>
      </c>
      <c r="V23" s="14">
        <v>0.03</v>
      </c>
      <c r="W23" s="14">
        <v>0.02</v>
      </c>
      <c r="X23" s="14">
        <v>0.01</v>
      </c>
      <c r="Y23" s="14">
        <v>0.03</v>
      </c>
      <c r="Z23" s="14">
        <v>0.04</v>
      </c>
      <c r="AA23" s="14">
        <v>0.02</v>
      </c>
      <c r="AB23" s="14">
        <v>0.04</v>
      </c>
      <c r="AC23" s="14">
        <v>0.03</v>
      </c>
      <c r="AD23" s="14">
        <v>0.01</v>
      </c>
      <c r="AE23" s="14">
        <v>0.02</v>
      </c>
      <c r="AF23" s="14">
        <v>0.01</v>
      </c>
    </row>
    <row r="24" spans="1:32" ht="23.25">
      <c r="A24" s="23"/>
      <c r="B24" s="11" t="s">
        <v>600</v>
      </c>
      <c r="C24" s="12">
        <v>695</v>
      </c>
      <c r="D24" s="12">
        <v>33</v>
      </c>
      <c r="E24" s="12">
        <v>24</v>
      </c>
      <c r="F24" s="12">
        <v>18</v>
      </c>
      <c r="G24" s="12">
        <v>13</v>
      </c>
      <c r="H24" s="12">
        <v>20</v>
      </c>
      <c r="I24" s="12">
        <v>23</v>
      </c>
      <c r="J24" s="12">
        <v>3</v>
      </c>
      <c r="K24" s="12">
        <v>16</v>
      </c>
      <c r="L24" s="12">
        <v>27</v>
      </c>
      <c r="M24" s="12">
        <v>54</v>
      </c>
      <c r="N24" s="12">
        <v>42</v>
      </c>
      <c r="O24" s="12">
        <v>28</v>
      </c>
      <c r="P24" s="12">
        <v>33</v>
      </c>
      <c r="Q24" s="12">
        <v>39</v>
      </c>
      <c r="R24" s="12">
        <v>18</v>
      </c>
      <c r="S24" s="12">
        <v>15</v>
      </c>
      <c r="T24" s="12">
        <v>9</v>
      </c>
      <c r="U24" s="12">
        <v>25</v>
      </c>
      <c r="V24" s="12">
        <v>22</v>
      </c>
      <c r="W24" s="12">
        <v>21</v>
      </c>
      <c r="X24" s="12">
        <v>11</v>
      </c>
      <c r="Y24" s="12">
        <v>26</v>
      </c>
      <c r="Z24" s="12">
        <v>19</v>
      </c>
      <c r="AA24" s="12">
        <v>18</v>
      </c>
      <c r="AB24" s="12">
        <v>32</v>
      </c>
      <c r="AC24" s="12">
        <v>26</v>
      </c>
      <c r="AD24" s="12">
        <v>36</v>
      </c>
      <c r="AE24" s="12">
        <v>10</v>
      </c>
      <c r="AF24" s="12">
        <v>14</v>
      </c>
    </row>
    <row r="25" spans="1:32" ht="23.25">
      <c r="A25" s="23"/>
      <c r="B25" s="13" t="s">
        <v>601</v>
      </c>
      <c r="C25" s="14">
        <v>0.03</v>
      </c>
      <c r="D25" s="14">
        <v>0.03</v>
      </c>
      <c r="E25" s="14">
        <v>0.02</v>
      </c>
      <c r="F25" s="14">
        <v>0.02</v>
      </c>
      <c r="G25" s="14">
        <v>0.01</v>
      </c>
      <c r="H25" s="14">
        <v>0.02</v>
      </c>
      <c r="I25" s="14">
        <v>0.02</v>
      </c>
      <c r="J25" s="14">
        <v>0.01</v>
      </c>
      <c r="K25" s="14">
        <v>0.02</v>
      </c>
      <c r="L25" s="14">
        <v>0.03</v>
      </c>
      <c r="M25" s="14">
        <v>0.05</v>
      </c>
      <c r="N25" s="14">
        <v>0.04</v>
      </c>
      <c r="O25" s="14">
        <v>0.03</v>
      </c>
      <c r="P25" s="14">
        <v>0.03</v>
      </c>
      <c r="Q25" s="14">
        <v>0.04</v>
      </c>
      <c r="R25" s="14">
        <v>0.04</v>
      </c>
      <c r="S25" s="14">
        <v>0.02</v>
      </c>
      <c r="T25" s="14">
        <v>0.01</v>
      </c>
      <c r="U25" s="14">
        <v>0.05</v>
      </c>
      <c r="V25" s="14">
        <v>0.02</v>
      </c>
      <c r="W25" s="14">
        <v>0.04</v>
      </c>
      <c r="X25" s="14">
        <v>0.01</v>
      </c>
      <c r="Y25" s="14">
        <v>0.02</v>
      </c>
      <c r="Z25" s="14">
        <v>0.02</v>
      </c>
      <c r="AA25" s="14">
        <v>0.02</v>
      </c>
      <c r="AB25" s="14">
        <v>0.03</v>
      </c>
      <c r="AC25" s="14">
        <v>0.03</v>
      </c>
      <c r="AD25" s="14">
        <v>0.04</v>
      </c>
      <c r="AE25" s="14">
        <v>0.01</v>
      </c>
      <c r="AF25" s="14">
        <v>0.01</v>
      </c>
    </row>
    <row r="26" spans="1:32" ht="34.5">
      <c r="A26" s="23"/>
      <c r="B26" s="11" t="s">
        <v>602</v>
      </c>
      <c r="C26" s="12">
        <v>905</v>
      </c>
      <c r="D26" s="12">
        <v>47</v>
      </c>
      <c r="E26" s="12">
        <v>35</v>
      </c>
      <c r="F26" s="12">
        <v>146</v>
      </c>
      <c r="G26" s="12">
        <v>41</v>
      </c>
      <c r="H26" s="12">
        <v>33</v>
      </c>
      <c r="I26" s="12">
        <v>43</v>
      </c>
      <c r="J26" s="12">
        <v>10</v>
      </c>
      <c r="K26" s="12">
        <v>60</v>
      </c>
      <c r="L26" s="12">
        <v>15</v>
      </c>
      <c r="M26" s="12">
        <v>33</v>
      </c>
      <c r="N26" s="12">
        <v>16</v>
      </c>
      <c r="O26" s="12">
        <v>33</v>
      </c>
      <c r="P26" s="12">
        <v>21</v>
      </c>
      <c r="Q26" s="12">
        <v>36</v>
      </c>
      <c r="R26" s="12">
        <v>4</v>
      </c>
      <c r="S26" s="12">
        <v>14</v>
      </c>
      <c r="T26" s="12">
        <v>40</v>
      </c>
      <c r="U26" s="12">
        <v>24</v>
      </c>
      <c r="V26" s="12">
        <v>41</v>
      </c>
      <c r="W26" s="12">
        <v>8</v>
      </c>
      <c r="X26" s="12">
        <v>56</v>
      </c>
      <c r="Y26" s="12">
        <v>54</v>
      </c>
      <c r="Z26" s="12">
        <v>33</v>
      </c>
      <c r="AA26" s="12">
        <v>14</v>
      </c>
      <c r="AB26" s="12">
        <v>45</v>
      </c>
      <c r="AC26" s="12">
        <v>37</v>
      </c>
      <c r="AD26" s="12">
        <v>29</v>
      </c>
      <c r="AE26" s="12">
        <v>24</v>
      </c>
      <c r="AF26" s="12">
        <v>25</v>
      </c>
    </row>
    <row r="27" spans="1:32" ht="34.5">
      <c r="A27" s="23"/>
      <c r="B27" s="13" t="s">
        <v>603</v>
      </c>
      <c r="C27" s="14">
        <v>0.03</v>
      </c>
      <c r="D27" s="14">
        <v>0.05</v>
      </c>
      <c r="E27" s="14">
        <v>0.03</v>
      </c>
      <c r="F27" s="14">
        <v>0.15</v>
      </c>
      <c r="G27" s="14">
        <v>0.04</v>
      </c>
      <c r="H27" s="14">
        <v>0.03</v>
      </c>
      <c r="I27" s="14">
        <v>0.03</v>
      </c>
      <c r="J27" s="14">
        <v>0.03</v>
      </c>
      <c r="K27" s="14">
        <v>0.06</v>
      </c>
      <c r="L27" s="14">
        <v>0.02</v>
      </c>
      <c r="M27" s="14">
        <v>0.03</v>
      </c>
      <c r="N27" s="14">
        <v>0.02</v>
      </c>
      <c r="O27" s="14">
        <v>0.03</v>
      </c>
      <c r="P27" s="14">
        <v>0.02</v>
      </c>
      <c r="Q27" s="14">
        <v>0.04</v>
      </c>
      <c r="R27" s="14">
        <v>0.01</v>
      </c>
      <c r="S27" s="14">
        <v>0.01</v>
      </c>
      <c r="T27" s="14">
        <v>0.04</v>
      </c>
      <c r="U27" s="14">
        <v>0.05</v>
      </c>
      <c r="V27" s="14">
        <v>0.04</v>
      </c>
      <c r="W27" s="14">
        <v>0.02</v>
      </c>
      <c r="X27" s="14">
        <v>0.05</v>
      </c>
      <c r="Y27" s="14">
        <v>0.05</v>
      </c>
      <c r="Z27" s="14">
        <v>0.03</v>
      </c>
      <c r="AA27" s="14">
        <v>0.01</v>
      </c>
      <c r="AB27" s="14">
        <v>0.04</v>
      </c>
      <c r="AC27" s="14">
        <v>0.04</v>
      </c>
      <c r="AD27" s="14">
        <v>0.03</v>
      </c>
      <c r="AE27" s="14">
        <v>0.02</v>
      </c>
      <c r="AF27" s="14">
        <v>0.02</v>
      </c>
    </row>
    <row r="28" spans="1:32" ht="23.25">
      <c r="A28" s="23"/>
      <c r="B28" s="11" t="s">
        <v>604</v>
      </c>
      <c r="C28" s="12">
        <v>759</v>
      </c>
      <c r="D28" s="12">
        <v>32</v>
      </c>
      <c r="E28" s="12">
        <v>40</v>
      </c>
      <c r="F28" s="12">
        <v>13</v>
      </c>
      <c r="G28" s="12">
        <v>15</v>
      </c>
      <c r="H28" s="12">
        <v>9</v>
      </c>
      <c r="I28" s="12">
        <v>13</v>
      </c>
      <c r="J28" s="12">
        <v>4</v>
      </c>
      <c r="K28" s="12">
        <v>19</v>
      </c>
      <c r="L28" s="12">
        <v>28</v>
      </c>
      <c r="M28" s="12">
        <v>39</v>
      </c>
      <c r="N28" s="12">
        <v>35</v>
      </c>
      <c r="O28" s="12">
        <v>22</v>
      </c>
      <c r="P28" s="12">
        <v>58</v>
      </c>
      <c r="Q28" s="12">
        <v>61</v>
      </c>
      <c r="R28" s="12">
        <v>27</v>
      </c>
      <c r="S28" s="12">
        <v>32</v>
      </c>
      <c r="T28" s="12">
        <v>21</v>
      </c>
      <c r="U28" s="12">
        <v>9</v>
      </c>
      <c r="V28" s="12">
        <v>15</v>
      </c>
      <c r="W28" s="12">
        <v>13</v>
      </c>
      <c r="X28" s="12">
        <v>8</v>
      </c>
      <c r="Y28" s="12">
        <v>34</v>
      </c>
      <c r="Z28" s="12">
        <v>42</v>
      </c>
      <c r="AA28" s="12">
        <v>26</v>
      </c>
      <c r="AB28" s="12">
        <v>42</v>
      </c>
      <c r="AC28" s="12">
        <v>23</v>
      </c>
      <c r="AD28" s="12">
        <v>38</v>
      </c>
      <c r="AE28" s="12">
        <v>5</v>
      </c>
      <c r="AF28" s="12">
        <v>13</v>
      </c>
    </row>
    <row r="29" spans="1:32">
      <c r="A29" s="23"/>
      <c r="B29" s="13" t="s">
        <v>605</v>
      </c>
      <c r="C29" s="14">
        <v>0.03</v>
      </c>
      <c r="D29" s="14">
        <v>0.03</v>
      </c>
      <c r="E29" s="14">
        <v>0.04</v>
      </c>
      <c r="F29" s="14">
        <v>0.01</v>
      </c>
      <c r="G29" s="14">
        <v>0.01</v>
      </c>
      <c r="H29" s="14">
        <v>0.01</v>
      </c>
      <c r="I29" s="14">
        <v>0.01</v>
      </c>
      <c r="J29" s="14">
        <v>0.01</v>
      </c>
      <c r="K29" s="14">
        <v>0.02</v>
      </c>
      <c r="L29" s="14">
        <v>0.03</v>
      </c>
      <c r="M29" s="14">
        <v>0.04</v>
      </c>
      <c r="N29" s="14">
        <v>0.03</v>
      </c>
      <c r="O29" s="14">
        <v>0.02</v>
      </c>
      <c r="P29" s="14">
        <v>0.06</v>
      </c>
      <c r="Q29" s="14">
        <v>0.06</v>
      </c>
      <c r="R29" s="14">
        <v>0.05</v>
      </c>
      <c r="S29" s="14">
        <v>0.03</v>
      </c>
      <c r="T29" s="14">
        <v>0.02</v>
      </c>
      <c r="U29" s="14">
        <v>0.02</v>
      </c>
      <c r="V29" s="14">
        <v>0.02</v>
      </c>
      <c r="W29" s="14">
        <v>0.03</v>
      </c>
      <c r="X29" s="14">
        <v>0.01</v>
      </c>
      <c r="Y29" s="14">
        <v>0.03</v>
      </c>
      <c r="Z29" s="14">
        <v>0.04</v>
      </c>
      <c r="AA29" s="14">
        <v>0.03</v>
      </c>
      <c r="AB29" s="14">
        <v>0.04</v>
      </c>
      <c r="AC29" s="14">
        <v>0.02</v>
      </c>
      <c r="AD29" s="14">
        <v>0.04</v>
      </c>
      <c r="AE29" s="15" t="s">
        <v>485</v>
      </c>
      <c r="AF29" s="14">
        <v>0.01</v>
      </c>
    </row>
    <row r="30" spans="1:32">
      <c r="A30" s="23"/>
      <c r="B30" s="11" t="s">
        <v>606</v>
      </c>
      <c r="C30" s="12">
        <v>2230</v>
      </c>
      <c r="D30" s="12">
        <v>128</v>
      </c>
      <c r="E30" s="12">
        <v>23</v>
      </c>
      <c r="F30" s="12">
        <v>97</v>
      </c>
      <c r="G30" s="12">
        <v>70</v>
      </c>
      <c r="H30" s="12">
        <v>234</v>
      </c>
      <c r="I30" s="12">
        <v>281</v>
      </c>
      <c r="J30" s="12">
        <v>48</v>
      </c>
      <c r="K30" s="12">
        <v>20</v>
      </c>
      <c r="L30" s="12">
        <v>153</v>
      </c>
      <c r="M30" s="12">
        <v>31</v>
      </c>
      <c r="N30" s="12">
        <v>70</v>
      </c>
      <c r="O30" s="12">
        <v>75</v>
      </c>
      <c r="P30" s="12">
        <v>22</v>
      </c>
      <c r="Q30" s="12">
        <v>36</v>
      </c>
      <c r="R30" s="12">
        <v>86</v>
      </c>
      <c r="S30" s="12">
        <v>15</v>
      </c>
      <c r="T30" s="12">
        <v>29</v>
      </c>
      <c r="U30" s="12">
        <v>32</v>
      </c>
      <c r="V30" s="12">
        <v>71</v>
      </c>
      <c r="W30" s="12">
        <v>60</v>
      </c>
      <c r="X30" s="12">
        <v>124</v>
      </c>
      <c r="Y30" s="12">
        <v>141</v>
      </c>
      <c r="Z30" s="12">
        <v>36</v>
      </c>
      <c r="AA30" s="12">
        <v>26</v>
      </c>
      <c r="AB30" s="12">
        <v>17</v>
      </c>
      <c r="AC30" s="12">
        <v>67</v>
      </c>
      <c r="AD30" s="12">
        <v>47</v>
      </c>
      <c r="AE30" s="12">
        <v>24</v>
      </c>
      <c r="AF30" s="12">
        <v>46</v>
      </c>
    </row>
    <row r="31" spans="1:32">
      <c r="A31" s="23"/>
      <c r="B31" s="13" t="s">
        <v>607</v>
      </c>
      <c r="C31" s="14">
        <v>0.09</v>
      </c>
      <c r="D31" s="14">
        <v>0.13</v>
      </c>
      <c r="E31" s="14">
        <v>0.02</v>
      </c>
      <c r="F31" s="14">
        <v>0.1</v>
      </c>
      <c r="G31" s="14">
        <v>7.0000000000000007E-2</v>
      </c>
      <c r="H31" s="14">
        <v>0.19</v>
      </c>
      <c r="I31" s="14">
        <v>0.19</v>
      </c>
      <c r="J31" s="14">
        <v>0.16</v>
      </c>
      <c r="K31" s="14">
        <v>0.02</v>
      </c>
      <c r="L31" s="14">
        <v>0.15</v>
      </c>
      <c r="M31" s="14">
        <v>0.03</v>
      </c>
      <c r="N31" s="14">
        <v>7.0000000000000007E-2</v>
      </c>
      <c r="O31" s="14">
        <v>7.0000000000000007E-2</v>
      </c>
      <c r="P31" s="14">
        <v>0.02</v>
      </c>
      <c r="Q31" s="14">
        <v>0.03</v>
      </c>
      <c r="R31" s="14">
        <v>0.17</v>
      </c>
      <c r="S31" s="14">
        <v>0.02</v>
      </c>
      <c r="T31" s="14">
        <v>0.03</v>
      </c>
      <c r="U31" s="14">
        <v>0.06</v>
      </c>
      <c r="V31" s="14">
        <v>7.0000000000000007E-2</v>
      </c>
      <c r="W31" s="14">
        <v>0.12</v>
      </c>
      <c r="X31" s="14">
        <v>0.12</v>
      </c>
      <c r="Y31" s="14">
        <v>0.14000000000000001</v>
      </c>
      <c r="Z31" s="14">
        <v>0.03</v>
      </c>
      <c r="AA31" s="14">
        <v>0.03</v>
      </c>
      <c r="AB31" s="14">
        <v>0.02</v>
      </c>
      <c r="AC31" s="14">
        <v>7.0000000000000007E-2</v>
      </c>
      <c r="AD31" s="14">
        <v>0.05</v>
      </c>
      <c r="AE31" s="14">
        <v>0.02</v>
      </c>
      <c r="AF31" s="14">
        <v>0.04</v>
      </c>
    </row>
    <row r="32" spans="1:32" ht="34.5">
      <c r="A32" s="23"/>
      <c r="B32" s="11" t="s">
        <v>608</v>
      </c>
      <c r="C32" s="12">
        <v>1265</v>
      </c>
      <c r="D32" s="12">
        <v>54</v>
      </c>
      <c r="E32" s="12">
        <v>39</v>
      </c>
      <c r="F32" s="12">
        <v>40</v>
      </c>
      <c r="G32" s="12">
        <v>62</v>
      </c>
      <c r="H32" s="12">
        <v>68</v>
      </c>
      <c r="I32" s="12">
        <v>88</v>
      </c>
      <c r="J32" s="12">
        <v>20</v>
      </c>
      <c r="K32" s="12">
        <v>16</v>
      </c>
      <c r="L32" s="12">
        <v>46</v>
      </c>
      <c r="M32" s="12">
        <v>30</v>
      </c>
      <c r="N32" s="12">
        <v>29</v>
      </c>
      <c r="O32" s="12">
        <v>57</v>
      </c>
      <c r="P32" s="12">
        <v>48</v>
      </c>
      <c r="Q32" s="12">
        <v>42</v>
      </c>
      <c r="R32" s="12">
        <v>15</v>
      </c>
      <c r="S32" s="12">
        <v>29</v>
      </c>
      <c r="T32" s="12">
        <v>19</v>
      </c>
      <c r="U32" s="12">
        <v>38</v>
      </c>
      <c r="V32" s="12">
        <v>42</v>
      </c>
      <c r="W32" s="12">
        <v>33</v>
      </c>
      <c r="X32" s="12">
        <v>51</v>
      </c>
      <c r="Y32" s="12">
        <v>46</v>
      </c>
      <c r="Z32" s="12">
        <v>48</v>
      </c>
      <c r="AA32" s="12">
        <v>33</v>
      </c>
      <c r="AB32" s="12">
        <v>39</v>
      </c>
      <c r="AC32" s="12">
        <v>42</v>
      </c>
      <c r="AD32" s="12">
        <v>18</v>
      </c>
      <c r="AE32" s="12">
        <v>48</v>
      </c>
      <c r="AF32" s="12">
        <v>146</v>
      </c>
    </row>
    <row r="33" spans="1:32" ht="23.25">
      <c r="A33" s="23"/>
      <c r="B33" s="13" t="s">
        <v>609</v>
      </c>
      <c r="C33" s="14">
        <v>0.05</v>
      </c>
      <c r="D33" s="14">
        <v>0.05</v>
      </c>
      <c r="E33" s="14">
        <v>0.04</v>
      </c>
      <c r="F33" s="14">
        <v>0.04</v>
      </c>
      <c r="G33" s="14">
        <v>0.06</v>
      </c>
      <c r="H33" s="14">
        <v>0.06</v>
      </c>
      <c r="I33" s="14">
        <v>0.06</v>
      </c>
      <c r="J33" s="14">
        <v>7.0000000000000007E-2</v>
      </c>
      <c r="K33" s="14">
        <v>0.02</v>
      </c>
      <c r="L33" s="14">
        <v>0.05</v>
      </c>
      <c r="M33" s="14">
        <v>0.03</v>
      </c>
      <c r="N33" s="14">
        <v>0.03</v>
      </c>
      <c r="O33" s="14">
        <v>0.06</v>
      </c>
      <c r="P33" s="14">
        <v>0.05</v>
      </c>
      <c r="Q33" s="14">
        <v>0.04</v>
      </c>
      <c r="R33" s="14">
        <v>0.03</v>
      </c>
      <c r="S33" s="14">
        <v>0.03</v>
      </c>
      <c r="T33" s="14">
        <v>0.02</v>
      </c>
      <c r="U33" s="14">
        <v>0.08</v>
      </c>
      <c r="V33" s="14">
        <v>0.04</v>
      </c>
      <c r="W33" s="14">
        <v>7.0000000000000007E-2</v>
      </c>
      <c r="X33" s="14">
        <v>0.05</v>
      </c>
      <c r="Y33" s="14">
        <v>0.05</v>
      </c>
      <c r="Z33" s="14">
        <v>0.05</v>
      </c>
      <c r="AA33" s="14">
        <v>0.03</v>
      </c>
      <c r="AB33" s="14">
        <v>0.04</v>
      </c>
      <c r="AC33" s="14">
        <v>0.04</v>
      </c>
      <c r="AD33" s="14">
        <v>0.02</v>
      </c>
      <c r="AE33" s="14">
        <v>0.05</v>
      </c>
      <c r="AF33" s="14">
        <v>0.14000000000000001</v>
      </c>
    </row>
    <row r="34" spans="1:32" ht="23.25">
      <c r="A34" s="23"/>
      <c r="B34" s="11" t="s">
        <v>610</v>
      </c>
      <c r="C34" s="12">
        <v>1709</v>
      </c>
      <c r="D34" s="12">
        <v>41</v>
      </c>
      <c r="E34" s="12">
        <v>51</v>
      </c>
      <c r="F34" s="12">
        <v>27</v>
      </c>
      <c r="G34" s="12">
        <v>57</v>
      </c>
      <c r="H34" s="12">
        <v>145</v>
      </c>
      <c r="I34" s="12">
        <v>169</v>
      </c>
      <c r="J34" s="12">
        <v>23</v>
      </c>
      <c r="K34" s="12">
        <v>29</v>
      </c>
      <c r="L34" s="12">
        <v>37</v>
      </c>
      <c r="M34" s="12">
        <v>56</v>
      </c>
      <c r="N34" s="12">
        <v>46</v>
      </c>
      <c r="O34" s="12">
        <v>28</v>
      </c>
      <c r="P34" s="12">
        <v>58</v>
      </c>
      <c r="Q34" s="12">
        <v>67</v>
      </c>
      <c r="R34" s="12">
        <v>44</v>
      </c>
      <c r="S34" s="12">
        <v>44</v>
      </c>
      <c r="T34" s="12">
        <v>23</v>
      </c>
      <c r="U34" s="12">
        <v>40</v>
      </c>
      <c r="V34" s="12">
        <v>83</v>
      </c>
      <c r="W34" s="12">
        <v>36</v>
      </c>
      <c r="X34" s="12">
        <v>102</v>
      </c>
      <c r="Y34" s="12">
        <v>40</v>
      </c>
      <c r="Z34" s="12">
        <v>50</v>
      </c>
      <c r="AA34" s="12">
        <v>25</v>
      </c>
      <c r="AB34" s="12">
        <v>97</v>
      </c>
      <c r="AC34" s="12">
        <v>44</v>
      </c>
      <c r="AD34" s="12">
        <v>44</v>
      </c>
      <c r="AE34" s="12">
        <v>90</v>
      </c>
      <c r="AF34" s="12">
        <v>121</v>
      </c>
    </row>
    <row r="35" spans="1:32" ht="23.25">
      <c r="A35" s="23"/>
      <c r="B35" s="13" t="s">
        <v>611</v>
      </c>
      <c r="C35" s="14">
        <v>7.0000000000000007E-2</v>
      </c>
      <c r="D35" s="14">
        <v>0.04</v>
      </c>
      <c r="E35" s="14">
        <v>0.05</v>
      </c>
      <c r="F35" s="14">
        <v>0.03</v>
      </c>
      <c r="G35" s="14">
        <v>0.06</v>
      </c>
      <c r="H35" s="14">
        <v>0.12</v>
      </c>
      <c r="I35" s="14">
        <v>0.11</v>
      </c>
      <c r="J35" s="14">
        <v>0.08</v>
      </c>
      <c r="K35" s="14">
        <v>0.03</v>
      </c>
      <c r="L35" s="14">
        <v>0.04</v>
      </c>
      <c r="M35" s="14">
        <v>0.06</v>
      </c>
      <c r="N35" s="14">
        <v>0.05</v>
      </c>
      <c r="O35" s="14">
        <v>0.03</v>
      </c>
      <c r="P35" s="14">
        <v>0.06</v>
      </c>
      <c r="Q35" s="14">
        <v>7.0000000000000007E-2</v>
      </c>
      <c r="R35" s="14">
        <v>0.09</v>
      </c>
      <c r="S35" s="14">
        <v>0.04</v>
      </c>
      <c r="T35" s="14">
        <v>0.02</v>
      </c>
      <c r="U35" s="14">
        <v>0.08</v>
      </c>
      <c r="V35" s="14">
        <v>0.08</v>
      </c>
      <c r="W35" s="14">
        <v>7.0000000000000007E-2</v>
      </c>
      <c r="X35" s="14">
        <v>0.1</v>
      </c>
      <c r="Y35" s="14">
        <v>0.04</v>
      </c>
      <c r="Z35" s="14">
        <v>0.05</v>
      </c>
      <c r="AA35" s="14">
        <v>0.02</v>
      </c>
      <c r="AB35" s="14">
        <v>0.09</v>
      </c>
      <c r="AC35" s="14">
        <v>0.04</v>
      </c>
      <c r="AD35" s="14">
        <v>0.04</v>
      </c>
      <c r="AE35" s="14">
        <v>0.09</v>
      </c>
      <c r="AF35" s="14">
        <v>0.11</v>
      </c>
    </row>
    <row r="36" spans="1:32" ht="23.25">
      <c r="A36" s="23"/>
      <c r="B36" s="11" t="s">
        <v>612</v>
      </c>
      <c r="C36" s="12">
        <v>2978</v>
      </c>
      <c r="D36" s="12">
        <v>110</v>
      </c>
      <c r="E36" s="12">
        <v>69</v>
      </c>
      <c r="F36" s="12">
        <v>172</v>
      </c>
      <c r="G36" s="12">
        <v>240</v>
      </c>
      <c r="H36" s="12">
        <v>190</v>
      </c>
      <c r="I36" s="12">
        <v>232</v>
      </c>
      <c r="J36" s="12">
        <v>42</v>
      </c>
      <c r="K36" s="12">
        <v>187</v>
      </c>
      <c r="L36" s="12">
        <v>45</v>
      </c>
      <c r="M36" s="12">
        <v>58</v>
      </c>
      <c r="N36" s="12">
        <v>51</v>
      </c>
      <c r="O36" s="12">
        <v>97</v>
      </c>
      <c r="P36" s="12">
        <v>63</v>
      </c>
      <c r="Q36" s="12">
        <v>97</v>
      </c>
      <c r="R36" s="12">
        <v>50</v>
      </c>
      <c r="S36" s="12">
        <v>143</v>
      </c>
      <c r="T36" s="12">
        <v>244</v>
      </c>
      <c r="U36" s="12">
        <v>59</v>
      </c>
      <c r="V36" s="12">
        <v>106</v>
      </c>
      <c r="W36" s="12">
        <v>11</v>
      </c>
      <c r="X36" s="12">
        <v>189</v>
      </c>
      <c r="Y36" s="12">
        <v>70</v>
      </c>
      <c r="Z36" s="12">
        <v>158</v>
      </c>
      <c r="AA36" s="12">
        <v>48</v>
      </c>
      <c r="AB36" s="12">
        <v>82</v>
      </c>
      <c r="AC36" s="12">
        <v>79</v>
      </c>
      <c r="AD36" s="12">
        <v>130</v>
      </c>
      <c r="AE36" s="12">
        <v>206</v>
      </c>
      <c r="AF36" s="12">
        <v>101</v>
      </c>
    </row>
    <row r="37" spans="1:32" ht="23.25">
      <c r="A37" s="23"/>
      <c r="B37" s="13" t="s">
        <v>613</v>
      </c>
      <c r="C37" s="14">
        <v>0.11</v>
      </c>
      <c r="D37" s="14">
        <v>0.11</v>
      </c>
      <c r="E37" s="14">
        <v>7.0000000000000007E-2</v>
      </c>
      <c r="F37" s="14">
        <v>0.17</v>
      </c>
      <c r="G37" s="14">
        <v>0.24</v>
      </c>
      <c r="H37" s="14">
        <v>0.16</v>
      </c>
      <c r="I37" s="14">
        <v>0.15</v>
      </c>
      <c r="J37" s="14">
        <v>0.14000000000000001</v>
      </c>
      <c r="K37" s="14">
        <v>0.19</v>
      </c>
      <c r="L37" s="14">
        <v>0.04</v>
      </c>
      <c r="M37" s="14">
        <v>0.06</v>
      </c>
      <c r="N37" s="14">
        <v>0.05</v>
      </c>
      <c r="O37" s="14">
        <v>0.1</v>
      </c>
      <c r="P37" s="14">
        <v>0.06</v>
      </c>
      <c r="Q37" s="14">
        <v>0.1</v>
      </c>
      <c r="R37" s="14">
        <v>0.1</v>
      </c>
      <c r="S37" s="14">
        <v>0.14000000000000001</v>
      </c>
      <c r="T37" s="14">
        <v>0.24</v>
      </c>
      <c r="U37" s="14">
        <v>0.12</v>
      </c>
      <c r="V37" s="14">
        <v>0.1</v>
      </c>
      <c r="W37" s="14">
        <v>0.02</v>
      </c>
      <c r="X37" s="14">
        <v>0.19</v>
      </c>
      <c r="Y37" s="14">
        <v>7.0000000000000007E-2</v>
      </c>
      <c r="Z37" s="14">
        <v>0.16</v>
      </c>
      <c r="AA37" s="14">
        <v>0.05</v>
      </c>
      <c r="AB37" s="14">
        <v>0.08</v>
      </c>
      <c r="AC37" s="14">
        <v>0.08</v>
      </c>
      <c r="AD37" s="14">
        <v>0.13</v>
      </c>
      <c r="AE37" s="14">
        <v>0.21</v>
      </c>
      <c r="AF37" s="14">
        <v>0.09</v>
      </c>
    </row>
    <row r="38" spans="1:32" ht="23.25">
      <c r="A38" s="23"/>
      <c r="B38" s="11" t="s">
        <v>614</v>
      </c>
      <c r="C38" s="12">
        <v>1517</v>
      </c>
      <c r="D38" s="12">
        <v>50</v>
      </c>
      <c r="E38" s="12">
        <v>66</v>
      </c>
      <c r="F38" s="12">
        <v>50</v>
      </c>
      <c r="G38" s="12">
        <v>38</v>
      </c>
      <c r="H38" s="12">
        <v>36</v>
      </c>
      <c r="I38" s="12">
        <v>50</v>
      </c>
      <c r="J38" s="12">
        <v>14</v>
      </c>
      <c r="K38" s="12">
        <v>65</v>
      </c>
      <c r="L38" s="12">
        <v>44</v>
      </c>
      <c r="M38" s="12">
        <v>32</v>
      </c>
      <c r="N38" s="12">
        <v>60</v>
      </c>
      <c r="O38" s="12">
        <v>65</v>
      </c>
      <c r="P38" s="12">
        <v>70</v>
      </c>
      <c r="Q38" s="12">
        <v>70</v>
      </c>
      <c r="R38" s="12">
        <v>8</v>
      </c>
      <c r="S38" s="12">
        <v>51</v>
      </c>
      <c r="T38" s="12">
        <v>53</v>
      </c>
      <c r="U38" s="12">
        <v>15</v>
      </c>
      <c r="V38" s="12">
        <v>70</v>
      </c>
      <c r="W38" s="12">
        <v>22</v>
      </c>
      <c r="X38" s="12">
        <v>35</v>
      </c>
      <c r="Y38" s="12">
        <v>67</v>
      </c>
      <c r="Z38" s="12">
        <v>92</v>
      </c>
      <c r="AA38" s="12">
        <v>35</v>
      </c>
      <c r="AB38" s="12">
        <v>68</v>
      </c>
      <c r="AC38" s="12">
        <v>96</v>
      </c>
      <c r="AD38" s="12">
        <v>107</v>
      </c>
      <c r="AE38" s="12">
        <v>86</v>
      </c>
      <c r="AF38" s="12">
        <v>74</v>
      </c>
    </row>
    <row r="39" spans="1:32" ht="23.25">
      <c r="A39" s="23"/>
      <c r="B39" s="13" t="s">
        <v>615</v>
      </c>
      <c r="C39" s="14">
        <v>0.06</v>
      </c>
      <c r="D39" s="14">
        <v>0.05</v>
      </c>
      <c r="E39" s="14">
        <v>0.06</v>
      </c>
      <c r="F39" s="14">
        <v>0.05</v>
      </c>
      <c r="G39" s="14">
        <v>0.04</v>
      </c>
      <c r="H39" s="14">
        <v>0.03</v>
      </c>
      <c r="I39" s="14">
        <v>0.03</v>
      </c>
      <c r="J39" s="14">
        <v>0.05</v>
      </c>
      <c r="K39" s="14">
        <v>0.06</v>
      </c>
      <c r="L39" s="14">
        <v>0.04</v>
      </c>
      <c r="M39" s="14">
        <v>0.03</v>
      </c>
      <c r="N39" s="14">
        <v>0.06</v>
      </c>
      <c r="O39" s="14">
        <v>0.06</v>
      </c>
      <c r="P39" s="14">
        <v>7.0000000000000007E-2</v>
      </c>
      <c r="Q39" s="14">
        <v>7.0000000000000007E-2</v>
      </c>
      <c r="R39" s="14">
        <v>0.02</v>
      </c>
      <c r="S39" s="14">
        <v>0.05</v>
      </c>
      <c r="T39" s="14">
        <v>0.05</v>
      </c>
      <c r="U39" s="14">
        <v>0.03</v>
      </c>
      <c r="V39" s="14">
        <v>7.0000000000000007E-2</v>
      </c>
      <c r="W39" s="14">
        <v>0.04</v>
      </c>
      <c r="X39" s="14">
        <v>0.03</v>
      </c>
      <c r="Y39" s="14">
        <v>7.0000000000000007E-2</v>
      </c>
      <c r="Z39" s="14">
        <v>0.09</v>
      </c>
      <c r="AA39" s="14">
        <v>0.04</v>
      </c>
      <c r="AB39" s="14">
        <v>7.0000000000000007E-2</v>
      </c>
      <c r="AC39" s="14">
        <v>0.1</v>
      </c>
      <c r="AD39" s="14">
        <v>0.11</v>
      </c>
      <c r="AE39" s="14">
        <v>0.09</v>
      </c>
      <c r="AF39" s="14">
        <v>7.0000000000000007E-2</v>
      </c>
    </row>
    <row r="40" spans="1:32" ht="23.25">
      <c r="A40" s="23"/>
      <c r="B40" s="11" t="s">
        <v>616</v>
      </c>
      <c r="C40" s="12">
        <v>637</v>
      </c>
      <c r="D40" s="12">
        <v>29</v>
      </c>
      <c r="E40" s="12">
        <v>16</v>
      </c>
      <c r="F40" s="12">
        <v>12</v>
      </c>
      <c r="G40" s="12">
        <v>21</v>
      </c>
      <c r="H40" s="12">
        <v>16</v>
      </c>
      <c r="I40" s="12">
        <v>17</v>
      </c>
      <c r="J40" s="12">
        <v>1</v>
      </c>
      <c r="K40" s="12">
        <v>12</v>
      </c>
      <c r="L40" s="12">
        <v>27</v>
      </c>
      <c r="M40" s="12">
        <v>11</v>
      </c>
      <c r="N40" s="12">
        <v>23</v>
      </c>
      <c r="O40" s="12">
        <v>29</v>
      </c>
      <c r="P40" s="12">
        <v>23</v>
      </c>
      <c r="Q40" s="12">
        <v>39</v>
      </c>
      <c r="R40" s="12">
        <v>5</v>
      </c>
      <c r="S40" s="12">
        <v>4</v>
      </c>
      <c r="T40" s="12">
        <v>8</v>
      </c>
      <c r="U40" s="12">
        <v>17</v>
      </c>
      <c r="V40" s="12">
        <v>21</v>
      </c>
      <c r="W40" s="12">
        <v>13</v>
      </c>
      <c r="X40" s="12">
        <v>5</v>
      </c>
      <c r="Y40" s="12">
        <v>28</v>
      </c>
      <c r="Z40" s="12">
        <v>41</v>
      </c>
      <c r="AA40" s="12">
        <v>23</v>
      </c>
      <c r="AB40" s="12">
        <v>37</v>
      </c>
      <c r="AC40" s="12">
        <v>13</v>
      </c>
      <c r="AD40" s="12">
        <v>18</v>
      </c>
      <c r="AE40" s="12">
        <v>8</v>
      </c>
      <c r="AF40" s="12">
        <v>37</v>
      </c>
    </row>
    <row r="41" spans="1:32" ht="23.25">
      <c r="A41" s="23"/>
      <c r="B41" s="13" t="s">
        <v>617</v>
      </c>
      <c r="C41" s="14">
        <v>0.02</v>
      </c>
      <c r="D41" s="14">
        <v>0.03</v>
      </c>
      <c r="E41" s="14">
        <v>0.02</v>
      </c>
      <c r="F41" s="14">
        <v>0.01</v>
      </c>
      <c r="G41" s="14">
        <v>0.02</v>
      </c>
      <c r="H41" s="14">
        <v>0.01</v>
      </c>
      <c r="I41" s="14">
        <v>0.01</v>
      </c>
      <c r="J41" s="14">
        <v>0.01</v>
      </c>
      <c r="K41" s="14">
        <v>0.01</v>
      </c>
      <c r="L41" s="14">
        <v>0.03</v>
      </c>
      <c r="M41" s="14">
        <v>0.01</v>
      </c>
      <c r="N41" s="14">
        <v>0.02</v>
      </c>
      <c r="O41" s="14">
        <v>0.03</v>
      </c>
      <c r="P41" s="14">
        <v>0.02</v>
      </c>
      <c r="Q41" s="14">
        <v>0.04</v>
      </c>
      <c r="R41" s="14">
        <v>0.01</v>
      </c>
      <c r="S41" s="15" t="s">
        <v>485</v>
      </c>
      <c r="T41" s="14">
        <v>0.01</v>
      </c>
      <c r="U41" s="14">
        <v>0.03</v>
      </c>
      <c r="V41" s="14">
        <v>0.02</v>
      </c>
      <c r="W41" s="14">
        <v>0.02</v>
      </c>
      <c r="X41" s="14">
        <v>0.01</v>
      </c>
      <c r="Y41" s="14">
        <v>0.03</v>
      </c>
      <c r="Z41" s="14">
        <v>0.04</v>
      </c>
      <c r="AA41" s="14">
        <v>0.02</v>
      </c>
      <c r="AB41" s="14">
        <v>0.04</v>
      </c>
      <c r="AC41" s="14">
        <v>0.01</v>
      </c>
      <c r="AD41" s="14">
        <v>0.02</v>
      </c>
      <c r="AE41" s="14">
        <v>0.01</v>
      </c>
      <c r="AF41" s="14">
        <v>0.04</v>
      </c>
    </row>
    <row r="42" spans="1:32">
      <c r="A42" s="23"/>
      <c r="B42" s="11" t="s">
        <v>550</v>
      </c>
      <c r="C42" s="12">
        <v>73</v>
      </c>
      <c r="D42" s="12">
        <v>1</v>
      </c>
      <c r="E42" s="12">
        <v>1</v>
      </c>
      <c r="F42" s="12">
        <v>2</v>
      </c>
      <c r="G42" s="12">
        <v>3</v>
      </c>
      <c r="H42" s="12">
        <v>9</v>
      </c>
      <c r="I42" s="12">
        <v>9</v>
      </c>
      <c r="J42" s="12">
        <v>1</v>
      </c>
      <c r="K42" s="12">
        <v>8</v>
      </c>
      <c r="L42" s="12">
        <v>2</v>
      </c>
      <c r="M42" s="12">
        <v>3</v>
      </c>
      <c r="N42" s="12">
        <v>5</v>
      </c>
      <c r="O42" s="12">
        <v>1</v>
      </c>
      <c r="P42" s="12">
        <v>1</v>
      </c>
      <c r="Q42" s="12">
        <v>0</v>
      </c>
      <c r="R42" s="12">
        <v>5</v>
      </c>
      <c r="S42" s="12">
        <v>8</v>
      </c>
      <c r="T42" s="12">
        <v>0</v>
      </c>
      <c r="U42" s="12">
        <v>0</v>
      </c>
      <c r="V42" s="12">
        <v>0</v>
      </c>
      <c r="W42" s="12">
        <v>0</v>
      </c>
      <c r="X42" s="12">
        <v>9</v>
      </c>
      <c r="Y42" s="12">
        <v>0</v>
      </c>
      <c r="Z42" s="12">
        <v>1</v>
      </c>
      <c r="AA42" s="12">
        <v>1</v>
      </c>
      <c r="AB42" s="12">
        <v>2</v>
      </c>
      <c r="AC42" s="12">
        <v>3</v>
      </c>
      <c r="AD42" s="12">
        <v>1</v>
      </c>
      <c r="AE42" s="12">
        <v>3</v>
      </c>
      <c r="AF42" s="12">
        <v>4</v>
      </c>
    </row>
    <row r="43" spans="1:32">
      <c r="A43" s="23"/>
      <c r="B43" s="13" t="s">
        <v>551</v>
      </c>
      <c r="C43" s="15" t="s">
        <v>485</v>
      </c>
      <c r="D43" s="15" t="s">
        <v>485</v>
      </c>
      <c r="E43" s="15" t="s">
        <v>485</v>
      </c>
      <c r="F43" s="15" t="s">
        <v>485</v>
      </c>
      <c r="G43" s="15" t="s">
        <v>485</v>
      </c>
      <c r="H43" s="14">
        <v>0.01</v>
      </c>
      <c r="I43" s="14">
        <v>0.01</v>
      </c>
      <c r="J43" s="15" t="s">
        <v>485</v>
      </c>
      <c r="K43" s="14">
        <v>0.01</v>
      </c>
      <c r="L43" s="15" t="s">
        <v>485</v>
      </c>
      <c r="M43" s="15" t="s">
        <v>485</v>
      </c>
      <c r="N43" s="14">
        <v>0.01</v>
      </c>
      <c r="O43" s="15" t="s">
        <v>485</v>
      </c>
      <c r="P43" s="15" t="s">
        <v>485</v>
      </c>
      <c r="Q43" s="15" t="s">
        <v>485</v>
      </c>
      <c r="R43" s="14">
        <v>0.01</v>
      </c>
      <c r="S43" s="14">
        <v>0.01</v>
      </c>
      <c r="T43" s="15" t="s">
        <v>485</v>
      </c>
      <c r="U43" s="15" t="s">
        <v>485</v>
      </c>
      <c r="V43" s="15" t="s">
        <v>485</v>
      </c>
      <c r="W43" s="15" t="s">
        <v>485</v>
      </c>
      <c r="X43" s="14">
        <v>0.01</v>
      </c>
      <c r="Y43" s="15" t="s">
        <v>485</v>
      </c>
      <c r="Z43" s="15" t="s">
        <v>485</v>
      </c>
      <c r="AA43" s="15" t="s">
        <v>485</v>
      </c>
      <c r="AB43" s="15" t="s">
        <v>485</v>
      </c>
      <c r="AC43" s="15" t="s">
        <v>485</v>
      </c>
      <c r="AD43" s="15" t="s">
        <v>485</v>
      </c>
      <c r="AE43" s="15" t="s">
        <v>485</v>
      </c>
      <c r="AF43" s="15" t="s">
        <v>485</v>
      </c>
    </row>
    <row r="44" spans="1:32">
      <c r="A44" s="23"/>
      <c r="B44" s="11" t="s">
        <v>618</v>
      </c>
      <c r="C44" s="12">
        <v>201</v>
      </c>
      <c r="D44" s="12">
        <v>3</v>
      </c>
      <c r="E44" s="12">
        <v>11</v>
      </c>
      <c r="F44" s="12">
        <v>6</v>
      </c>
      <c r="G44" s="12">
        <v>6</v>
      </c>
      <c r="H44" s="12">
        <v>6</v>
      </c>
      <c r="I44" s="12">
        <v>7</v>
      </c>
      <c r="J44" s="12">
        <v>1</v>
      </c>
      <c r="K44" s="12">
        <v>4</v>
      </c>
      <c r="L44" s="12">
        <v>1</v>
      </c>
      <c r="M44" s="12">
        <v>4</v>
      </c>
      <c r="N44" s="12">
        <v>23</v>
      </c>
      <c r="O44" s="12">
        <v>10</v>
      </c>
      <c r="P44" s="12">
        <v>0</v>
      </c>
      <c r="Q44" s="12">
        <v>4</v>
      </c>
      <c r="R44" s="12">
        <v>1</v>
      </c>
      <c r="S44" s="12">
        <v>8</v>
      </c>
      <c r="T44" s="12">
        <v>3</v>
      </c>
      <c r="U44" s="12">
        <v>1</v>
      </c>
      <c r="V44" s="12">
        <v>4</v>
      </c>
      <c r="W44" s="12">
        <v>0</v>
      </c>
      <c r="X44" s="12">
        <v>7</v>
      </c>
      <c r="Y44" s="12">
        <v>7</v>
      </c>
      <c r="Z44" s="12">
        <v>6</v>
      </c>
      <c r="AA44" s="12">
        <v>4</v>
      </c>
      <c r="AB44" s="12">
        <v>6</v>
      </c>
      <c r="AC44" s="12">
        <v>21</v>
      </c>
      <c r="AD44" s="12">
        <v>6</v>
      </c>
      <c r="AE44" s="12">
        <v>3</v>
      </c>
      <c r="AF44" s="12">
        <v>1</v>
      </c>
    </row>
    <row r="45" spans="1:32">
      <c r="A45" s="23"/>
      <c r="B45" s="13" t="s">
        <v>619</v>
      </c>
      <c r="C45" s="14">
        <v>0.01</v>
      </c>
      <c r="D45" s="15" t="s">
        <v>485</v>
      </c>
      <c r="E45" s="14">
        <v>0.01</v>
      </c>
      <c r="F45" s="14">
        <v>0.01</v>
      </c>
      <c r="G45" s="14">
        <v>0.01</v>
      </c>
      <c r="H45" s="15" t="s">
        <v>485</v>
      </c>
      <c r="I45" s="14">
        <v>0.01</v>
      </c>
      <c r="J45" s="15" t="s">
        <v>485</v>
      </c>
      <c r="K45" s="15" t="s">
        <v>485</v>
      </c>
      <c r="L45" s="15" t="s">
        <v>485</v>
      </c>
      <c r="M45" s="15" t="s">
        <v>485</v>
      </c>
      <c r="N45" s="14">
        <v>0.02</v>
      </c>
      <c r="O45" s="14">
        <v>0.01</v>
      </c>
      <c r="P45" s="15" t="s">
        <v>485</v>
      </c>
      <c r="Q45" s="15" t="s">
        <v>485</v>
      </c>
      <c r="R45" s="15" t="s">
        <v>485</v>
      </c>
      <c r="S45" s="14">
        <v>0.01</v>
      </c>
      <c r="T45" s="15" t="s">
        <v>485</v>
      </c>
      <c r="U45" s="15" t="s">
        <v>485</v>
      </c>
      <c r="V45" s="15" t="s">
        <v>485</v>
      </c>
      <c r="W45" s="15" t="s">
        <v>485</v>
      </c>
      <c r="X45" s="14">
        <v>0.01</v>
      </c>
      <c r="Y45" s="14">
        <v>0.01</v>
      </c>
      <c r="Z45" s="14">
        <v>0.01</v>
      </c>
      <c r="AA45" s="15" t="s">
        <v>485</v>
      </c>
      <c r="AB45" s="14">
        <v>0.01</v>
      </c>
      <c r="AC45" s="14">
        <v>0.02</v>
      </c>
      <c r="AD45" s="14">
        <v>0.01</v>
      </c>
      <c r="AE45" s="15" t="s">
        <v>485</v>
      </c>
      <c r="AF45" s="15" t="s">
        <v>485</v>
      </c>
    </row>
    <row r="46" spans="1:32">
      <c r="A46" s="23"/>
      <c r="B46" s="11" t="s">
        <v>497</v>
      </c>
      <c r="C46" s="12">
        <v>186</v>
      </c>
      <c r="D46" s="12">
        <v>0</v>
      </c>
      <c r="E46" s="12">
        <v>11</v>
      </c>
      <c r="F46" s="12">
        <v>29</v>
      </c>
      <c r="G46" s="12">
        <v>8</v>
      </c>
      <c r="H46" s="12">
        <v>7</v>
      </c>
      <c r="I46" s="12">
        <v>7</v>
      </c>
      <c r="J46" s="12">
        <v>0</v>
      </c>
      <c r="K46" s="12">
        <v>12</v>
      </c>
      <c r="L46" s="12">
        <v>9</v>
      </c>
      <c r="M46" s="12">
        <v>2</v>
      </c>
      <c r="N46" s="12">
        <v>6</v>
      </c>
      <c r="O46" s="12">
        <v>9</v>
      </c>
      <c r="P46" s="12">
        <v>0</v>
      </c>
      <c r="Q46" s="12">
        <v>4</v>
      </c>
      <c r="R46" s="12">
        <v>5</v>
      </c>
      <c r="S46" s="12">
        <v>12</v>
      </c>
      <c r="T46" s="12">
        <v>13</v>
      </c>
      <c r="U46" s="12">
        <v>2</v>
      </c>
      <c r="V46" s="12">
        <v>5</v>
      </c>
      <c r="W46" s="12">
        <v>3</v>
      </c>
      <c r="X46" s="12">
        <v>0</v>
      </c>
      <c r="Y46" s="12">
        <v>1</v>
      </c>
      <c r="Z46" s="12">
        <v>16</v>
      </c>
      <c r="AA46" s="12">
        <v>12</v>
      </c>
      <c r="AB46" s="12">
        <v>11</v>
      </c>
      <c r="AC46" s="12">
        <v>4</v>
      </c>
      <c r="AD46" s="12">
        <v>1</v>
      </c>
      <c r="AE46" s="12">
        <v>9</v>
      </c>
      <c r="AF46" s="12">
        <v>0</v>
      </c>
    </row>
    <row r="47" spans="1:32">
      <c r="A47" s="23"/>
      <c r="B47" s="13" t="s">
        <v>498</v>
      </c>
      <c r="C47" s="14">
        <v>0.01</v>
      </c>
      <c r="D47" s="15" t="s">
        <v>485</v>
      </c>
      <c r="E47" s="14">
        <v>0.01</v>
      </c>
      <c r="F47" s="14">
        <v>0.03</v>
      </c>
      <c r="G47" s="14">
        <v>0.01</v>
      </c>
      <c r="H47" s="14">
        <v>0.01</v>
      </c>
      <c r="I47" s="15" t="s">
        <v>485</v>
      </c>
      <c r="J47" s="15" t="s">
        <v>485</v>
      </c>
      <c r="K47" s="14">
        <v>0.01</v>
      </c>
      <c r="L47" s="14">
        <v>0.01</v>
      </c>
      <c r="M47" s="15" t="s">
        <v>485</v>
      </c>
      <c r="N47" s="14">
        <v>0.01</v>
      </c>
      <c r="O47" s="14">
        <v>0.01</v>
      </c>
      <c r="P47" s="15" t="s">
        <v>485</v>
      </c>
      <c r="Q47" s="15" t="s">
        <v>485</v>
      </c>
      <c r="R47" s="14">
        <v>0.01</v>
      </c>
      <c r="S47" s="14">
        <v>0.01</v>
      </c>
      <c r="T47" s="14">
        <v>0.01</v>
      </c>
      <c r="U47" s="15" t="s">
        <v>485</v>
      </c>
      <c r="V47" s="14">
        <v>0.01</v>
      </c>
      <c r="W47" s="14">
        <v>0.01</v>
      </c>
      <c r="X47" s="15" t="s">
        <v>485</v>
      </c>
      <c r="Y47" s="15" t="s">
        <v>485</v>
      </c>
      <c r="Z47" s="14">
        <v>0.02</v>
      </c>
      <c r="AA47" s="14">
        <v>0.01</v>
      </c>
      <c r="AB47" s="14">
        <v>0.01</v>
      </c>
      <c r="AC47" s="15" t="s">
        <v>485</v>
      </c>
      <c r="AD47" s="15" t="s">
        <v>485</v>
      </c>
      <c r="AE47" s="14">
        <v>0.01</v>
      </c>
      <c r="AF47" s="15" t="s">
        <v>485</v>
      </c>
    </row>
  </sheetData>
  <mergeCells count="9">
    <mergeCell ref="B4:F4"/>
    <mergeCell ref="A10:A47"/>
    <mergeCell ref="H3:L3"/>
    <mergeCell ref="C8:AF8"/>
    <mergeCell ref="B3:F3"/>
    <mergeCell ref="B5:F5"/>
    <mergeCell ref="H5:L5"/>
    <mergeCell ref="B10:B11"/>
    <mergeCell ref="H4:L4"/>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F47"/>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12" customHeight="1">
      <c r="B3" s="19" t="s">
        <v>37</v>
      </c>
      <c r="C3" s="19"/>
      <c r="D3" s="19"/>
      <c r="E3" s="19"/>
      <c r="F3" s="19"/>
      <c r="H3" s="19" t="s">
        <v>38</v>
      </c>
      <c r="I3" s="19"/>
      <c r="J3" s="19"/>
      <c r="K3" s="19"/>
      <c r="L3" s="19"/>
    </row>
    <row r="4" spans="1:32" ht="27" customHeight="1">
      <c r="B4" s="19"/>
      <c r="C4" s="19"/>
      <c r="D4" s="19"/>
      <c r="E4" s="19"/>
      <c r="F4" s="19"/>
      <c r="H4" s="19"/>
      <c r="I4" s="19"/>
      <c r="J4" s="19"/>
      <c r="K4" s="19"/>
      <c r="L4" s="19"/>
    </row>
    <row r="5" spans="1:32" ht="12" customHeight="1">
      <c r="B5" s="19" t="s">
        <v>620</v>
      </c>
      <c r="C5" s="19"/>
      <c r="D5" s="19"/>
      <c r="E5" s="19"/>
      <c r="F5" s="19"/>
      <c r="H5" s="19" t="s">
        <v>621</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HYPERLINK("#Content!A20","&lt;&lt;Back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25967</v>
      </c>
      <c r="D10" s="10">
        <v>1003</v>
      </c>
      <c r="E10" s="10">
        <v>1022</v>
      </c>
      <c r="F10" s="10">
        <v>972</v>
      </c>
      <c r="G10" s="10">
        <v>989</v>
      </c>
      <c r="H10" s="10">
        <v>1197</v>
      </c>
      <c r="I10" s="10">
        <v>1489</v>
      </c>
      <c r="J10" s="10">
        <v>292</v>
      </c>
      <c r="K10" s="10">
        <v>988</v>
      </c>
      <c r="L10" s="10">
        <v>996</v>
      </c>
      <c r="M10" s="10">
        <v>1005</v>
      </c>
      <c r="N10" s="10">
        <v>970</v>
      </c>
      <c r="O10" s="10">
        <v>987</v>
      </c>
      <c r="P10" s="10">
        <v>1011</v>
      </c>
      <c r="Q10" s="10">
        <v>1016</v>
      </c>
      <c r="R10" s="10">
        <v>495</v>
      </c>
      <c r="S10" s="10">
        <v>985</v>
      </c>
      <c r="T10" s="10">
        <v>988</v>
      </c>
      <c r="U10" s="10">
        <v>501</v>
      </c>
      <c r="V10" s="10">
        <v>1002</v>
      </c>
      <c r="W10" s="10">
        <v>500</v>
      </c>
      <c r="X10" s="10">
        <v>1009</v>
      </c>
      <c r="Y10" s="10">
        <v>999</v>
      </c>
      <c r="Z10" s="10">
        <v>995</v>
      </c>
      <c r="AA10" s="10">
        <v>1024</v>
      </c>
      <c r="AB10" s="10">
        <v>1013</v>
      </c>
      <c r="AC10" s="10">
        <v>980</v>
      </c>
      <c r="AD10" s="10">
        <v>994</v>
      </c>
      <c r="AE10" s="10">
        <v>996</v>
      </c>
      <c r="AF10" s="10">
        <v>1072</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23.25">
      <c r="A12" s="23"/>
      <c r="B12" s="11" t="s">
        <v>588</v>
      </c>
      <c r="C12" s="12">
        <v>4995</v>
      </c>
      <c r="D12" s="12">
        <v>141</v>
      </c>
      <c r="E12" s="12">
        <v>228</v>
      </c>
      <c r="F12" s="12">
        <v>150</v>
      </c>
      <c r="G12" s="12">
        <v>162</v>
      </c>
      <c r="H12" s="12">
        <v>136</v>
      </c>
      <c r="I12" s="12">
        <v>191</v>
      </c>
      <c r="J12" s="12">
        <v>55</v>
      </c>
      <c r="K12" s="12">
        <v>208</v>
      </c>
      <c r="L12" s="12">
        <v>252</v>
      </c>
      <c r="M12" s="12">
        <v>362</v>
      </c>
      <c r="N12" s="12">
        <v>275</v>
      </c>
      <c r="O12" s="12">
        <v>210</v>
      </c>
      <c r="P12" s="12">
        <v>175</v>
      </c>
      <c r="Q12" s="12">
        <v>170</v>
      </c>
      <c r="R12" s="12">
        <v>150</v>
      </c>
      <c r="S12" s="12">
        <v>271</v>
      </c>
      <c r="T12" s="12">
        <v>197</v>
      </c>
      <c r="U12" s="12">
        <v>54</v>
      </c>
      <c r="V12" s="12">
        <v>246</v>
      </c>
      <c r="W12" s="12">
        <v>112</v>
      </c>
      <c r="X12" s="12">
        <v>158</v>
      </c>
      <c r="Y12" s="12">
        <v>185</v>
      </c>
      <c r="Z12" s="12">
        <v>160</v>
      </c>
      <c r="AA12" s="12">
        <v>428</v>
      </c>
      <c r="AB12" s="12">
        <v>199</v>
      </c>
      <c r="AC12" s="12">
        <v>223</v>
      </c>
      <c r="AD12" s="12">
        <v>210</v>
      </c>
      <c r="AE12" s="12">
        <v>90</v>
      </c>
      <c r="AF12" s="12">
        <v>120</v>
      </c>
    </row>
    <row r="13" spans="1:32" ht="23.25">
      <c r="A13" s="23"/>
      <c r="B13" s="13" t="s">
        <v>589</v>
      </c>
      <c r="C13" s="14">
        <v>0.21</v>
      </c>
      <c r="D13" s="14">
        <v>0.15</v>
      </c>
      <c r="E13" s="14">
        <v>0.25</v>
      </c>
      <c r="F13" s="14">
        <v>0.16</v>
      </c>
      <c r="G13" s="14">
        <v>0.17</v>
      </c>
      <c r="H13" s="14">
        <v>0.12</v>
      </c>
      <c r="I13" s="14">
        <v>0.13</v>
      </c>
      <c r="J13" s="14">
        <v>0.19</v>
      </c>
      <c r="K13" s="14">
        <v>0.23</v>
      </c>
      <c r="L13" s="14">
        <v>0.28999999999999998</v>
      </c>
      <c r="M13" s="14">
        <v>0.4</v>
      </c>
      <c r="N13" s="14">
        <v>0.32</v>
      </c>
      <c r="O13" s="14">
        <v>0.22</v>
      </c>
      <c r="P13" s="14">
        <v>0.18</v>
      </c>
      <c r="Q13" s="14">
        <v>0.18</v>
      </c>
      <c r="R13" s="14">
        <v>0.33</v>
      </c>
      <c r="S13" s="14">
        <v>0.32</v>
      </c>
      <c r="T13" s="14">
        <v>0.22</v>
      </c>
      <c r="U13" s="14">
        <v>0.11</v>
      </c>
      <c r="V13" s="14">
        <v>0.27</v>
      </c>
      <c r="W13" s="14">
        <v>0.26</v>
      </c>
      <c r="X13" s="14">
        <v>0.16</v>
      </c>
      <c r="Y13" s="14">
        <v>0.19</v>
      </c>
      <c r="Z13" s="14">
        <v>0.17</v>
      </c>
      <c r="AA13" s="14">
        <v>0.51</v>
      </c>
      <c r="AB13" s="14">
        <v>0.21</v>
      </c>
      <c r="AC13" s="14">
        <v>0.26</v>
      </c>
      <c r="AD13" s="14">
        <v>0.23</v>
      </c>
      <c r="AE13" s="14">
        <v>0.09</v>
      </c>
      <c r="AF13" s="14">
        <v>0.11</v>
      </c>
    </row>
    <row r="14" spans="1:32" ht="23.25">
      <c r="A14" s="23"/>
      <c r="B14" s="11" t="s">
        <v>590</v>
      </c>
      <c r="C14" s="12">
        <v>3877</v>
      </c>
      <c r="D14" s="12">
        <v>181</v>
      </c>
      <c r="E14" s="12">
        <v>76</v>
      </c>
      <c r="F14" s="12">
        <v>65</v>
      </c>
      <c r="G14" s="12">
        <v>282</v>
      </c>
      <c r="H14" s="12">
        <v>190</v>
      </c>
      <c r="I14" s="12">
        <v>218</v>
      </c>
      <c r="J14" s="12">
        <v>28</v>
      </c>
      <c r="K14" s="12">
        <v>50</v>
      </c>
      <c r="L14" s="12">
        <v>172</v>
      </c>
      <c r="M14" s="12">
        <v>115</v>
      </c>
      <c r="N14" s="12">
        <v>128</v>
      </c>
      <c r="O14" s="12">
        <v>211</v>
      </c>
      <c r="P14" s="12">
        <v>133</v>
      </c>
      <c r="Q14" s="12">
        <v>156</v>
      </c>
      <c r="R14" s="12">
        <v>39</v>
      </c>
      <c r="S14" s="12">
        <v>32</v>
      </c>
      <c r="T14" s="12">
        <v>102</v>
      </c>
      <c r="U14" s="12">
        <v>83</v>
      </c>
      <c r="V14" s="12">
        <v>125</v>
      </c>
      <c r="W14" s="12">
        <v>97</v>
      </c>
      <c r="X14" s="12">
        <v>241</v>
      </c>
      <c r="Y14" s="12">
        <v>166</v>
      </c>
      <c r="Z14" s="12">
        <v>62</v>
      </c>
      <c r="AA14" s="12">
        <v>85</v>
      </c>
      <c r="AB14" s="12">
        <v>80</v>
      </c>
      <c r="AC14" s="12">
        <v>116</v>
      </c>
      <c r="AD14" s="12">
        <v>99</v>
      </c>
      <c r="AE14" s="12">
        <v>202</v>
      </c>
      <c r="AF14" s="12">
        <v>294</v>
      </c>
    </row>
    <row r="15" spans="1:32" ht="23.25">
      <c r="A15" s="23"/>
      <c r="B15" s="13" t="s">
        <v>591</v>
      </c>
      <c r="C15" s="14">
        <v>0.16</v>
      </c>
      <c r="D15" s="14">
        <v>0.19</v>
      </c>
      <c r="E15" s="14">
        <v>0.08</v>
      </c>
      <c r="F15" s="14">
        <v>7.0000000000000007E-2</v>
      </c>
      <c r="G15" s="14">
        <v>0.35</v>
      </c>
      <c r="H15" s="14">
        <v>0.17</v>
      </c>
      <c r="I15" s="14">
        <v>0.16</v>
      </c>
      <c r="J15" s="14">
        <v>0.1</v>
      </c>
      <c r="K15" s="14">
        <v>0.05</v>
      </c>
      <c r="L15" s="14">
        <v>0.19</v>
      </c>
      <c r="M15" s="14">
        <v>0.12</v>
      </c>
      <c r="N15" s="14">
        <v>0.14000000000000001</v>
      </c>
      <c r="O15" s="14">
        <v>0.23</v>
      </c>
      <c r="P15" s="14">
        <v>0.13</v>
      </c>
      <c r="Q15" s="14">
        <v>0.16</v>
      </c>
      <c r="R15" s="14">
        <v>0.08</v>
      </c>
      <c r="S15" s="14">
        <v>0.03</v>
      </c>
      <c r="T15" s="14">
        <v>0.11</v>
      </c>
      <c r="U15" s="14">
        <v>0.18</v>
      </c>
      <c r="V15" s="14">
        <v>0.13</v>
      </c>
      <c r="W15" s="14">
        <v>0.21</v>
      </c>
      <c r="X15" s="14">
        <v>0.28999999999999998</v>
      </c>
      <c r="Y15" s="14">
        <v>0.18</v>
      </c>
      <c r="Z15" s="14">
        <v>0.06</v>
      </c>
      <c r="AA15" s="14">
        <v>0.09</v>
      </c>
      <c r="AB15" s="14">
        <v>0.08</v>
      </c>
      <c r="AC15" s="14">
        <v>0.13</v>
      </c>
      <c r="AD15" s="14">
        <v>0.1</v>
      </c>
      <c r="AE15" s="14">
        <v>0.23</v>
      </c>
      <c r="AF15" s="14">
        <v>0.37</v>
      </c>
    </row>
    <row r="16" spans="1:32" ht="23.25">
      <c r="A16" s="23"/>
      <c r="B16" s="11" t="s">
        <v>592</v>
      </c>
      <c r="C16" s="12">
        <v>5888</v>
      </c>
      <c r="D16" s="12">
        <v>231</v>
      </c>
      <c r="E16" s="12">
        <v>276</v>
      </c>
      <c r="F16" s="12">
        <v>155</v>
      </c>
      <c r="G16" s="12">
        <v>201</v>
      </c>
      <c r="H16" s="12">
        <v>284</v>
      </c>
      <c r="I16" s="12">
        <v>355</v>
      </c>
      <c r="J16" s="12">
        <v>71</v>
      </c>
      <c r="K16" s="12">
        <v>209</v>
      </c>
      <c r="L16" s="12">
        <v>170</v>
      </c>
      <c r="M16" s="12">
        <v>344</v>
      </c>
      <c r="N16" s="12">
        <v>230</v>
      </c>
      <c r="O16" s="12">
        <v>258</v>
      </c>
      <c r="P16" s="12">
        <v>240</v>
      </c>
      <c r="Q16" s="12">
        <v>191</v>
      </c>
      <c r="R16" s="12">
        <v>145</v>
      </c>
      <c r="S16" s="12">
        <v>238</v>
      </c>
      <c r="T16" s="12">
        <v>273</v>
      </c>
      <c r="U16" s="12">
        <v>138</v>
      </c>
      <c r="V16" s="12">
        <v>214</v>
      </c>
      <c r="W16" s="12">
        <v>92</v>
      </c>
      <c r="X16" s="12">
        <v>249</v>
      </c>
      <c r="Y16" s="12">
        <v>245</v>
      </c>
      <c r="Z16" s="12">
        <v>142</v>
      </c>
      <c r="AA16" s="12">
        <v>298</v>
      </c>
      <c r="AB16" s="12">
        <v>214</v>
      </c>
      <c r="AC16" s="12">
        <v>203</v>
      </c>
      <c r="AD16" s="12">
        <v>198</v>
      </c>
      <c r="AE16" s="12">
        <v>201</v>
      </c>
      <c r="AF16" s="12">
        <v>291</v>
      </c>
    </row>
    <row r="17" spans="1:32" ht="23.25">
      <c r="A17" s="23"/>
      <c r="B17" s="13" t="s">
        <v>593</v>
      </c>
      <c r="C17" s="14">
        <v>0.25</v>
      </c>
      <c r="D17" s="14">
        <v>0.25</v>
      </c>
      <c r="E17" s="14">
        <v>0.31</v>
      </c>
      <c r="F17" s="14">
        <v>0.17</v>
      </c>
      <c r="G17" s="14">
        <v>0.22</v>
      </c>
      <c r="H17" s="14">
        <v>0.26</v>
      </c>
      <c r="I17" s="14">
        <v>0.26</v>
      </c>
      <c r="J17" s="14">
        <v>0.26</v>
      </c>
      <c r="K17" s="14">
        <v>0.22</v>
      </c>
      <c r="L17" s="14">
        <v>0.18</v>
      </c>
      <c r="M17" s="14">
        <v>0.39</v>
      </c>
      <c r="N17" s="14">
        <v>0.27</v>
      </c>
      <c r="O17" s="14">
        <v>0.28999999999999998</v>
      </c>
      <c r="P17" s="14">
        <v>0.26</v>
      </c>
      <c r="Q17" s="14">
        <v>0.2</v>
      </c>
      <c r="R17" s="14">
        <v>0.34</v>
      </c>
      <c r="S17" s="14">
        <v>0.28000000000000003</v>
      </c>
      <c r="T17" s="14">
        <v>0.32</v>
      </c>
      <c r="U17" s="14">
        <v>0.32</v>
      </c>
      <c r="V17" s="14">
        <v>0.23</v>
      </c>
      <c r="W17" s="14">
        <v>0.2</v>
      </c>
      <c r="X17" s="14">
        <v>0.26</v>
      </c>
      <c r="Y17" s="14">
        <v>0.27</v>
      </c>
      <c r="Z17" s="14">
        <v>0.15</v>
      </c>
      <c r="AA17" s="14">
        <v>0.36</v>
      </c>
      <c r="AB17" s="14">
        <v>0.23</v>
      </c>
      <c r="AC17" s="14">
        <v>0.23</v>
      </c>
      <c r="AD17" s="14">
        <v>0.22</v>
      </c>
      <c r="AE17" s="14">
        <v>0.23</v>
      </c>
      <c r="AF17" s="14">
        <v>0.28999999999999998</v>
      </c>
    </row>
    <row r="18" spans="1:32" ht="34.5">
      <c r="A18" s="23"/>
      <c r="B18" s="11" t="s">
        <v>622</v>
      </c>
      <c r="C18" s="12">
        <v>5072</v>
      </c>
      <c r="D18" s="12">
        <v>159</v>
      </c>
      <c r="E18" s="12">
        <v>299</v>
      </c>
      <c r="F18" s="12">
        <v>164</v>
      </c>
      <c r="G18" s="12">
        <v>144</v>
      </c>
      <c r="H18" s="12">
        <v>151</v>
      </c>
      <c r="I18" s="12">
        <v>212</v>
      </c>
      <c r="J18" s="12">
        <v>62</v>
      </c>
      <c r="K18" s="12">
        <v>256</v>
      </c>
      <c r="L18" s="12">
        <v>197</v>
      </c>
      <c r="M18" s="12">
        <v>306</v>
      </c>
      <c r="N18" s="12">
        <v>218</v>
      </c>
      <c r="O18" s="12">
        <v>155</v>
      </c>
      <c r="P18" s="12">
        <v>268</v>
      </c>
      <c r="Q18" s="12">
        <v>250</v>
      </c>
      <c r="R18" s="12">
        <v>102</v>
      </c>
      <c r="S18" s="12">
        <v>230</v>
      </c>
      <c r="T18" s="12">
        <v>280</v>
      </c>
      <c r="U18" s="12">
        <v>72</v>
      </c>
      <c r="V18" s="12">
        <v>307</v>
      </c>
      <c r="W18" s="12">
        <v>83</v>
      </c>
      <c r="X18" s="12">
        <v>107</v>
      </c>
      <c r="Y18" s="12">
        <v>215</v>
      </c>
      <c r="Z18" s="12">
        <v>166</v>
      </c>
      <c r="AA18" s="12">
        <v>332</v>
      </c>
      <c r="AB18" s="12">
        <v>249</v>
      </c>
      <c r="AC18" s="12">
        <v>193</v>
      </c>
      <c r="AD18" s="12">
        <v>245</v>
      </c>
      <c r="AE18" s="12">
        <v>256</v>
      </c>
      <c r="AF18" s="12">
        <v>162</v>
      </c>
    </row>
    <row r="19" spans="1:32" ht="34.5">
      <c r="A19" s="23"/>
      <c r="B19" s="13" t="s">
        <v>595</v>
      </c>
      <c r="C19" s="14">
        <v>0.22</v>
      </c>
      <c r="D19" s="14">
        <v>0.17</v>
      </c>
      <c r="E19" s="14">
        <v>0.34</v>
      </c>
      <c r="F19" s="14">
        <v>0.18</v>
      </c>
      <c r="G19" s="14">
        <v>0.15</v>
      </c>
      <c r="H19" s="14">
        <v>0.13</v>
      </c>
      <c r="I19" s="14">
        <v>0.15</v>
      </c>
      <c r="J19" s="14">
        <v>0.23</v>
      </c>
      <c r="K19" s="14">
        <v>0.32</v>
      </c>
      <c r="L19" s="14">
        <v>0.22</v>
      </c>
      <c r="M19" s="14">
        <v>0.37</v>
      </c>
      <c r="N19" s="14">
        <v>0.26</v>
      </c>
      <c r="O19" s="14">
        <v>0.17</v>
      </c>
      <c r="P19" s="14">
        <v>0.3</v>
      </c>
      <c r="Q19" s="14">
        <v>0.28000000000000003</v>
      </c>
      <c r="R19" s="14">
        <v>0.23</v>
      </c>
      <c r="S19" s="14">
        <v>0.28000000000000003</v>
      </c>
      <c r="T19" s="14">
        <v>0.34</v>
      </c>
      <c r="U19" s="14">
        <v>0.16</v>
      </c>
      <c r="V19" s="14">
        <v>0.34</v>
      </c>
      <c r="W19" s="14">
        <v>0.18</v>
      </c>
      <c r="X19" s="14">
        <v>0.11</v>
      </c>
      <c r="Y19" s="14">
        <v>0.23</v>
      </c>
      <c r="Z19" s="14">
        <v>0.18</v>
      </c>
      <c r="AA19" s="14">
        <v>0.39</v>
      </c>
      <c r="AB19" s="14">
        <v>0.28999999999999998</v>
      </c>
      <c r="AC19" s="14">
        <v>0.22</v>
      </c>
      <c r="AD19" s="14">
        <v>0.27</v>
      </c>
      <c r="AE19" s="14">
        <v>0.3</v>
      </c>
      <c r="AF19" s="14">
        <v>0.16</v>
      </c>
    </row>
    <row r="20" spans="1:32" ht="23.25">
      <c r="A20" s="23"/>
      <c r="B20" s="11" t="s">
        <v>596</v>
      </c>
      <c r="C20" s="12">
        <v>6962</v>
      </c>
      <c r="D20" s="12">
        <v>233</v>
      </c>
      <c r="E20" s="12">
        <v>317</v>
      </c>
      <c r="F20" s="12">
        <v>298</v>
      </c>
      <c r="G20" s="12">
        <v>186</v>
      </c>
      <c r="H20" s="12">
        <v>274</v>
      </c>
      <c r="I20" s="12">
        <v>366</v>
      </c>
      <c r="J20" s="12">
        <v>92</v>
      </c>
      <c r="K20" s="12">
        <v>337</v>
      </c>
      <c r="L20" s="12">
        <v>277</v>
      </c>
      <c r="M20" s="12">
        <v>313</v>
      </c>
      <c r="N20" s="12">
        <v>276</v>
      </c>
      <c r="O20" s="12">
        <v>306</v>
      </c>
      <c r="P20" s="12">
        <v>277</v>
      </c>
      <c r="Q20" s="12">
        <v>264</v>
      </c>
      <c r="R20" s="12">
        <v>148</v>
      </c>
      <c r="S20" s="12">
        <v>221</v>
      </c>
      <c r="T20" s="12">
        <v>317</v>
      </c>
      <c r="U20" s="12">
        <v>131</v>
      </c>
      <c r="V20" s="12">
        <v>287</v>
      </c>
      <c r="W20" s="12">
        <v>132</v>
      </c>
      <c r="X20" s="12">
        <v>197</v>
      </c>
      <c r="Y20" s="12">
        <v>299</v>
      </c>
      <c r="Z20" s="12">
        <v>233</v>
      </c>
      <c r="AA20" s="12">
        <v>408</v>
      </c>
      <c r="AB20" s="12">
        <v>287</v>
      </c>
      <c r="AC20" s="12">
        <v>215</v>
      </c>
      <c r="AD20" s="12">
        <v>340</v>
      </c>
      <c r="AE20" s="12">
        <v>190</v>
      </c>
      <c r="AF20" s="12">
        <v>166</v>
      </c>
    </row>
    <row r="21" spans="1:32" ht="23.25">
      <c r="A21" s="23"/>
      <c r="B21" s="13" t="s">
        <v>597</v>
      </c>
      <c r="C21" s="14">
        <v>0.32</v>
      </c>
      <c r="D21" s="14">
        <v>0.28999999999999998</v>
      </c>
      <c r="E21" s="14">
        <v>0.4</v>
      </c>
      <c r="F21" s="14">
        <v>0.37</v>
      </c>
      <c r="G21" s="14">
        <v>0.21</v>
      </c>
      <c r="H21" s="14">
        <v>0.26</v>
      </c>
      <c r="I21" s="14">
        <v>0.28000000000000003</v>
      </c>
      <c r="J21" s="14">
        <v>0.38</v>
      </c>
      <c r="K21" s="14">
        <v>0.43</v>
      </c>
      <c r="L21" s="14">
        <v>0.35</v>
      </c>
      <c r="M21" s="14">
        <v>0.39</v>
      </c>
      <c r="N21" s="14">
        <v>0.34</v>
      </c>
      <c r="O21" s="14">
        <v>0.42</v>
      </c>
      <c r="P21" s="14">
        <v>0.37</v>
      </c>
      <c r="Q21" s="14">
        <v>0.31</v>
      </c>
      <c r="R21" s="14">
        <v>0.34</v>
      </c>
      <c r="S21" s="14">
        <v>0.27</v>
      </c>
      <c r="T21" s="14">
        <v>0.36</v>
      </c>
      <c r="U21" s="14">
        <v>0.3</v>
      </c>
      <c r="V21" s="14">
        <v>0.35</v>
      </c>
      <c r="W21" s="14">
        <v>0.33</v>
      </c>
      <c r="X21" s="14">
        <v>0.22</v>
      </c>
      <c r="Y21" s="14">
        <v>0.36</v>
      </c>
      <c r="Z21" s="14">
        <v>0.28000000000000003</v>
      </c>
      <c r="AA21" s="14">
        <v>0.48</v>
      </c>
      <c r="AB21" s="14">
        <v>0.34</v>
      </c>
      <c r="AC21" s="14">
        <v>0.26</v>
      </c>
      <c r="AD21" s="14">
        <v>0.44</v>
      </c>
      <c r="AE21" s="14">
        <v>0.21</v>
      </c>
      <c r="AF21" s="14">
        <v>0.16</v>
      </c>
    </row>
    <row r="22" spans="1:32" ht="34.5">
      <c r="A22" s="23"/>
      <c r="B22" s="11" t="s">
        <v>598</v>
      </c>
      <c r="C22" s="12">
        <v>1973</v>
      </c>
      <c r="D22" s="12">
        <v>72</v>
      </c>
      <c r="E22" s="12">
        <v>81</v>
      </c>
      <c r="F22" s="12">
        <v>69</v>
      </c>
      <c r="G22" s="12">
        <v>65</v>
      </c>
      <c r="H22" s="12">
        <v>132</v>
      </c>
      <c r="I22" s="12">
        <v>151</v>
      </c>
      <c r="J22" s="12">
        <v>20</v>
      </c>
      <c r="K22" s="12">
        <v>71</v>
      </c>
      <c r="L22" s="12">
        <v>55</v>
      </c>
      <c r="M22" s="12">
        <v>60</v>
      </c>
      <c r="N22" s="12">
        <v>58</v>
      </c>
      <c r="O22" s="12">
        <v>38</v>
      </c>
      <c r="P22" s="12">
        <v>90</v>
      </c>
      <c r="Q22" s="12">
        <v>104</v>
      </c>
      <c r="R22" s="12">
        <v>23</v>
      </c>
      <c r="S22" s="12">
        <v>43</v>
      </c>
      <c r="T22" s="12">
        <v>74</v>
      </c>
      <c r="U22" s="12">
        <v>24</v>
      </c>
      <c r="V22" s="12">
        <v>89</v>
      </c>
      <c r="W22" s="12">
        <v>41</v>
      </c>
      <c r="X22" s="12">
        <v>78</v>
      </c>
      <c r="Y22" s="12">
        <v>127</v>
      </c>
      <c r="Z22" s="12">
        <v>70</v>
      </c>
      <c r="AA22" s="12">
        <v>59</v>
      </c>
      <c r="AB22" s="12">
        <v>86</v>
      </c>
      <c r="AC22" s="12">
        <v>53</v>
      </c>
      <c r="AD22" s="12">
        <v>73</v>
      </c>
      <c r="AE22" s="12">
        <v>52</v>
      </c>
      <c r="AF22" s="12">
        <v>51</v>
      </c>
    </row>
    <row r="23" spans="1:32" ht="34.5">
      <c r="A23" s="23"/>
      <c r="B23" s="13" t="s">
        <v>599</v>
      </c>
      <c r="C23" s="14">
        <v>0.08</v>
      </c>
      <c r="D23" s="14">
        <v>7.0000000000000007E-2</v>
      </c>
      <c r="E23" s="14">
        <v>0.08</v>
      </c>
      <c r="F23" s="14">
        <v>7.0000000000000007E-2</v>
      </c>
      <c r="G23" s="14">
        <v>7.0000000000000007E-2</v>
      </c>
      <c r="H23" s="14">
        <v>0.11</v>
      </c>
      <c r="I23" s="14">
        <v>0.1</v>
      </c>
      <c r="J23" s="14">
        <v>7.0000000000000007E-2</v>
      </c>
      <c r="K23" s="14">
        <v>7.0000000000000007E-2</v>
      </c>
      <c r="L23" s="14">
        <v>0.06</v>
      </c>
      <c r="M23" s="14">
        <v>0.06</v>
      </c>
      <c r="N23" s="14">
        <v>0.06</v>
      </c>
      <c r="O23" s="14">
        <v>0.04</v>
      </c>
      <c r="P23" s="14">
        <v>0.09</v>
      </c>
      <c r="Q23" s="14">
        <v>0.11</v>
      </c>
      <c r="R23" s="14">
        <v>0.05</v>
      </c>
      <c r="S23" s="14">
        <v>0.04</v>
      </c>
      <c r="T23" s="14">
        <v>0.08</v>
      </c>
      <c r="U23" s="14">
        <v>0.05</v>
      </c>
      <c r="V23" s="14">
        <v>0.09</v>
      </c>
      <c r="W23" s="14">
        <v>0.08</v>
      </c>
      <c r="X23" s="14">
        <v>0.08</v>
      </c>
      <c r="Y23" s="14">
        <v>0.13</v>
      </c>
      <c r="Z23" s="14">
        <v>7.0000000000000007E-2</v>
      </c>
      <c r="AA23" s="14">
        <v>0.06</v>
      </c>
      <c r="AB23" s="14">
        <v>0.09</v>
      </c>
      <c r="AC23" s="14">
        <v>0.06</v>
      </c>
      <c r="AD23" s="14">
        <v>7.0000000000000007E-2</v>
      </c>
      <c r="AE23" s="14">
        <v>0.05</v>
      </c>
      <c r="AF23" s="14">
        <v>0.05</v>
      </c>
    </row>
    <row r="24" spans="1:32" ht="23.25">
      <c r="A24" s="23"/>
      <c r="B24" s="11" t="s">
        <v>600</v>
      </c>
      <c r="C24" s="12">
        <v>2104</v>
      </c>
      <c r="D24" s="12">
        <v>93</v>
      </c>
      <c r="E24" s="12">
        <v>102</v>
      </c>
      <c r="F24" s="12">
        <v>46</v>
      </c>
      <c r="G24" s="12">
        <v>95</v>
      </c>
      <c r="H24" s="12">
        <v>61</v>
      </c>
      <c r="I24" s="12">
        <v>74</v>
      </c>
      <c r="J24" s="12">
        <v>13</v>
      </c>
      <c r="K24" s="12">
        <v>58</v>
      </c>
      <c r="L24" s="12">
        <v>85</v>
      </c>
      <c r="M24" s="12">
        <v>127</v>
      </c>
      <c r="N24" s="12">
        <v>97</v>
      </c>
      <c r="O24" s="12">
        <v>71</v>
      </c>
      <c r="P24" s="12">
        <v>88</v>
      </c>
      <c r="Q24" s="12">
        <v>106</v>
      </c>
      <c r="R24" s="12">
        <v>76</v>
      </c>
      <c r="S24" s="12">
        <v>58</v>
      </c>
      <c r="T24" s="12">
        <v>47</v>
      </c>
      <c r="U24" s="12">
        <v>43</v>
      </c>
      <c r="V24" s="12">
        <v>54</v>
      </c>
      <c r="W24" s="12">
        <v>45</v>
      </c>
      <c r="X24" s="12">
        <v>80</v>
      </c>
      <c r="Y24" s="12">
        <v>89</v>
      </c>
      <c r="Z24" s="12">
        <v>82</v>
      </c>
      <c r="AA24" s="12">
        <v>71</v>
      </c>
      <c r="AB24" s="12">
        <v>114</v>
      </c>
      <c r="AC24" s="12">
        <v>81</v>
      </c>
      <c r="AD24" s="12">
        <v>77</v>
      </c>
      <c r="AE24" s="12">
        <v>70</v>
      </c>
      <c r="AF24" s="12">
        <v>116</v>
      </c>
    </row>
    <row r="25" spans="1:32" ht="23.25">
      <c r="A25" s="23"/>
      <c r="B25" s="13" t="s">
        <v>601</v>
      </c>
      <c r="C25" s="14">
        <v>0.08</v>
      </c>
      <c r="D25" s="14">
        <v>0.1</v>
      </c>
      <c r="E25" s="14">
        <v>0.1</v>
      </c>
      <c r="F25" s="14">
        <v>0.05</v>
      </c>
      <c r="G25" s="14">
        <v>0.1</v>
      </c>
      <c r="H25" s="14">
        <v>0.05</v>
      </c>
      <c r="I25" s="14">
        <v>0.05</v>
      </c>
      <c r="J25" s="14">
        <v>0.05</v>
      </c>
      <c r="K25" s="14">
        <v>0.06</v>
      </c>
      <c r="L25" s="14">
        <v>0.09</v>
      </c>
      <c r="M25" s="14">
        <v>0.13</v>
      </c>
      <c r="N25" s="14">
        <v>0.1</v>
      </c>
      <c r="O25" s="14">
        <v>7.0000000000000007E-2</v>
      </c>
      <c r="P25" s="14">
        <v>0.09</v>
      </c>
      <c r="Q25" s="14">
        <v>0.11</v>
      </c>
      <c r="R25" s="14">
        <v>0.16</v>
      </c>
      <c r="S25" s="14">
        <v>0.06</v>
      </c>
      <c r="T25" s="14">
        <v>0.05</v>
      </c>
      <c r="U25" s="14">
        <v>0.09</v>
      </c>
      <c r="V25" s="14">
        <v>0.06</v>
      </c>
      <c r="W25" s="14">
        <v>0.09</v>
      </c>
      <c r="X25" s="14">
        <v>0.08</v>
      </c>
      <c r="Y25" s="14">
        <v>0.09</v>
      </c>
      <c r="Z25" s="14">
        <v>0.08</v>
      </c>
      <c r="AA25" s="14">
        <v>7.0000000000000007E-2</v>
      </c>
      <c r="AB25" s="14">
        <v>0.12</v>
      </c>
      <c r="AC25" s="14">
        <v>0.08</v>
      </c>
      <c r="AD25" s="14">
        <v>0.08</v>
      </c>
      <c r="AE25" s="14">
        <v>7.0000000000000007E-2</v>
      </c>
      <c r="AF25" s="14">
        <v>0.11</v>
      </c>
    </row>
    <row r="26" spans="1:32" ht="34.5">
      <c r="A26" s="23"/>
      <c r="B26" s="11" t="s">
        <v>602</v>
      </c>
      <c r="C26" s="12">
        <v>2569</v>
      </c>
      <c r="D26" s="12">
        <v>122</v>
      </c>
      <c r="E26" s="12">
        <v>118</v>
      </c>
      <c r="F26" s="12">
        <v>227</v>
      </c>
      <c r="G26" s="12">
        <v>124</v>
      </c>
      <c r="H26" s="12">
        <v>74</v>
      </c>
      <c r="I26" s="12">
        <v>96</v>
      </c>
      <c r="J26" s="12">
        <v>22</v>
      </c>
      <c r="K26" s="12">
        <v>164</v>
      </c>
      <c r="L26" s="12">
        <v>70</v>
      </c>
      <c r="M26" s="12">
        <v>130</v>
      </c>
      <c r="N26" s="12">
        <v>70</v>
      </c>
      <c r="O26" s="12">
        <v>67</v>
      </c>
      <c r="P26" s="12">
        <v>81</v>
      </c>
      <c r="Q26" s="12">
        <v>143</v>
      </c>
      <c r="R26" s="12">
        <v>23</v>
      </c>
      <c r="S26" s="12">
        <v>71</v>
      </c>
      <c r="T26" s="12">
        <v>91</v>
      </c>
      <c r="U26" s="12">
        <v>56</v>
      </c>
      <c r="V26" s="12">
        <v>119</v>
      </c>
      <c r="W26" s="12">
        <v>18</v>
      </c>
      <c r="X26" s="12">
        <v>166</v>
      </c>
      <c r="Y26" s="12">
        <v>143</v>
      </c>
      <c r="Z26" s="12">
        <v>80</v>
      </c>
      <c r="AA26" s="12">
        <v>124</v>
      </c>
      <c r="AB26" s="12">
        <v>151</v>
      </c>
      <c r="AC26" s="12">
        <v>77</v>
      </c>
      <c r="AD26" s="12">
        <v>84</v>
      </c>
      <c r="AE26" s="12">
        <v>77</v>
      </c>
      <c r="AF26" s="12">
        <v>77</v>
      </c>
    </row>
    <row r="27" spans="1:32" ht="34.5">
      <c r="A27" s="23"/>
      <c r="B27" s="13" t="s">
        <v>603</v>
      </c>
      <c r="C27" s="14">
        <v>0.1</v>
      </c>
      <c r="D27" s="14">
        <v>0.13</v>
      </c>
      <c r="E27" s="14">
        <v>0.12</v>
      </c>
      <c r="F27" s="14">
        <v>0.27</v>
      </c>
      <c r="G27" s="14">
        <v>0.13</v>
      </c>
      <c r="H27" s="14">
        <v>0.06</v>
      </c>
      <c r="I27" s="14">
        <v>7.0000000000000007E-2</v>
      </c>
      <c r="J27" s="14">
        <v>0.08</v>
      </c>
      <c r="K27" s="14">
        <v>0.18</v>
      </c>
      <c r="L27" s="14">
        <v>7.0000000000000007E-2</v>
      </c>
      <c r="M27" s="14">
        <v>0.13</v>
      </c>
      <c r="N27" s="14">
        <v>7.0000000000000007E-2</v>
      </c>
      <c r="O27" s="14">
        <v>7.0000000000000007E-2</v>
      </c>
      <c r="P27" s="14">
        <v>0.08</v>
      </c>
      <c r="Q27" s="14">
        <v>0.15</v>
      </c>
      <c r="R27" s="14">
        <v>0.05</v>
      </c>
      <c r="S27" s="14">
        <v>7.0000000000000007E-2</v>
      </c>
      <c r="T27" s="14">
        <v>0.1</v>
      </c>
      <c r="U27" s="14">
        <v>0.12</v>
      </c>
      <c r="V27" s="14">
        <v>0.12</v>
      </c>
      <c r="W27" s="14">
        <v>0.04</v>
      </c>
      <c r="X27" s="14">
        <v>0.17</v>
      </c>
      <c r="Y27" s="14">
        <v>0.15</v>
      </c>
      <c r="Z27" s="14">
        <v>0.08</v>
      </c>
      <c r="AA27" s="14">
        <v>0.12</v>
      </c>
      <c r="AB27" s="14">
        <v>0.16</v>
      </c>
      <c r="AC27" s="14">
        <v>0.08</v>
      </c>
      <c r="AD27" s="14">
        <v>0.09</v>
      </c>
      <c r="AE27" s="14">
        <v>0.08</v>
      </c>
      <c r="AF27" s="14">
        <v>7.0000000000000007E-2</v>
      </c>
    </row>
    <row r="28" spans="1:32" ht="23.25">
      <c r="A28" s="23"/>
      <c r="B28" s="11" t="s">
        <v>604</v>
      </c>
      <c r="C28" s="12">
        <v>2989</v>
      </c>
      <c r="D28" s="12">
        <v>109</v>
      </c>
      <c r="E28" s="12">
        <v>172</v>
      </c>
      <c r="F28" s="12">
        <v>81</v>
      </c>
      <c r="G28" s="12">
        <v>126</v>
      </c>
      <c r="H28" s="12">
        <v>93</v>
      </c>
      <c r="I28" s="12">
        <v>131</v>
      </c>
      <c r="J28" s="12">
        <v>38</v>
      </c>
      <c r="K28" s="12">
        <v>92</v>
      </c>
      <c r="L28" s="12">
        <v>104</v>
      </c>
      <c r="M28" s="12">
        <v>165</v>
      </c>
      <c r="N28" s="12">
        <v>97</v>
      </c>
      <c r="O28" s="12">
        <v>144</v>
      </c>
      <c r="P28" s="12">
        <v>177</v>
      </c>
      <c r="Q28" s="12">
        <v>179</v>
      </c>
      <c r="R28" s="12">
        <v>84</v>
      </c>
      <c r="S28" s="12">
        <v>83</v>
      </c>
      <c r="T28" s="12">
        <v>74</v>
      </c>
      <c r="U28" s="12">
        <v>44</v>
      </c>
      <c r="V28" s="12">
        <v>86</v>
      </c>
      <c r="W28" s="12">
        <v>79</v>
      </c>
      <c r="X28" s="12">
        <v>81</v>
      </c>
      <c r="Y28" s="12">
        <v>140</v>
      </c>
      <c r="Z28" s="12">
        <v>96</v>
      </c>
      <c r="AA28" s="12">
        <v>47</v>
      </c>
      <c r="AB28" s="12">
        <v>114</v>
      </c>
      <c r="AC28" s="12">
        <v>82</v>
      </c>
      <c r="AD28" s="12">
        <v>106</v>
      </c>
      <c r="AE28" s="12">
        <v>51</v>
      </c>
      <c r="AF28" s="12">
        <v>53</v>
      </c>
    </row>
    <row r="29" spans="1:32">
      <c r="A29" s="23"/>
      <c r="B29" s="13" t="s">
        <v>605</v>
      </c>
      <c r="C29" s="14">
        <v>0.12</v>
      </c>
      <c r="D29" s="14">
        <v>0.11</v>
      </c>
      <c r="E29" s="14">
        <v>0.17</v>
      </c>
      <c r="F29" s="14">
        <v>0.08</v>
      </c>
      <c r="G29" s="14">
        <v>0.13</v>
      </c>
      <c r="H29" s="14">
        <v>0.08</v>
      </c>
      <c r="I29" s="14">
        <v>0.09</v>
      </c>
      <c r="J29" s="14">
        <v>0.13</v>
      </c>
      <c r="K29" s="14">
        <v>0.09</v>
      </c>
      <c r="L29" s="14">
        <v>0.11</v>
      </c>
      <c r="M29" s="14">
        <v>0.17</v>
      </c>
      <c r="N29" s="14">
        <v>0.1</v>
      </c>
      <c r="O29" s="14">
        <v>0.15</v>
      </c>
      <c r="P29" s="14">
        <v>0.19</v>
      </c>
      <c r="Q29" s="14">
        <v>0.19</v>
      </c>
      <c r="R29" s="14">
        <v>0.18</v>
      </c>
      <c r="S29" s="14">
        <v>0.09</v>
      </c>
      <c r="T29" s="14">
        <v>0.08</v>
      </c>
      <c r="U29" s="14">
        <v>0.09</v>
      </c>
      <c r="V29" s="14">
        <v>0.09</v>
      </c>
      <c r="W29" s="14">
        <v>0.16</v>
      </c>
      <c r="X29" s="14">
        <v>0.08</v>
      </c>
      <c r="Y29" s="14">
        <v>0.14000000000000001</v>
      </c>
      <c r="Z29" s="14">
        <v>0.1</v>
      </c>
      <c r="AA29" s="14">
        <v>0.05</v>
      </c>
      <c r="AB29" s="14">
        <v>0.12</v>
      </c>
      <c r="AC29" s="14">
        <v>0.09</v>
      </c>
      <c r="AD29" s="14">
        <v>0.11</v>
      </c>
      <c r="AE29" s="14">
        <v>0.05</v>
      </c>
      <c r="AF29" s="14">
        <v>0.05</v>
      </c>
    </row>
    <row r="30" spans="1:32">
      <c r="A30" s="23"/>
      <c r="B30" s="11" t="s">
        <v>606</v>
      </c>
      <c r="C30" s="12">
        <v>3558</v>
      </c>
      <c r="D30" s="12">
        <v>164</v>
      </c>
      <c r="E30" s="12">
        <v>68</v>
      </c>
      <c r="F30" s="12">
        <v>183</v>
      </c>
      <c r="G30" s="12">
        <v>194</v>
      </c>
      <c r="H30" s="12">
        <v>261</v>
      </c>
      <c r="I30" s="12">
        <v>319</v>
      </c>
      <c r="J30" s="12">
        <v>58</v>
      </c>
      <c r="K30" s="12">
        <v>79</v>
      </c>
      <c r="L30" s="12">
        <v>210</v>
      </c>
      <c r="M30" s="12">
        <v>110</v>
      </c>
      <c r="N30" s="12">
        <v>114</v>
      </c>
      <c r="O30" s="12">
        <v>138</v>
      </c>
      <c r="P30" s="12">
        <v>72</v>
      </c>
      <c r="Q30" s="12">
        <v>100</v>
      </c>
      <c r="R30" s="12">
        <v>89</v>
      </c>
      <c r="S30" s="12">
        <v>70</v>
      </c>
      <c r="T30" s="12">
        <v>120</v>
      </c>
      <c r="U30" s="12">
        <v>66</v>
      </c>
      <c r="V30" s="12">
        <v>100</v>
      </c>
      <c r="W30" s="12">
        <v>85</v>
      </c>
      <c r="X30" s="12">
        <v>208</v>
      </c>
      <c r="Y30" s="12">
        <v>173</v>
      </c>
      <c r="Z30" s="12">
        <v>70</v>
      </c>
      <c r="AA30" s="12">
        <v>52</v>
      </c>
      <c r="AB30" s="12">
        <v>56</v>
      </c>
      <c r="AC30" s="12">
        <v>130</v>
      </c>
      <c r="AD30" s="12">
        <v>77</v>
      </c>
      <c r="AE30" s="12">
        <v>115</v>
      </c>
      <c r="AF30" s="12">
        <v>171</v>
      </c>
    </row>
    <row r="31" spans="1:32">
      <c r="A31" s="23"/>
      <c r="B31" s="13" t="s">
        <v>607</v>
      </c>
      <c r="C31" s="14">
        <v>0.15</v>
      </c>
      <c r="D31" s="14">
        <v>0.19</v>
      </c>
      <c r="E31" s="14">
        <v>7.0000000000000007E-2</v>
      </c>
      <c r="F31" s="14">
        <v>0.21</v>
      </c>
      <c r="G31" s="14">
        <v>0.21</v>
      </c>
      <c r="H31" s="14">
        <v>0.27</v>
      </c>
      <c r="I31" s="14">
        <v>0.26</v>
      </c>
      <c r="J31" s="14">
        <v>0.24</v>
      </c>
      <c r="K31" s="14">
        <v>0.08</v>
      </c>
      <c r="L31" s="14">
        <v>0.25</v>
      </c>
      <c r="M31" s="14">
        <v>0.11</v>
      </c>
      <c r="N31" s="14">
        <v>0.13</v>
      </c>
      <c r="O31" s="14">
        <v>0.15</v>
      </c>
      <c r="P31" s="14">
        <v>7.0000000000000007E-2</v>
      </c>
      <c r="Q31" s="14">
        <v>0.1</v>
      </c>
      <c r="R31" s="14">
        <v>0.22</v>
      </c>
      <c r="S31" s="14">
        <v>7.0000000000000007E-2</v>
      </c>
      <c r="T31" s="14">
        <v>0.13</v>
      </c>
      <c r="U31" s="14">
        <v>0.14000000000000001</v>
      </c>
      <c r="V31" s="14">
        <v>0.11</v>
      </c>
      <c r="W31" s="14">
        <v>0.19</v>
      </c>
      <c r="X31" s="14">
        <v>0.23</v>
      </c>
      <c r="Y31" s="14">
        <v>0.2</v>
      </c>
      <c r="Z31" s="14">
        <v>7.0000000000000007E-2</v>
      </c>
      <c r="AA31" s="14">
        <v>0.05</v>
      </c>
      <c r="AB31" s="14">
        <v>0.06</v>
      </c>
      <c r="AC31" s="14">
        <v>0.14000000000000001</v>
      </c>
      <c r="AD31" s="14">
        <v>0.08</v>
      </c>
      <c r="AE31" s="14">
        <v>0.12</v>
      </c>
      <c r="AF31" s="14">
        <v>0.17</v>
      </c>
    </row>
    <row r="32" spans="1:32" ht="34.5">
      <c r="A32" s="23"/>
      <c r="B32" s="11" t="s">
        <v>608</v>
      </c>
      <c r="C32" s="12">
        <v>3932</v>
      </c>
      <c r="D32" s="12">
        <v>175</v>
      </c>
      <c r="E32" s="12">
        <v>103</v>
      </c>
      <c r="F32" s="12">
        <v>122</v>
      </c>
      <c r="G32" s="12">
        <v>218</v>
      </c>
      <c r="H32" s="12">
        <v>239</v>
      </c>
      <c r="I32" s="12">
        <v>299</v>
      </c>
      <c r="J32" s="12">
        <v>60</v>
      </c>
      <c r="K32" s="12">
        <v>71</v>
      </c>
      <c r="L32" s="12">
        <v>132</v>
      </c>
      <c r="M32" s="12">
        <v>137</v>
      </c>
      <c r="N32" s="12">
        <v>85</v>
      </c>
      <c r="O32" s="12">
        <v>197</v>
      </c>
      <c r="P32" s="12">
        <v>126</v>
      </c>
      <c r="Q32" s="12">
        <v>136</v>
      </c>
      <c r="R32" s="12">
        <v>65</v>
      </c>
      <c r="S32" s="12">
        <v>49</v>
      </c>
      <c r="T32" s="12">
        <v>71</v>
      </c>
      <c r="U32" s="12">
        <v>69</v>
      </c>
      <c r="V32" s="12">
        <v>116</v>
      </c>
      <c r="W32" s="12">
        <v>66</v>
      </c>
      <c r="X32" s="12">
        <v>212</v>
      </c>
      <c r="Y32" s="12">
        <v>153</v>
      </c>
      <c r="Z32" s="12">
        <v>72</v>
      </c>
      <c r="AA32" s="12">
        <v>127</v>
      </c>
      <c r="AB32" s="12">
        <v>105</v>
      </c>
      <c r="AC32" s="12">
        <v>114</v>
      </c>
      <c r="AD32" s="12">
        <v>94</v>
      </c>
      <c r="AE32" s="12">
        <v>176</v>
      </c>
      <c r="AF32" s="12">
        <v>280</v>
      </c>
    </row>
    <row r="33" spans="1:32" ht="23.25">
      <c r="A33" s="23"/>
      <c r="B33" s="13" t="s">
        <v>609</v>
      </c>
      <c r="C33" s="14">
        <v>0.16</v>
      </c>
      <c r="D33" s="14">
        <v>0.18</v>
      </c>
      <c r="E33" s="14">
        <v>0.1</v>
      </c>
      <c r="F33" s="14">
        <v>0.13</v>
      </c>
      <c r="G33" s="14">
        <v>0.24</v>
      </c>
      <c r="H33" s="14">
        <v>0.21</v>
      </c>
      <c r="I33" s="14">
        <v>0.21</v>
      </c>
      <c r="J33" s="14">
        <v>0.22</v>
      </c>
      <c r="K33" s="14">
        <v>7.0000000000000007E-2</v>
      </c>
      <c r="L33" s="14">
        <v>0.14000000000000001</v>
      </c>
      <c r="M33" s="14">
        <v>0.14000000000000001</v>
      </c>
      <c r="N33" s="14">
        <v>0.09</v>
      </c>
      <c r="O33" s="14">
        <v>0.21</v>
      </c>
      <c r="P33" s="14">
        <v>0.13</v>
      </c>
      <c r="Q33" s="14">
        <v>0.14000000000000001</v>
      </c>
      <c r="R33" s="14">
        <v>0.14000000000000001</v>
      </c>
      <c r="S33" s="14">
        <v>0.05</v>
      </c>
      <c r="T33" s="14">
        <v>7.0000000000000007E-2</v>
      </c>
      <c r="U33" s="14">
        <v>0.15</v>
      </c>
      <c r="V33" s="14">
        <v>0.12</v>
      </c>
      <c r="W33" s="14">
        <v>0.14000000000000001</v>
      </c>
      <c r="X33" s="14">
        <v>0.22</v>
      </c>
      <c r="Y33" s="14">
        <v>0.16</v>
      </c>
      <c r="Z33" s="14">
        <v>0.08</v>
      </c>
      <c r="AA33" s="14">
        <v>0.13</v>
      </c>
      <c r="AB33" s="14">
        <v>0.11</v>
      </c>
      <c r="AC33" s="14">
        <v>0.12</v>
      </c>
      <c r="AD33" s="14">
        <v>0.1</v>
      </c>
      <c r="AE33" s="14">
        <v>0.19</v>
      </c>
      <c r="AF33" s="14">
        <v>0.3</v>
      </c>
    </row>
    <row r="34" spans="1:32" ht="23.25">
      <c r="A34" s="23"/>
      <c r="B34" s="11" t="s">
        <v>610</v>
      </c>
      <c r="C34" s="12">
        <v>3683</v>
      </c>
      <c r="D34" s="12">
        <v>124</v>
      </c>
      <c r="E34" s="12">
        <v>140</v>
      </c>
      <c r="F34" s="12">
        <v>116</v>
      </c>
      <c r="G34" s="12">
        <v>209</v>
      </c>
      <c r="H34" s="12">
        <v>259</v>
      </c>
      <c r="I34" s="12">
        <v>308</v>
      </c>
      <c r="J34" s="12">
        <v>49</v>
      </c>
      <c r="K34" s="12">
        <v>77</v>
      </c>
      <c r="L34" s="12">
        <v>97</v>
      </c>
      <c r="M34" s="12">
        <v>168</v>
      </c>
      <c r="N34" s="12">
        <v>125</v>
      </c>
      <c r="O34" s="12">
        <v>82</v>
      </c>
      <c r="P34" s="12">
        <v>133</v>
      </c>
      <c r="Q34" s="12">
        <v>129</v>
      </c>
      <c r="R34" s="12">
        <v>63</v>
      </c>
      <c r="S34" s="12">
        <v>72</v>
      </c>
      <c r="T34" s="12">
        <v>77</v>
      </c>
      <c r="U34" s="12">
        <v>55</v>
      </c>
      <c r="V34" s="12">
        <v>154</v>
      </c>
      <c r="W34" s="12">
        <v>83</v>
      </c>
      <c r="X34" s="12">
        <v>200</v>
      </c>
      <c r="Y34" s="12">
        <v>134</v>
      </c>
      <c r="Z34" s="12">
        <v>106</v>
      </c>
      <c r="AA34" s="12">
        <v>72</v>
      </c>
      <c r="AB34" s="12">
        <v>144</v>
      </c>
      <c r="AC34" s="12">
        <v>99</v>
      </c>
      <c r="AD34" s="12">
        <v>106</v>
      </c>
      <c r="AE34" s="12">
        <v>229</v>
      </c>
      <c r="AF34" s="12">
        <v>263</v>
      </c>
    </row>
    <row r="35" spans="1:32" ht="23.25">
      <c r="A35" s="23"/>
      <c r="B35" s="13" t="s">
        <v>611</v>
      </c>
      <c r="C35" s="14">
        <v>0.15</v>
      </c>
      <c r="D35" s="14">
        <v>0.13</v>
      </c>
      <c r="E35" s="14">
        <v>0.14000000000000001</v>
      </c>
      <c r="F35" s="14">
        <v>0.12</v>
      </c>
      <c r="G35" s="14">
        <v>0.22</v>
      </c>
      <c r="H35" s="14">
        <v>0.25</v>
      </c>
      <c r="I35" s="14">
        <v>0.23</v>
      </c>
      <c r="J35" s="14">
        <v>0.18</v>
      </c>
      <c r="K35" s="14">
        <v>0.08</v>
      </c>
      <c r="L35" s="14">
        <v>0.1</v>
      </c>
      <c r="M35" s="14">
        <v>0.18</v>
      </c>
      <c r="N35" s="14">
        <v>0.14000000000000001</v>
      </c>
      <c r="O35" s="14">
        <v>0.09</v>
      </c>
      <c r="P35" s="14">
        <v>0.14000000000000001</v>
      </c>
      <c r="Q35" s="14">
        <v>0.14000000000000001</v>
      </c>
      <c r="R35" s="14">
        <v>0.14000000000000001</v>
      </c>
      <c r="S35" s="14">
        <v>0.08</v>
      </c>
      <c r="T35" s="14">
        <v>0.08</v>
      </c>
      <c r="U35" s="14">
        <v>0.12</v>
      </c>
      <c r="V35" s="14">
        <v>0.17</v>
      </c>
      <c r="W35" s="14">
        <v>0.18</v>
      </c>
      <c r="X35" s="14">
        <v>0.22</v>
      </c>
      <c r="Y35" s="14">
        <v>0.14000000000000001</v>
      </c>
      <c r="Z35" s="14">
        <v>0.11</v>
      </c>
      <c r="AA35" s="14">
        <v>7.0000000000000007E-2</v>
      </c>
      <c r="AB35" s="14">
        <v>0.16</v>
      </c>
      <c r="AC35" s="14">
        <v>0.11</v>
      </c>
      <c r="AD35" s="14">
        <v>0.11</v>
      </c>
      <c r="AE35" s="14">
        <v>0.25</v>
      </c>
      <c r="AF35" s="14">
        <v>0.28000000000000003</v>
      </c>
    </row>
    <row r="36" spans="1:32" ht="23.25">
      <c r="A36" s="23"/>
      <c r="B36" s="11" t="s">
        <v>612</v>
      </c>
      <c r="C36" s="12">
        <v>5083</v>
      </c>
      <c r="D36" s="12">
        <v>203</v>
      </c>
      <c r="E36" s="12">
        <v>139</v>
      </c>
      <c r="F36" s="12">
        <v>256</v>
      </c>
      <c r="G36" s="12">
        <v>269</v>
      </c>
      <c r="H36" s="12">
        <v>337</v>
      </c>
      <c r="I36" s="12">
        <v>401</v>
      </c>
      <c r="J36" s="12">
        <v>64</v>
      </c>
      <c r="K36" s="12">
        <v>201</v>
      </c>
      <c r="L36" s="12">
        <v>117</v>
      </c>
      <c r="M36" s="12">
        <v>170</v>
      </c>
      <c r="N36" s="12">
        <v>89</v>
      </c>
      <c r="O36" s="12">
        <v>166</v>
      </c>
      <c r="P36" s="12">
        <v>149</v>
      </c>
      <c r="Q36" s="12">
        <v>165</v>
      </c>
      <c r="R36" s="12">
        <v>115</v>
      </c>
      <c r="S36" s="12">
        <v>179</v>
      </c>
      <c r="T36" s="12">
        <v>256</v>
      </c>
      <c r="U36" s="12">
        <v>117</v>
      </c>
      <c r="V36" s="12">
        <v>172</v>
      </c>
      <c r="W36" s="12">
        <v>58</v>
      </c>
      <c r="X36" s="12">
        <v>299</v>
      </c>
      <c r="Y36" s="12">
        <v>202</v>
      </c>
      <c r="Z36" s="12">
        <v>209</v>
      </c>
      <c r="AA36" s="12">
        <v>218</v>
      </c>
      <c r="AB36" s="12">
        <v>141</v>
      </c>
      <c r="AC36" s="12">
        <v>147</v>
      </c>
      <c r="AD36" s="12">
        <v>239</v>
      </c>
      <c r="AE36" s="12">
        <v>299</v>
      </c>
      <c r="AF36" s="12">
        <v>257</v>
      </c>
    </row>
    <row r="37" spans="1:32" ht="23.25">
      <c r="A37" s="23"/>
      <c r="B37" s="13" t="s">
        <v>613</v>
      </c>
      <c r="C37" s="14">
        <v>0.22</v>
      </c>
      <c r="D37" s="14">
        <v>0.23</v>
      </c>
      <c r="E37" s="14">
        <v>0.15</v>
      </c>
      <c r="F37" s="14">
        <v>0.32</v>
      </c>
      <c r="G37" s="14">
        <v>0.36</v>
      </c>
      <c r="H37" s="14">
        <v>0.33</v>
      </c>
      <c r="I37" s="14">
        <v>0.32</v>
      </c>
      <c r="J37" s="14">
        <v>0.25</v>
      </c>
      <c r="K37" s="14">
        <v>0.25</v>
      </c>
      <c r="L37" s="14">
        <v>0.12</v>
      </c>
      <c r="M37" s="14">
        <v>0.18</v>
      </c>
      <c r="N37" s="14">
        <v>0.1</v>
      </c>
      <c r="O37" s="14">
        <v>0.19</v>
      </c>
      <c r="P37" s="14">
        <v>0.16</v>
      </c>
      <c r="Q37" s="14">
        <v>0.18</v>
      </c>
      <c r="R37" s="14">
        <v>0.26</v>
      </c>
      <c r="S37" s="14">
        <v>0.21</v>
      </c>
      <c r="T37" s="14">
        <v>0.34</v>
      </c>
      <c r="U37" s="14">
        <v>0.27</v>
      </c>
      <c r="V37" s="14">
        <v>0.19</v>
      </c>
      <c r="W37" s="14">
        <v>0.12</v>
      </c>
      <c r="X37" s="14">
        <v>0.36</v>
      </c>
      <c r="Y37" s="14">
        <v>0.22</v>
      </c>
      <c r="Z37" s="14">
        <v>0.25</v>
      </c>
      <c r="AA37" s="14">
        <v>0.22</v>
      </c>
      <c r="AB37" s="14">
        <v>0.15</v>
      </c>
      <c r="AC37" s="14">
        <v>0.16</v>
      </c>
      <c r="AD37" s="14">
        <v>0.28000000000000003</v>
      </c>
      <c r="AE37" s="14">
        <v>0.38</v>
      </c>
      <c r="AF37" s="14">
        <v>0.27</v>
      </c>
    </row>
    <row r="38" spans="1:32" ht="23.25">
      <c r="A38" s="23"/>
      <c r="B38" s="11" t="s">
        <v>614</v>
      </c>
      <c r="C38" s="12">
        <v>3439</v>
      </c>
      <c r="D38" s="12">
        <v>132</v>
      </c>
      <c r="E38" s="12">
        <v>133</v>
      </c>
      <c r="F38" s="12">
        <v>103</v>
      </c>
      <c r="G38" s="12">
        <v>90</v>
      </c>
      <c r="H38" s="12">
        <v>129</v>
      </c>
      <c r="I38" s="12">
        <v>167</v>
      </c>
      <c r="J38" s="12">
        <v>37</v>
      </c>
      <c r="K38" s="12">
        <v>167</v>
      </c>
      <c r="L38" s="12">
        <v>78</v>
      </c>
      <c r="M38" s="12">
        <v>141</v>
      </c>
      <c r="N38" s="12">
        <v>93</v>
      </c>
      <c r="O38" s="12">
        <v>145</v>
      </c>
      <c r="P38" s="12">
        <v>187</v>
      </c>
      <c r="Q38" s="12">
        <v>132</v>
      </c>
      <c r="R38" s="12">
        <v>49</v>
      </c>
      <c r="S38" s="12">
        <v>97</v>
      </c>
      <c r="T38" s="12">
        <v>117</v>
      </c>
      <c r="U38" s="12">
        <v>50</v>
      </c>
      <c r="V38" s="12">
        <v>192</v>
      </c>
      <c r="W38" s="12">
        <v>61</v>
      </c>
      <c r="X38" s="12">
        <v>137</v>
      </c>
      <c r="Y38" s="12">
        <v>200</v>
      </c>
      <c r="Z38" s="12">
        <v>130</v>
      </c>
      <c r="AA38" s="12">
        <v>107</v>
      </c>
      <c r="AB38" s="12">
        <v>184</v>
      </c>
      <c r="AC38" s="12">
        <v>178</v>
      </c>
      <c r="AD38" s="12">
        <v>254</v>
      </c>
      <c r="AE38" s="12">
        <v>151</v>
      </c>
      <c r="AF38" s="12">
        <v>210</v>
      </c>
    </row>
    <row r="39" spans="1:32" ht="23.25">
      <c r="A39" s="23"/>
      <c r="B39" s="13" t="s">
        <v>615</v>
      </c>
      <c r="C39" s="14">
        <v>0.14000000000000001</v>
      </c>
      <c r="D39" s="14">
        <v>0.14000000000000001</v>
      </c>
      <c r="E39" s="14">
        <v>0.14000000000000001</v>
      </c>
      <c r="F39" s="14">
        <v>0.11</v>
      </c>
      <c r="G39" s="14">
        <v>0.09</v>
      </c>
      <c r="H39" s="14">
        <v>0.11</v>
      </c>
      <c r="I39" s="14">
        <v>0.12</v>
      </c>
      <c r="J39" s="14">
        <v>0.13</v>
      </c>
      <c r="K39" s="14">
        <v>0.18</v>
      </c>
      <c r="L39" s="14">
        <v>0.08</v>
      </c>
      <c r="M39" s="14">
        <v>0.15</v>
      </c>
      <c r="N39" s="14">
        <v>0.1</v>
      </c>
      <c r="O39" s="14">
        <v>0.16</v>
      </c>
      <c r="P39" s="14">
        <v>0.2</v>
      </c>
      <c r="Q39" s="14">
        <v>0.14000000000000001</v>
      </c>
      <c r="R39" s="14">
        <v>0.1</v>
      </c>
      <c r="S39" s="14">
        <v>0.1</v>
      </c>
      <c r="T39" s="14">
        <v>0.12</v>
      </c>
      <c r="U39" s="14">
        <v>0.1</v>
      </c>
      <c r="V39" s="14">
        <v>0.21</v>
      </c>
      <c r="W39" s="14">
        <v>0.13</v>
      </c>
      <c r="X39" s="14">
        <v>0.14000000000000001</v>
      </c>
      <c r="Y39" s="14">
        <v>0.21</v>
      </c>
      <c r="Z39" s="14">
        <v>0.14000000000000001</v>
      </c>
      <c r="AA39" s="14">
        <v>0.11</v>
      </c>
      <c r="AB39" s="14">
        <v>0.19</v>
      </c>
      <c r="AC39" s="14">
        <v>0.2</v>
      </c>
      <c r="AD39" s="14">
        <v>0.28999999999999998</v>
      </c>
      <c r="AE39" s="14">
        <v>0.17</v>
      </c>
      <c r="AF39" s="14">
        <v>0.21</v>
      </c>
    </row>
    <row r="40" spans="1:32" ht="23.25">
      <c r="A40" s="23"/>
      <c r="B40" s="11" t="s">
        <v>623</v>
      </c>
      <c r="C40" s="12">
        <v>2175</v>
      </c>
      <c r="D40" s="12">
        <v>79</v>
      </c>
      <c r="E40" s="12">
        <v>59</v>
      </c>
      <c r="F40" s="12">
        <v>57</v>
      </c>
      <c r="G40" s="12">
        <v>106</v>
      </c>
      <c r="H40" s="12">
        <v>82</v>
      </c>
      <c r="I40" s="12">
        <v>100</v>
      </c>
      <c r="J40" s="12">
        <v>18</v>
      </c>
      <c r="K40" s="12">
        <v>42</v>
      </c>
      <c r="L40" s="12">
        <v>88</v>
      </c>
      <c r="M40" s="12">
        <v>54</v>
      </c>
      <c r="N40" s="12">
        <v>85</v>
      </c>
      <c r="O40" s="12">
        <v>86</v>
      </c>
      <c r="P40" s="12">
        <v>95</v>
      </c>
      <c r="Q40" s="12">
        <v>108</v>
      </c>
      <c r="R40" s="12">
        <v>21</v>
      </c>
      <c r="S40" s="12">
        <v>18</v>
      </c>
      <c r="T40" s="12">
        <v>19</v>
      </c>
      <c r="U40" s="12">
        <v>39</v>
      </c>
      <c r="V40" s="12">
        <v>71</v>
      </c>
      <c r="W40" s="12">
        <v>37</v>
      </c>
      <c r="X40" s="12">
        <v>67</v>
      </c>
      <c r="Y40" s="12">
        <v>132</v>
      </c>
      <c r="Z40" s="12">
        <v>86</v>
      </c>
      <c r="AA40" s="12">
        <v>69</v>
      </c>
      <c r="AB40" s="12">
        <v>76</v>
      </c>
      <c r="AC40" s="12">
        <v>38</v>
      </c>
      <c r="AD40" s="12">
        <v>48</v>
      </c>
      <c r="AE40" s="12">
        <v>93</v>
      </c>
      <c r="AF40" s="12">
        <v>207</v>
      </c>
    </row>
    <row r="41" spans="1:32" ht="23.25">
      <c r="A41" s="23"/>
      <c r="B41" s="13" t="s">
        <v>617</v>
      </c>
      <c r="C41" s="14">
        <v>0.09</v>
      </c>
      <c r="D41" s="14">
        <v>0.08</v>
      </c>
      <c r="E41" s="14">
        <v>0.06</v>
      </c>
      <c r="F41" s="14">
        <v>0.06</v>
      </c>
      <c r="G41" s="14">
        <v>0.11</v>
      </c>
      <c r="H41" s="14">
        <v>7.0000000000000007E-2</v>
      </c>
      <c r="I41" s="14">
        <v>7.0000000000000007E-2</v>
      </c>
      <c r="J41" s="14">
        <v>0.06</v>
      </c>
      <c r="K41" s="14">
        <v>0.04</v>
      </c>
      <c r="L41" s="14">
        <v>0.09</v>
      </c>
      <c r="M41" s="14">
        <v>0.05</v>
      </c>
      <c r="N41" s="14">
        <v>0.09</v>
      </c>
      <c r="O41" s="14">
        <v>0.09</v>
      </c>
      <c r="P41" s="14">
        <v>0.1</v>
      </c>
      <c r="Q41" s="14">
        <v>0.11</v>
      </c>
      <c r="R41" s="14">
        <v>0.04</v>
      </c>
      <c r="S41" s="14">
        <v>0.02</v>
      </c>
      <c r="T41" s="14">
        <v>0.02</v>
      </c>
      <c r="U41" s="14">
        <v>0.08</v>
      </c>
      <c r="V41" s="14">
        <v>7.0000000000000007E-2</v>
      </c>
      <c r="W41" s="14">
        <v>0.08</v>
      </c>
      <c r="X41" s="14">
        <v>7.0000000000000007E-2</v>
      </c>
      <c r="Y41" s="14">
        <v>0.14000000000000001</v>
      </c>
      <c r="Z41" s="14">
        <v>0.09</v>
      </c>
      <c r="AA41" s="14">
        <v>7.0000000000000007E-2</v>
      </c>
      <c r="AB41" s="14">
        <v>0.08</v>
      </c>
      <c r="AC41" s="14">
        <v>0.04</v>
      </c>
      <c r="AD41" s="14">
        <v>0.05</v>
      </c>
      <c r="AE41" s="14">
        <v>0.09</v>
      </c>
      <c r="AF41" s="14">
        <v>0.2</v>
      </c>
    </row>
    <row r="42" spans="1:32">
      <c r="A42" s="23"/>
      <c r="B42" s="11" t="s">
        <v>550</v>
      </c>
      <c r="C42" s="12">
        <v>55</v>
      </c>
      <c r="D42" s="12">
        <v>0</v>
      </c>
      <c r="E42" s="12">
        <v>2</v>
      </c>
      <c r="F42" s="12">
        <v>0</v>
      </c>
      <c r="G42" s="12">
        <v>1</v>
      </c>
      <c r="H42" s="12">
        <v>7</v>
      </c>
      <c r="I42" s="12">
        <v>7</v>
      </c>
      <c r="J42" s="12">
        <v>0</v>
      </c>
      <c r="K42" s="12">
        <v>12</v>
      </c>
      <c r="L42" s="12">
        <v>0</v>
      </c>
      <c r="M42" s="12">
        <v>0</v>
      </c>
      <c r="N42" s="12">
        <v>4</v>
      </c>
      <c r="O42" s="12">
        <v>1</v>
      </c>
      <c r="P42" s="12">
        <v>0</v>
      </c>
      <c r="Q42" s="12">
        <v>0</v>
      </c>
      <c r="R42" s="12">
        <v>3</v>
      </c>
      <c r="S42" s="12">
        <v>8</v>
      </c>
      <c r="T42" s="12">
        <v>3</v>
      </c>
      <c r="U42" s="12">
        <v>1</v>
      </c>
      <c r="V42" s="12">
        <v>2</v>
      </c>
      <c r="W42" s="12">
        <v>1</v>
      </c>
      <c r="X42" s="12">
        <v>3</v>
      </c>
      <c r="Y42" s="12">
        <v>4</v>
      </c>
      <c r="Z42" s="12">
        <v>1</v>
      </c>
      <c r="AA42" s="12">
        <v>1</v>
      </c>
      <c r="AB42" s="12">
        <v>2</v>
      </c>
      <c r="AC42" s="12">
        <v>3</v>
      </c>
      <c r="AD42" s="12">
        <v>1</v>
      </c>
      <c r="AE42" s="12">
        <v>4</v>
      </c>
      <c r="AF42" s="12">
        <v>5</v>
      </c>
    </row>
    <row r="43" spans="1:32">
      <c r="A43" s="23"/>
      <c r="B43" s="13" t="s">
        <v>551</v>
      </c>
      <c r="C43" s="15" t="s">
        <v>485</v>
      </c>
      <c r="D43" s="15" t="s">
        <v>485</v>
      </c>
      <c r="E43" s="15" t="s">
        <v>485</v>
      </c>
      <c r="F43" s="15" t="s">
        <v>485</v>
      </c>
      <c r="G43" s="15" t="s">
        <v>485</v>
      </c>
      <c r="H43" s="14">
        <v>0.01</v>
      </c>
      <c r="I43" s="15" t="s">
        <v>485</v>
      </c>
      <c r="J43" s="15" t="s">
        <v>485</v>
      </c>
      <c r="K43" s="14">
        <v>0.01</v>
      </c>
      <c r="L43" s="15" t="s">
        <v>485</v>
      </c>
      <c r="M43" s="15" t="s">
        <v>485</v>
      </c>
      <c r="N43" s="15" t="s">
        <v>485</v>
      </c>
      <c r="O43" s="15" t="s">
        <v>485</v>
      </c>
      <c r="P43" s="15" t="s">
        <v>485</v>
      </c>
      <c r="Q43" s="15" t="s">
        <v>485</v>
      </c>
      <c r="R43" s="14">
        <v>0.01</v>
      </c>
      <c r="S43" s="14">
        <v>0.01</v>
      </c>
      <c r="T43" s="15" t="s">
        <v>485</v>
      </c>
      <c r="U43" s="15" t="s">
        <v>485</v>
      </c>
      <c r="V43" s="15" t="s">
        <v>485</v>
      </c>
      <c r="W43" s="15" t="s">
        <v>485</v>
      </c>
      <c r="X43" s="15" t="s">
        <v>485</v>
      </c>
      <c r="Y43" s="15" t="s">
        <v>485</v>
      </c>
      <c r="Z43" s="15" t="s">
        <v>485</v>
      </c>
      <c r="AA43" s="15" t="s">
        <v>485</v>
      </c>
      <c r="AB43" s="15" t="s">
        <v>485</v>
      </c>
      <c r="AC43" s="15" t="s">
        <v>485</v>
      </c>
      <c r="AD43" s="15" t="s">
        <v>485</v>
      </c>
      <c r="AE43" s="15" t="s">
        <v>485</v>
      </c>
      <c r="AF43" s="15" t="s">
        <v>485</v>
      </c>
    </row>
    <row r="44" spans="1:32">
      <c r="A44" s="23"/>
      <c r="B44" s="11" t="s">
        <v>618</v>
      </c>
      <c r="C44" s="12">
        <v>103</v>
      </c>
      <c r="D44" s="12">
        <v>2</v>
      </c>
      <c r="E44" s="12">
        <v>6</v>
      </c>
      <c r="F44" s="12">
        <v>5</v>
      </c>
      <c r="G44" s="12">
        <v>6</v>
      </c>
      <c r="H44" s="12">
        <v>0</v>
      </c>
      <c r="I44" s="12">
        <v>0</v>
      </c>
      <c r="J44" s="12">
        <v>0</v>
      </c>
      <c r="K44" s="12">
        <v>5</v>
      </c>
      <c r="L44" s="12">
        <v>0</v>
      </c>
      <c r="M44" s="12">
        <v>0</v>
      </c>
      <c r="N44" s="12">
        <v>9</v>
      </c>
      <c r="O44" s="12">
        <v>9</v>
      </c>
      <c r="P44" s="12">
        <v>1</v>
      </c>
      <c r="Q44" s="12">
        <v>2</v>
      </c>
      <c r="R44" s="12">
        <v>0</v>
      </c>
      <c r="S44" s="12">
        <v>13</v>
      </c>
      <c r="T44" s="12">
        <v>1</v>
      </c>
      <c r="U44" s="12">
        <v>4</v>
      </c>
      <c r="V44" s="12">
        <v>0</v>
      </c>
      <c r="W44" s="12">
        <v>4</v>
      </c>
      <c r="X44" s="12">
        <v>11</v>
      </c>
      <c r="Y44" s="12">
        <v>2</v>
      </c>
      <c r="Z44" s="12">
        <v>1</v>
      </c>
      <c r="AA44" s="12">
        <v>3</v>
      </c>
      <c r="AB44" s="12">
        <v>0</v>
      </c>
      <c r="AC44" s="12">
        <v>7</v>
      </c>
      <c r="AD44" s="12">
        <v>3</v>
      </c>
      <c r="AE44" s="12">
        <v>5</v>
      </c>
      <c r="AF44" s="12">
        <v>8</v>
      </c>
    </row>
    <row r="45" spans="1:32">
      <c r="A45" s="23"/>
      <c r="B45" s="13" t="s">
        <v>619</v>
      </c>
      <c r="C45" s="15" t="s">
        <v>485</v>
      </c>
      <c r="D45" s="15" t="s">
        <v>485</v>
      </c>
      <c r="E45" s="14">
        <v>0.01</v>
      </c>
      <c r="F45" s="15" t="s">
        <v>485</v>
      </c>
      <c r="G45" s="14">
        <v>0.01</v>
      </c>
      <c r="H45" s="15" t="s">
        <v>485</v>
      </c>
      <c r="I45" s="15" t="s">
        <v>485</v>
      </c>
      <c r="J45" s="15" t="s">
        <v>485</v>
      </c>
      <c r="K45" s="14">
        <v>0.01</v>
      </c>
      <c r="L45" s="15" t="s">
        <v>485</v>
      </c>
      <c r="M45" s="15" t="s">
        <v>485</v>
      </c>
      <c r="N45" s="14">
        <v>0.01</v>
      </c>
      <c r="O45" s="14">
        <v>0.01</v>
      </c>
      <c r="P45" s="15" t="s">
        <v>485</v>
      </c>
      <c r="Q45" s="15" t="s">
        <v>485</v>
      </c>
      <c r="R45" s="15" t="s">
        <v>485</v>
      </c>
      <c r="S45" s="14">
        <v>0.01</v>
      </c>
      <c r="T45" s="15" t="s">
        <v>485</v>
      </c>
      <c r="U45" s="14">
        <v>0.01</v>
      </c>
      <c r="V45" s="15" t="s">
        <v>485</v>
      </c>
      <c r="W45" s="14">
        <v>0.01</v>
      </c>
      <c r="X45" s="14">
        <v>0.01</v>
      </c>
      <c r="Y45" s="15" t="s">
        <v>485</v>
      </c>
      <c r="Z45" s="15" t="s">
        <v>485</v>
      </c>
      <c r="AA45" s="15" t="s">
        <v>485</v>
      </c>
      <c r="AB45" s="15" t="s">
        <v>485</v>
      </c>
      <c r="AC45" s="14">
        <v>0.01</v>
      </c>
      <c r="AD45" s="15" t="s">
        <v>485</v>
      </c>
      <c r="AE45" s="14">
        <v>0.01</v>
      </c>
      <c r="AF45" s="14">
        <v>0.01</v>
      </c>
    </row>
    <row r="46" spans="1:32">
      <c r="A46" s="23"/>
      <c r="B46" s="11" t="s">
        <v>497</v>
      </c>
      <c r="C46" s="12">
        <v>85</v>
      </c>
      <c r="D46" s="12">
        <v>3</v>
      </c>
      <c r="E46" s="12">
        <v>3</v>
      </c>
      <c r="F46" s="12">
        <v>17</v>
      </c>
      <c r="G46" s="12">
        <v>1</v>
      </c>
      <c r="H46" s="12">
        <v>0</v>
      </c>
      <c r="I46" s="12">
        <v>2</v>
      </c>
      <c r="J46" s="12">
        <v>2</v>
      </c>
      <c r="K46" s="12">
        <v>14</v>
      </c>
      <c r="L46" s="12">
        <v>1</v>
      </c>
      <c r="M46" s="12">
        <v>2</v>
      </c>
      <c r="N46" s="12">
        <v>8</v>
      </c>
      <c r="O46" s="12">
        <v>2</v>
      </c>
      <c r="P46" s="12">
        <v>4</v>
      </c>
      <c r="Q46" s="12">
        <v>1</v>
      </c>
      <c r="R46" s="12">
        <v>3</v>
      </c>
      <c r="S46" s="12">
        <v>15</v>
      </c>
      <c r="T46" s="12">
        <v>3</v>
      </c>
      <c r="U46" s="12">
        <v>1</v>
      </c>
      <c r="V46" s="12">
        <v>1</v>
      </c>
      <c r="W46" s="12">
        <v>1</v>
      </c>
      <c r="X46" s="12">
        <v>5</v>
      </c>
      <c r="Y46" s="12">
        <v>2</v>
      </c>
      <c r="Z46" s="12">
        <v>5</v>
      </c>
      <c r="AA46" s="12">
        <v>3</v>
      </c>
      <c r="AB46" s="12">
        <v>0</v>
      </c>
      <c r="AC46" s="12">
        <v>3</v>
      </c>
      <c r="AD46" s="12">
        <v>5</v>
      </c>
      <c r="AE46" s="12">
        <v>12</v>
      </c>
      <c r="AF46" s="12">
        <v>2</v>
      </c>
    </row>
    <row r="47" spans="1:32">
      <c r="A47" s="23"/>
      <c r="B47" s="13" t="s">
        <v>498</v>
      </c>
      <c r="C47" s="15" t="s">
        <v>485</v>
      </c>
      <c r="D47" s="15" t="s">
        <v>485</v>
      </c>
      <c r="E47" s="15" t="s">
        <v>485</v>
      </c>
      <c r="F47" s="14">
        <v>0.02</v>
      </c>
      <c r="G47" s="15" t="s">
        <v>485</v>
      </c>
      <c r="H47" s="15" t="s">
        <v>485</v>
      </c>
      <c r="I47" s="15" t="s">
        <v>485</v>
      </c>
      <c r="J47" s="14">
        <v>0.01</v>
      </c>
      <c r="K47" s="14">
        <v>0.01</v>
      </c>
      <c r="L47" s="15" t="s">
        <v>485</v>
      </c>
      <c r="M47" s="15" t="s">
        <v>485</v>
      </c>
      <c r="N47" s="14">
        <v>0.01</v>
      </c>
      <c r="O47" s="15" t="s">
        <v>485</v>
      </c>
      <c r="P47" s="15" t="s">
        <v>485</v>
      </c>
      <c r="Q47" s="15" t="s">
        <v>485</v>
      </c>
      <c r="R47" s="14">
        <v>0.01</v>
      </c>
      <c r="S47" s="14">
        <v>0.02</v>
      </c>
      <c r="T47" s="15" t="s">
        <v>485</v>
      </c>
      <c r="U47" s="15" t="s">
        <v>485</v>
      </c>
      <c r="V47" s="15" t="s">
        <v>485</v>
      </c>
      <c r="W47" s="15" t="s">
        <v>485</v>
      </c>
      <c r="X47" s="15" t="s">
        <v>485</v>
      </c>
      <c r="Y47" s="15" t="s">
        <v>485</v>
      </c>
      <c r="Z47" s="15" t="s">
        <v>485</v>
      </c>
      <c r="AA47" s="15" t="s">
        <v>485</v>
      </c>
      <c r="AB47" s="15" t="s">
        <v>485</v>
      </c>
      <c r="AC47" s="15" t="s">
        <v>485</v>
      </c>
      <c r="AD47" s="14">
        <v>0.01</v>
      </c>
      <c r="AE47" s="14">
        <v>0.01</v>
      </c>
      <c r="AF47" s="15" t="s">
        <v>485</v>
      </c>
    </row>
  </sheetData>
  <mergeCells count="9">
    <mergeCell ref="B4:F4"/>
    <mergeCell ref="A10:A47"/>
    <mergeCell ref="H3:L3"/>
    <mergeCell ref="C8:AF8"/>
    <mergeCell ref="B3:F3"/>
    <mergeCell ref="B5:F5"/>
    <mergeCell ref="H5:L5"/>
    <mergeCell ref="B10:B11"/>
    <mergeCell ref="H4:L4"/>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F47"/>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39</v>
      </c>
      <c r="C3" s="19"/>
      <c r="D3" s="19"/>
      <c r="E3" s="19"/>
      <c r="F3" s="19"/>
      <c r="H3" s="19" t="s">
        <v>40</v>
      </c>
      <c r="I3" s="19"/>
      <c r="J3" s="19"/>
      <c r="K3" s="19"/>
      <c r="L3" s="19"/>
    </row>
    <row r="4" spans="1:32" ht="27" customHeight="1">
      <c r="B4" s="19"/>
      <c r="C4" s="19"/>
      <c r="D4" s="19"/>
      <c r="E4" s="19"/>
      <c r="F4" s="19"/>
      <c r="H4" s="19"/>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HYPERLINK("#Content!A21","&lt;&lt;Back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23.25">
      <c r="A12" s="23"/>
      <c r="B12" s="11" t="s">
        <v>588</v>
      </c>
      <c r="C12" s="12">
        <v>6676</v>
      </c>
      <c r="D12" s="12">
        <v>186</v>
      </c>
      <c r="E12" s="12">
        <v>321</v>
      </c>
      <c r="F12" s="12">
        <v>196</v>
      </c>
      <c r="G12" s="12">
        <v>198</v>
      </c>
      <c r="H12" s="12">
        <v>164</v>
      </c>
      <c r="I12" s="12">
        <v>226</v>
      </c>
      <c r="J12" s="12">
        <v>62</v>
      </c>
      <c r="K12" s="12">
        <v>292</v>
      </c>
      <c r="L12" s="12">
        <v>378</v>
      </c>
      <c r="M12" s="12">
        <v>468</v>
      </c>
      <c r="N12" s="12">
        <v>395</v>
      </c>
      <c r="O12" s="12">
        <v>257</v>
      </c>
      <c r="P12" s="12">
        <v>239</v>
      </c>
      <c r="Q12" s="12">
        <v>238</v>
      </c>
      <c r="R12" s="12">
        <v>184</v>
      </c>
      <c r="S12" s="12">
        <v>404</v>
      </c>
      <c r="T12" s="12">
        <v>291</v>
      </c>
      <c r="U12" s="12">
        <v>72</v>
      </c>
      <c r="V12" s="12">
        <v>353</v>
      </c>
      <c r="W12" s="12">
        <v>177</v>
      </c>
      <c r="X12" s="12">
        <v>190</v>
      </c>
      <c r="Y12" s="12">
        <v>232</v>
      </c>
      <c r="Z12" s="12">
        <v>240</v>
      </c>
      <c r="AA12" s="12">
        <v>608</v>
      </c>
      <c r="AB12" s="12">
        <v>273</v>
      </c>
      <c r="AC12" s="12">
        <v>346</v>
      </c>
      <c r="AD12" s="12">
        <v>294</v>
      </c>
      <c r="AE12" s="12">
        <v>109</v>
      </c>
      <c r="AF12" s="12">
        <v>147</v>
      </c>
    </row>
    <row r="13" spans="1:32" ht="23.25">
      <c r="A13" s="23"/>
      <c r="B13" s="13" t="s">
        <v>589</v>
      </c>
      <c r="C13" s="14">
        <v>0.25</v>
      </c>
      <c r="D13" s="14">
        <v>0.18</v>
      </c>
      <c r="E13" s="14">
        <v>0.31</v>
      </c>
      <c r="F13" s="14">
        <v>0.19</v>
      </c>
      <c r="G13" s="14">
        <v>0.2</v>
      </c>
      <c r="H13" s="14">
        <v>0.14000000000000001</v>
      </c>
      <c r="I13" s="14">
        <v>0.15</v>
      </c>
      <c r="J13" s="14">
        <v>0.21</v>
      </c>
      <c r="K13" s="14">
        <v>0.28999999999999998</v>
      </c>
      <c r="L13" s="14">
        <v>0.38</v>
      </c>
      <c r="M13" s="14">
        <v>0.46</v>
      </c>
      <c r="N13" s="14">
        <v>0.4</v>
      </c>
      <c r="O13" s="14">
        <v>0.26</v>
      </c>
      <c r="P13" s="14">
        <v>0.24</v>
      </c>
      <c r="Q13" s="14">
        <v>0.23</v>
      </c>
      <c r="R13" s="14">
        <v>0.37</v>
      </c>
      <c r="S13" s="14">
        <v>0.4</v>
      </c>
      <c r="T13" s="14">
        <v>0.28999999999999998</v>
      </c>
      <c r="U13" s="14">
        <v>0.14000000000000001</v>
      </c>
      <c r="V13" s="14">
        <v>0.35</v>
      </c>
      <c r="W13" s="14">
        <v>0.35</v>
      </c>
      <c r="X13" s="14">
        <v>0.19</v>
      </c>
      <c r="Y13" s="14">
        <v>0.23</v>
      </c>
      <c r="Z13" s="14">
        <v>0.24</v>
      </c>
      <c r="AA13" s="14">
        <v>0.57999999999999996</v>
      </c>
      <c r="AB13" s="14">
        <v>0.26</v>
      </c>
      <c r="AC13" s="14">
        <v>0.34</v>
      </c>
      <c r="AD13" s="14">
        <v>0.28999999999999998</v>
      </c>
      <c r="AE13" s="14">
        <v>0.11</v>
      </c>
      <c r="AF13" s="14">
        <v>0.14000000000000001</v>
      </c>
    </row>
    <row r="14" spans="1:32" ht="23.25">
      <c r="A14" s="23"/>
      <c r="B14" s="11" t="s">
        <v>590</v>
      </c>
      <c r="C14" s="12">
        <v>5568</v>
      </c>
      <c r="D14" s="12">
        <v>253</v>
      </c>
      <c r="E14" s="12">
        <v>94</v>
      </c>
      <c r="F14" s="12">
        <v>89</v>
      </c>
      <c r="G14" s="12">
        <v>470</v>
      </c>
      <c r="H14" s="12">
        <v>267</v>
      </c>
      <c r="I14" s="12">
        <v>313</v>
      </c>
      <c r="J14" s="12">
        <v>45</v>
      </c>
      <c r="K14" s="12">
        <v>64</v>
      </c>
      <c r="L14" s="12">
        <v>245</v>
      </c>
      <c r="M14" s="12">
        <v>141</v>
      </c>
      <c r="N14" s="12">
        <v>169</v>
      </c>
      <c r="O14" s="12">
        <v>294</v>
      </c>
      <c r="P14" s="12">
        <v>158</v>
      </c>
      <c r="Q14" s="12">
        <v>207</v>
      </c>
      <c r="R14" s="12">
        <v>46</v>
      </c>
      <c r="S14" s="12">
        <v>43</v>
      </c>
      <c r="T14" s="12">
        <v>117</v>
      </c>
      <c r="U14" s="12">
        <v>125</v>
      </c>
      <c r="V14" s="12">
        <v>156</v>
      </c>
      <c r="W14" s="12">
        <v>128</v>
      </c>
      <c r="X14" s="12">
        <v>413</v>
      </c>
      <c r="Y14" s="12">
        <v>259</v>
      </c>
      <c r="Z14" s="12">
        <v>86</v>
      </c>
      <c r="AA14" s="12">
        <v>114</v>
      </c>
      <c r="AB14" s="12">
        <v>116</v>
      </c>
      <c r="AC14" s="12">
        <v>169</v>
      </c>
      <c r="AD14" s="12">
        <v>129</v>
      </c>
      <c r="AE14" s="12">
        <v>336</v>
      </c>
      <c r="AF14" s="12">
        <v>579</v>
      </c>
    </row>
    <row r="15" spans="1:32" ht="23.25">
      <c r="A15" s="23"/>
      <c r="B15" s="13" t="s">
        <v>591</v>
      </c>
      <c r="C15" s="14">
        <v>0.21</v>
      </c>
      <c r="D15" s="14">
        <v>0.25</v>
      </c>
      <c r="E15" s="14">
        <v>0.09</v>
      </c>
      <c r="F15" s="14">
        <v>0.09</v>
      </c>
      <c r="G15" s="14">
        <v>0.47</v>
      </c>
      <c r="H15" s="14">
        <v>0.22</v>
      </c>
      <c r="I15" s="14">
        <v>0.21</v>
      </c>
      <c r="J15" s="14">
        <v>0.15</v>
      </c>
      <c r="K15" s="14">
        <v>0.06</v>
      </c>
      <c r="L15" s="14">
        <v>0.24</v>
      </c>
      <c r="M15" s="14">
        <v>0.14000000000000001</v>
      </c>
      <c r="N15" s="14">
        <v>0.17</v>
      </c>
      <c r="O15" s="14">
        <v>0.28999999999999998</v>
      </c>
      <c r="P15" s="14">
        <v>0.16</v>
      </c>
      <c r="Q15" s="14">
        <v>0.2</v>
      </c>
      <c r="R15" s="14">
        <v>0.09</v>
      </c>
      <c r="S15" s="14">
        <v>0.04</v>
      </c>
      <c r="T15" s="14">
        <v>0.12</v>
      </c>
      <c r="U15" s="14">
        <v>0.25</v>
      </c>
      <c r="V15" s="14">
        <v>0.15</v>
      </c>
      <c r="W15" s="14">
        <v>0.25</v>
      </c>
      <c r="X15" s="14">
        <v>0.41</v>
      </c>
      <c r="Y15" s="14">
        <v>0.26</v>
      </c>
      <c r="Z15" s="14">
        <v>0.08</v>
      </c>
      <c r="AA15" s="14">
        <v>0.11</v>
      </c>
      <c r="AB15" s="14">
        <v>0.11</v>
      </c>
      <c r="AC15" s="14">
        <v>0.17</v>
      </c>
      <c r="AD15" s="14">
        <v>0.13</v>
      </c>
      <c r="AE15" s="14">
        <v>0.33</v>
      </c>
      <c r="AF15" s="14">
        <v>0.54</v>
      </c>
    </row>
    <row r="16" spans="1:32" ht="23.25">
      <c r="A16" s="23"/>
      <c r="B16" s="11" t="s">
        <v>592</v>
      </c>
      <c r="C16" s="12">
        <v>8191</v>
      </c>
      <c r="D16" s="12">
        <v>323</v>
      </c>
      <c r="E16" s="12">
        <v>414</v>
      </c>
      <c r="F16" s="12">
        <v>219</v>
      </c>
      <c r="G16" s="12">
        <v>262</v>
      </c>
      <c r="H16" s="12">
        <v>375</v>
      </c>
      <c r="I16" s="12">
        <v>469</v>
      </c>
      <c r="J16" s="12">
        <v>94</v>
      </c>
      <c r="K16" s="12">
        <v>268</v>
      </c>
      <c r="L16" s="12">
        <v>238</v>
      </c>
      <c r="M16" s="12">
        <v>470</v>
      </c>
      <c r="N16" s="12">
        <v>348</v>
      </c>
      <c r="O16" s="12">
        <v>351</v>
      </c>
      <c r="P16" s="12">
        <v>342</v>
      </c>
      <c r="Q16" s="12">
        <v>267</v>
      </c>
      <c r="R16" s="12">
        <v>217</v>
      </c>
      <c r="S16" s="12">
        <v>382</v>
      </c>
      <c r="T16" s="12">
        <v>411</v>
      </c>
      <c r="U16" s="12">
        <v>205</v>
      </c>
      <c r="V16" s="12">
        <v>280</v>
      </c>
      <c r="W16" s="12">
        <v>138</v>
      </c>
      <c r="X16" s="12">
        <v>307</v>
      </c>
      <c r="Y16" s="12">
        <v>334</v>
      </c>
      <c r="Z16" s="12">
        <v>206</v>
      </c>
      <c r="AA16" s="12">
        <v>486</v>
      </c>
      <c r="AB16" s="12">
        <v>305</v>
      </c>
      <c r="AC16" s="12">
        <v>309</v>
      </c>
      <c r="AD16" s="12">
        <v>281</v>
      </c>
      <c r="AE16" s="12">
        <v>308</v>
      </c>
      <c r="AF16" s="12">
        <v>374</v>
      </c>
    </row>
    <row r="17" spans="1:32" ht="23.25">
      <c r="A17" s="23"/>
      <c r="B17" s="13" t="s">
        <v>593</v>
      </c>
      <c r="C17" s="14">
        <v>0.31</v>
      </c>
      <c r="D17" s="14">
        <v>0.32</v>
      </c>
      <c r="E17" s="14">
        <v>0.4</v>
      </c>
      <c r="F17" s="14">
        <v>0.22</v>
      </c>
      <c r="G17" s="14">
        <v>0.26</v>
      </c>
      <c r="H17" s="14">
        <v>0.31</v>
      </c>
      <c r="I17" s="14">
        <v>0.31</v>
      </c>
      <c r="J17" s="14">
        <v>0.32</v>
      </c>
      <c r="K17" s="14">
        <v>0.27</v>
      </c>
      <c r="L17" s="14">
        <v>0.24</v>
      </c>
      <c r="M17" s="14">
        <v>0.46</v>
      </c>
      <c r="N17" s="14">
        <v>0.35</v>
      </c>
      <c r="O17" s="14">
        <v>0.35</v>
      </c>
      <c r="P17" s="14">
        <v>0.34</v>
      </c>
      <c r="Q17" s="14">
        <v>0.26</v>
      </c>
      <c r="R17" s="14">
        <v>0.43</v>
      </c>
      <c r="S17" s="14">
        <v>0.38</v>
      </c>
      <c r="T17" s="14">
        <v>0.41</v>
      </c>
      <c r="U17" s="14">
        <v>0.41</v>
      </c>
      <c r="V17" s="14">
        <v>0.28000000000000003</v>
      </c>
      <c r="W17" s="14">
        <v>0.27</v>
      </c>
      <c r="X17" s="14">
        <v>0.3</v>
      </c>
      <c r="Y17" s="14">
        <v>0.33</v>
      </c>
      <c r="Z17" s="14">
        <v>0.2</v>
      </c>
      <c r="AA17" s="14">
        <v>0.47</v>
      </c>
      <c r="AB17" s="14">
        <v>0.3</v>
      </c>
      <c r="AC17" s="14">
        <v>0.31</v>
      </c>
      <c r="AD17" s="14">
        <v>0.28000000000000003</v>
      </c>
      <c r="AE17" s="14">
        <v>0.31</v>
      </c>
      <c r="AF17" s="14">
        <v>0.35</v>
      </c>
    </row>
    <row r="18" spans="1:32" ht="34.5">
      <c r="A18" s="23"/>
      <c r="B18" s="11" t="s">
        <v>594</v>
      </c>
      <c r="C18" s="12">
        <v>7528</v>
      </c>
      <c r="D18" s="12">
        <v>205</v>
      </c>
      <c r="E18" s="12">
        <v>438</v>
      </c>
      <c r="F18" s="12">
        <v>232</v>
      </c>
      <c r="G18" s="12">
        <v>186</v>
      </c>
      <c r="H18" s="12">
        <v>220</v>
      </c>
      <c r="I18" s="12">
        <v>305</v>
      </c>
      <c r="J18" s="12">
        <v>85</v>
      </c>
      <c r="K18" s="12">
        <v>434</v>
      </c>
      <c r="L18" s="12">
        <v>283</v>
      </c>
      <c r="M18" s="12">
        <v>483</v>
      </c>
      <c r="N18" s="12">
        <v>355</v>
      </c>
      <c r="O18" s="12">
        <v>220</v>
      </c>
      <c r="P18" s="12">
        <v>384</v>
      </c>
      <c r="Q18" s="12">
        <v>377</v>
      </c>
      <c r="R18" s="12">
        <v>154</v>
      </c>
      <c r="S18" s="12">
        <v>388</v>
      </c>
      <c r="T18" s="12">
        <v>442</v>
      </c>
      <c r="U18" s="12">
        <v>109</v>
      </c>
      <c r="V18" s="12">
        <v>415</v>
      </c>
      <c r="W18" s="12">
        <v>115</v>
      </c>
      <c r="X18" s="12">
        <v>134</v>
      </c>
      <c r="Y18" s="12">
        <v>286</v>
      </c>
      <c r="Z18" s="12">
        <v>260</v>
      </c>
      <c r="AA18" s="12">
        <v>510</v>
      </c>
      <c r="AB18" s="12">
        <v>392</v>
      </c>
      <c r="AC18" s="12">
        <v>289</v>
      </c>
      <c r="AD18" s="12">
        <v>340</v>
      </c>
      <c r="AE18" s="12">
        <v>400</v>
      </c>
      <c r="AF18" s="12">
        <v>206</v>
      </c>
    </row>
    <row r="19" spans="1:32" ht="34.5">
      <c r="A19" s="23"/>
      <c r="B19" s="13" t="s">
        <v>595</v>
      </c>
      <c r="C19" s="14">
        <v>0.28999999999999998</v>
      </c>
      <c r="D19" s="14">
        <v>0.2</v>
      </c>
      <c r="E19" s="14">
        <v>0.42</v>
      </c>
      <c r="F19" s="14">
        <v>0.23</v>
      </c>
      <c r="G19" s="14">
        <v>0.19</v>
      </c>
      <c r="H19" s="14">
        <v>0.18</v>
      </c>
      <c r="I19" s="14">
        <v>0.2</v>
      </c>
      <c r="J19" s="14">
        <v>0.28999999999999998</v>
      </c>
      <c r="K19" s="14">
        <v>0.43</v>
      </c>
      <c r="L19" s="14">
        <v>0.28000000000000003</v>
      </c>
      <c r="M19" s="14">
        <v>0.48</v>
      </c>
      <c r="N19" s="14">
        <v>0.35</v>
      </c>
      <c r="O19" s="14">
        <v>0.22</v>
      </c>
      <c r="P19" s="14">
        <v>0.38</v>
      </c>
      <c r="Q19" s="14">
        <v>0.37</v>
      </c>
      <c r="R19" s="14">
        <v>0.31</v>
      </c>
      <c r="S19" s="14">
        <v>0.39</v>
      </c>
      <c r="T19" s="14">
        <v>0.44</v>
      </c>
      <c r="U19" s="14">
        <v>0.22</v>
      </c>
      <c r="V19" s="14">
        <v>0.41</v>
      </c>
      <c r="W19" s="14">
        <v>0.23</v>
      </c>
      <c r="X19" s="14">
        <v>0.13</v>
      </c>
      <c r="Y19" s="14">
        <v>0.28000000000000003</v>
      </c>
      <c r="Z19" s="14">
        <v>0.26</v>
      </c>
      <c r="AA19" s="14">
        <v>0.49</v>
      </c>
      <c r="AB19" s="14">
        <v>0.38</v>
      </c>
      <c r="AC19" s="14">
        <v>0.28999999999999998</v>
      </c>
      <c r="AD19" s="14">
        <v>0.34</v>
      </c>
      <c r="AE19" s="14">
        <v>0.4</v>
      </c>
      <c r="AF19" s="14">
        <v>0.19</v>
      </c>
    </row>
    <row r="20" spans="1:32" ht="23.25">
      <c r="A20" s="23"/>
      <c r="B20" s="11" t="s">
        <v>596</v>
      </c>
      <c r="C20" s="12">
        <v>11433</v>
      </c>
      <c r="D20" s="12">
        <v>432</v>
      </c>
      <c r="E20" s="12">
        <v>557</v>
      </c>
      <c r="F20" s="12">
        <v>474</v>
      </c>
      <c r="G20" s="12">
        <v>269</v>
      </c>
      <c r="H20" s="12">
        <v>413</v>
      </c>
      <c r="I20" s="12">
        <v>553</v>
      </c>
      <c r="J20" s="12">
        <v>140</v>
      </c>
      <c r="K20" s="12">
        <v>538</v>
      </c>
      <c r="L20" s="12">
        <v>480</v>
      </c>
      <c r="M20" s="12">
        <v>526</v>
      </c>
      <c r="N20" s="12">
        <v>439</v>
      </c>
      <c r="O20" s="12">
        <v>564</v>
      </c>
      <c r="P20" s="12">
        <v>548</v>
      </c>
      <c r="Q20" s="12">
        <v>436</v>
      </c>
      <c r="R20" s="12">
        <v>209</v>
      </c>
      <c r="S20" s="12">
        <v>390</v>
      </c>
      <c r="T20" s="12">
        <v>435</v>
      </c>
      <c r="U20" s="12">
        <v>199</v>
      </c>
      <c r="V20" s="12">
        <v>476</v>
      </c>
      <c r="W20" s="12">
        <v>231</v>
      </c>
      <c r="X20" s="12">
        <v>313</v>
      </c>
      <c r="Y20" s="12">
        <v>460</v>
      </c>
      <c r="Z20" s="12">
        <v>409</v>
      </c>
      <c r="AA20" s="12">
        <v>589</v>
      </c>
      <c r="AB20" s="12">
        <v>457</v>
      </c>
      <c r="AC20" s="12">
        <v>361</v>
      </c>
      <c r="AD20" s="12">
        <v>560</v>
      </c>
      <c r="AE20" s="12">
        <v>264</v>
      </c>
      <c r="AF20" s="12">
        <v>208</v>
      </c>
    </row>
    <row r="21" spans="1:32" ht="23.25">
      <c r="A21" s="23"/>
      <c r="B21" s="13" t="s">
        <v>597</v>
      </c>
      <c r="C21" s="14">
        <v>0.43</v>
      </c>
      <c r="D21" s="14">
        <v>0.43</v>
      </c>
      <c r="E21" s="14">
        <v>0.53</v>
      </c>
      <c r="F21" s="14">
        <v>0.47</v>
      </c>
      <c r="G21" s="14">
        <v>0.27</v>
      </c>
      <c r="H21" s="14">
        <v>0.34</v>
      </c>
      <c r="I21" s="14">
        <v>0.37</v>
      </c>
      <c r="J21" s="14">
        <v>0.48</v>
      </c>
      <c r="K21" s="14">
        <v>0.54</v>
      </c>
      <c r="L21" s="14">
        <v>0.48</v>
      </c>
      <c r="M21" s="14">
        <v>0.52</v>
      </c>
      <c r="N21" s="14">
        <v>0.44</v>
      </c>
      <c r="O21" s="14">
        <v>0.56000000000000005</v>
      </c>
      <c r="P21" s="14">
        <v>0.54</v>
      </c>
      <c r="Q21" s="14">
        <v>0.43</v>
      </c>
      <c r="R21" s="14">
        <v>0.42</v>
      </c>
      <c r="S21" s="14">
        <v>0.39</v>
      </c>
      <c r="T21" s="14">
        <v>0.43</v>
      </c>
      <c r="U21" s="14">
        <v>0.4</v>
      </c>
      <c r="V21" s="14">
        <v>0.47</v>
      </c>
      <c r="W21" s="14">
        <v>0.46</v>
      </c>
      <c r="X21" s="14">
        <v>0.31</v>
      </c>
      <c r="Y21" s="14">
        <v>0.46</v>
      </c>
      <c r="Z21" s="14">
        <v>0.4</v>
      </c>
      <c r="AA21" s="14">
        <v>0.57000000000000006</v>
      </c>
      <c r="AB21" s="14">
        <v>0.44</v>
      </c>
      <c r="AC21" s="14">
        <v>0.36</v>
      </c>
      <c r="AD21" s="14">
        <v>0.56000000000000005</v>
      </c>
      <c r="AE21" s="14">
        <v>0.26</v>
      </c>
      <c r="AF21" s="14">
        <v>0.19</v>
      </c>
    </row>
    <row r="22" spans="1:32" ht="34.5">
      <c r="A22" s="23"/>
      <c r="B22" s="11" t="s">
        <v>598</v>
      </c>
      <c r="C22" s="12">
        <v>2570</v>
      </c>
      <c r="D22" s="12">
        <v>97</v>
      </c>
      <c r="E22" s="12">
        <v>111</v>
      </c>
      <c r="F22" s="12">
        <v>86</v>
      </c>
      <c r="G22" s="12">
        <v>82</v>
      </c>
      <c r="H22" s="12">
        <v>163</v>
      </c>
      <c r="I22" s="12">
        <v>190</v>
      </c>
      <c r="J22" s="12">
        <v>27</v>
      </c>
      <c r="K22" s="12">
        <v>90</v>
      </c>
      <c r="L22" s="12">
        <v>72</v>
      </c>
      <c r="M22" s="12">
        <v>73</v>
      </c>
      <c r="N22" s="12">
        <v>73</v>
      </c>
      <c r="O22" s="12">
        <v>46</v>
      </c>
      <c r="P22" s="12">
        <v>126</v>
      </c>
      <c r="Q22" s="12">
        <v>140</v>
      </c>
      <c r="R22" s="12">
        <v>30</v>
      </c>
      <c r="S22" s="12">
        <v>60</v>
      </c>
      <c r="T22" s="12">
        <v>89</v>
      </c>
      <c r="U22" s="12">
        <v>35</v>
      </c>
      <c r="V22" s="12">
        <v>120</v>
      </c>
      <c r="W22" s="12">
        <v>51</v>
      </c>
      <c r="X22" s="12">
        <v>91</v>
      </c>
      <c r="Y22" s="12">
        <v>162</v>
      </c>
      <c r="Z22" s="12">
        <v>107</v>
      </c>
      <c r="AA22" s="12">
        <v>80</v>
      </c>
      <c r="AB22" s="12">
        <v>123</v>
      </c>
      <c r="AC22" s="12">
        <v>80</v>
      </c>
      <c r="AD22" s="12">
        <v>87</v>
      </c>
      <c r="AE22" s="12">
        <v>67</v>
      </c>
      <c r="AF22" s="12">
        <v>60</v>
      </c>
    </row>
    <row r="23" spans="1:32" ht="34.5">
      <c r="A23" s="23"/>
      <c r="B23" s="13" t="s">
        <v>599</v>
      </c>
      <c r="C23" s="14">
        <v>0.1</v>
      </c>
      <c r="D23" s="14">
        <v>0.1</v>
      </c>
      <c r="E23" s="14">
        <v>0.11</v>
      </c>
      <c r="F23" s="14">
        <v>0.09</v>
      </c>
      <c r="G23" s="14">
        <v>0.08</v>
      </c>
      <c r="H23" s="14">
        <v>0.13</v>
      </c>
      <c r="I23" s="14">
        <v>0.13</v>
      </c>
      <c r="J23" s="14">
        <v>0.09</v>
      </c>
      <c r="K23" s="14">
        <v>0.09</v>
      </c>
      <c r="L23" s="14">
        <v>7.0000000000000007E-2</v>
      </c>
      <c r="M23" s="14">
        <v>7.0000000000000007E-2</v>
      </c>
      <c r="N23" s="14">
        <v>7.0000000000000007E-2</v>
      </c>
      <c r="O23" s="14">
        <v>0.05</v>
      </c>
      <c r="P23" s="14">
        <v>0.12</v>
      </c>
      <c r="Q23" s="14">
        <v>0.14000000000000001</v>
      </c>
      <c r="R23" s="14">
        <v>0.06</v>
      </c>
      <c r="S23" s="14">
        <v>0.06</v>
      </c>
      <c r="T23" s="14">
        <v>0.09</v>
      </c>
      <c r="U23" s="14">
        <v>7.0000000000000007E-2</v>
      </c>
      <c r="V23" s="14">
        <v>0.12</v>
      </c>
      <c r="W23" s="14">
        <v>0.1</v>
      </c>
      <c r="X23" s="14">
        <v>0.09</v>
      </c>
      <c r="Y23" s="14">
        <v>0.16</v>
      </c>
      <c r="Z23" s="14">
        <v>0.11</v>
      </c>
      <c r="AA23" s="14">
        <v>0.08</v>
      </c>
      <c r="AB23" s="14">
        <v>0.12</v>
      </c>
      <c r="AC23" s="14">
        <v>0.08</v>
      </c>
      <c r="AD23" s="14">
        <v>0.09</v>
      </c>
      <c r="AE23" s="14">
        <v>7.0000000000000007E-2</v>
      </c>
      <c r="AF23" s="14">
        <v>0.06</v>
      </c>
    </row>
    <row r="24" spans="1:32" ht="23.25">
      <c r="A24" s="23"/>
      <c r="B24" s="11" t="s">
        <v>600</v>
      </c>
      <c r="C24" s="12">
        <v>2800</v>
      </c>
      <c r="D24" s="12">
        <v>126</v>
      </c>
      <c r="E24" s="12">
        <v>126</v>
      </c>
      <c r="F24" s="12">
        <v>65</v>
      </c>
      <c r="G24" s="12">
        <v>108</v>
      </c>
      <c r="H24" s="12">
        <v>81</v>
      </c>
      <c r="I24" s="12">
        <v>97</v>
      </c>
      <c r="J24" s="12">
        <v>17</v>
      </c>
      <c r="K24" s="12">
        <v>74</v>
      </c>
      <c r="L24" s="12">
        <v>111</v>
      </c>
      <c r="M24" s="12">
        <v>181</v>
      </c>
      <c r="N24" s="12">
        <v>139</v>
      </c>
      <c r="O24" s="12">
        <v>99</v>
      </c>
      <c r="P24" s="12">
        <v>121</v>
      </c>
      <c r="Q24" s="12">
        <v>145</v>
      </c>
      <c r="R24" s="12">
        <v>94</v>
      </c>
      <c r="S24" s="12">
        <v>73</v>
      </c>
      <c r="T24" s="12">
        <v>56</v>
      </c>
      <c r="U24" s="12">
        <v>68</v>
      </c>
      <c r="V24" s="12">
        <v>76</v>
      </c>
      <c r="W24" s="12">
        <v>66</v>
      </c>
      <c r="X24" s="12">
        <v>91</v>
      </c>
      <c r="Y24" s="12">
        <v>114</v>
      </c>
      <c r="Z24" s="12">
        <v>101</v>
      </c>
      <c r="AA24" s="12">
        <v>89</v>
      </c>
      <c r="AB24" s="12">
        <v>145</v>
      </c>
      <c r="AC24" s="12">
        <v>107</v>
      </c>
      <c r="AD24" s="12">
        <v>113</v>
      </c>
      <c r="AE24" s="12">
        <v>79</v>
      </c>
      <c r="AF24" s="12">
        <v>130</v>
      </c>
    </row>
    <row r="25" spans="1:32" ht="23.25">
      <c r="A25" s="23"/>
      <c r="B25" s="13" t="s">
        <v>601</v>
      </c>
      <c r="C25" s="14">
        <v>0.11</v>
      </c>
      <c r="D25" s="14">
        <v>0.13</v>
      </c>
      <c r="E25" s="14">
        <v>0.12</v>
      </c>
      <c r="F25" s="14">
        <v>0.06</v>
      </c>
      <c r="G25" s="14">
        <v>0.11</v>
      </c>
      <c r="H25" s="14">
        <v>7.0000000000000007E-2</v>
      </c>
      <c r="I25" s="14">
        <v>0.06</v>
      </c>
      <c r="J25" s="14">
        <v>0.06</v>
      </c>
      <c r="K25" s="14">
        <v>7.0000000000000007E-2</v>
      </c>
      <c r="L25" s="14">
        <v>0.11</v>
      </c>
      <c r="M25" s="14">
        <v>0.18</v>
      </c>
      <c r="N25" s="14">
        <v>0.14000000000000001</v>
      </c>
      <c r="O25" s="14">
        <v>0.1</v>
      </c>
      <c r="P25" s="14">
        <v>0.12</v>
      </c>
      <c r="Q25" s="14">
        <v>0.14000000000000001</v>
      </c>
      <c r="R25" s="14">
        <v>0.19</v>
      </c>
      <c r="S25" s="14">
        <v>7.0000000000000007E-2</v>
      </c>
      <c r="T25" s="14">
        <v>0.06</v>
      </c>
      <c r="U25" s="14">
        <v>0.14000000000000001</v>
      </c>
      <c r="V25" s="14">
        <v>0.08</v>
      </c>
      <c r="W25" s="14">
        <v>0.13</v>
      </c>
      <c r="X25" s="14">
        <v>0.09</v>
      </c>
      <c r="Y25" s="14">
        <v>0.11</v>
      </c>
      <c r="Z25" s="14">
        <v>0.1</v>
      </c>
      <c r="AA25" s="14">
        <v>0.09</v>
      </c>
      <c r="AB25" s="14">
        <v>0.14000000000000001</v>
      </c>
      <c r="AC25" s="14">
        <v>0.11</v>
      </c>
      <c r="AD25" s="14">
        <v>0.11</v>
      </c>
      <c r="AE25" s="14">
        <v>0.08</v>
      </c>
      <c r="AF25" s="14">
        <v>0.12</v>
      </c>
    </row>
    <row r="26" spans="1:32" ht="34.5">
      <c r="A26" s="23"/>
      <c r="B26" s="11" t="s">
        <v>602</v>
      </c>
      <c r="C26" s="12">
        <v>3475</v>
      </c>
      <c r="D26" s="12">
        <v>169</v>
      </c>
      <c r="E26" s="12">
        <v>153</v>
      </c>
      <c r="F26" s="12">
        <v>373</v>
      </c>
      <c r="G26" s="12">
        <v>165</v>
      </c>
      <c r="H26" s="12">
        <v>107</v>
      </c>
      <c r="I26" s="12">
        <v>139</v>
      </c>
      <c r="J26" s="12">
        <v>32</v>
      </c>
      <c r="K26" s="12">
        <v>224</v>
      </c>
      <c r="L26" s="12">
        <v>86</v>
      </c>
      <c r="M26" s="12">
        <v>164</v>
      </c>
      <c r="N26" s="12">
        <v>86</v>
      </c>
      <c r="O26" s="12">
        <v>100</v>
      </c>
      <c r="P26" s="12">
        <v>102</v>
      </c>
      <c r="Q26" s="12">
        <v>179</v>
      </c>
      <c r="R26" s="12">
        <v>26</v>
      </c>
      <c r="S26" s="12">
        <v>84</v>
      </c>
      <c r="T26" s="12">
        <v>131</v>
      </c>
      <c r="U26" s="12">
        <v>80</v>
      </c>
      <c r="V26" s="12">
        <v>160</v>
      </c>
      <c r="W26" s="12">
        <v>26</v>
      </c>
      <c r="X26" s="12">
        <v>221</v>
      </c>
      <c r="Y26" s="12">
        <v>196</v>
      </c>
      <c r="Z26" s="12">
        <v>113</v>
      </c>
      <c r="AA26" s="12">
        <v>138</v>
      </c>
      <c r="AB26" s="12">
        <v>196</v>
      </c>
      <c r="AC26" s="12">
        <v>114</v>
      </c>
      <c r="AD26" s="12">
        <v>114</v>
      </c>
      <c r="AE26" s="12">
        <v>102</v>
      </c>
      <c r="AF26" s="12">
        <v>102</v>
      </c>
    </row>
    <row r="27" spans="1:32" ht="34.5">
      <c r="A27" s="23"/>
      <c r="B27" s="13" t="s">
        <v>603</v>
      </c>
      <c r="C27" s="14">
        <v>0.13</v>
      </c>
      <c r="D27" s="14">
        <v>0.17</v>
      </c>
      <c r="E27" s="14">
        <v>0.15</v>
      </c>
      <c r="F27" s="14">
        <v>0.37</v>
      </c>
      <c r="G27" s="14">
        <v>0.16</v>
      </c>
      <c r="H27" s="14">
        <v>0.09</v>
      </c>
      <c r="I27" s="14">
        <v>0.09</v>
      </c>
      <c r="J27" s="14">
        <v>0.11</v>
      </c>
      <c r="K27" s="14">
        <v>0.22</v>
      </c>
      <c r="L27" s="14">
        <v>0.09</v>
      </c>
      <c r="M27" s="14">
        <v>0.16</v>
      </c>
      <c r="N27" s="14">
        <v>0.09</v>
      </c>
      <c r="O27" s="14">
        <v>0.1</v>
      </c>
      <c r="P27" s="14">
        <v>0.1</v>
      </c>
      <c r="Q27" s="14">
        <v>0.17</v>
      </c>
      <c r="R27" s="14">
        <v>0.05</v>
      </c>
      <c r="S27" s="14">
        <v>0.08</v>
      </c>
      <c r="T27" s="14">
        <v>0.13</v>
      </c>
      <c r="U27" s="14">
        <v>0.16</v>
      </c>
      <c r="V27" s="14">
        <v>0.16</v>
      </c>
      <c r="W27" s="14">
        <v>0.05</v>
      </c>
      <c r="X27" s="14">
        <v>0.22</v>
      </c>
      <c r="Y27" s="14">
        <v>0.2</v>
      </c>
      <c r="Z27" s="14">
        <v>0.11</v>
      </c>
      <c r="AA27" s="14">
        <v>0.13</v>
      </c>
      <c r="AB27" s="14">
        <v>0.19</v>
      </c>
      <c r="AC27" s="14">
        <v>0.11</v>
      </c>
      <c r="AD27" s="14">
        <v>0.11</v>
      </c>
      <c r="AE27" s="14">
        <v>0.1</v>
      </c>
      <c r="AF27" s="14">
        <v>0.1</v>
      </c>
    </row>
    <row r="28" spans="1:32" ht="23.25">
      <c r="A28" s="23"/>
      <c r="B28" s="11" t="s">
        <v>604</v>
      </c>
      <c r="C28" s="12">
        <v>3749</v>
      </c>
      <c r="D28" s="12">
        <v>141</v>
      </c>
      <c r="E28" s="12">
        <v>212</v>
      </c>
      <c r="F28" s="12">
        <v>95</v>
      </c>
      <c r="G28" s="12">
        <v>140</v>
      </c>
      <c r="H28" s="12">
        <v>102</v>
      </c>
      <c r="I28" s="12">
        <v>144</v>
      </c>
      <c r="J28" s="12">
        <v>42</v>
      </c>
      <c r="K28" s="12">
        <v>111</v>
      </c>
      <c r="L28" s="12">
        <v>132</v>
      </c>
      <c r="M28" s="12">
        <v>204</v>
      </c>
      <c r="N28" s="12">
        <v>132</v>
      </c>
      <c r="O28" s="12">
        <v>166</v>
      </c>
      <c r="P28" s="12">
        <v>236</v>
      </c>
      <c r="Q28" s="12">
        <v>241</v>
      </c>
      <c r="R28" s="12">
        <v>111</v>
      </c>
      <c r="S28" s="12">
        <v>115</v>
      </c>
      <c r="T28" s="12">
        <v>96</v>
      </c>
      <c r="U28" s="12">
        <v>53</v>
      </c>
      <c r="V28" s="12">
        <v>102</v>
      </c>
      <c r="W28" s="12">
        <v>91</v>
      </c>
      <c r="X28" s="12">
        <v>89</v>
      </c>
      <c r="Y28" s="12">
        <v>174</v>
      </c>
      <c r="Z28" s="12">
        <v>138</v>
      </c>
      <c r="AA28" s="12">
        <v>73</v>
      </c>
      <c r="AB28" s="12">
        <v>157</v>
      </c>
      <c r="AC28" s="12">
        <v>105</v>
      </c>
      <c r="AD28" s="12">
        <v>144</v>
      </c>
      <c r="AE28" s="12">
        <v>56</v>
      </c>
      <c r="AF28" s="12">
        <v>66</v>
      </c>
    </row>
    <row r="29" spans="1:32">
      <c r="A29" s="23"/>
      <c r="B29" s="13" t="s">
        <v>605</v>
      </c>
      <c r="C29" s="14">
        <v>0.14000000000000001</v>
      </c>
      <c r="D29" s="14">
        <v>0.14000000000000001</v>
      </c>
      <c r="E29" s="14">
        <v>0.2</v>
      </c>
      <c r="F29" s="14">
        <v>0.09</v>
      </c>
      <c r="G29" s="14">
        <v>0.14000000000000001</v>
      </c>
      <c r="H29" s="14">
        <v>0.08</v>
      </c>
      <c r="I29" s="14">
        <v>0.1</v>
      </c>
      <c r="J29" s="14">
        <v>0.14000000000000001</v>
      </c>
      <c r="K29" s="14">
        <v>0.11</v>
      </c>
      <c r="L29" s="14">
        <v>0.13</v>
      </c>
      <c r="M29" s="14">
        <v>0.2</v>
      </c>
      <c r="N29" s="14">
        <v>0.13</v>
      </c>
      <c r="O29" s="14">
        <v>0.16</v>
      </c>
      <c r="P29" s="14">
        <v>0.23</v>
      </c>
      <c r="Q29" s="14">
        <v>0.24</v>
      </c>
      <c r="R29" s="14">
        <v>0.22</v>
      </c>
      <c r="S29" s="14">
        <v>0.11</v>
      </c>
      <c r="T29" s="14">
        <v>0.1</v>
      </c>
      <c r="U29" s="14">
        <v>0.11</v>
      </c>
      <c r="V29" s="14">
        <v>0.1</v>
      </c>
      <c r="W29" s="14">
        <v>0.18</v>
      </c>
      <c r="X29" s="14">
        <v>0.09</v>
      </c>
      <c r="Y29" s="14">
        <v>0.17</v>
      </c>
      <c r="Z29" s="14">
        <v>0.14000000000000001</v>
      </c>
      <c r="AA29" s="14">
        <v>7.0000000000000007E-2</v>
      </c>
      <c r="AB29" s="14">
        <v>0.15</v>
      </c>
      <c r="AC29" s="14">
        <v>0.1</v>
      </c>
      <c r="AD29" s="14">
        <v>0.14000000000000001</v>
      </c>
      <c r="AE29" s="14">
        <v>0.06</v>
      </c>
      <c r="AF29" s="14">
        <v>0.06</v>
      </c>
    </row>
    <row r="30" spans="1:32">
      <c r="A30" s="23"/>
      <c r="B30" s="11" t="s">
        <v>606</v>
      </c>
      <c r="C30" s="12">
        <v>5788</v>
      </c>
      <c r="D30" s="12">
        <v>292</v>
      </c>
      <c r="E30" s="12">
        <v>90</v>
      </c>
      <c r="F30" s="12">
        <v>279</v>
      </c>
      <c r="G30" s="12">
        <v>264</v>
      </c>
      <c r="H30" s="12">
        <v>495</v>
      </c>
      <c r="I30" s="12">
        <v>601</v>
      </c>
      <c r="J30" s="12">
        <v>106</v>
      </c>
      <c r="K30" s="12">
        <v>99</v>
      </c>
      <c r="L30" s="12">
        <v>363</v>
      </c>
      <c r="M30" s="12">
        <v>141</v>
      </c>
      <c r="N30" s="12">
        <v>184</v>
      </c>
      <c r="O30" s="12">
        <v>214</v>
      </c>
      <c r="P30" s="12">
        <v>93</v>
      </c>
      <c r="Q30" s="12">
        <v>136</v>
      </c>
      <c r="R30" s="12">
        <v>176</v>
      </c>
      <c r="S30" s="12">
        <v>85</v>
      </c>
      <c r="T30" s="12">
        <v>149</v>
      </c>
      <c r="U30" s="12">
        <v>97</v>
      </c>
      <c r="V30" s="12">
        <v>171</v>
      </c>
      <c r="W30" s="12">
        <v>144</v>
      </c>
      <c r="X30" s="12">
        <v>332</v>
      </c>
      <c r="Y30" s="12">
        <v>314</v>
      </c>
      <c r="Z30" s="12">
        <v>106</v>
      </c>
      <c r="AA30" s="12">
        <v>78</v>
      </c>
      <c r="AB30" s="12">
        <v>73</v>
      </c>
      <c r="AC30" s="12">
        <v>196</v>
      </c>
      <c r="AD30" s="12">
        <v>124</v>
      </c>
      <c r="AE30" s="12">
        <v>139</v>
      </c>
      <c r="AF30" s="12">
        <v>217</v>
      </c>
    </row>
    <row r="31" spans="1:32">
      <c r="A31" s="23"/>
      <c r="B31" s="13" t="s">
        <v>607</v>
      </c>
      <c r="C31" s="14">
        <v>0.22</v>
      </c>
      <c r="D31" s="14">
        <v>0.28999999999999998</v>
      </c>
      <c r="E31" s="14">
        <v>0.09</v>
      </c>
      <c r="F31" s="14">
        <v>0.28000000000000003</v>
      </c>
      <c r="G31" s="14">
        <v>0.26</v>
      </c>
      <c r="H31" s="14">
        <v>0.41</v>
      </c>
      <c r="I31" s="14">
        <v>0.4</v>
      </c>
      <c r="J31" s="14">
        <v>0.36</v>
      </c>
      <c r="K31" s="14">
        <v>0.1</v>
      </c>
      <c r="L31" s="14">
        <v>0.36</v>
      </c>
      <c r="M31" s="14">
        <v>0.14000000000000001</v>
      </c>
      <c r="N31" s="14">
        <v>0.18</v>
      </c>
      <c r="O31" s="14">
        <v>0.21</v>
      </c>
      <c r="P31" s="14">
        <v>0.09</v>
      </c>
      <c r="Q31" s="14">
        <v>0.13</v>
      </c>
      <c r="R31" s="14">
        <v>0.35</v>
      </c>
      <c r="S31" s="14">
        <v>0.08</v>
      </c>
      <c r="T31" s="14">
        <v>0.15</v>
      </c>
      <c r="U31" s="14">
        <v>0.19</v>
      </c>
      <c r="V31" s="14">
        <v>0.17</v>
      </c>
      <c r="W31" s="14">
        <v>0.28999999999999998</v>
      </c>
      <c r="X31" s="14">
        <v>0.33</v>
      </c>
      <c r="Y31" s="14">
        <v>0.31</v>
      </c>
      <c r="Z31" s="14">
        <v>0.1</v>
      </c>
      <c r="AA31" s="14">
        <v>7.0000000000000007E-2</v>
      </c>
      <c r="AB31" s="14">
        <v>7.0000000000000007E-2</v>
      </c>
      <c r="AC31" s="14">
        <v>0.2</v>
      </c>
      <c r="AD31" s="14">
        <v>0.12</v>
      </c>
      <c r="AE31" s="14">
        <v>0.14000000000000001</v>
      </c>
      <c r="AF31" s="14">
        <v>0.2</v>
      </c>
    </row>
    <row r="32" spans="1:32" ht="34.5">
      <c r="A32" s="23"/>
      <c r="B32" s="11" t="s">
        <v>608</v>
      </c>
      <c r="C32" s="12">
        <v>5197</v>
      </c>
      <c r="D32" s="12">
        <v>229</v>
      </c>
      <c r="E32" s="12">
        <v>142</v>
      </c>
      <c r="F32" s="12">
        <v>162</v>
      </c>
      <c r="G32" s="12">
        <v>280</v>
      </c>
      <c r="H32" s="12">
        <v>308</v>
      </c>
      <c r="I32" s="12">
        <v>387</v>
      </c>
      <c r="J32" s="12">
        <v>79</v>
      </c>
      <c r="K32" s="12">
        <v>88</v>
      </c>
      <c r="L32" s="12">
        <v>178</v>
      </c>
      <c r="M32" s="12">
        <v>167</v>
      </c>
      <c r="N32" s="12">
        <v>114</v>
      </c>
      <c r="O32" s="12">
        <v>254</v>
      </c>
      <c r="P32" s="12">
        <v>174</v>
      </c>
      <c r="Q32" s="12">
        <v>178</v>
      </c>
      <c r="R32" s="12">
        <v>80</v>
      </c>
      <c r="S32" s="12">
        <v>78</v>
      </c>
      <c r="T32" s="12">
        <v>90</v>
      </c>
      <c r="U32" s="12">
        <v>107</v>
      </c>
      <c r="V32" s="12">
        <v>158</v>
      </c>
      <c r="W32" s="12">
        <v>99</v>
      </c>
      <c r="X32" s="12">
        <v>263</v>
      </c>
      <c r="Y32" s="12">
        <v>199</v>
      </c>
      <c r="Z32" s="12">
        <v>121</v>
      </c>
      <c r="AA32" s="12">
        <v>160</v>
      </c>
      <c r="AB32" s="12">
        <v>145</v>
      </c>
      <c r="AC32" s="12">
        <v>156</v>
      </c>
      <c r="AD32" s="12">
        <v>112</v>
      </c>
      <c r="AE32" s="12">
        <v>224</v>
      </c>
      <c r="AF32" s="12">
        <v>427</v>
      </c>
    </row>
    <row r="33" spans="1:32" ht="23.25">
      <c r="A33" s="23"/>
      <c r="B33" s="13" t="s">
        <v>609</v>
      </c>
      <c r="C33" s="14">
        <v>0.2</v>
      </c>
      <c r="D33" s="14">
        <v>0.23</v>
      </c>
      <c r="E33" s="14">
        <v>0.14000000000000001</v>
      </c>
      <c r="F33" s="14">
        <v>0.16</v>
      </c>
      <c r="G33" s="14">
        <v>0.28000000000000003</v>
      </c>
      <c r="H33" s="14">
        <v>0.25</v>
      </c>
      <c r="I33" s="14">
        <v>0.26</v>
      </c>
      <c r="J33" s="14">
        <v>0.27</v>
      </c>
      <c r="K33" s="14">
        <v>0.09</v>
      </c>
      <c r="L33" s="14">
        <v>0.18</v>
      </c>
      <c r="M33" s="14">
        <v>0.17</v>
      </c>
      <c r="N33" s="14">
        <v>0.11</v>
      </c>
      <c r="O33" s="14">
        <v>0.25</v>
      </c>
      <c r="P33" s="14">
        <v>0.17</v>
      </c>
      <c r="Q33" s="14">
        <v>0.17</v>
      </c>
      <c r="R33" s="14">
        <v>0.16</v>
      </c>
      <c r="S33" s="14">
        <v>0.08</v>
      </c>
      <c r="T33" s="14">
        <v>0.09</v>
      </c>
      <c r="U33" s="14">
        <v>0.21</v>
      </c>
      <c r="V33" s="14">
        <v>0.16</v>
      </c>
      <c r="W33" s="14">
        <v>0.2</v>
      </c>
      <c r="X33" s="14">
        <v>0.26</v>
      </c>
      <c r="Y33" s="14">
        <v>0.2</v>
      </c>
      <c r="Z33" s="14">
        <v>0.12</v>
      </c>
      <c r="AA33" s="14">
        <v>0.15</v>
      </c>
      <c r="AB33" s="14">
        <v>0.14000000000000001</v>
      </c>
      <c r="AC33" s="14">
        <v>0.16</v>
      </c>
      <c r="AD33" s="14">
        <v>0.11</v>
      </c>
      <c r="AE33" s="14">
        <v>0.22</v>
      </c>
      <c r="AF33" s="14">
        <v>0.4</v>
      </c>
    </row>
    <row r="34" spans="1:32" ht="23.25">
      <c r="A34" s="23"/>
      <c r="B34" s="11" t="s">
        <v>610</v>
      </c>
      <c r="C34" s="12">
        <v>5391</v>
      </c>
      <c r="D34" s="12">
        <v>165</v>
      </c>
      <c r="E34" s="12">
        <v>191</v>
      </c>
      <c r="F34" s="12">
        <v>143</v>
      </c>
      <c r="G34" s="12">
        <v>266</v>
      </c>
      <c r="H34" s="12">
        <v>404</v>
      </c>
      <c r="I34" s="12">
        <v>477</v>
      </c>
      <c r="J34" s="12">
        <v>72</v>
      </c>
      <c r="K34" s="12">
        <v>106</v>
      </c>
      <c r="L34" s="12">
        <v>134</v>
      </c>
      <c r="M34" s="12">
        <v>224</v>
      </c>
      <c r="N34" s="12">
        <v>171</v>
      </c>
      <c r="O34" s="12">
        <v>110</v>
      </c>
      <c r="P34" s="12">
        <v>192</v>
      </c>
      <c r="Q34" s="12">
        <v>196</v>
      </c>
      <c r="R34" s="12">
        <v>107</v>
      </c>
      <c r="S34" s="12">
        <v>115</v>
      </c>
      <c r="T34" s="12">
        <v>100</v>
      </c>
      <c r="U34" s="12">
        <v>94</v>
      </c>
      <c r="V34" s="12">
        <v>237</v>
      </c>
      <c r="W34" s="12">
        <v>119</v>
      </c>
      <c r="X34" s="12">
        <v>302</v>
      </c>
      <c r="Y34" s="12">
        <v>174</v>
      </c>
      <c r="Z34" s="12">
        <v>156</v>
      </c>
      <c r="AA34" s="12">
        <v>97</v>
      </c>
      <c r="AB34" s="12">
        <v>242</v>
      </c>
      <c r="AC34" s="12">
        <v>143</v>
      </c>
      <c r="AD34" s="12">
        <v>150</v>
      </c>
      <c r="AE34" s="12">
        <v>320</v>
      </c>
      <c r="AF34" s="12">
        <v>385</v>
      </c>
    </row>
    <row r="35" spans="1:32" ht="23.25">
      <c r="A35" s="23"/>
      <c r="B35" s="13" t="s">
        <v>611</v>
      </c>
      <c r="C35" s="14">
        <v>0.2</v>
      </c>
      <c r="D35" s="14">
        <v>0.16</v>
      </c>
      <c r="E35" s="14">
        <v>0.18</v>
      </c>
      <c r="F35" s="14">
        <v>0.14000000000000001</v>
      </c>
      <c r="G35" s="14">
        <v>0.27</v>
      </c>
      <c r="H35" s="14">
        <v>0.33</v>
      </c>
      <c r="I35" s="14">
        <v>0.32</v>
      </c>
      <c r="J35" s="14">
        <v>0.25</v>
      </c>
      <c r="K35" s="14">
        <v>0.11</v>
      </c>
      <c r="L35" s="14">
        <v>0.13</v>
      </c>
      <c r="M35" s="14">
        <v>0.22</v>
      </c>
      <c r="N35" s="14">
        <v>0.17</v>
      </c>
      <c r="O35" s="14">
        <v>0.11</v>
      </c>
      <c r="P35" s="14">
        <v>0.19</v>
      </c>
      <c r="Q35" s="14">
        <v>0.19</v>
      </c>
      <c r="R35" s="14">
        <v>0.21</v>
      </c>
      <c r="S35" s="14">
        <v>0.11</v>
      </c>
      <c r="T35" s="14">
        <v>0.1</v>
      </c>
      <c r="U35" s="14">
        <v>0.19</v>
      </c>
      <c r="V35" s="14">
        <v>0.23</v>
      </c>
      <c r="W35" s="14">
        <v>0.24</v>
      </c>
      <c r="X35" s="14">
        <v>0.3</v>
      </c>
      <c r="Y35" s="14">
        <v>0.17</v>
      </c>
      <c r="Z35" s="14">
        <v>0.15</v>
      </c>
      <c r="AA35" s="14">
        <v>0.09</v>
      </c>
      <c r="AB35" s="14">
        <v>0.23</v>
      </c>
      <c r="AC35" s="14">
        <v>0.14000000000000001</v>
      </c>
      <c r="AD35" s="14">
        <v>0.15</v>
      </c>
      <c r="AE35" s="14">
        <v>0.32</v>
      </c>
      <c r="AF35" s="14">
        <v>0.36</v>
      </c>
    </row>
    <row r="36" spans="1:32" ht="23.25">
      <c r="A36" s="23"/>
      <c r="B36" s="11" t="s">
        <v>612</v>
      </c>
      <c r="C36" s="12">
        <v>8061</v>
      </c>
      <c r="D36" s="12">
        <v>314</v>
      </c>
      <c r="E36" s="12">
        <v>207</v>
      </c>
      <c r="F36" s="12">
        <v>429</v>
      </c>
      <c r="G36" s="12">
        <v>509</v>
      </c>
      <c r="H36" s="12">
        <v>527</v>
      </c>
      <c r="I36" s="12">
        <v>633</v>
      </c>
      <c r="J36" s="12">
        <v>105</v>
      </c>
      <c r="K36" s="12">
        <v>388</v>
      </c>
      <c r="L36" s="12">
        <v>162</v>
      </c>
      <c r="M36" s="12">
        <v>228</v>
      </c>
      <c r="N36" s="12">
        <v>140</v>
      </c>
      <c r="O36" s="12">
        <v>263</v>
      </c>
      <c r="P36" s="12">
        <v>212</v>
      </c>
      <c r="Q36" s="12">
        <v>262</v>
      </c>
      <c r="R36" s="12">
        <v>165</v>
      </c>
      <c r="S36" s="12">
        <v>322</v>
      </c>
      <c r="T36" s="12">
        <v>500</v>
      </c>
      <c r="U36" s="12">
        <v>176</v>
      </c>
      <c r="V36" s="12">
        <v>278</v>
      </c>
      <c r="W36" s="12">
        <v>69</v>
      </c>
      <c r="X36" s="12">
        <v>488</v>
      </c>
      <c r="Y36" s="12">
        <v>272</v>
      </c>
      <c r="Z36" s="12">
        <v>367</v>
      </c>
      <c r="AA36" s="12">
        <v>266</v>
      </c>
      <c r="AB36" s="12">
        <v>222</v>
      </c>
      <c r="AC36" s="12">
        <v>227</v>
      </c>
      <c r="AD36" s="12">
        <v>369</v>
      </c>
      <c r="AE36" s="12">
        <v>505</v>
      </c>
      <c r="AF36" s="12">
        <v>358</v>
      </c>
    </row>
    <row r="37" spans="1:32" ht="23.25">
      <c r="A37" s="23"/>
      <c r="B37" s="13" t="s">
        <v>613</v>
      </c>
      <c r="C37" s="14">
        <v>0.31</v>
      </c>
      <c r="D37" s="14">
        <v>0.31</v>
      </c>
      <c r="E37" s="14">
        <v>0.2</v>
      </c>
      <c r="F37" s="14">
        <v>0.43</v>
      </c>
      <c r="G37" s="14">
        <v>0.51</v>
      </c>
      <c r="H37" s="14">
        <v>0.44</v>
      </c>
      <c r="I37" s="14">
        <v>0.42</v>
      </c>
      <c r="J37" s="14">
        <v>0.36</v>
      </c>
      <c r="K37" s="14">
        <v>0.39</v>
      </c>
      <c r="L37" s="14">
        <v>0.16</v>
      </c>
      <c r="M37" s="14">
        <v>0.23</v>
      </c>
      <c r="N37" s="14">
        <v>0.14000000000000001</v>
      </c>
      <c r="O37" s="14">
        <v>0.26</v>
      </c>
      <c r="P37" s="14">
        <v>0.21</v>
      </c>
      <c r="Q37" s="14">
        <v>0.26</v>
      </c>
      <c r="R37" s="14">
        <v>0.33</v>
      </c>
      <c r="S37" s="14">
        <v>0.32</v>
      </c>
      <c r="T37" s="14">
        <v>0.5</v>
      </c>
      <c r="U37" s="14">
        <v>0.35</v>
      </c>
      <c r="V37" s="14">
        <v>0.28000000000000003</v>
      </c>
      <c r="W37" s="14">
        <v>0.14000000000000001</v>
      </c>
      <c r="X37" s="14">
        <v>0.48</v>
      </c>
      <c r="Y37" s="14">
        <v>0.27</v>
      </c>
      <c r="Z37" s="14">
        <v>0.36</v>
      </c>
      <c r="AA37" s="14">
        <v>0.26</v>
      </c>
      <c r="AB37" s="14">
        <v>0.22</v>
      </c>
      <c r="AC37" s="14">
        <v>0.23</v>
      </c>
      <c r="AD37" s="14">
        <v>0.37</v>
      </c>
      <c r="AE37" s="14">
        <v>0.5</v>
      </c>
      <c r="AF37" s="14">
        <v>0.33</v>
      </c>
    </row>
    <row r="38" spans="1:32" ht="23.25">
      <c r="A38" s="23"/>
      <c r="B38" s="11" t="s">
        <v>614</v>
      </c>
      <c r="C38" s="12">
        <v>4956</v>
      </c>
      <c r="D38" s="12">
        <v>182</v>
      </c>
      <c r="E38" s="12">
        <v>199</v>
      </c>
      <c r="F38" s="12">
        <v>153</v>
      </c>
      <c r="G38" s="12">
        <v>128</v>
      </c>
      <c r="H38" s="12">
        <v>166</v>
      </c>
      <c r="I38" s="12">
        <v>216</v>
      </c>
      <c r="J38" s="12">
        <v>51</v>
      </c>
      <c r="K38" s="12">
        <v>231</v>
      </c>
      <c r="L38" s="12">
        <v>122</v>
      </c>
      <c r="M38" s="12">
        <v>173</v>
      </c>
      <c r="N38" s="12">
        <v>153</v>
      </c>
      <c r="O38" s="12">
        <v>210</v>
      </c>
      <c r="P38" s="12">
        <v>256</v>
      </c>
      <c r="Q38" s="12">
        <v>202</v>
      </c>
      <c r="R38" s="12">
        <v>56</v>
      </c>
      <c r="S38" s="12">
        <v>148</v>
      </c>
      <c r="T38" s="12">
        <v>169</v>
      </c>
      <c r="U38" s="12">
        <v>64</v>
      </c>
      <c r="V38" s="12">
        <v>262</v>
      </c>
      <c r="W38" s="12">
        <v>84</v>
      </c>
      <c r="X38" s="12">
        <v>172</v>
      </c>
      <c r="Y38" s="12">
        <v>268</v>
      </c>
      <c r="Z38" s="12">
        <v>222</v>
      </c>
      <c r="AA38" s="12">
        <v>142</v>
      </c>
      <c r="AB38" s="12">
        <v>252</v>
      </c>
      <c r="AC38" s="12">
        <v>274</v>
      </c>
      <c r="AD38" s="12">
        <v>361</v>
      </c>
      <c r="AE38" s="12">
        <v>236</v>
      </c>
      <c r="AF38" s="12">
        <v>284</v>
      </c>
    </row>
    <row r="39" spans="1:32" ht="23.25">
      <c r="A39" s="23"/>
      <c r="B39" s="13" t="s">
        <v>615</v>
      </c>
      <c r="C39" s="14">
        <v>0.19</v>
      </c>
      <c r="D39" s="14">
        <v>0.18</v>
      </c>
      <c r="E39" s="14">
        <v>0.19</v>
      </c>
      <c r="F39" s="14">
        <v>0.15</v>
      </c>
      <c r="G39" s="14">
        <v>0.13</v>
      </c>
      <c r="H39" s="14">
        <v>0.14000000000000001</v>
      </c>
      <c r="I39" s="14">
        <v>0.14000000000000001</v>
      </c>
      <c r="J39" s="14">
        <v>0.17</v>
      </c>
      <c r="K39" s="14">
        <v>0.23</v>
      </c>
      <c r="L39" s="14">
        <v>0.12</v>
      </c>
      <c r="M39" s="14">
        <v>0.17</v>
      </c>
      <c r="N39" s="14">
        <v>0.15</v>
      </c>
      <c r="O39" s="14">
        <v>0.21</v>
      </c>
      <c r="P39" s="14">
        <v>0.25</v>
      </c>
      <c r="Q39" s="14">
        <v>0.2</v>
      </c>
      <c r="R39" s="14">
        <v>0.11</v>
      </c>
      <c r="S39" s="14">
        <v>0.15</v>
      </c>
      <c r="T39" s="14">
        <v>0.17</v>
      </c>
      <c r="U39" s="14">
        <v>0.13</v>
      </c>
      <c r="V39" s="14">
        <v>0.26</v>
      </c>
      <c r="W39" s="14">
        <v>0.17</v>
      </c>
      <c r="X39" s="14">
        <v>0.17</v>
      </c>
      <c r="Y39" s="14">
        <v>0.27</v>
      </c>
      <c r="Z39" s="14">
        <v>0.22</v>
      </c>
      <c r="AA39" s="14">
        <v>0.14000000000000001</v>
      </c>
      <c r="AB39" s="14">
        <v>0.24</v>
      </c>
      <c r="AC39" s="14">
        <v>0.27</v>
      </c>
      <c r="AD39" s="14">
        <v>0.36</v>
      </c>
      <c r="AE39" s="14">
        <v>0.23</v>
      </c>
      <c r="AF39" s="14">
        <v>0.26</v>
      </c>
    </row>
    <row r="40" spans="1:32" ht="23.25">
      <c r="A40" s="23"/>
      <c r="B40" s="11" t="s">
        <v>616</v>
      </c>
      <c r="C40" s="12">
        <v>2812</v>
      </c>
      <c r="D40" s="12">
        <v>108</v>
      </c>
      <c r="E40" s="12">
        <v>75</v>
      </c>
      <c r="F40" s="12">
        <v>69</v>
      </c>
      <c r="G40" s="12">
        <v>127</v>
      </c>
      <c r="H40" s="12">
        <v>98</v>
      </c>
      <c r="I40" s="12">
        <v>117</v>
      </c>
      <c r="J40" s="12">
        <v>19</v>
      </c>
      <c r="K40" s="12">
        <v>54</v>
      </c>
      <c r="L40" s="12">
        <v>115</v>
      </c>
      <c r="M40" s="12">
        <v>65</v>
      </c>
      <c r="N40" s="12">
        <v>108</v>
      </c>
      <c r="O40" s="12">
        <v>115</v>
      </c>
      <c r="P40" s="12">
        <v>118</v>
      </c>
      <c r="Q40" s="12">
        <v>146</v>
      </c>
      <c r="R40" s="12">
        <v>27</v>
      </c>
      <c r="S40" s="12">
        <v>22</v>
      </c>
      <c r="T40" s="12">
        <v>27</v>
      </c>
      <c r="U40" s="12">
        <v>56</v>
      </c>
      <c r="V40" s="12">
        <v>92</v>
      </c>
      <c r="W40" s="12">
        <v>50</v>
      </c>
      <c r="X40" s="12">
        <v>72</v>
      </c>
      <c r="Y40" s="12">
        <v>160</v>
      </c>
      <c r="Z40" s="12">
        <v>127</v>
      </c>
      <c r="AA40" s="12">
        <v>92</v>
      </c>
      <c r="AB40" s="12">
        <v>113</v>
      </c>
      <c r="AC40" s="12">
        <v>51</v>
      </c>
      <c r="AD40" s="12">
        <v>66</v>
      </c>
      <c r="AE40" s="12">
        <v>101</v>
      </c>
      <c r="AF40" s="12">
        <v>244</v>
      </c>
    </row>
    <row r="41" spans="1:32" ht="23.25">
      <c r="A41" s="23"/>
      <c r="B41" s="13" t="s">
        <v>617</v>
      </c>
      <c r="C41" s="14">
        <v>0.11</v>
      </c>
      <c r="D41" s="14">
        <v>0.11</v>
      </c>
      <c r="E41" s="14">
        <v>7.0000000000000007E-2</v>
      </c>
      <c r="F41" s="14">
        <v>7.0000000000000007E-2</v>
      </c>
      <c r="G41" s="14">
        <v>0.13</v>
      </c>
      <c r="H41" s="14">
        <v>0.08</v>
      </c>
      <c r="I41" s="14">
        <v>0.08</v>
      </c>
      <c r="J41" s="14">
        <v>7.0000000000000007E-2</v>
      </c>
      <c r="K41" s="14">
        <v>0.05</v>
      </c>
      <c r="L41" s="14">
        <v>0.11</v>
      </c>
      <c r="M41" s="14">
        <v>0.06</v>
      </c>
      <c r="N41" s="14">
        <v>0.11</v>
      </c>
      <c r="O41" s="14">
        <v>0.11</v>
      </c>
      <c r="P41" s="14">
        <v>0.12</v>
      </c>
      <c r="Q41" s="14">
        <v>0.14000000000000001</v>
      </c>
      <c r="R41" s="14">
        <v>0.05</v>
      </c>
      <c r="S41" s="14">
        <v>0.02</v>
      </c>
      <c r="T41" s="14">
        <v>0.03</v>
      </c>
      <c r="U41" s="14">
        <v>0.11</v>
      </c>
      <c r="V41" s="14">
        <v>0.09</v>
      </c>
      <c r="W41" s="14">
        <v>0.1</v>
      </c>
      <c r="X41" s="14">
        <v>7.0000000000000007E-2</v>
      </c>
      <c r="Y41" s="14">
        <v>0.16</v>
      </c>
      <c r="Z41" s="14">
        <v>0.12</v>
      </c>
      <c r="AA41" s="14">
        <v>0.09</v>
      </c>
      <c r="AB41" s="14">
        <v>0.11</v>
      </c>
      <c r="AC41" s="14">
        <v>0.05</v>
      </c>
      <c r="AD41" s="14">
        <v>7.0000000000000007E-2</v>
      </c>
      <c r="AE41" s="14">
        <v>0.1</v>
      </c>
      <c r="AF41" s="14">
        <v>0.23</v>
      </c>
    </row>
    <row r="42" spans="1:32">
      <c r="A42" s="23"/>
      <c r="B42" s="11" t="s">
        <v>550</v>
      </c>
      <c r="C42" s="12">
        <v>119</v>
      </c>
      <c r="D42" s="12">
        <v>1</v>
      </c>
      <c r="E42" s="12">
        <v>3</v>
      </c>
      <c r="F42" s="12">
        <v>2</v>
      </c>
      <c r="G42" s="12">
        <v>4</v>
      </c>
      <c r="H42" s="12">
        <v>14</v>
      </c>
      <c r="I42" s="12">
        <v>15</v>
      </c>
      <c r="J42" s="12">
        <v>1</v>
      </c>
      <c r="K42" s="12">
        <v>18</v>
      </c>
      <c r="L42" s="12">
        <v>2</v>
      </c>
      <c r="M42" s="12">
        <v>3</v>
      </c>
      <c r="N42" s="12">
        <v>8</v>
      </c>
      <c r="O42" s="12">
        <v>1</v>
      </c>
      <c r="P42" s="12">
        <v>1</v>
      </c>
      <c r="Q42" s="12">
        <v>0</v>
      </c>
      <c r="R42" s="12">
        <v>7</v>
      </c>
      <c r="S42" s="12">
        <v>12</v>
      </c>
      <c r="T42" s="12">
        <v>3</v>
      </c>
      <c r="U42" s="12">
        <v>1</v>
      </c>
      <c r="V42" s="12">
        <v>2</v>
      </c>
      <c r="W42" s="12">
        <v>1</v>
      </c>
      <c r="X42" s="12">
        <v>11</v>
      </c>
      <c r="Y42" s="12">
        <v>4</v>
      </c>
      <c r="Z42" s="12">
        <v>1</v>
      </c>
      <c r="AA42" s="12">
        <v>2</v>
      </c>
      <c r="AB42" s="12">
        <v>5</v>
      </c>
      <c r="AC42" s="12">
        <v>4</v>
      </c>
      <c r="AD42" s="12">
        <v>1</v>
      </c>
      <c r="AE42" s="12">
        <v>5</v>
      </c>
      <c r="AF42" s="12">
        <v>7</v>
      </c>
    </row>
    <row r="43" spans="1:32">
      <c r="A43" s="23"/>
      <c r="B43" s="13" t="s">
        <v>551</v>
      </c>
      <c r="C43" s="15" t="s">
        <v>485</v>
      </c>
      <c r="D43" s="15" t="s">
        <v>485</v>
      </c>
      <c r="E43" s="15" t="s">
        <v>485</v>
      </c>
      <c r="F43" s="15" t="s">
        <v>485</v>
      </c>
      <c r="G43" s="15" t="s">
        <v>485</v>
      </c>
      <c r="H43" s="14">
        <v>0.01</v>
      </c>
      <c r="I43" s="14">
        <v>0.01</v>
      </c>
      <c r="J43" s="15" t="s">
        <v>485</v>
      </c>
      <c r="K43" s="14">
        <v>0.02</v>
      </c>
      <c r="L43" s="15" t="s">
        <v>485</v>
      </c>
      <c r="M43" s="15" t="s">
        <v>485</v>
      </c>
      <c r="N43" s="14">
        <v>0.01</v>
      </c>
      <c r="O43" s="15" t="s">
        <v>485</v>
      </c>
      <c r="P43" s="15" t="s">
        <v>485</v>
      </c>
      <c r="Q43" s="15" t="s">
        <v>485</v>
      </c>
      <c r="R43" s="14">
        <v>0.01</v>
      </c>
      <c r="S43" s="14">
        <v>0.01</v>
      </c>
      <c r="T43" s="15" t="s">
        <v>485</v>
      </c>
      <c r="U43" s="15" t="s">
        <v>485</v>
      </c>
      <c r="V43" s="15" t="s">
        <v>485</v>
      </c>
      <c r="W43" s="15" t="s">
        <v>485</v>
      </c>
      <c r="X43" s="14">
        <v>0.01</v>
      </c>
      <c r="Y43" s="15" t="s">
        <v>485</v>
      </c>
      <c r="Z43" s="15" t="s">
        <v>485</v>
      </c>
      <c r="AA43" s="15" t="s">
        <v>485</v>
      </c>
      <c r="AB43" s="15" t="s">
        <v>485</v>
      </c>
      <c r="AC43" s="15" t="s">
        <v>485</v>
      </c>
      <c r="AD43" s="15" t="s">
        <v>485</v>
      </c>
      <c r="AE43" s="14">
        <v>0.01</v>
      </c>
      <c r="AF43" s="14">
        <v>0.01</v>
      </c>
    </row>
    <row r="44" spans="1:32">
      <c r="A44" s="23"/>
      <c r="B44" s="11" t="s">
        <v>618</v>
      </c>
      <c r="C44" s="12">
        <v>201</v>
      </c>
      <c r="D44" s="12">
        <v>3</v>
      </c>
      <c r="E44" s="12">
        <v>11</v>
      </c>
      <c r="F44" s="12">
        <v>6</v>
      </c>
      <c r="G44" s="12">
        <v>6</v>
      </c>
      <c r="H44" s="12">
        <v>6</v>
      </c>
      <c r="I44" s="12">
        <v>7</v>
      </c>
      <c r="J44" s="12">
        <v>1</v>
      </c>
      <c r="K44" s="12">
        <v>4</v>
      </c>
      <c r="L44" s="12">
        <v>1</v>
      </c>
      <c r="M44" s="12">
        <v>4</v>
      </c>
      <c r="N44" s="12">
        <v>23</v>
      </c>
      <c r="O44" s="12">
        <v>10</v>
      </c>
      <c r="P44" s="12">
        <v>0</v>
      </c>
      <c r="Q44" s="12">
        <v>4</v>
      </c>
      <c r="R44" s="12">
        <v>1</v>
      </c>
      <c r="S44" s="12">
        <v>8</v>
      </c>
      <c r="T44" s="12">
        <v>3</v>
      </c>
      <c r="U44" s="12">
        <v>1</v>
      </c>
      <c r="V44" s="12">
        <v>4</v>
      </c>
      <c r="W44" s="12">
        <v>0</v>
      </c>
      <c r="X44" s="12">
        <v>7</v>
      </c>
      <c r="Y44" s="12">
        <v>7</v>
      </c>
      <c r="Z44" s="12">
        <v>6</v>
      </c>
      <c r="AA44" s="12">
        <v>4</v>
      </c>
      <c r="AB44" s="12">
        <v>6</v>
      </c>
      <c r="AC44" s="12">
        <v>21</v>
      </c>
      <c r="AD44" s="12">
        <v>6</v>
      </c>
      <c r="AE44" s="12">
        <v>3</v>
      </c>
      <c r="AF44" s="12">
        <v>1</v>
      </c>
    </row>
    <row r="45" spans="1:32">
      <c r="A45" s="23"/>
      <c r="B45" s="13" t="s">
        <v>619</v>
      </c>
      <c r="C45" s="14">
        <v>0.01</v>
      </c>
      <c r="D45" s="15" t="s">
        <v>485</v>
      </c>
      <c r="E45" s="14">
        <v>0.01</v>
      </c>
      <c r="F45" s="14">
        <v>0.01</v>
      </c>
      <c r="G45" s="14">
        <v>0.01</v>
      </c>
      <c r="H45" s="14">
        <v>0.01</v>
      </c>
      <c r="I45" s="15" t="s">
        <v>485</v>
      </c>
      <c r="J45" s="15" t="s">
        <v>485</v>
      </c>
      <c r="K45" s="15" t="s">
        <v>485</v>
      </c>
      <c r="L45" s="15" t="s">
        <v>485</v>
      </c>
      <c r="M45" s="15" t="s">
        <v>485</v>
      </c>
      <c r="N45" s="14">
        <v>0.02</v>
      </c>
      <c r="O45" s="14">
        <v>0.01</v>
      </c>
      <c r="P45" s="15" t="s">
        <v>485</v>
      </c>
      <c r="Q45" s="15" t="s">
        <v>485</v>
      </c>
      <c r="R45" s="15" t="s">
        <v>485</v>
      </c>
      <c r="S45" s="14">
        <v>0.01</v>
      </c>
      <c r="T45" s="15" t="s">
        <v>485</v>
      </c>
      <c r="U45" s="15" t="s">
        <v>485</v>
      </c>
      <c r="V45" s="15" t="s">
        <v>485</v>
      </c>
      <c r="W45" s="15" t="s">
        <v>485</v>
      </c>
      <c r="X45" s="14">
        <v>0.01</v>
      </c>
      <c r="Y45" s="14">
        <v>0.01</v>
      </c>
      <c r="Z45" s="14">
        <v>0.01</v>
      </c>
      <c r="AA45" s="15" t="s">
        <v>485</v>
      </c>
      <c r="AB45" s="14">
        <v>0.01</v>
      </c>
      <c r="AC45" s="14">
        <v>0.02</v>
      </c>
      <c r="AD45" s="14">
        <v>0.01</v>
      </c>
      <c r="AE45" s="15" t="s">
        <v>485</v>
      </c>
      <c r="AF45" s="15" t="s">
        <v>485</v>
      </c>
    </row>
    <row r="46" spans="1:32">
      <c r="A46" s="23"/>
      <c r="B46" s="11" t="s">
        <v>497</v>
      </c>
      <c r="C46" s="12">
        <v>186</v>
      </c>
      <c r="D46" s="12">
        <v>0</v>
      </c>
      <c r="E46" s="12">
        <v>11</v>
      </c>
      <c r="F46" s="12">
        <v>29</v>
      </c>
      <c r="G46" s="12">
        <v>8</v>
      </c>
      <c r="H46" s="12">
        <v>7</v>
      </c>
      <c r="I46" s="12">
        <v>7</v>
      </c>
      <c r="J46" s="12">
        <v>0</v>
      </c>
      <c r="K46" s="12">
        <v>12</v>
      </c>
      <c r="L46" s="12">
        <v>9</v>
      </c>
      <c r="M46" s="12">
        <v>2</v>
      </c>
      <c r="N46" s="12">
        <v>6</v>
      </c>
      <c r="O46" s="12">
        <v>9</v>
      </c>
      <c r="P46" s="12">
        <v>0</v>
      </c>
      <c r="Q46" s="12">
        <v>4</v>
      </c>
      <c r="R46" s="12">
        <v>5</v>
      </c>
      <c r="S46" s="12">
        <v>12</v>
      </c>
      <c r="T46" s="12">
        <v>13</v>
      </c>
      <c r="U46" s="12">
        <v>2</v>
      </c>
      <c r="V46" s="12">
        <v>5</v>
      </c>
      <c r="W46" s="12">
        <v>3</v>
      </c>
      <c r="X46" s="12">
        <v>0</v>
      </c>
      <c r="Y46" s="12">
        <v>1</v>
      </c>
      <c r="Z46" s="12">
        <v>16</v>
      </c>
      <c r="AA46" s="12">
        <v>12</v>
      </c>
      <c r="AB46" s="12">
        <v>11</v>
      </c>
      <c r="AC46" s="12">
        <v>4</v>
      </c>
      <c r="AD46" s="12">
        <v>1</v>
      </c>
      <c r="AE46" s="12">
        <v>9</v>
      </c>
      <c r="AF46" s="12">
        <v>0</v>
      </c>
    </row>
    <row r="47" spans="1:32">
      <c r="A47" s="23"/>
      <c r="B47" s="13" t="s">
        <v>498</v>
      </c>
      <c r="C47" s="14">
        <v>0.01</v>
      </c>
      <c r="D47" s="15" t="s">
        <v>485</v>
      </c>
      <c r="E47" s="14">
        <v>0.01</v>
      </c>
      <c r="F47" s="14">
        <v>0.03</v>
      </c>
      <c r="G47" s="14">
        <v>0.01</v>
      </c>
      <c r="H47" s="14">
        <v>0.01</v>
      </c>
      <c r="I47" s="15" t="s">
        <v>485</v>
      </c>
      <c r="J47" s="15" t="s">
        <v>485</v>
      </c>
      <c r="K47" s="14">
        <v>0.01</v>
      </c>
      <c r="L47" s="14">
        <v>0.01</v>
      </c>
      <c r="M47" s="15" t="s">
        <v>485</v>
      </c>
      <c r="N47" s="14">
        <v>0.01</v>
      </c>
      <c r="O47" s="14">
        <v>0.01</v>
      </c>
      <c r="P47" s="15" t="s">
        <v>485</v>
      </c>
      <c r="Q47" s="15" t="s">
        <v>485</v>
      </c>
      <c r="R47" s="14">
        <v>0.01</v>
      </c>
      <c r="S47" s="14">
        <v>0.01</v>
      </c>
      <c r="T47" s="14">
        <v>0.01</v>
      </c>
      <c r="U47" s="15" t="s">
        <v>485</v>
      </c>
      <c r="V47" s="14">
        <v>0.01</v>
      </c>
      <c r="W47" s="14">
        <v>0.01</v>
      </c>
      <c r="X47" s="15" t="s">
        <v>485</v>
      </c>
      <c r="Y47" s="15" t="s">
        <v>485</v>
      </c>
      <c r="Z47" s="14">
        <v>0.02</v>
      </c>
      <c r="AA47" s="14">
        <v>0.01</v>
      </c>
      <c r="AB47" s="14">
        <v>0.01</v>
      </c>
      <c r="AC47" s="15" t="s">
        <v>485</v>
      </c>
      <c r="AD47" s="15" t="s">
        <v>485</v>
      </c>
      <c r="AE47" s="14">
        <v>0.01</v>
      </c>
      <c r="AF47" s="15" t="s">
        <v>485</v>
      </c>
    </row>
  </sheetData>
  <mergeCells count="9">
    <mergeCell ref="B4:F4"/>
    <mergeCell ref="A10:A47"/>
    <mergeCell ref="H3:L3"/>
    <mergeCell ref="C8:AF8"/>
    <mergeCell ref="B3:F3"/>
    <mergeCell ref="B5:F5"/>
    <mergeCell ref="H5:L5"/>
    <mergeCell ref="B10:B11"/>
    <mergeCell ref="H4:L4"/>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F47"/>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41</v>
      </c>
      <c r="C3" s="19"/>
      <c r="D3" s="19"/>
      <c r="E3" s="19"/>
      <c r="F3" s="19"/>
      <c r="H3" s="19" t="s">
        <v>42</v>
      </c>
      <c r="I3" s="19"/>
      <c r="J3" s="19"/>
      <c r="K3" s="19"/>
      <c r="L3" s="19"/>
    </row>
    <row r="4" spans="1:32" ht="27" customHeight="1">
      <c r="B4" s="19"/>
      <c r="C4" s="19"/>
      <c r="D4" s="19"/>
      <c r="E4" s="19"/>
      <c r="F4" s="19"/>
      <c r="H4" s="19"/>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HYPERLINK("#Content!A22","&lt;&lt;Back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23.25">
      <c r="A12" s="23"/>
      <c r="B12" s="11" t="s">
        <v>624</v>
      </c>
      <c r="C12" s="12">
        <v>996</v>
      </c>
      <c r="D12" s="12">
        <v>52</v>
      </c>
      <c r="E12" s="12">
        <v>22</v>
      </c>
      <c r="F12" s="12">
        <v>16</v>
      </c>
      <c r="G12" s="12">
        <v>30</v>
      </c>
      <c r="H12" s="12">
        <v>17</v>
      </c>
      <c r="I12" s="12">
        <v>21</v>
      </c>
      <c r="J12" s="12">
        <v>4</v>
      </c>
      <c r="K12" s="12">
        <v>24</v>
      </c>
      <c r="L12" s="12">
        <v>74</v>
      </c>
      <c r="M12" s="12">
        <v>16</v>
      </c>
      <c r="N12" s="12">
        <v>66</v>
      </c>
      <c r="O12" s="12">
        <v>65</v>
      </c>
      <c r="P12" s="12">
        <v>20</v>
      </c>
      <c r="Q12" s="12">
        <v>33</v>
      </c>
      <c r="R12" s="12">
        <v>20</v>
      </c>
      <c r="S12" s="12">
        <v>30</v>
      </c>
      <c r="T12" s="12">
        <v>24</v>
      </c>
      <c r="U12" s="12">
        <v>23</v>
      </c>
      <c r="V12" s="12">
        <v>19</v>
      </c>
      <c r="W12" s="12">
        <v>24</v>
      </c>
      <c r="X12" s="12">
        <v>43</v>
      </c>
      <c r="Y12" s="12">
        <v>60</v>
      </c>
      <c r="Z12" s="12">
        <v>40</v>
      </c>
      <c r="AA12" s="12">
        <v>47</v>
      </c>
      <c r="AB12" s="12">
        <v>21</v>
      </c>
      <c r="AC12" s="12">
        <v>33</v>
      </c>
      <c r="AD12" s="12">
        <v>20</v>
      </c>
      <c r="AE12" s="12">
        <v>26</v>
      </c>
      <c r="AF12" s="12">
        <v>29</v>
      </c>
    </row>
    <row r="13" spans="1:32" ht="23.25">
      <c r="A13" s="23"/>
      <c r="B13" s="13" t="s">
        <v>625</v>
      </c>
      <c r="C13" s="14">
        <v>0.04</v>
      </c>
      <c r="D13" s="14">
        <v>0.05</v>
      </c>
      <c r="E13" s="14">
        <v>0.02</v>
      </c>
      <c r="F13" s="14">
        <v>0.02</v>
      </c>
      <c r="G13" s="14">
        <v>0.03</v>
      </c>
      <c r="H13" s="14">
        <v>0.01</v>
      </c>
      <c r="I13" s="14">
        <v>0.01</v>
      </c>
      <c r="J13" s="14">
        <v>0.01</v>
      </c>
      <c r="K13" s="14">
        <v>0.02</v>
      </c>
      <c r="L13" s="14">
        <v>7.0000000000000007E-2</v>
      </c>
      <c r="M13" s="14">
        <v>0.02</v>
      </c>
      <c r="N13" s="14">
        <v>7.0000000000000007E-2</v>
      </c>
      <c r="O13" s="14">
        <v>7.0000000000000007E-2</v>
      </c>
      <c r="P13" s="14">
        <v>0.02</v>
      </c>
      <c r="Q13" s="14">
        <v>0.03</v>
      </c>
      <c r="R13" s="14">
        <v>0.04</v>
      </c>
      <c r="S13" s="14">
        <v>0.03</v>
      </c>
      <c r="T13" s="14">
        <v>0.02</v>
      </c>
      <c r="U13" s="14">
        <v>0.04</v>
      </c>
      <c r="V13" s="14">
        <v>0.02</v>
      </c>
      <c r="W13" s="14">
        <v>0.05</v>
      </c>
      <c r="X13" s="14">
        <v>0.04</v>
      </c>
      <c r="Y13" s="14">
        <v>0.06</v>
      </c>
      <c r="Z13" s="14">
        <v>0.04</v>
      </c>
      <c r="AA13" s="14">
        <v>0.05</v>
      </c>
      <c r="AB13" s="14">
        <v>0.02</v>
      </c>
      <c r="AC13" s="14">
        <v>0.03</v>
      </c>
      <c r="AD13" s="14">
        <v>0.02</v>
      </c>
      <c r="AE13" s="14">
        <v>0.03</v>
      </c>
      <c r="AF13" s="14">
        <v>0.03</v>
      </c>
    </row>
    <row r="14" spans="1:32" ht="34.5">
      <c r="A14" s="23"/>
      <c r="B14" s="11" t="s">
        <v>626</v>
      </c>
      <c r="C14" s="12">
        <v>917</v>
      </c>
      <c r="D14" s="12">
        <v>53</v>
      </c>
      <c r="E14" s="12">
        <v>33</v>
      </c>
      <c r="F14" s="12">
        <v>18</v>
      </c>
      <c r="G14" s="12">
        <v>11</v>
      </c>
      <c r="H14" s="12">
        <v>30</v>
      </c>
      <c r="I14" s="12">
        <v>36</v>
      </c>
      <c r="J14" s="12">
        <v>6</v>
      </c>
      <c r="K14" s="12">
        <v>24</v>
      </c>
      <c r="L14" s="12">
        <v>34</v>
      </c>
      <c r="M14" s="12">
        <v>37</v>
      </c>
      <c r="N14" s="12">
        <v>40</v>
      </c>
      <c r="O14" s="12">
        <v>46</v>
      </c>
      <c r="P14" s="12">
        <v>36</v>
      </c>
      <c r="Q14" s="12">
        <v>49</v>
      </c>
      <c r="R14" s="12">
        <v>10</v>
      </c>
      <c r="S14" s="12">
        <v>42</v>
      </c>
      <c r="T14" s="12">
        <v>20</v>
      </c>
      <c r="U14" s="12">
        <v>13</v>
      </c>
      <c r="V14" s="12">
        <v>43</v>
      </c>
      <c r="W14" s="12">
        <v>21</v>
      </c>
      <c r="X14" s="12">
        <v>43</v>
      </c>
      <c r="Y14" s="12">
        <v>36</v>
      </c>
      <c r="Z14" s="12">
        <v>24</v>
      </c>
      <c r="AA14" s="12">
        <v>42</v>
      </c>
      <c r="AB14" s="12">
        <v>33</v>
      </c>
      <c r="AC14" s="12">
        <v>11</v>
      </c>
      <c r="AD14" s="12">
        <v>30</v>
      </c>
      <c r="AE14" s="12">
        <v>19</v>
      </c>
      <c r="AF14" s="12">
        <v>7</v>
      </c>
    </row>
    <row r="15" spans="1:32" ht="34.5">
      <c r="A15" s="23"/>
      <c r="B15" s="13" t="s">
        <v>627</v>
      </c>
      <c r="C15" s="14">
        <v>0.04</v>
      </c>
      <c r="D15" s="14">
        <v>0.05</v>
      </c>
      <c r="E15" s="14">
        <v>0.03</v>
      </c>
      <c r="F15" s="14">
        <v>0.02</v>
      </c>
      <c r="G15" s="14">
        <v>0.01</v>
      </c>
      <c r="H15" s="14">
        <v>0.02</v>
      </c>
      <c r="I15" s="14">
        <v>0.03</v>
      </c>
      <c r="J15" s="14">
        <v>0.02</v>
      </c>
      <c r="K15" s="14">
        <v>0.03</v>
      </c>
      <c r="L15" s="14">
        <v>0.03</v>
      </c>
      <c r="M15" s="14">
        <v>0.04</v>
      </c>
      <c r="N15" s="14">
        <v>0.04</v>
      </c>
      <c r="O15" s="14">
        <v>0.05</v>
      </c>
      <c r="P15" s="14">
        <v>0.04</v>
      </c>
      <c r="Q15" s="14">
        <v>0.05</v>
      </c>
      <c r="R15" s="14">
        <v>0.02</v>
      </c>
      <c r="S15" s="14">
        <v>0.04</v>
      </c>
      <c r="T15" s="14">
        <v>0.02</v>
      </c>
      <c r="U15" s="14">
        <v>0.03</v>
      </c>
      <c r="V15" s="14">
        <v>0.04</v>
      </c>
      <c r="W15" s="14">
        <v>0.04</v>
      </c>
      <c r="X15" s="14">
        <v>0.04</v>
      </c>
      <c r="Y15" s="14">
        <v>0.04</v>
      </c>
      <c r="Z15" s="14">
        <v>0.02</v>
      </c>
      <c r="AA15" s="14">
        <v>0.04</v>
      </c>
      <c r="AB15" s="14">
        <v>0.03</v>
      </c>
      <c r="AC15" s="14">
        <v>0.01</v>
      </c>
      <c r="AD15" s="14">
        <v>0.03</v>
      </c>
      <c r="AE15" s="14">
        <v>0.02</v>
      </c>
      <c r="AF15" s="14">
        <v>0.01</v>
      </c>
    </row>
    <row r="16" spans="1:32" ht="34.5">
      <c r="A16" s="23"/>
      <c r="B16" s="11" t="s">
        <v>628</v>
      </c>
      <c r="C16" s="12">
        <v>1131</v>
      </c>
      <c r="D16" s="12">
        <v>47</v>
      </c>
      <c r="E16" s="12">
        <v>32</v>
      </c>
      <c r="F16" s="12">
        <v>17</v>
      </c>
      <c r="G16" s="12">
        <v>52</v>
      </c>
      <c r="H16" s="12">
        <v>45</v>
      </c>
      <c r="I16" s="12">
        <v>57</v>
      </c>
      <c r="J16" s="12">
        <v>12</v>
      </c>
      <c r="K16" s="12">
        <v>33</v>
      </c>
      <c r="L16" s="12">
        <v>25</v>
      </c>
      <c r="M16" s="12">
        <v>16</v>
      </c>
      <c r="N16" s="12">
        <v>50</v>
      </c>
      <c r="O16" s="12">
        <v>62</v>
      </c>
      <c r="P16" s="12">
        <v>41</v>
      </c>
      <c r="Q16" s="12">
        <v>43</v>
      </c>
      <c r="R16" s="12">
        <v>5</v>
      </c>
      <c r="S16" s="12">
        <v>16</v>
      </c>
      <c r="T16" s="12">
        <v>29</v>
      </c>
      <c r="U16" s="12">
        <v>18</v>
      </c>
      <c r="V16" s="12">
        <v>42</v>
      </c>
      <c r="W16" s="12">
        <v>20</v>
      </c>
      <c r="X16" s="12">
        <v>59</v>
      </c>
      <c r="Y16" s="12">
        <v>39</v>
      </c>
      <c r="Z16" s="12">
        <v>35</v>
      </c>
      <c r="AA16" s="12">
        <v>40</v>
      </c>
      <c r="AB16" s="12">
        <v>45</v>
      </c>
      <c r="AC16" s="12">
        <v>81</v>
      </c>
      <c r="AD16" s="12">
        <v>46</v>
      </c>
      <c r="AE16" s="12">
        <v>26</v>
      </c>
      <c r="AF16" s="12">
        <v>27</v>
      </c>
    </row>
    <row r="17" spans="1:32" ht="23.25">
      <c r="A17" s="23"/>
      <c r="B17" s="13" t="s">
        <v>629</v>
      </c>
      <c r="C17" s="14">
        <v>0.04</v>
      </c>
      <c r="D17" s="14">
        <v>0.05</v>
      </c>
      <c r="E17" s="14">
        <v>0.03</v>
      </c>
      <c r="F17" s="14">
        <v>0.02</v>
      </c>
      <c r="G17" s="14">
        <v>0.05</v>
      </c>
      <c r="H17" s="14">
        <v>0.04</v>
      </c>
      <c r="I17" s="14">
        <v>0.04</v>
      </c>
      <c r="J17" s="14">
        <v>0.04</v>
      </c>
      <c r="K17" s="14">
        <v>0.03</v>
      </c>
      <c r="L17" s="14">
        <v>0.02</v>
      </c>
      <c r="M17" s="14">
        <v>0.02</v>
      </c>
      <c r="N17" s="14">
        <v>0.05</v>
      </c>
      <c r="O17" s="14">
        <v>0.06</v>
      </c>
      <c r="P17" s="14">
        <v>0.04</v>
      </c>
      <c r="Q17" s="14">
        <v>0.04</v>
      </c>
      <c r="R17" s="14">
        <v>0.01</v>
      </c>
      <c r="S17" s="14">
        <v>0.02</v>
      </c>
      <c r="T17" s="14">
        <v>0.03</v>
      </c>
      <c r="U17" s="14">
        <v>0.04</v>
      </c>
      <c r="V17" s="14">
        <v>0.04</v>
      </c>
      <c r="W17" s="14">
        <v>0.04</v>
      </c>
      <c r="X17" s="14">
        <v>0.06</v>
      </c>
      <c r="Y17" s="14">
        <v>0.04</v>
      </c>
      <c r="Z17" s="14">
        <v>0.03</v>
      </c>
      <c r="AA17" s="14">
        <v>0.04</v>
      </c>
      <c r="AB17" s="14">
        <v>0.04</v>
      </c>
      <c r="AC17" s="14">
        <v>0.08</v>
      </c>
      <c r="AD17" s="14">
        <v>0.05</v>
      </c>
      <c r="AE17" s="14">
        <v>0.03</v>
      </c>
      <c r="AF17" s="14">
        <v>0.02</v>
      </c>
    </row>
    <row r="18" spans="1:32" ht="34.5">
      <c r="A18" s="23"/>
      <c r="B18" s="11" t="s">
        <v>630</v>
      </c>
      <c r="C18" s="12">
        <v>1783</v>
      </c>
      <c r="D18" s="12">
        <v>57</v>
      </c>
      <c r="E18" s="12">
        <v>70</v>
      </c>
      <c r="F18" s="12">
        <v>63</v>
      </c>
      <c r="G18" s="12">
        <v>58</v>
      </c>
      <c r="H18" s="12">
        <v>89</v>
      </c>
      <c r="I18" s="12">
        <v>105</v>
      </c>
      <c r="J18" s="12">
        <v>16</v>
      </c>
      <c r="K18" s="12">
        <v>41</v>
      </c>
      <c r="L18" s="12">
        <v>57</v>
      </c>
      <c r="M18" s="12">
        <v>92</v>
      </c>
      <c r="N18" s="12">
        <v>53</v>
      </c>
      <c r="O18" s="12">
        <v>60</v>
      </c>
      <c r="P18" s="12">
        <v>90</v>
      </c>
      <c r="Q18" s="12">
        <v>88</v>
      </c>
      <c r="R18" s="12">
        <v>29</v>
      </c>
      <c r="S18" s="12">
        <v>52</v>
      </c>
      <c r="T18" s="12">
        <v>79</v>
      </c>
      <c r="U18" s="12">
        <v>33</v>
      </c>
      <c r="V18" s="12">
        <v>47</v>
      </c>
      <c r="W18" s="12">
        <v>33</v>
      </c>
      <c r="X18" s="12">
        <v>77</v>
      </c>
      <c r="Y18" s="12">
        <v>67</v>
      </c>
      <c r="Z18" s="12">
        <v>84</v>
      </c>
      <c r="AA18" s="12">
        <v>74</v>
      </c>
      <c r="AB18" s="12">
        <v>62</v>
      </c>
      <c r="AC18" s="12">
        <v>55</v>
      </c>
      <c r="AD18" s="12">
        <v>78</v>
      </c>
      <c r="AE18" s="12">
        <v>44</v>
      </c>
      <c r="AF18" s="12">
        <v>43</v>
      </c>
    </row>
    <row r="19" spans="1:32" ht="34.5">
      <c r="A19" s="23"/>
      <c r="B19" s="13" t="s">
        <v>631</v>
      </c>
      <c r="C19" s="14">
        <v>7.0000000000000007E-2</v>
      </c>
      <c r="D19" s="14">
        <v>0.06</v>
      </c>
      <c r="E19" s="14">
        <v>7.0000000000000007E-2</v>
      </c>
      <c r="F19" s="14">
        <v>0.06</v>
      </c>
      <c r="G19" s="14">
        <v>0.06</v>
      </c>
      <c r="H19" s="14">
        <v>7.0000000000000007E-2</v>
      </c>
      <c r="I19" s="14">
        <v>7.0000000000000007E-2</v>
      </c>
      <c r="J19" s="14">
        <v>0.06</v>
      </c>
      <c r="K19" s="14">
        <v>0.04</v>
      </c>
      <c r="L19" s="14">
        <v>0.06</v>
      </c>
      <c r="M19" s="14">
        <v>0.09</v>
      </c>
      <c r="N19" s="14">
        <v>0.05</v>
      </c>
      <c r="O19" s="14">
        <v>0.06</v>
      </c>
      <c r="P19" s="14">
        <v>0.09</v>
      </c>
      <c r="Q19" s="14">
        <v>0.09</v>
      </c>
      <c r="R19" s="14">
        <v>0.06</v>
      </c>
      <c r="S19" s="14">
        <v>0.05</v>
      </c>
      <c r="T19" s="14">
        <v>0.08</v>
      </c>
      <c r="U19" s="14">
        <v>7.0000000000000007E-2</v>
      </c>
      <c r="V19" s="14">
        <v>0.05</v>
      </c>
      <c r="W19" s="14">
        <v>7.0000000000000007E-2</v>
      </c>
      <c r="X19" s="14">
        <v>0.08</v>
      </c>
      <c r="Y19" s="14">
        <v>7.0000000000000007E-2</v>
      </c>
      <c r="Z19" s="14">
        <v>0.08</v>
      </c>
      <c r="AA19" s="14">
        <v>7.0000000000000007E-2</v>
      </c>
      <c r="AB19" s="14">
        <v>0.06</v>
      </c>
      <c r="AC19" s="14">
        <v>0.06</v>
      </c>
      <c r="AD19" s="14">
        <v>0.08</v>
      </c>
      <c r="AE19" s="14">
        <v>0.04</v>
      </c>
      <c r="AF19" s="14">
        <v>0.04</v>
      </c>
    </row>
    <row r="20" spans="1:32" ht="34.5">
      <c r="A20" s="23"/>
      <c r="B20" s="11" t="s">
        <v>632</v>
      </c>
      <c r="C20" s="12">
        <v>881</v>
      </c>
      <c r="D20" s="12">
        <v>40</v>
      </c>
      <c r="E20" s="12">
        <v>36</v>
      </c>
      <c r="F20" s="12">
        <v>21</v>
      </c>
      <c r="G20" s="12">
        <v>11</v>
      </c>
      <c r="H20" s="12">
        <v>23</v>
      </c>
      <c r="I20" s="12">
        <v>29</v>
      </c>
      <c r="J20" s="12">
        <v>6</v>
      </c>
      <c r="K20" s="12">
        <v>10</v>
      </c>
      <c r="L20" s="12">
        <v>34</v>
      </c>
      <c r="M20" s="12">
        <v>54</v>
      </c>
      <c r="N20" s="12">
        <v>44</v>
      </c>
      <c r="O20" s="12">
        <v>31</v>
      </c>
      <c r="P20" s="12">
        <v>52</v>
      </c>
      <c r="Q20" s="12">
        <v>51</v>
      </c>
      <c r="R20" s="12">
        <v>29</v>
      </c>
      <c r="S20" s="12">
        <v>24</v>
      </c>
      <c r="T20" s="12">
        <v>23</v>
      </c>
      <c r="U20" s="12">
        <v>21</v>
      </c>
      <c r="V20" s="12">
        <v>39</v>
      </c>
      <c r="W20" s="12">
        <v>12</v>
      </c>
      <c r="X20" s="12">
        <v>13</v>
      </c>
      <c r="Y20" s="12">
        <v>25</v>
      </c>
      <c r="Z20" s="12">
        <v>42</v>
      </c>
      <c r="AA20" s="12">
        <v>31</v>
      </c>
      <c r="AB20" s="12">
        <v>52</v>
      </c>
      <c r="AC20" s="12">
        <v>31</v>
      </c>
      <c r="AD20" s="12">
        <v>22</v>
      </c>
      <c r="AE20" s="12">
        <v>10</v>
      </c>
      <c r="AF20" s="12">
        <v>19</v>
      </c>
    </row>
    <row r="21" spans="1:32" ht="34.5">
      <c r="A21" s="23"/>
      <c r="B21" s="13" t="s">
        <v>633</v>
      </c>
      <c r="C21" s="14">
        <v>0.03</v>
      </c>
      <c r="D21" s="14">
        <v>0.04</v>
      </c>
      <c r="E21" s="14">
        <v>0.04</v>
      </c>
      <c r="F21" s="14">
        <v>0.02</v>
      </c>
      <c r="G21" s="14">
        <v>0.01</v>
      </c>
      <c r="H21" s="14">
        <v>0.02</v>
      </c>
      <c r="I21" s="14">
        <v>0.02</v>
      </c>
      <c r="J21" s="14">
        <v>0.02</v>
      </c>
      <c r="K21" s="14">
        <v>0.01</v>
      </c>
      <c r="L21" s="14">
        <v>0.03</v>
      </c>
      <c r="M21" s="14">
        <v>0.05</v>
      </c>
      <c r="N21" s="14">
        <v>0.04</v>
      </c>
      <c r="O21" s="14">
        <v>0.03</v>
      </c>
      <c r="P21" s="14">
        <v>0.05</v>
      </c>
      <c r="Q21" s="14">
        <v>0.05</v>
      </c>
      <c r="R21" s="14">
        <v>0.06</v>
      </c>
      <c r="S21" s="14">
        <v>0.02</v>
      </c>
      <c r="T21" s="14">
        <v>0.02</v>
      </c>
      <c r="U21" s="14">
        <v>0.04</v>
      </c>
      <c r="V21" s="14">
        <v>0.04</v>
      </c>
      <c r="W21" s="14">
        <v>0.02</v>
      </c>
      <c r="X21" s="14">
        <v>0.01</v>
      </c>
      <c r="Y21" s="14">
        <v>0.02</v>
      </c>
      <c r="Z21" s="14">
        <v>0.04</v>
      </c>
      <c r="AA21" s="14">
        <v>0.03</v>
      </c>
      <c r="AB21" s="14">
        <v>0.05</v>
      </c>
      <c r="AC21" s="14">
        <v>0.03</v>
      </c>
      <c r="AD21" s="14">
        <v>0.02</v>
      </c>
      <c r="AE21" s="14">
        <v>0.01</v>
      </c>
      <c r="AF21" s="14">
        <v>0.02</v>
      </c>
    </row>
    <row r="22" spans="1:32" ht="34.5">
      <c r="A22" s="23"/>
      <c r="B22" s="11" t="s">
        <v>634</v>
      </c>
      <c r="C22" s="12">
        <v>2201</v>
      </c>
      <c r="D22" s="12">
        <v>102</v>
      </c>
      <c r="E22" s="12">
        <v>63</v>
      </c>
      <c r="F22" s="12">
        <v>76</v>
      </c>
      <c r="G22" s="12">
        <v>98</v>
      </c>
      <c r="H22" s="12">
        <v>100</v>
      </c>
      <c r="I22" s="12">
        <v>124</v>
      </c>
      <c r="J22" s="12">
        <v>25</v>
      </c>
      <c r="K22" s="12">
        <v>69</v>
      </c>
      <c r="L22" s="12">
        <v>117</v>
      </c>
      <c r="M22" s="12">
        <v>72</v>
      </c>
      <c r="N22" s="12">
        <v>88</v>
      </c>
      <c r="O22" s="12">
        <v>71</v>
      </c>
      <c r="P22" s="12">
        <v>87</v>
      </c>
      <c r="Q22" s="12">
        <v>66</v>
      </c>
      <c r="R22" s="12">
        <v>73</v>
      </c>
      <c r="S22" s="12">
        <v>101</v>
      </c>
      <c r="T22" s="12">
        <v>93</v>
      </c>
      <c r="U22" s="12">
        <v>32</v>
      </c>
      <c r="V22" s="12">
        <v>107</v>
      </c>
      <c r="W22" s="12">
        <v>41</v>
      </c>
      <c r="X22" s="12">
        <v>119</v>
      </c>
      <c r="Y22" s="12">
        <v>64</v>
      </c>
      <c r="Z22" s="12">
        <v>70</v>
      </c>
      <c r="AA22" s="12">
        <v>103</v>
      </c>
      <c r="AB22" s="12">
        <v>89</v>
      </c>
      <c r="AC22" s="12">
        <v>110</v>
      </c>
      <c r="AD22" s="12">
        <v>110</v>
      </c>
      <c r="AE22" s="12">
        <v>104</v>
      </c>
      <c r="AF22" s="12">
        <v>207</v>
      </c>
    </row>
    <row r="23" spans="1:32" ht="34.5">
      <c r="A23" s="23"/>
      <c r="B23" s="13" t="s">
        <v>635</v>
      </c>
      <c r="C23" s="14">
        <v>0.08</v>
      </c>
      <c r="D23" s="14">
        <v>0.1</v>
      </c>
      <c r="E23" s="14">
        <v>0.06</v>
      </c>
      <c r="F23" s="14">
        <v>0.08</v>
      </c>
      <c r="G23" s="14">
        <v>0.1</v>
      </c>
      <c r="H23" s="14">
        <v>0.08</v>
      </c>
      <c r="I23" s="14">
        <v>0.08</v>
      </c>
      <c r="J23" s="14">
        <v>0.08</v>
      </c>
      <c r="K23" s="14">
        <v>7.0000000000000007E-2</v>
      </c>
      <c r="L23" s="14">
        <v>0.12</v>
      </c>
      <c r="M23" s="14">
        <v>7.0000000000000007E-2</v>
      </c>
      <c r="N23" s="14">
        <v>0.09</v>
      </c>
      <c r="O23" s="14">
        <v>7.0000000000000007E-2</v>
      </c>
      <c r="P23" s="14">
        <v>0.09</v>
      </c>
      <c r="Q23" s="14">
        <v>0.06</v>
      </c>
      <c r="R23" s="14">
        <v>0.15</v>
      </c>
      <c r="S23" s="14">
        <v>0.1</v>
      </c>
      <c r="T23" s="14">
        <v>0.09</v>
      </c>
      <c r="U23" s="14">
        <v>0.06</v>
      </c>
      <c r="V23" s="14">
        <v>0.11</v>
      </c>
      <c r="W23" s="14">
        <v>0.08</v>
      </c>
      <c r="X23" s="14">
        <v>0.12</v>
      </c>
      <c r="Y23" s="14">
        <v>0.06</v>
      </c>
      <c r="Z23" s="14">
        <v>7.0000000000000007E-2</v>
      </c>
      <c r="AA23" s="14">
        <v>0.1</v>
      </c>
      <c r="AB23" s="14">
        <v>0.09</v>
      </c>
      <c r="AC23" s="14">
        <v>0.11</v>
      </c>
      <c r="AD23" s="14">
        <v>0.11</v>
      </c>
      <c r="AE23" s="14">
        <v>0.1</v>
      </c>
      <c r="AF23" s="14">
        <v>0.19</v>
      </c>
    </row>
    <row r="24" spans="1:32" ht="23.25">
      <c r="A24" s="23"/>
      <c r="B24" s="11" t="s">
        <v>636</v>
      </c>
      <c r="C24" s="12">
        <v>476</v>
      </c>
      <c r="D24" s="12">
        <v>20</v>
      </c>
      <c r="E24" s="12">
        <v>19</v>
      </c>
      <c r="F24" s="12">
        <v>12</v>
      </c>
      <c r="G24" s="12">
        <v>7</v>
      </c>
      <c r="H24" s="12">
        <v>14</v>
      </c>
      <c r="I24" s="12">
        <v>17</v>
      </c>
      <c r="J24" s="12">
        <v>3</v>
      </c>
      <c r="K24" s="12">
        <v>27</v>
      </c>
      <c r="L24" s="12">
        <v>38</v>
      </c>
      <c r="M24" s="12">
        <v>9</v>
      </c>
      <c r="N24" s="12">
        <v>16</v>
      </c>
      <c r="O24" s="12">
        <v>23</v>
      </c>
      <c r="P24" s="12">
        <v>18</v>
      </c>
      <c r="Q24" s="12">
        <v>17</v>
      </c>
      <c r="R24" s="12">
        <v>15</v>
      </c>
      <c r="S24" s="12">
        <v>11</v>
      </c>
      <c r="T24" s="12">
        <v>13</v>
      </c>
      <c r="U24" s="12">
        <v>3</v>
      </c>
      <c r="V24" s="12">
        <v>15</v>
      </c>
      <c r="W24" s="12">
        <v>24</v>
      </c>
      <c r="X24" s="12">
        <v>22</v>
      </c>
      <c r="Y24" s="12">
        <v>18</v>
      </c>
      <c r="Z24" s="12">
        <v>23</v>
      </c>
      <c r="AA24" s="12">
        <v>16</v>
      </c>
      <c r="AB24" s="12">
        <v>49</v>
      </c>
      <c r="AC24" s="12">
        <v>9</v>
      </c>
      <c r="AD24" s="12">
        <v>11</v>
      </c>
      <c r="AE24" s="12">
        <v>23</v>
      </c>
      <c r="AF24" s="12">
        <v>6</v>
      </c>
    </row>
    <row r="25" spans="1:32" ht="23.25">
      <c r="A25" s="23"/>
      <c r="B25" s="13" t="s">
        <v>637</v>
      </c>
      <c r="C25" s="14">
        <v>0.02</v>
      </c>
      <c r="D25" s="14">
        <v>0.02</v>
      </c>
      <c r="E25" s="14">
        <v>0.02</v>
      </c>
      <c r="F25" s="14">
        <v>0.01</v>
      </c>
      <c r="G25" s="14">
        <v>0.01</v>
      </c>
      <c r="H25" s="14">
        <v>0.01</v>
      </c>
      <c r="I25" s="14">
        <v>0.01</v>
      </c>
      <c r="J25" s="14">
        <v>0.01</v>
      </c>
      <c r="K25" s="14">
        <v>0.03</v>
      </c>
      <c r="L25" s="14">
        <v>0.04</v>
      </c>
      <c r="M25" s="14">
        <v>0.01</v>
      </c>
      <c r="N25" s="14">
        <v>0.02</v>
      </c>
      <c r="O25" s="14">
        <v>0.02</v>
      </c>
      <c r="P25" s="14">
        <v>0.02</v>
      </c>
      <c r="Q25" s="14">
        <v>0.02</v>
      </c>
      <c r="R25" s="14">
        <v>0.03</v>
      </c>
      <c r="S25" s="14">
        <v>0.01</v>
      </c>
      <c r="T25" s="14">
        <v>0.01</v>
      </c>
      <c r="U25" s="14">
        <v>0.01</v>
      </c>
      <c r="V25" s="14">
        <v>0.02</v>
      </c>
      <c r="W25" s="14">
        <v>0.05</v>
      </c>
      <c r="X25" s="14">
        <v>0.02</v>
      </c>
      <c r="Y25" s="14">
        <v>0.02</v>
      </c>
      <c r="Z25" s="14">
        <v>0.02</v>
      </c>
      <c r="AA25" s="14">
        <v>0.01</v>
      </c>
      <c r="AB25" s="14">
        <v>0.05</v>
      </c>
      <c r="AC25" s="14">
        <v>0.01</v>
      </c>
      <c r="AD25" s="14">
        <v>0.01</v>
      </c>
      <c r="AE25" s="14">
        <v>0.02</v>
      </c>
      <c r="AF25" s="14">
        <v>0.01</v>
      </c>
    </row>
    <row r="26" spans="1:32">
      <c r="A26" s="23"/>
      <c r="B26" s="11" t="s">
        <v>638</v>
      </c>
      <c r="C26" s="12">
        <v>1369</v>
      </c>
      <c r="D26" s="12">
        <v>45</v>
      </c>
      <c r="E26" s="12">
        <v>126</v>
      </c>
      <c r="F26" s="12">
        <v>70</v>
      </c>
      <c r="G26" s="12">
        <v>39</v>
      </c>
      <c r="H26" s="12">
        <v>18</v>
      </c>
      <c r="I26" s="12">
        <v>30</v>
      </c>
      <c r="J26" s="12">
        <v>12</v>
      </c>
      <c r="K26" s="12">
        <v>73</v>
      </c>
      <c r="L26" s="12">
        <v>84</v>
      </c>
      <c r="M26" s="12">
        <v>49</v>
      </c>
      <c r="N26" s="12">
        <v>43</v>
      </c>
      <c r="O26" s="12">
        <v>28</v>
      </c>
      <c r="P26" s="12">
        <v>89</v>
      </c>
      <c r="Q26" s="12">
        <v>70</v>
      </c>
      <c r="R26" s="12">
        <v>11</v>
      </c>
      <c r="S26" s="12">
        <v>52</v>
      </c>
      <c r="T26" s="12">
        <v>59</v>
      </c>
      <c r="U26" s="12">
        <v>35</v>
      </c>
      <c r="V26" s="12">
        <v>75</v>
      </c>
      <c r="W26" s="12">
        <v>28</v>
      </c>
      <c r="X26" s="12">
        <v>37</v>
      </c>
      <c r="Y26" s="12">
        <v>47</v>
      </c>
      <c r="Z26" s="12">
        <v>122</v>
      </c>
      <c r="AA26" s="12">
        <v>30</v>
      </c>
      <c r="AB26" s="12">
        <v>112</v>
      </c>
      <c r="AC26" s="12">
        <v>29</v>
      </c>
      <c r="AD26" s="12">
        <v>71</v>
      </c>
      <c r="AE26" s="12">
        <v>31</v>
      </c>
      <c r="AF26" s="12">
        <v>43</v>
      </c>
    </row>
    <row r="27" spans="1:32">
      <c r="A27" s="23"/>
      <c r="B27" s="13" t="s">
        <v>639</v>
      </c>
      <c r="C27" s="14">
        <v>0.05</v>
      </c>
      <c r="D27" s="14">
        <v>0.05</v>
      </c>
      <c r="E27" s="14">
        <v>0.12</v>
      </c>
      <c r="F27" s="14">
        <v>7.0000000000000007E-2</v>
      </c>
      <c r="G27" s="14">
        <v>0.04</v>
      </c>
      <c r="H27" s="14">
        <v>0.02</v>
      </c>
      <c r="I27" s="14">
        <v>0.02</v>
      </c>
      <c r="J27" s="14">
        <v>0.04</v>
      </c>
      <c r="K27" s="14">
        <v>7.0000000000000007E-2</v>
      </c>
      <c r="L27" s="14">
        <v>0.08</v>
      </c>
      <c r="M27" s="14">
        <v>0.05</v>
      </c>
      <c r="N27" s="14">
        <v>0.04</v>
      </c>
      <c r="O27" s="14">
        <v>0.03</v>
      </c>
      <c r="P27" s="14">
        <v>0.09</v>
      </c>
      <c r="Q27" s="14">
        <v>7.0000000000000007E-2</v>
      </c>
      <c r="R27" s="14">
        <v>0.02</v>
      </c>
      <c r="S27" s="14">
        <v>0.05</v>
      </c>
      <c r="T27" s="14">
        <v>0.06</v>
      </c>
      <c r="U27" s="14">
        <v>7.0000000000000007E-2</v>
      </c>
      <c r="V27" s="14">
        <v>7.0000000000000007E-2</v>
      </c>
      <c r="W27" s="14">
        <v>0.05</v>
      </c>
      <c r="X27" s="14">
        <v>0.04</v>
      </c>
      <c r="Y27" s="14">
        <v>0.05</v>
      </c>
      <c r="Z27" s="14">
        <v>0.12</v>
      </c>
      <c r="AA27" s="14">
        <v>0.03</v>
      </c>
      <c r="AB27" s="14">
        <v>0.11</v>
      </c>
      <c r="AC27" s="14">
        <v>0.03</v>
      </c>
      <c r="AD27" s="14">
        <v>7.0000000000000007E-2</v>
      </c>
      <c r="AE27" s="14">
        <v>0.03</v>
      </c>
      <c r="AF27" s="14">
        <v>0.04</v>
      </c>
    </row>
    <row r="28" spans="1:32" ht="23.25">
      <c r="A28" s="23"/>
      <c r="B28" s="11" t="s">
        <v>640</v>
      </c>
      <c r="C28" s="12">
        <v>1737</v>
      </c>
      <c r="D28" s="12">
        <v>72</v>
      </c>
      <c r="E28" s="12">
        <v>48</v>
      </c>
      <c r="F28" s="12">
        <v>87</v>
      </c>
      <c r="G28" s="12">
        <v>70</v>
      </c>
      <c r="H28" s="12">
        <v>58</v>
      </c>
      <c r="I28" s="12">
        <v>85</v>
      </c>
      <c r="J28" s="12">
        <v>27</v>
      </c>
      <c r="K28" s="12">
        <v>68</v>
      </c>
      <c r="L28" s="12">
        <v>77</v>
      </c>
      <c r="M28" s="12">
        <v>58</v>
      </c>
      <c r="N28" s="12">
        <v>62</v>
      </c>
      <c r="O28" s="12">
        <v>83</v>
      </c>
      <c r="P28" s="12">
        <v>91</v>
      </c>
      <c r="Q28" s="12">
        <v>65</v>
      </c>
      <c r="R28" s="12">
        <v>28</v>
      </c>
      <c r="S28" s="12">
        <v>125</v>
      </c>
      <c r="T28" s="12">
        <v>63</v>
      </c>
      <c r="U28" s="12">
        <v>24</v>
      </c>
      <c r="V28" s="12">
        <v>43</v>
      </c>
      <c r="W28" s="12">
        <v>38</v>
      </c>
      <c r="X28" s="12">
        <v>88</v>
      </c>
      <c r="Y28" s="12">
        <v>95</v>
      </c>
      <c r="Z28" s="12">
        <v>51</v>
      </c>
      <c r="AA28" s="12">
        <v>45</v>
      </c>
      <c r="AB28" s="12">
        <v>57</v>
      </c>
      <c r="AC28" s="12">
        <v>75</v>
      </c>
      <c r="AD28" s="12">
        <v>79</v>
      </c>
      <c r="AE28" s="12">
        <v>61</v>
      </c>
      <c r="AF28" s="12">
        <v>96</v>
      </c>
    </row>
    <row r="29" spans="1:32" ht="23.25">
      <c r="A29" s="23"/>
      <c r="B29" s="13" t="s">
        <v>641</v>
      </c>
      <c r="C29" s="14">
        <v>7.0000000000000007E-2</v>
      </c>
      <c r="D29" s="14">
        <v>7.0000000000000007E-2</v>
      </c>
      <c r="E29" s="14">
        <v>0.05</v>
      </c>
      <c r="F29" s="14">
        <v>0.09</v>
      </c>
      <c r="G29" s="14">
        <v>7.0000000000000007E-2</v>
      </c>
      <c r="H29" s="14">
        <v>0.05</v>
      </c>
      <c r="I29" s="14">
        <v>0.06</v>
      </c>
      <c r="J29" s="14">
        <v>0.09</v>
      </c>
      <c r="K29" s="14">
        <v>7.0000000000000007E-2</v>
      </c>
      <c r="L29" s="14">
        <v>0.08</v>
      </c>
      <c r="M29" s="14">
        <v>0.06</v>
      </c>
      <c r="N29" s="14">
        <v>0.06</v>
      </c>
      <c r="O29" s="14">
        <v>0.08</v>
      </c>
      <c r="P29" s="14">
        <v>0.09</v>
      </c>
      <c r="Q29" s="14">
        <v>0.06</v>
      </c>
      <c r="R29" s="14">
        <v>0.06</v>
      </c>
      <c r="S29" s="14">
        <v>0.12</v>
      </c>
      <c r="T29" s="14">
        <v>0.06</v>
      </c>
      <c r="U29" s="14">
        <v>0.05</v>
      </c>
      <c r="V29" s="14">
        <v>0.04</v>
      </c>
      <c r="W29" s="14">
        <v>0.08</v>
      </c>
      <c r="X29" s="14">
        <v>0.09</v>
      </c>
      <c r="Y29" s="14">
        <v>0.09</v>
      </c>
      <c r="Z29" s="14">
        <v>0.05</v>
      </c>
      <c r="AA29" s="14">
        <v>0.04</v>
      </c>
      <c r="AB29" s="14">
        <v>0.05</v>
      </c>
      <c r="AC29" s="14">
        <v>0.08</v>
      </c>
      <c r="AD29" s="14">
        <v>0.08</v>
      </c>
      <c r="AE29" s="14">
        <v>0.06</v>
      </c>
      <c r="AF29" s="14">
        <v>0.09</v>
      </c>
    </row>
    <row r="30" spans="1:32" ht="45.75">
      <c r="A30" s="23"/>
      <c r="B30" s="11" t="s">
        <v>642</v>
      </c>
      <c r="C30" s="12">
        <v>1323</v>
      </c>
      <c r="D30" s="12">
        <v>38</v>
      </c>
      <c r="E30" s="12">
        <v>42</v>
      </c>
      <c r="F30" s="12">
        <v>41</v>
      </c>
      <c r="G30" s="12">
        <v>60</v>
      </c>
      <c r="H30" s="12">
        <v>51</v>
      </c>
      <c r="I30" s="12">
        <v>65</v>
      </c>
      <c r="J30" s="12">
        <v>14</v>
      </c>
      <c r="K30" s="12">
        <v>31</v>
      </c>
      <c r="L30" s="12">
        <v>47</v>
      </c>
      <c r="M30" s="12">
        <v>56</v>
      </c>
      <c r="N30" s="12">
        <v>64</v>
      </c>
      <c r="O30" s="12">
        <v>58</v>
      </c>
      <c r="P30" s="12">
        <v>57</v>
      </c>
      <c r="Q30" s="12">
        <v>61</v>
      </c>
      <c r="R30" s="12">
        <v>24</v>
      </c>
      <c r="S30" s="12">
        <v>21</v>
      </c>
      <c r="T30" s="12">
        <v>15</v>
      </c>
      <c r="U30" s="12">
        <v>22</v>
      </c>
      <c r="V30" s="12">
        <v>54</v>
      </c>
      <c r="W30" s="12">
        <v>21</v>
      </c>
      <c r="X30" s="12">
        <v>30</v>
      </c>
      <c r="Y30" s="12">
        <v>37</v>
      </c>
      <c r="Z30" s="12">
        <v>43</v>
      </c>
      <c r="AA30" s="12">
        <v>55</v>
      </c>
      <c r="AB30" s="12">
        <v>44</v>
      </c>
      <c r="AC30" s="12">
        <v>39</v>
      </c>
      <c r="AD30" s="12">
        <v>52</v>
      </c>
      <c r="AE30" s="12">
        <v>65</v>
      </c>
      <c r="AF30" s="12">
        <v>60</v>
      </c>
    </row>
    <row r="31" spans="1:32" ht="45.75">
      <c r="A31" s="23"/>
      <c r="B31" s="13" t="s">
        <v>643</v>
      </c>
      <c r="C31" s="14">
        <v>0.05</v>
      </c>
      <c r="D31" s="14">
        <v>0.04</v>
      </c>
      <c r="E31" s="14">
        <v>0.04</v>
      </c>
      <c r="F31" s="14">
        <v>0.04</v>
      </c>
      <c r="G31" s="14">
        <v>0.06</v>
      </c>
      <c r="H31" s="14">
        <v>0.04</v>
      </c>
      <c r="I31" s="14">
        <v>0.04</v>
      </c>
      <c r="J31" s="14">
        <v>0.05</v>
      </c>
      <c r="K31" s="14">
        <v>0.03</v>
      </c>
      <c r="L31" s="14">
        <v>0.05</v>
      </c>
      <c r="M31" s="14">
        <v>0.06</v>
      </c>
      <c r="N31" s="14">
        <v>0.06</v>
      </c>
      <c r="O31" s="14">
        <v>0.06</v>
      </c>
      <c r="P31" s="14">
        <v>0.06</v>
      </c>
      <c r="Q31" s="14">
        <v>0.06</v>
      </c>
      <c r="R31" s="14">
        <v>0.05</v>
      </c>
      <c r="S31" s="14">
        <v>0.02</v>
      </c>
      <c r="T31" s="14">
        <v>0.02</v>
      </c>
      <c r="U31" s="14">
        <v>0.04</v>
      </c>
      <c r="V31" s="14">
        <v>0.05</v>
      </c>
      <c r="W31" s="14">
        <v>0.04</v>
      </c>
      <c r="X31" s="14">
        <v>0.03</v>
      </c>
      <c r="Y31" s="14">
        <v>0.04</v>
      </c>
      <c r="Z31" s="14">
        <v>0.04</v>
      </c>
      <c r="AA31" s="14">
        <v>0.05</v>
      </c>
      <c r="AB31" s="14">
        <v>0.04</v>
      </c>
      <c r="AC31" s="14">
        <v>0.04</v>
      </c>
      <c r="AD31" s="14">
        <v>0.05</v>
      </c>
      <c r="AE31" s="14">
        <v>7.0000000000000007E-2</v>
      </c>
      <c r="AF31" s="14">
        <v>0.05</v>
      </c>
    </row>
    <row r="32" spans="1:32">
      <c r="A32" s="23"/>
      <c r="B32" s="11" t="s">
        <v>644</v>
      </c>
      <c r="C32" s="12">
        <v>3285</v>
      </c>
      <c r="D32" s="12">
        <v>113</v>
      </c>
      <c r="E32" s="12">
        <v>73</v>
      </c>
      <c r="F32" s="12">
        <v>71</v>
      </c>
      <c r="G32" s="12">
        <v>166</v>
      </c>
      <c r="H32" s="12">
        <v>227</v>
      </c>
      <c r="I32" s="12">
        <v>256</v>
      </c>
      <c r="J32" s="12">
        <v>28</v>
      </c>
      <c r="K32" s="12">
        <v>49</v>
      </c>
      <c r="L32" s="12">
        <v>78</v>
      </c>
      <c r="M32" s="12">
        <v>86</v>
      </c>
      <c r="N32" s="12">
        <v>136</v>
      </c>
      <c r="O32" s="12">
        <v>125</v>
      </c>
      <c r="P32" s="12">
        <v>45</v>
      </c>
      <c r="Q32" s="12">
        <v>109</v>
      </c>
      <c r="R32" s="12">
        <v>57</v>
      </c>
      <c r="S32" s="12">
        <v>77</v>
      </c>
      <c r="T32" s="12">
        <v>51</v>
      </c>
      <c r="U32" s="12">
        <v>75</v>
      </c>
      <c r="V32" s="12">
        <v>147</v>
      </c>
      <c r="W32" s="12">
        <v>66</v>
      </c>
      <c r="X32" s="12">
        <v>139</v>
      </c>
      <c r="Y32" s="12">
        <v>119</v>
      </c>
      <c r="Z32" s="12">
        <v>82</v>
      </c>
      <c r="AA32" s="12">
        <v>122</v>
      </c>
      <c r="AB32" s="12">
        <v>98</v>
      </c>
      <c r="AC32" s="12">
        <v>59</v>
      </c>
      <c r="AD32" s="12">
        <v>41</v>
      </c>
      <c r="AE32" s="12">
        <v>172</v>
      </c>
      <c r="AF32" s="12">
        <v>258</v>
      </c>
    </row>
    <row r="33" spans="1:32">
      <c r="A33" s="23"/>
      <c r="B33" s="13" t="s">
        <v>645</v>
      </c>
      <c r="C33" s="14">
        <v>0.12</v>
      </c>
      <c r="D33" s="14">
        <v>0.11</v>
      </c>
      <c r="E33" s="14">
        <v>7.0000000000000007E-2</v>
      </c>
      <c r="F33" s="14">
        <v>7.0000000000000007E-2</v>
      </c>
      <c r="G33" s="14">
        <v>0.16</v>
      </c>
      <c r="H33" s="14">
        <v>0.19</v>
      </c>
      <c r="I33" s="14">
        <v>0.17</v>
      </c>
      <c r="J33" s="14">
        <v>0.1</v>
      </c>
      <c r="K33" s="14">
        <v>0.05</v>
      </c>
      <c r="L33" s="14">
        <v>0.08</v>
      </c>
      <c r="M33" s="14">
        <v>0.08</v>
      </c>
      <c r="N33" s="14">
        <v>0.14000000000000001</v>
      </c>
      <c r="O33" s="14">
        <v>0.12</v>
      </c>
      <c r="P33" s="14">
        <v>0.04</v>
      </c>
      <c r="Q33" s="14">
        <v>0.11</v>
      </c>
      <c r="R33" s="14">
        <v>0.11</v>
      </c>
      <c r="S33" s="14">
        <v>0.08</v>
      </c>
      <c r="T33" s="14">
        <v>0.05</v>
      </c>
      <c r="U33" s="14">
        <v>0.15</v>
      </c>
      <c r="V33" s="14">
        <v>0.15</v>
      </c>
      <c r="W33" s="14">
        <v>0.13</v>
      </c>
      <c r="X33" s="14">
        <v>0.14000000000000001</v>
      </c>
      <c r="Y33" s="14">
        <v>0.12</v>
      </c>
      <c r="Z33" s="14">
        <v>0.08</v>
      </c>
      <c r="AA33" s="14">
        <v>0.12</v>
      </c>
      <c r="AB33" s="14">
        <v>0.1</v>
      </c>
      <c r="AC33" s="14">
        <v>0.06</v>
      </c>
      <c r="AD33" s="14">
        <v>0.04</v>
      </c>
      <c r="AE33" s="14">
        <v>0.17</v>
      </c>
      <c r="AF33" s="14">
        <v>0.24</v>
      </c>
    </row>
    <row r="34" spans="1:32">
      <c r="A34" s="23"/>
      <c r="B34" s="11" t="s">
        <v>646</v>
      </c>
      <c r="C34" s="12">
        <v>1846</v>
      </c>
      <c r="D34" s="12">
        <v>52</v>
      </c>
      <c r="E34" s="12">
        <v>95</v>
      </c>
      <c r="F34" s="12">
        <v>46</v>
      </c>
      <c r="G34" s="12">
        <v>62</v>
      </c>
      <c r="H34" s="12">
        <v>109</v>
      </c>
      <c r="I34" s="12">
        <v>129</v>
      </c>
      <c r="J34" s="12">
        <v>20</v>
      </c>
      <c r="K34" s="12">
        <v>59</v>
      </c>
      <c r="L34" s="12">
        <v>61</v>
      </c>
      <c r="M34" s="12">
        <v>129</v>
      </c>
      <c r="N34" s="12">
        <v>94</v>
      </c>
      <c r="O34" s="12">
        <v>41</v>
      </c>
      <c r="P34" s="12">
        <v>85</v>
      </c>
      <c r="Q34" s="12">
        <v>68</v>
      </c>
      <c r="R34" s="12">
        <v>45</v>
      </c>
      <c r="S34" s="12">
        <v>53</v>
      </c>
      <c r="T34" s="12">
        <v>35</v>
      </c>
      <c r="U34" s="12">
        <v>21</v>
      </c>
      <c r="V34" s="12">
        <v>51</v>
      </c>
      <c r="W34" s="12">
        <v>38</v>
      </c>
      <c r="X34" s="12">
        <v>96</v>
      </c>
      <c r="Y34" s="12">
        <v>56</v>
      </c>
      <c r="Z34" s="12">
        <v>52</v>
      </c>
      <c r="AA34" s="12">
        <v>58</v>
      </c>
      <c r="AB34" s="12">
        <v>90</v>
      </c>
      <c r="AC34" s="12">
        <v>90</v>
      </c>
      <c r="AD34" s="12">
        <v>58</v>
      </c>
      <c r="AE34" s="12">
        <v>115</v>
      </c>
      <c r="AF34" s="12">
        <v>55</v>
      </c>
    </row>
    <row r="35" spans="1:32">
      <c r="A35" s="23"/>
      <c r="B35" s="13" t="s">
        <v>647</v>
      </c>
      <c r="C35" s="14">
        <v>7.0000000000000007E-2</v>
      </c>
      <c r="D35" s="14">
        <v>0.05</v>
      </c>
      <c r="E35" s="14">
        <v>0.09</v>
      </c>
      <c r="F35" s="14">
        <v>0.05</v>
      </c>
      <c r="G35" s="14">
        <v>0.06</v>
      </c>
      <c r="H35" s="14">
        <v>0.09</v>
      </c>
      <c r="I35" s="14">
        <v>0.09</v>
      </c>
      <c r="J35" s="14">
        <v>7.0000000000000007E-2</v>
      </c>
      <c r="K35" s="14">
        <v>0.06</v>
      </c>
      <c r="L35" s="14">
        <v>0.06</v>
      </c>
      <c r="M35" s="14">
        <v>0.13</v>
      </c>
      <c r="N35" s="14">
        <v>0.09</v>
      </c>
      <c r="O35" s="14">
        <v>0.04</v>
      </c>
      <c r="P35" s="14">
        <v>0.08</v>
      </c>
      <c r="Q35" s="14">
        <v>7.0000000000000007E-2</v>
      </c>
      <c r="R35" s="14">
        <v>0.09</v>
      </c>
      <c r="S35" s="14">
        <v>0.05</v>
      </c>
      <c r="T35" s="14">
        <v>0.04</v>
      </c>
      <c r="U35" s="14">
        <v>0.04</v>
      </c>
      <c r="V35" s="14">
        <v>0.05</v>
      </c>
      <c r="W35" s="14">
        <v>0.08</v>
      </c>
      <c r="X35" s="14">
        <v>0.09</v>
      </c>
      <c r="Y35" s="14">
        <v>0.05</v>
      </c>
      <c r="Z35" s="14">
        <v>0.05</v>
      </c>
      <c r="AA35" s="14">
        <v>0.06</v>
      </c>
      <c r="AB35" s="14">
        <v>0.09</v>
      </c>
      <c r="AC35" s="14">
        <v>0.09</v>
      </c>
      <c r="AD35" s="14">
        <v>0.06</v>
      </c>
      <c r="AE35" s="14">
        <v>0.11</v>
      </c>
      <c r="AF35" s="14">
        <v>0.05</v>
      </c>
    </row>
    <row r="36" spans="1:32" ht="45.75">
      <c r="A36" s="23"/>
      <c r="B36" s="11" t="s">
        <v>648</v>
      </c>
      <c r="C36" s="12">
        <v>1456</v>
      </c>
      <c r="D36" s="12">
        <v>91</v>
      </c>
      <c r="E36" s="12">
        <v>88</v>
      </c>
      <c r="F36" s="12">
        <v>114</v>
      </c>
      <c r="G36" s="12">
        <v>71</v>
      </c>
      <c r="H36" s="12">
        <v>31</v>
      </c>
      <c r="I36" s="12">
        <v>48</v>
      </c>
      <c r="J36" s="12">
        <v>17</v>
      </c>
      <c r="K36" s="12">
        <v>98</v>
      </c>
      <c r="L36" s="12">
        <v>47</v>
      </c>
      <c r="M36" s="12">
        <v>81</v>
      </c>
      <c r="N36" s="12">
        <v>36</v>
      </c>
      <c r="O36" s="12">
        <v>50</v>
      </c>
      <c r="P36" s="12">
        <v>62</v>
      </c>
      <c r="Q36" s="12">
        <v>56</v>
      </c>
      <c r="R36" s="12">
        <v>41</v>
      </c>
      <c r="S36" s="12">
        <v>70</v>
      </c>
      <c r="T36" s="12">
        <v>71</v>
      </c>
      <c r="U36" s="12">
        <v>21</v>
      </c>
      <c r="V36" s="12">
        <v>85</v>
      </c>
      <c r="W36" s="12">
        <v>28</v>
      </c>
      <c r="X36" s="12">
        <v>55</v>
      </c>
      <c r="Y36" s="12">
        <v>60</v>
      </c>
      <c r="Z36" s="12">
        <v>77</v>
      </c>
      <c r="AA36" s="12">
        <v>76</v>
      </c>
      <c r="AB36" s="12">
        <v>89</v>
      </c>
      <c r="AC36" s="12">
        <v>73</v>
      </c>
      <c r="AD36" s="12">
        <v>78</v>
      </c>
      <c r="AE36" s="12">
        <v>29</v>
      </c>
      <c r="AF36" s="12">
        <v>33</v>
      </c>
    </row>
    <row r="37" spans="1:32" ht="45.75">
      <c r="A37" s="23"/>
      <c r="B37" s="13" t="s">
        <v>649</v>
      </c>
      <c r="C37" s="14">
        <v>0.06</v>
      </c>
      <c r="D37" s="14">
        <v>0.09</v>
      </c>
      <c r="E37" s="14">
        <v>0.08</v>
      </c>
      <c r="F37" s="14">
        <v>0.11</v>
      </c>
      <c r="G37" s="14">
        <v>7.0000000000000007E-2</v>
      </c>
      <c r="H37" s="14">
        <v>0.03</v>
      </c>
      <c r="I37" s="14">
        <v>0.03</v>
      </c>
      <c r="J37" s="14">
        <v>0.06</v>
      </c>
      <c r="K37" s="14">
        <v>0.1</v>
      </c>
      <c r="L37" s="14">
        <v>0.05</v>
      </c>
      <c r="M37" s="14">
        <v>0.08</v>
      </c>
      <c r="N37" s="14">
        <v>0.04</v>
      </c>
      <c r="O37" s="14">
        <v>0.05</v>
      </c>
      <c r="P37" s="14">
        <v>0.06</v>
      </c>
      <c r="Q37" s="14">
        <v>0.05</v>
      </c>
      <c r="R37" s="14">
        <v>0.08</v>
      </c>
      <c r="S37" s="14">
        <v>7.0000000000000007E-2</v>
      </c>
      <c r="T37" s="14">
        <v>7.0000000000000007E-2</v>
      </c>
      <c r="U37" s="14">
        <v>0.04</v>
      </c>
      <c r="V37" s="14">
        <v>0.08</v>
      </c>
      <c r="W37" s="14">
        <v>0.06</v>
      </c>
      <c r="X37" s="14">
        <v>0.05</v>
      </c>
      <c r="Y37" s="14">
        <v>0.06</v>
      </c>
      <c r="Z37" s="14">
        <v>0.08</v>
      </c>
      <c r="AA37" s="14">
        <v>7.0000000000000007E-2</v>
      </c>
      <c r="AB37" s="14">
        <v>0.09</v>
      </c>
      <c r="AC37" s="14">
        <v>7.0000000000000007E-2</v>
      </c>
      <c r="AD37" s="14">
        <v>0.08</v>
      </c>
      <c r="AE37" s="14">
        <v>0.03</v>
      </c>
      <c r="AF37" s="14">
        <v>0.03</v>
      </c>
    </row>
    <row r="38" spans="1:32" ht="34.5">
      <c r="A38" s="23"/>
      <c r="B38" s="11" t="s">
        <v>650</v>
      </c>
      <c r="C38" s="12">
        <v>355</v>
      </c>
      <c r="D38" s="12">
        <v>19</v>
      </c>
      <c r="E38" s="12">
        <v>4</v>
      </c>
      <c r="F38" s="12">
        <v>5</v>
      </c>
      <c r="G38" s="12">
        <v>5</v>
      </c>
      <c r="H38" s="12">
        <v>18</v>
      </c>
      <c r="I38" s="12">
        <v>20</v>
      </c>
      <c r="J38" s="12">
        <v>2</v>
      </c>
      <c r="K38" s="12">
        <v>10</v>
      </c>
      <c r="L38" s="12">
        <v>20</v>
      </c>
      <c r="M38" s="12">
        <v>3</v>
      </c>
      <c r="N38" s="12">
        <v>13</v>
      </c>
      <c r="O38" s="12">
        <v>9</v>
      </c>
      <c r="P38" s="12">
        <v>4</v>
      </c>
      <c r="Q38" s="12">
        <v>19</v>
      </c>
      <c r="R38" s="12">
        <v>0</v>
      </c>
      <c r="S38" s="12">
        <v>10</v>
      </c>
      <c r="T38" s="12">
        <v>2</v>
      </c>
      <c r="U38" s="12">
        <v>8</v>
      </c>
      <c r="V38" s="12">
        <v>9</v>
      </c>
      <c r="W38" s="12">
        <v>4</v>
      </c>
      <c r="X38" s="12">
        <v>3</v>
      </c>
      <c r="Y38" s="12">
        <v>27</v>
      </c>
      <c r="Z38" s="12">
        <v>25</v>
      </c>
      <c r="AA38" s="12">
        <v>13</v>
      </c>
      <c r="AB38" s="12">
        <v>24</v>
      </c>
      <c r="AC38" s="12">
        <v>4</v>
      </c>
      <c r="AD38" s="12">
        <v>11</v>
      </c>
      <c r="AE38" s="12">
        <v>1</v>
      </c>
      <c r="AF38" s="12">
        <v>17</v>
      </c>
    </row>
    <row r="39" spans="1:32" ht="23.25">
      <c r="A39" s="23"/>
      <c r="B39" s="13" t="s">
        <v>651</v>
      </c>
      <c r="C39" s="14">
        <v>0.01</v>
      </c>
      <c r="D39" s="14">
        <v>0.02</v>
      </c>
      <c r="E39" s="15" t="s">
        <v>485</v>
      </c>
      <c r="F39" s="15" t="s">
        <v>485</v>
      </c>
      <c r="G39" s="15" t="s">
        <v>485</v>
      </c>
      <c r="H39" s="14">
        <v>0.02</v>
      </c>
      <c r="I39" s="14">
        <v>0.01</v>
      </c>
      <c r="J39" s="14">
        <v>0.01</v>
      </c>
      <c r="K39" s="14">
        <v>0.01</v>
      </c>
      <c r="L39" s="14">
        <v>0.02</v>
      </c>
      <c r="M39" s="15" t="s">
        <v>485</v>
      </c>
      <c r="N39" s="14">
        <v>0.01</v>
      </c>
      <c r="O39" s="14">
        <v>0.01</v>
      </c>
      <c r="P39" s="15" t="s">
        <v>485</v>
      </c>
      <c r="Q39" s="14">
        <v>0.02</v>
      </c>
      <c r="R39" s="15" t="s">
        <v>485</v>
      </c>
      <c r="S39" s="14">
        <v>0.01</v>
      </c>
      <c r="T39" s="15" t="s">
        <v>485</v>
      </c>
      <c r="U39" s="14">
        <v>0.01</v>
      </c>
      <c r="V39" s="14">
        <v>0.01</v>
      </c>
      <c r="W39" s="14">
        <v>0.01</v>
      </c>
      <c r="X39" s="15" t="s">
        <v>485</v>
      </c>
      <c r="Y39" s="14">
        <v>0.03</v>
      </c>
      <c r="Z39" s="14">
        <v>0.03</v>
      </c>
      <c r="AA39" s="14">
        <v>0.01</v>
      </c>
      <c r="AB39" s="14">
        <v>0.02</v>
      </c>
      <c r="AC39" s="15" t="s">
        <v>485</v>
      </c>
      <c r="AD39" s="14">
        <v>0.01</v>
      </c>
      <c r="AE39" s="15" t="s">
        <v>485</v>
      </c>
      <c r="AF39" s="14">
        <v>0.02</v>
      </c>
    </row>
    <row r="40" spans="1:32">
      <c r="A40" s="23"/>
      <c r="B40" s="11" t="s">
        <v>652</v>
      </c>
      <c r="C40" s="12">
        <v>6111</v>
      </c>
      <c r="D40" s="12">
        <v>198</v>
      </c>
      <c r="E40" s="12">
        <v>267</v>
      </c>
      <c r="F40" s="12">
        <v>287</v>
      </c>
      <c r="G40" s="12">
        <v>248</v>
      </c>
      <c r="H40" s="12">
        <v>365</v>
      </c>
      <c r="I40" s="12">
        <v>465</v>
      </c>
      <c r="J40" s="12">
        <v>100</v>
      </c>
      <c r="K40" s="12">
        <v>358</v>
      </c>
      <c r="L40" s="12">
        <v>203</v>
      </c>
      <c r="M40" s="12">
        <v>246</v>
      </c>
      <c r="N40" s="12">
        <v>170</v>
      </c>
      <c r="O40" s="12">
        <v>225</v>
      </c>
      <c r="P40" s="12">
        <v>235</v>
      </c>
      <c r="Q40" s="12">
        <v>215</v>
      </c>
      <c r="R40" s="12">
        <v>113</v>
      </c>
      <c r="S40" s="12">
        <v>297</v>
      </c>
      <c r="T40" s="12">
        <v>404</v>
      </c>
      <c r="U40" s="12">
        <v>152</v>
      </c>
      <c r="V40" s="12">
        <v>227</v>
      </c>
      <c r="W40" s="12">
        <v>101</v>
      </c>
      <c r="X40" s="12">
        <v>182</v>
      </c>
      <c r="Y40" s="12">
        <v>236</v>
      </c>
      <c r="Z40" s="12">
        <v>224</v>
      </c>
      <c r="AA40" s="12">
        <v>269</v>
      </c>
      <c r="AB40" s="12">
        <v>149</v>
      </c>
      <c r="AC40" s="12">
        <v>297</v>
      </c>
      <c r="AD40" s="12">
        <v>290</v>
      </c>
      <c r="AE40" s="12">
        <v>269</v>
      </c>
      <c r="AF40" s="12">
        <v>171</v>
      </c>
    </row>
    <row r="41" spans="1:32">
      <c r="A41" s="23"/>
      <c r="B41" s="13" t="s">
        <v>653</v>
      </c>
      <c r="C41" s="14">
        <v>0.23</v>
      </c>
      <c r="D41" s="14">
        <v>0.2</v>
      </c>
      <c r="E41" s="14">
        <v>0.26</v>
      </c>
      <c r="F41" s="14">
        <v>0.28000000000000003</v>
      </c>
      <c r="G41" s="14">
        <v>0.25</v>
      </c>
      <c r="H41" s="14">
        <v>0.3</v>
      </c>
      <c r="I41" s="14">
        <v>0.31</v>
      </c>
      <c r="J41" s="14">
        <v>0.34</v>
      </c>
      <c r="K41" s="14">
        <v>0.36</v>
      </c>
      <c r="L41" s="14">
        <v>0.2</v>
      </c>
      <c r="M41" s="14">
        <v>0.24</v>
      </c>
      <c r="N41" s="14">
        <v>0.17</v>
      </c>
      <c r="O41" s="14">
        <v>0.22</v>
      </c>
      <c r="P41" s="14">
        <v>0.23</v>
      </c>
      <c r="Q41" s="14">
        <v>0.21</v>
      </c>
      <c r="R41" s="14">
        <v>0.22</v>
      </c>
      <c r="S41" s="14">
        <v>0.3</v>
      </c>
      <c r="T41" s="14">
        <v>0.4</v>
      </c>
      <c r="U41" s="14">
        <v>0.3</v>
      </c>
      <c r="V41" s="14">
        <v>0.22</v>
      </c>
      <c r="W41" s="14">
        <v>0.2</v>
      </c>
      <c r="X41" s="14">
        <v>0.18</v>
      </c>
      <c r="Y41" s="14">
        <v>0.23</v>
      </c>
      <c r="Z41" s="14">
        <v>0.22</v>
      </c>
      <c r="AA41" s="14">
        <v>0.26</v>
      </c>
      <c r="AB41" s="14">
        <v>0.14000000000000001</v>
      </c>
      <c r="AC41" s="14">
        <v>0.3</v>
      </c>
      <c r="AD41" s="14">
        <v>0.28999999999999998</v>
      </c>
      <c r="AE41" s="14">
        <v>0.27</v>
      </c>
      <c r="AF41" s="14">
        <v>0.16</v>
      </c>
    </row>
    <row r="42" spans="1:32">
      <c r="A42" s="23"/>
      <c r="B42" s="11" t="s">
        <v>550</v>
      </c>
      <c r="C42" s="12">
        <v>84</v>
      </c>
      <c r="D42" s="12">
        <v>4</v>
      </c>
      <c r="E42" s="12">
        <v>1</v>
      </c>
      <c r="F42" s="12">
        <v>3</v>
      </c>
      <c r="G42" s="12">
        <v>2</v>
      </c>
      <c r="H42" s="12">
        <v>7</v>
      </c>
      <c r="I42" s="12">
        <v>7</v>
      </c>
      <c r="J42" s="12">
        <v>0</v>
      </c>
      <c r="K42" s="12">
        <v>13</v>
      </c>
      <c r="L42" s="12">
        <v>0</v>
      </c>
      <c r="M42" s="12">
        <v>1</v>
      </c>
      <c r="N42" s="12">
        <v>6</v>
      </c>
      <c r="O42" s="12">
        <v>2</v>
      </c>
      <c r="P42" s="12">
        <v>0</v>
      </c>
      <c r="Q42" s="12">
        <v>4</v>
      </c>
      <c r="R42" s="12">
        <v>0</v>
      </c>
      <c r="S42" s="12">
        <v>6</v>
      </c>
      <c r="T42" s="12">
        <v>5</v>
      </c>
      <c r="U42" s="12">
        <v>0</v>
      </c>
      <c r="V42" s="12">
        <v>0</v>
      </c>
      <c r="W42" s="12">
        <v>0</v>
      </c>
      <c r="X42" s="12">
        <v>1</v>
      </c>
      <c r="Y42" s="12">
        <v>10</v>
      </c>
      <c r="Z42" s="12">
        <v>1</v>
      </c>
      <c r="AA42" s="12">
        <v>1</v>
      </c>
      <c r="AB42" s="12">
        <v>6</v>
      </c>
      <c r="AC42" s="12">
        <v>0</v>
      </c>
      <c r="AD42" s="12">
        <v>1</v>
      </c>
      <c r="AE42" s="12">
        <v>0</v>
      </c>
      <c r="AF42" s="12">
        <v>0</v>
      </c>
    </row>
    <row r="43" spans="1:32">
      <c r="A43" s="23"/>
      <c r="B43" s="13" t="s">
        <v>551</v>
      </c>
      <c r="C43" s="15" t="s">
        <v>485</v>
      </c>
      <c r="D43" s="15" t="s">
        <v>485</v>
      </c>
      <c r="E43" s="15" t="s">
        <v>485</v>
      </c>
      <c r="F43" s="15" t="s">
        <v>485</v>
      </c>
      <c r="G43" s="15" t="s">
        <v>485</v>
      </c>
      <c r="H43" s="14">
        <v>0.01</v>
      </c>
      <c r="I43" s="14">
        <v>0.01</v>
      </c>
      <c r="J43" s="15" t="s">
        <v>485</v>
      </c>
      <c r="K43" s="14">
        <v>0.01</v>
      </c>
      <c r="L43" s="15" t="s">
        <v>485</v>
      </c>
      <c r="M43" s="15" t="s">
        <v>485</v>
      </c>
      <c r="N43" s="14">
        <v>0.01</v>
      </c>
      <c r="O43" s="15" t="s">
        <v>485</v>
      </c>
      <c r="P43" s="15" t="s">
        <v>485</v>
      </c>
      <c r="Q43" s="15" t="s">
        <v>485</v>
      </c>
      <c r="R43" s="15" t="s">
        <v>485</v>
      </c>
      <c r="S43" s="14">
        <v>0.01</v>
      </c>
      <c r="T43" s="14">
        <v>0.01</v>
      </c>
      <c r="U43" s="15" t="s">
        <v>485</v>
      </c>
      <c r="V43" s="15" t="s">
        <v>485</v>
      </c>
      <c r="W43" s="15" t="s">
        <v>485</v>
      </c>
      <c r="X43" s="15" t="s">
        <v>485</v>
      </c>
      <c r="Y43" s="14">
        <v>0.01</v>
      </c>
      <c r="Z43" s="15" t="s">
        <v>485</v>
      </c>
      <c r="AA43" s="15" t="s">
        <v>485</v>
      </c>
      <c r="AB43" s="14">
        <v>0.01</v>
      </c>
      <c r="AC43" s="15" t="s">
        <v>485</v>
      </c>
      <c r="AD43" s="15" t="s">
        <v>485</v>
      </c>
      <c r="AE43" s="15" t="s">
        <v>485</v>
      </c>
      <c r="AF43" s="15" t="s">
        <v>485</v>
      </c>
    </row>
    <row r="44" spans="1:32">
      <c r="A44" s="23"/>
      <c r="B44" s="11" t="s">
        <v>618</v>
      </c>
      <c r="C44" s="12">
        <v>164</v>
      </c>
      <c r="D44" s="12">
        <v>3</v>
      </c>
      <c r="E44" s="12">
        <v>9</v>
      </c>
      <c r="F44" s="12">
        <v>14</v>
      </c>
      <c r="G44" s="12">
        <v>6</v>
      </c>
      <c r="H44" s="12">
        <v>3</v>
      </c>
      <c r="I44" s="12">
        <v>5</v>
      </c>
      <c r="J44" s="12">
        <v>2</v>
      </c>
      <c r="K44" s="12">
        <v>4</v>
      </c>
      <c r="L44" s="12">
        <v>2</v>
      </c>
      <c r="M44" s="12">
        <v>2</v>
      </c>
      <c r="N44" s="12">
        <v>10</v>
      </c>
      <c r="O44" s="12">
        <v>12</v>
      </c>
      <c r="P44" s="12">
        <v>0</v>
      </c>
      <c r="Q44" s="12">
        <v>7</v>
      </c>
      <c r="R44" s="12">
        <v>1</v>
      </c>
      <c r="S44" s="12">
        <v>8</v>
      </c>
      <c r="T44" s="12">
        <v>5</v>
      </c>
      <c r="U44" s="12">
        <v>0</v>
      </c>
      <c r="V44" s="12">
        <v>0</v>
      </c>
      <c r="W44" s="12">
        <v>0</v>
      </c>
      <c r="X44" s="12">
        <v>7</v>
      </c>
      <c r="Y44" s="12">
        <v>9</v>
      </c>
      <c r="Z44" s="12">
        <v>5</v>
      </c>
      <c r="AA44" s="12">
        <v>1</v>
      </c>
      <c r="AB44" s="12">
        <v>0</v>
      </c>
      <c r="AC44" s="12">
        <v>4</v>
      </c>
      <c r="AD44" s="12">
        <v>3</v>
      </c>
      <c r="AE44" s="12">
        <v>3</v>
      </c>
      <c r="AF44" s="12">
        <v>1</v>
      </c>
    </row>
    <row r="45" spans="1:32">
      <c r="A45" s="23"/>
      <c r="B45" s="13" t="s">
        <v>619</v>
      </c>
      <c r="C45" s="14">
        <v>0.01</v>
      </c>
      <c r="D45" s="15" t="s">
        <v>485</v>
      </c>
      <c r="E45" s="14">
        <v>0.01</v>
      </c>
      <c r="F45" s="14">
        <v>0.01</v>
      </c>
      <c r="G45" s="14">
        <v>0.01</v>
      </c>
      <c r="H45" s="15" t="s">
        <v>485</v>
      </c>
      <c r="I45" s="15" t="s">
        <v>485</v>
      </c>
      <c r="J45" s="15" t="s">
        <v>485</v>
      </c>
      <c r="K45" s="15" t="s">
        <v>485</v>
      </c>
      <c r="L45" s="15" t="s">
        <v>485</v>
      </c>
      <c r="M45" s="15" t="s">
        <v>485</v>
      </c>
      <c r="N45" s="14">
        <v>0.01</v>
      </c>
      <c r="O45" s="14">
        <v>0.01</v>
      </c>
      <c r="P45" s="15" t="s">
        <v>485</v>
      </c>
      <c r="Q45" s="14">
        <v>0.01</v>
      </c>
      <c r="R45" s="15" t="s">
        <v>485</v>
      </c>
      <c r="S45" s="14">
        <v>0.01</v>
      </c>
      <c r="T45" s="14">
        <v>0.01</v>
      </c>
      <c r="U45" s="15" t="s">
        <v>485</v>
      </c>
      <c r="V45" s="15" t="s">
        <v>485</v>
      </c>
      <c r="W45" s="15" t="s">
        <v>485</v>
      </c>
      <c r="X45" s="14">
        <v>0.01</v>
      </c>
      <c r="Y45" s="14">
        <v>0.01</v>
      </c>
      <c r="Z45" s="14">
        <v>0.01</v>
      </c>
      <c r="AA45" s="15" t="s">
        <v>485</v>
      </c>
      <c r="AB45" s="15" t="s">
        <v>485</v>
      </c>
      <c r="AC45" s="15" t="s">
        <v>485</v>
      </c>
      <c r="AD45" s="15" t="s">
        <v>485</v>
      </c>
      <c r="AE45" s="15" t="s">
        <v>485</v>
      </c>
      <c r="AF45" s="15" t="s">
        <v>485</v>
      </c>
    </row>
    <row r="46" spans="1:32">
      <c r="A46" s="23"/>
      <c r="B46" s="11" t="s">
        <v>497</v>
      </c>
      <c r="C46" s="12">
        <v>240</v>
      </c>
      <c r="D46" s="12">
        <v>0</v>
      </c>
      <c r="E46" s="12">
        <v>15</v>
      </c>
      <c r="F46" s="12">
        <v>48</v>
      </c>
      <c r="G46" s="12">
        <v>7</v>
      </c>
      <c r="H46" s="12">
        <v>5</v>
      </c>
      <c r="I46" s="12">
        <v>5</v>
      </c>
      <c r="J46" s="12">
        <v>0</v>
      </c>
      <c r="K46" s="12">
        <v>11</v>
      </c>
      <c r="L46" s="12">
        <v>9</v>
      </c>
      <c r="M46" s="12">
        <v>5</v>
      </c>
      <c r="N46" s="12">
        <v>8</v>
      </c>
      <c r="O46" s="12">
        <v>17</v>
      </c>
      <c r="P46" s="12">
        <v>0</v>
      </c>
      <c r="Q46" s="12">
        <v>4</v>
      </c>
      <c r="R46" s="12">
        <v>1</v>
      </c>
      <c r="S46" s="12">
        <v>10</v>
      </c>
      <c r="T46" s="12">
        <v>14</v>
      </c>
      <c r="U46" s="12">
        <v>3</v>
      </c>
      <c r="V46" s="12">
        <v>9</v>
      </c>
      <c r="W46" s="12">
        <v>2</v>
      </c>
      <c r="X46" s="12">
        <v>1</v>
      </c>
      <c r="Y46" s="12">
        <v>2</v>
      </c>
      <c r="Z46" s="12">
        <v>18</v>
      </c>
      <c r="AA46" s="12">
        <v>16</v>
      </c>
      <c r="AB46" s="12">
        <v>11</v>
      </c>
      <c r="AC46" s="12">
        <v>4</v>
      </c>
      <c r="AD46" s="12">
        <v>1</v>
      </c>
      <c r="AE46" s="12">
        <v>9</v>
      </c>
      <c r="AF46" s="12">
        <v>3</v>
      </c>
    </row>
    <row r="47" spans="1:32">
      <c r="A47" s="23"/>
      <c r="B47" s="13" t="s">
        <v>498</v>
      </c>
      <c r="C47" s="14">
        <v>0.01</v>
      </c>
      <c r="D47" s="15" t="s">
        <v>485</v>
      </c>
      <c r="E47" s="14">
        <v>0.01</v>
      </c>
      <c r="F47" s="14">
        <v>0.05</v>
      </c>
      <c r="G47" s="14">
        <v>0.01</v>
      </c>
      <c r="H47" s="15" t="s">
        <v>485</v>
      </c>
      <c r="I47" s="15" t="s">
        <v>485</v>
      </c>
      <c r="J47" s="15" t="s">
        <v>485</v>
      </c>
      <c r="K47" s="14">
        <v>0.01</v>
      </c>
      <c r="L47" s="14">
        <v>0.01</v>
      </c>
      <c r="M47" s="15" t="s">
        <v>485</v>
      </c>
      <c r="N47" s="14">
        <v>0.01</v>
      </c>
      <c r="O47" s="14">
        <v>0.02</v>
      </c>
      <c r="P47" s="15" t="s">
        <v>485</v>
      </c>
      <c r="Q47" s="15" t="s">
        <v>485</v>
      </c>
      <c r="R47" s="15" t="s">
        <v>485</v>
      </c>
      <c r="S47" s="14">
        <v>0.01</v>
      </c>
      <c r="T47" s="14">
        <v>0.01</v>
      </c>
      <c r="U47" s="14">
        <v>0.01</v>
      </c>
      <c r="V47" s="14">
        <v>0.01</v>
      </c>
      <c r="W47" s="15" t="s">
        <v>485</v>
      </c>
      <c r="X47" s="15" t="s">
        <v>485</v>
      </c>
      <c r="Y47" s="15" t="s">
        <v>485</v>
      </c>
      <c r="Z47" s="14">
        <v>0.02</v>
      </c>
      <c r="AA47" s="14">
        <v>0.02</v>
      </c>
      <c r="AB47" s="14">
        <v>0.01</v>
      </c>
      <c r="AC47" s="15" t="s">
        <v>485</v>
      </c>
      <c r="AD47" s="15" t="s">
        <v>485</v>
      </c>
      <c r="AE47" s="14">
        <v>0.01</v>
      </c>
      <c r="AF47" s="15" t="s">
        <v>485</v>
      </c>
    </row>
  </sheetData>
  <mergeCells count="9">
    <mergeCell ref="B4:F4"/>
    <mergeCell ref="A10:A47"/>
    <mergeCell ref="H3:L3"/>
    <mergeCell ref="C8:AF8"/>
    <mergeCell ref="B3:F3"/>
    <mergeCell ref="B5:F5"/>
    <mergeCell ref="H5:L5"/>
    <mergeCell ref="B10:B11"/>
    <mergeCell ref="H4:L4"/>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F47"/>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12" customHeight="1">
      <c r="B3" s="19" t="s">
        <v>43</v>
      </c>
      <c r="C3" s="19"/>
      <c r="D3" s="19"/>
      <c r="E3" s="19"/>
      <c r="F3" s="19"/>
      <c r="H3" s="19" t="s">
        <v>44</v>
      </c>
      <c r="I3" s="19"/>
      <c r="J3" s="19"/>
      <c r="K3" s="19"/>
      <c r="L3" s="19"/>
    </row>
    <row r="4" spans="1:32" ht="27" customHeight="1">
      <c r="B4" s="19"/>
      <c r="C4" s="19"/>
      <c r="D4" s="19"/>
      <c r="E4" s="19"/>
      <c r="F4" s="19"/>
      <c r="H4" s="19"/>
      <c r="I4" s="19"/>
      <c r="J4" s="19"/>
      <c r="K4" s="19"/>
      <c r="L4" s="19"/>
    </row>
    <row r="5" spans="1:32" ht="12" customHeight="1">
      <c r="B5" s="19" t="s">
        <v>654</v>
      </c>
      <c r="C5" s="19"/>
      <c r="D5" s="19"/>
      <c r="E5" s="19"/>
      <c r="F5" s="19"/>
      <c r="H5" s="19" t="s">
        <v>655</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HYPERLINK("#Content!A23","&lt;&lt;Back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25951</v>
      </c>
      <c r="D10" s="10">
        <v>1003</v>
      </c>
      <c r="E10" s="10">
        <v>1021</v>
      </c>
      <c r="F10" s="10">
        <v>946</v>
      </c>
      <c r="G10" s="10">
        <v>989</v>
      </c>
      <c r="H10" s="10">
        <v>1202</v>
      </c>
      <c r="I10" s="10">
        <v>1494</v>
      </c>
      <c r="J10" s="10">
        <v>292</v>
      </c>
      <c r="K10" s="10">
        <v>989</v>
      </c>
      <c r="L10" s="10">
        <v>996</v>
      </c>
      <c r="M10" s="10">
        <v>1004</v>
      </c>
      <c r="N10" s="10">
        <v>982</v>
      </c>
      <c r="O10" s="10">
        <v>977</v>
      </c>
      <c r="P10" s="10">
        <v>1011</v>
      </c>
      <c r="Q10" s="10">
        <v>1013</v>
      </c>
      <c r="R10" s="10">
        <v>500</v>
      </c>
      <c r="S10" s="10">
        <v>987</v>
      </c>
      <c r="T10" s="10">
        <v>985</v>
      </c>
      <c r="U10" s="10">
        <v>500</v>
      </c>
      <c r="V10" s="10">
        <v>1002</v>
      </c>
      <c r="W10" s="10">
        <v>501</v>
      </c>
      <c r="X10" s="10">
        <v>1007</v>
      </c>
      <c r="Y10" s="10">
        <v>996</v>
      </c>
      <c r="Z10" s="10">
        <v>994</v>
      </c>
      <c r="AA10" s="10">
        <v>1023</v>
      </c>
      <c r="AB10" s="10">
        <v>1020</v>
      </c>
      <c r="AC10" s="10">
        <v>997</v>
      </c>
      <c r="AD10" s="10">
        <v>998</v>
      </c>
      <c r="AE10" s="10">
        <v>995</v>
      </c>
      <c r="AF10" s="10">
        <v>1069</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23.25">
      <c r="A12" s="23"/>
      <c r="B12" s="11" t="s">
        <v>624</v>
      </c>
      <c r="C12" s="12">
        <v>2495</v>
      </c>
      <c r="D12" s="12">
        <v>122</v>
      </c>
      <c r="E12" s="12">
        <v>61</v>
      </c>
      <c r="F12" s="12">
        <v>66</v>
      </c>
      <c r="G12" s="12">
        <v>98</v>
      </c>
      <c r="H12" s="12">
        <v>55</v>
      </c>
      <c r="I12" s="12">
        <v>82</v>
      </c>
      <c r="J12" s="12">
        <v>27</v>
      </c>
      <c r="K12" s="12">
        <v>46</v>
      </c>
      <c r="L12" s="12">
        <v>97</v>
      </c>
      <c r="M12" s="12">
        <v>55</v>
      </c>
      <c r="N12" s="12">
        <v>150</v>
      </c>
      <c r="O12" s="12">
        <v>140</v>
      </c>
      <c r="P12" s="12">
        <v>69</v>
      </c>
      <c r="Q12" s="12">
        <v>93</v>
      </c>
      <c r="R12" s="12">
        <v>44</v>
      </c>
      <c r="S12" s="12">
        <v>49</v>
      </c>
      <c r="T12" s="12">
        <v>44</v>
      </c>
      <c r="U12" s="12">
        <v>64</v>
      </c>
      <c r="V12" s="12">
        <v>37</v>
      </c>
      <c r="W12" s="12">
        <v>39</v>
      </c>
      <c r="X12" s="12">
        <v>116</v>
      </c>
      <c r="Y12" s="12">
        <v>111</v>
      </c>
      <c r="Z12" s="12">
        <v>82</v>
      </c>
      <c r="AA12" s="12">
        <v>142</v>
      </c>
      <c r="AB12" s="12">
        <v>57</v>
      </c>
      <c r="AC12" s="12">
        <v>71</v>
      </c>
      <c r="AD12" s="12">
        <v>48</v>
      </c>
      <c r="AE12" s="12">
        <v>77</v>
      </c>
      <c r="AF12" s="12">
        <v>130</v>
      </c>
    </row>
    <row r="13" spans="1:32" ht="23.25">
      <c r="A13" s="23"/>
      <c r="B13" s="13" t="s">
        <v>625</v>
      </c>
      <c r="C13" s="14">
        <v>0.1</v>
      </c>
      <c r="D13" s="14">
        <v>0.13</v>
      </c>
      <c r="E13" s="14">
        <v>0.06</v>
      </c>
      <c r="F13" s="14">
        <v>7.0000000000000007E-2</v>
      </c>
      <c r="G13" s="14">
        <v>0.1</v>
      </c>
      <c r="H13" s="14">
        <v>0.05</v>
      </c>
      <c r="I13" s="14">
        <v>0.06</v>
      </c>
      <c r="J13" s="14">
        <v>0.09</v>
      </c>
      <c r="K13" s="14">
        <v>0.05</v>
      </c>
      <c r="L13" s="14">
        <v>0.11</v>
      </c>
      <c r="M13" s="14">
        <v>0.06</v>
      </c>
      <c r="N13" s="14">
        <v>0.16</v>
      </c>
      <c r="O13" s="14">
        <v>0.15</v>
      </c>
      <c r="P13" s="14">
        <v>7.0000000000000007E-2</v>
      </c>
      <c r="Q13" s="14">
        <v>0.09</v>
      </c>
      <c r="R13" s="14">
        <v>0.09</v>
      </c>
      <c r="S13" s="14">
        <v>0.05</v>
      </c>
      <c r="T13" s="14">
        <v>0.05</v>
      </c>
      <c r="U13" s="14">
        <v>0.14000000000000001</v>
      </c>
      <c r="V13" s="14">
        <v>0.04</v>
      </c>
      <c r="W13" s="14">
        <v>0.08</v>
      </c>
      <c r="X13" s="14">
        <v>0.12</v>
      </c>
      <c r="Y13" s="14">
        <v>0.12</v>
      </c>
      <c r="Z13" s="14">
        <v>0.09</v>
      </c>
      <c r="AA13" s="14">
        <v>0.15</v>
      </c>
      <c r="AB13" s="14">
        <v>0.06</v>
      </c>
      <c r="AC13" s="14">
        <v>7.0000000000000007E-2</v>
      </c>
      <c r="AD13" s="14">
        <v>0.05</v>
      </c>
      <c r="AE13" s="14">
        <v>0.08</v>
      </c>
      <c r="AF13" s="14">
        <v>0.12</v>
      </c>
    </row>
    <row r="14" spans="1:32" ht="34.5">
      <c r="A14" s="23"/>
      <c r="B14" s="11" t="s">
        <v>626</v>
      </c>
      <c r="C14" s="12">
        <v>2112</v>
      </c>
      <c r="D14" s="12">
        <v>112</v>
      </c>
      <c r="E14" s="12">
        <v>87</v>
      </c>
      <c r="F14" s="12">
        <v>37</v>
      </c>
      <c r="G14" s="12">
        <v>68</v>
      </c>
      <c r="H14" s="12">
        <v>82</v>
      </c>
      <c r="I14" s="12">
        <v>97</v>
      </c>
      <c r="J14" s="12">
        <v>15</v>
      </c>
      <c r="K14" s="12">
        <v>53</v>
      </c>
      <c r="L14" s="12">
        <v>87</v>
      </c>
      <c r="M14" s="12">
        <v>102</v>
      </c>
      <c r="N14" s="12">
        <v>91</v>
      </c>
      <c r="O14" s="12">
        <v>84</v>
      </c>
      <c r="P14" s="12">
        <v>84</v>
      </c>
      <c r="Q14" s="12">
        <v>102</v>
      </c>
      <c r="R14" s="12">
        <v>31</v>
      </c>
      <c r="S14" s="12">
        <v>80</v>
      </c>
      <c r="T14" s="12">
        <v>51</v>
      </c>
      <c r="U14" s="12">
        <v>63</v>
      </c>
      <c r="V14" s="12">
        <v>88</v>
      </c>
      <c r="W14" s="12">
        <v>63</v>
      </c>
      <c r="X14" s="12">
        <v>80</v>
      </c>
      <c r="Y14" s="12">
        <v>104</v>
      </c>
      <c r="Z14" s="12">
        <v>64</v>
      </c>
      <c r="AA14" s="12">
        <v>117</v>
      </c>
      <c r="AB14" s="12">
        <v>75</v>
      </c>
      <c r="AC14" s="12">
        <v>48</v>
      </c>
      <c r="AD14" s="12">
        <v>67</v>
      </c>
      <c r="AE14" s="12">
        <v>73</v>
      </c>
      <c r="AF14" s="12">
        <v>57</v>
      </c>
    </row>
    <row r="15" spans="1:32" ht="34.5">
      <c r="A15" s="23"/>
      <c r="B15" s="13" t="s">
        <v>627</v>
      </c>
      <c r="C15" s="14">
        <v>0.08</v>
      </c>
      <c r="D15" s="14">
        <v>0.12</v>
      </c>
      <c r="E15" s="14">
        <v>0.09</v>
      </c>
      <c r="F15" s="14">
        <v>0.04</v>
      </c>
      <c r="G15" s="14">
        <v>7.0000000000000007E-2</v>
      </c>
      <c r="H15" s="14">
        <v>7.0000000000000007E-2</v>
      </c>
      <c r="I15" s="14">
        <v>7.0000000000000007E-2</v>
      </c>
      <c r="J15" s="14">
        <v>0.05</v>
      </c>
      <c r="K15" s="14">
        <v>0.05</v>
      </c>
      <c r="L15" s="14">
        <v>0.09</v>
      </c>
      <c r="M15" s="14">
        <v>0.11</v>
      </c>
      <c r="N15" s="14">
        <v>0.1</v>
      </c>
      <c r="O15" s="14">
        <v>0.09</v>
      </c>
      <c r="P15" s="14">
        <v>0.09</v>
      </c>
      <c r="Q15" s="14">
        <v>0.11</v>
      </c>
      <c r="R15" s="14">
        <v>0.06</v>
      </c>
      <c r="S15" s="14">
        <v>0.08</v>
      </c>
      <c r="T15" s="14">
        <v>0.05</v>
      </c>
      <c r="U15" s="14">
        <v>0.13</v>
      </c>
      <c r="V15" s="14">
        <v>0.09</v>
      </c>
      <c r="W15" s="14">
        <v>0.13</v>
      </c>
      <c r="X15" s="14">
        <v>0.08</v>
      </c>
      <c r="Y15" s="14">
        <v>0.11</v>
      </c>
      <c r="Z15" s="14">
        <v>7.0000000000000007E-2</v>
      </c>
      <c r="AA15" s="14">
        <v>0.12</v>
      </c>
      <c r="AB15" s="14">
        <v>0.08</v>
      </c>
      <c r="AC15" s="14">
        <v>0.05</v>
      </c>
      <c r="AD15" s="14">
        <v>7.0000000000000007E-2</v>
      </c>
      <c r="AE15" s="14">
        <v>7.0000000000000007E-2</v>
      </c>
      <c r="AF15" s="14">
        <v>0.05</v>
      </c>
    </row>
    <row r="16" spans="1:32" ht="34.5">
      <c r="A16" s="23"/>
      <c r="B16" s="11" t="s">
        <v>628</v>
      </c>
      <c r="C16" s="12">
        <v>2641</v>
      </c>
      <c r="D16" s="12">
        <v>134</v>
      </c>
      <c r="E16" s="12">
        <v>89</v>
      </c>
      <c r="F16" s="12">
        <v>42</v>
      </c>
      <c r="G16" s="12">
        <v>127</v>
      </c>
      <c r="H16" s="12">
        <v>120</v>
      </c>
      <c r="I16" s="12">
        <v>151</v>
      </c>
      <c r="J16" s="12">
        <v>31</v>
      </c>
      <c r="K16" s="12">
        <v>91</v>
      </c>
      <c r="L16" s="12">
        <v>90</v>
      </c>
      <c r="M16" s="12">
        <v>80</v>
      </c>
      <c r="N16" s="12">
        <v>98</v>
      </c>
      <c r="O16" s="12">
        <v>119</v>
      </c>
      <c r="P16" s="12">
        <v>98</v>
      </c>
      <c r="Q16" s="12">
        <v>104</v>
      </c>
      <c r="R16" s="12">
        <v>15</v>
      </c>
      <c r="S16" s="12">
        <v>36</v>
      </c>
      <c r="T16" s="12">
        <v>87</v>
      </c>
      <c r="U16" s="12">
        <v>45</v>
      </c>
      <c r="V16" s="12">
        <v>97</v>
      </c>
      <c r="W16" s="12">
        <v>48</v>
      </c>
      <c r="X16" s="12">
        <v>138</v>
      </c>
      <c r="Y16" s="12">
        <v>97</v>
      </c>
      <c r="Z16" s="12">
        <v>87</v>
      </c>
      <c r="AA16" s="12">
        <v>94</v>
      </c>
      <c r="AB16" s="12">
        <v>81</v>
      </c>
      <c r="AC16" s="12">
        <v>145</v>
      </c>
      <c r="AD16" s="12">
        <v>99</v>
      </c>
      <c r="AE16" s="12">
        <v>118</v>
      </c>
      <c r="AF16" s="12">
        <v>95</v>
      </c>
    </row>
    <row r="17" spans="1:32" ht="23.25">
      <c r="A17" s="23"/>
      <c r="B17" s="13" t="s">
        <v>629</v>
      </c>
      <c r="C17" s="14">
        <v>0.11</v>
      </c>
      <c r="D17" s="14">
        <v>0.14000000000000001</v>
      </c>
      <c r="E17" s="14">
        <v>0.09</v>
      </c>
      <c r="F17" s="14">
        <v>0.04</v>
      </c>
      <c r="G17" s="14">
        <v>0.14000000000000001</v>
      </c>
      <c r="H17" s="14">
        <v>0.1</v>
      </c>
      <c r="I17" s="14">
        <v>0.11</v>
      </c>
      <c r="J17" s="14">
        <v>0.11</v>
      </c>
      <c r="K17" s="14">
        <v>0.1</v>
      </c>
      <c r="L17" s="14">
        <v>0.09</v>
      </c>
      <c r="M17" s="14">
        <v>0.08</v>
      </c>
      <c r="N17" s="14">
        <v>0.1</v>
      </c>
      <c r="O17" s="14">
        <v>0.13</v>
      </c>
      <c r="P17" s="14">
        <v>0.1</v>
      </c>
      <c r="Q17" s="14">
        <v>0.11</v>
      </c>
      <c r="R17" s="14">
        <v>0.03</v>
      </c>
      <c r="S17" s="14">
        <v>0.04</v>
      </c>
      <c r="T17" s="14">
        <v>0.09</v>
      </c>
      <c r="U17" s="14">
        <v>0.09</v>
      </c>
      <c r="V17" s="14">
        <v>0.1</v>
      </c>
      <c r="W17" s="14">
        <v>0.1</v>
      </c>
      <c r="X17" s="14">
        <v>0.15</v>
      </c>
      <c r="Y17" s="14">
        <v>0.1</v>
      </c>
      <c r="Z17" s="14">
        <v>0.09</v>
      </c>
      <c r="AA17" s="14">
        <v>0.1</v>
      </c>
      <c r="AB17" s="14">
        <v>0.08</v>
      </c>
      <c r="AC17" s="14">
        <v>0.16</v>
      </c>
      <c r="AD17" s="14">
        <v>0.1</v>
      </c>
      <c r="AE17" s="14">
        <v>0.12</v>
      </c>
      <c r="AF17" s="14">
        <v>0.09</v>
      </c>
    </row>
    <row r="18" spans="1:32" ht="34.5">
      <c r="A18" s="23"/>
      <c r="B18" s="11" t="s">
        <v>630</v>
      </c>
      <c r="C18" s="12">
        <v>3188</v>
      </c>
      <c r="D18" s="12">
        <v>128</v>
      </c>
      <c r="E18" s="12">
        <v>140</v>
      </c>
      <c r="F18" s="12">
        <v>134</v>
      </c>
      <c r="G18" s="12">
        <v>101</v>
      </c>
      <c r="H18" s="12">
        <v>132</v>
      </c>
      <c r="I18" s="12">
        <v>168</v>
      </c>
      <c r="J18" s="12">
        <v>36</v>
      </c>
      <c r="K18" s="12">
        <v>88</v>
      </c>
      <c r="L18" s="12">
        <v>94</v>
      </c>
      <c r="M18" s="12">
        <v>195</v>
      </c>
      <c r="N18" s="12">
        <v>83</v>
      </c>
      <c r="O18" s="12">
        <v>99</v>
      </c>
      <c r="P18" s="12">
        <v>130</v>
      </c>
      <c r="Q18" s="12">
        <v>171</v>
      </c>
      <c r="R18" s="12">
        <v>47</v>
      </c>
      <c r="S18" s="12">
        <v>93</v>
      </c>
      <c r="T18" s="12">
        <v>156</v>
      </c>
      <c r="U18" s="12">
        <v>73</v>
      </c>
      <c r="V18" s="12">
        <v>122</v>
      </c>
      <c r="W18" s="12">
        <v>36</v>
      </c>
      <c r="X18" s="12">
        <v>146</v>
      </c>
      <c r="Y18" s="12">
        <v>125</v>
      </c>
      <c r="Z18" s="12">
        <v>108</v>
      </c>
      <c r="AA18" s="12">
        <v>153</v>
      </c>
      <c r="AB18" s="12">
        <v>168</v>
      </c>
      <c r="AC18" s="12">
        <v>104</v>
      </c>
      <c r="AD18" s="12">
        <v>159</v>
      </c>
      <c r="AE18" s="12">
        <v>91</v>
      </c>
      <c r="AF18" s="12">
        <v>93</v>
      </c>
    </row>
    <row r="19" spans="1:32" ht="34.5">
      <c r="A19" s="23"/>
      <c r="B19" s="13" t="s">
        <v>631</v>
      </c>
      <c r="C19" s="14">
        <v>0.13</v>
      </c>
      <c r="D19" s="14">
        <v>0.14000000000000001</v>
      </c>
      <c r="E19" s="14">
        <v>0.15</v>
      </c>
      <c r="F19" s="14">
        <v>0.15</v>
      </c>
      <c r="G19" s="14">
        <v>0.11</v>
      </c>
      <c r="H19" s="14">
        <v>0.12</v>
      </c>
      <c r="I19" s="14">
        <v>0.12</v>
      </c>
      <c r="J19" s="14">
        <v>0.13</v>
      </c>
      <c r="K19" s="14">
        <v>0.09</v>
      </c>
      <c r="L19" s="14">
        <v>0.1</v>
      </c>
      <c r="M19" s="14">
        <v>0.21</v>
      </c>
      <c r="N19" s="14">
        <v>0.09</v>
      </c>
      <c r="O19" s="14">
        <v>0.11</v>
      </c>
      <c r="P19" s="14">
        <v>0.14000000000000001</v>
      </c>
      <c r="Q19" s="14">
        <v>0.18</v>
      </c>
      <c r="R19" s="14">
        <v>0.1</v>
      </c>
      <c r="S19" s="14">
        <v>0.1</v>
      </c>
      <c r="T19" s="14">
        <v>0.17</v>
      </c>
      <c r="U19" s="14">
        <v>0.16</v>
      </c>
      <c r="V19" s="14">
        <v>0.13</v>
      </c>
      <c r="W19" s="14">
        <v>0.08</v>
      </c>
      <c r="X19" s="14">
        <v>0.16</v>
      </c>
      <c r="Y19" s="14">
        <v>0.13</v>
      </c>
      <c r="Z19" s="14">
        <v>0.12</v>
      </c>
      <c r="AA19" s="14">
        <v>0.16</v>
      </c>
      <c r="AB19" s="14">
        <v>0.18</v>
      </c>
      <c r="AC19" s="14">
        <v>0.11</v>
      </c>
      <c r="AD19" s="14">
        <v>0.17</v>
      </c>
      <c r="AE19" s="14">
        <v>0.1</v>
      </c>
      <c r="AF19" s="14">
        <v>0.09</v>
      </c>
    </row>
    <row r="20" spans="1:32" ht="34.5">
      <c r="A20" s="23"/>
      <c r="B20" s="11" t="s">
        <v>632</v>
      </c>
      <c r="C20" s="12">
        <v>1975</v>
      </c>
      <c r="D20" s="12">
        <v>79</v>
      </c>
      <c r="E20" s="12">
        <v>57</v>
      </c>
      <c r="F20" s="12">
        <v>49</v>
      </c>
      <c r="G20" s="12">
        <v>64</v>
      </c>
      <c r="H20" s="12">
        <v>73</v>
      </c>
      <c r="I20" s="12">
        <v>90</v>
      </c>
      <c r="J20" s="12">
        <v>17</v>
      </c>
      <c r="K20" s="12">
        <v>38</v>
      </c>
      <c r="L20" s="12">
        <v>58</v>
      </c>
      <c r="M20" s="12">
        <v>111</v>
      </c>
      <c r="N20" s="12">
        <v>82</v>
      </c>
      <c r="O20" s="12">
        <v>69</v>
      </c>
      <c r="P20" s="12">
        <v>125</v>
      </c>
      <c r="Q20" s="12">
        <v>97</v>
      </c>
      <c r="R20" s="12">
        <v>59</v>
      </c>
      <c r="S20" s="12">
        <v>30</v>
      </c>
      <c r="T20" s="12">
        <v>71</v>
      </c>
      <c r="U20" s="12">
        <v>41</v>
      </c>
      <c r="V20" s="12">
        <v>85</v>
      </c>
      <c r="W20" s="12">
        <v>31</v>
      </c>
      <c r="X20" s="12">
        <v>48</v>
      </c>
      <c r="Y20" s="12">
        <v>97</v>
      </c>
      <c r="Z20" s="12">
        <v>90</v>
      </c>
      <c r="AA20" s="12">
        <v>79</v>
      </c>
      <c r="AB20" s="12">
        <v>108</v>
      </c>
      <c r="AC20" s="12">
        <v>62</v>
      </c>
      <c r="AD20" s="12">
        <v>66</v>
      </c>
      <c r="AE20" s="12">
        <v>37</v>
      </c>
      <c r="AF20" s="12">
        <v>41</v>
      </c>
    </row>
    <row r="21" spans="1:32" ht="34.5">
      <c r="A21" s="23"/>
      <c r="B21" s="13" t="s">
        <v>633</v>
      </c>
      <c r="C21" s="14">
        <v>0.08</v>
      </c>
      <c r="D21" s="14">
        <v>0.08</v>
      </c>
      <c r="E21" s="14">
        <v>0.06</v>
      </c>
      <c r="F21" s="14">
        <v>0.05</v>
      </c>
      <c r="G21" s="14">
        <v>7.0000000000000007E-2</v>
      </c>
      <c r="H21" s="14">
        <v>0.06</v>
      </c>
      <c r="I21" s="14">
        <v>0.06</v>
      </c>
      <c r="J21" s="14">
        <v>0.06</v>
      </c>
      <c r="K21" s="14">
        <v>0.04</v>
      </c>
      <c r="L21" s="14">
        <v>0.06</v>
      </c>
      <c r="M21" s="14">
        <v>0.12</v>
      </c>
      <c r="N21" s="14">
        <v>0.09</v>
      </c>
      <c r="O21" s="14">
        <v>7.0000000000000007E-2</v>
      </c>
      <c r="P21" s="14">
        <v>0.13</v>
      </c>
      <c r="Q21" s="14">
        <v>0.1</v>
      </c>
      <c r="R21" s="14">
        <v>0.13</v>
      </c>
      <c r="S21" s="14">
        <v>0.03</v>
      </c>
      <c r="T21" s="14">
        <v>7.0000000000000007E-2</v>
      </c>
      <c r="U21" s="14">
        <v>0.08</v>
      </c>
      <c r="V21" s="14">
        <v>0.09</v>
      </c>
      <c r="W21" s="14">
        <v>0.06</v>
      </c>
      <c r="X21" s="14">
        <v>0.05</v>
      </c>
      <c r="Y21" s="14">
        <v>0.1</v>
      </c>
      <c r="Z21" s="14">
        <v>0.1</v>
      </c>
      <c r="AA21" s="14">
        <v>0.08</v>
      </c>
      <c r="AB21" s="14">
        <v>0.11</v>
      </c>
      <c r="AC21" s="14">
        <v>0.06</v>
      </c>
      <c r="AD21" s="14">
        <v>7.0000000000000007E-2</v>
      </c>
      <c r="AE21" s="14">
        <v>0.04</v>
      </c>
      <c r="AF21" s="14">
        <v>0.04</v>
      </c>
    </row>
    <row r="22" spans="1:32" ht="34.5">
      <c r="A22" s="23"/>
      <c r="B22" s="11" t="s">
        <v>634</v>
      </c>
      <c r="C22" s="12">
        <v>3682</v>
      </c>
      <c r="D22" s="12">
        <v>147</v>
      </c>
      <c r="E22" s="12">
        <v>117</v>
      </c>
      <c r="F22" s="12">
        <v>121</v>
      </c>
      <c r="G22" s="12">
        <v>169</v>
      </c>
      <c r="H22" s="12">
        <v>160</v>
      </c>
      <c r="I22" s="12">
        <v>221</v>
      </c>
      <c r="J22" s="12">
        <v>61</v>
      </c>
      <c r="K22" s="12">
        <v>136</v>
      </c>
      <c r="L22" s="12">
        <v>129</v>
      </c>
      <c r="M22" s="12">
        <v>143</v>
      </c>
      <c r="N22" s="12">
        <v>124</v>
      </c>
      <c r="O22" s="12">
        <v>129</v>
      </c>
      <c r="P22" s="12">
        <v>145</v>
      </c>
      <c r="Q22" s="12">
        <v>128</v>
      </c>
      <c r="R22" s="12">
        <v>84</v>
      </c>
      <c r="S22" s="12">
        <v>148</v>
      </c>
      <c r="T22" s="12">
        <v>185</v>
      </c>
      <c r="U22" s="12">
        <v>62</v>
      </c>
      <c r="V22" s="12">
        <v>164</v>
      </c>
      <c r="W22" s="12">
        <v>70</v>
      </c>
      <c r="X22" s="12">
        <v>195</v>
      </c>
      <c r="Y22" s="12">
        <v>139</v>
      </c>
      <c r="Z22" s="12">
        <v>110</v>
      </c>
      <c r="AA22" s="12">
        <v>181</v>
      </c>
      <c r="AB22" s="12">
        <v>154</v>
      </c>
      <c r="AC22" s="12">
        <v>159</v>
      </c>
      <c r="AD22" s="12">
        <v>169</v>
      </c>
      <c r="AE22" s="12">
        <v>177</v>
      </c>
      <c r="AF22" s="12">
        <v>246</v>
      </c>
    </row>
    <row r="23" spans="1:32" ht="34.5">
      <c r="A23" s="23"/>
      <c r="B23" s="13" t="s">
        <v>635</v>
      </c>
      <c r="C23" s="14">
        <v>0.16</v>
      </c>
      <c r="D23" s="14">
        <v>0.16</v>
      </c>
      <c r="E23" s="14">
        <v>0.12</v>
      </c>
      <c r="F23" s="14">
        <v>0.14000000000000001</v>
      </c>
      <c r="G23" s="14">
        <v>0.19</v>
      </c>
      <c r="H23" s="14">
        <v>0.15</v>
      </c>
      <c r="I23" s="14">
        <v>0.16</v>
      </c>
      <c r="J23" s="14">
        <v>0.23</v>
      </c>
      <c r="K23" s="14">
        <v>0.15</v>
      </c>
      <c r="L23" s="14">
        <v>0.15</v>
      </c>
      <c r="M23" s="14">
        <v>0.15</v>
      </c>
      <c r="N23" s="14">
        <v>0.14000000000000001</v>
      </c>
      <c r="O23" s="14">
        <v>0.14000000000000001</v>
      </c>
      <c r="P23" s="14">
        <v>0.16</v>
      </c>
      <c r="Q23" s="14">
        <v>0.13</v>
      </c>
      <c r="R23" s="14">
        <v>0.2</v>
      </c>
      <c r="S23" s="14">
        <v>0.17</v>
      </c>
      <c r="T23" s="14">
        <v>0.21</v>
      </c>
      <c r="U23" s="14">
        <v>0.13</v>
      </c>
      <c r="V23" s="14">
        <v>0.18</v>
      </c>
      <c r="W23" s="14">
        <v>0.15</v>
      </c>
      <c r="X23" s="14">
        <v>0.22</v>
      </c>
      <c r="Y23" s="14">
        <v>0.15</v>
      </c>
      <c r="Z23" s="14">
        <v>0.12</v>
      </c>
      <c r="AA23" s="14">
        <v>0.2</v>
      </c>
      <c r="AB23" s="14">
        <v>0.17</v>
      </c>
      <c r="AC23" s="14">
        <v>0.18</v>
      </c>
      <c r="AD23" s="14">
        <v>0.19</v>
      </c>
      <c r="AE23" s="14">
        <v>0.2</v>
      </c>
      <c r="AF23" s="14">
        <v>0.28999999999999998</v>
      </c>
    </row>
    <row r="24" spans="1:32" ht="23.25">
      <c r="A24" s="23"/>
      <c r="B24" s="11" t="s">
        <v>636</v>
      </c>
      <c r="C24" s="12">
        <v>1409</v>
      </c>
      <c r="D24" s="12">
        <v>42</v>
      </c>
      <c r="E24" s="12">
        <v>56</v>
      </c>
      <c r="F24" s="12">
        <v>28</v>
      </c>
      <c r="G24" s="12">
        <v>63</v>
      </c>
      <c r="H24" s="12">
        <v>35</v>
      </c>
      <c r="I24" s="12">
        <v>45</v>
      </c>
      <c r="J24" s="12">
        <v>10</v>
      </c>
      <c r="K24" s="12">
        <v>69</v>
      </c>
      <c r="L24" s="12">
        <v>75</v>
      </c>
      <c r="M24" s="12">
        <v>31</v>
      </c>
      <c r="N24" s="12">
        <v>28</v>
      </c>
      <c r="O24" s="12">
        <v>80</v>
      </c>
      <c r="P24" s="12">
        <v>82</v>
      </c>
      <c r="Q24" s="12">
        <v>67</v>
      </c>
      <c r="R24" s="12">
        <v>24</v>
      </c>
      <c r="S24" s="12">
        <v>27</v>
      </c>
      <c r="T24" s="12">
        <v>36</v>
      </c>
      <c r="U24" s="12">
        <v>19</v>
      </c>
      <c r="V24" s="12">
        <v>56</v>
      </c>
      <c r="W24" s="12">
        <v>50</v>
      </c>
      <c r="X24" s="12">
        <v>67</v>
      </c>
      <c r="Y24" s="12">
        <v>53</v>
      </c>
      <c r="Z24" s="12">
        <v>74</v>
      </c>
      <c r="AA24" s="12">
        <v>35</v>
      </c>
      <c r="AB24" s="12">
        <v>96</v>
      </c>
      <c r="AC24" s="12">
        <v>45</v>
      </c>
      <c r="AD24" s="12">
        <v>48</v>
      </c>
      <c r="AE24" s="12">
        <v>48</v>
      </c>
      <c r="AF24" s="12">
        <v>44</v>
      </c>
    </row>
    <row r="25" spans="1:32" ht="23.25">
      <c r="A25" s="23"/>
      <c r="B25" s="13" t="s">
        <v>637</v>
      </c>
      <c r="C25" s="14">
        <v>0.06</v>
      </c>
      <c r="D25" s="14">
        <v>0.04</v>
      </c>
      <c r="E25" s="14">
        <v>0.06</v>
      </c>
      <c r="F25" s="14">
        <v>0.03</v>
      </c>
      <c r="G25" s="14">
        <v>0.06</v>
      </c>
      <c r="H25" s="14">
        <v>0.03</v>
      </c>
      <c r="I25" s="14">
        <v>0.03</v>
      </c>
      <c r="J25" s="14">
        <v>0.03</v>
      </c>
      <c r="K25" s="14">
        <v>7.0000000000000007E-2</v>
      </c>
      <c r="L25" s="14">
        <v>0.08</v>
      </c>
      <c r="M25" s="14">
        <v>0.03</v>
      </c>
      <c r="N25" s="14">
        <v>0.03</v>
      </c>
      <c r="O25" s="14">
        <v>0.08</v>
      </c>
      <c r="P25" s="14">
        <v>0.08</v>
      </c>
      <c r="Q25" s="14">
        <v>7.0000000000000007E-2</v>
      </c>
      <c r="R25" s="14">
        <v>0.05</v>
      </c>
      <c r="S25" s="14">
        <v>0.03</v>
      </c>
      <c r="T25" s="14">
        <v>0.04</v>
      </c>
      <c r="U25" s="14">
        <v>0.04</v>
      </c>
      <c r="V25" s="14">
        <v>0.06</v>
      </c>
      <c r="W25" s="14">
        <v>0.1</v>
      </c>
      <c r="X25" s="14">
        <v>7.0000000000000007E-2</v>
      </c>
      <c r="Y25" s="14">
        <v>0.05</v>
      </c>
      <c r="Z25" s="14">
        <v>0.08</v>
      </c>
      <c r="AA25" s="14">
        <v>0.04</v>
      </c>
      <c r="AB25" s="14">
        <v>0.1</v>
      </c>
      <c r="AC25" s="14">
        <v>0.05</v>
      </c>
      <c r="AD25" s="14">
        <v>0.05</v>
      </c>
      <c r="AE25" s="14">
        <v>0.05</v>
      </c>
      <c r="AF25" s="14">
        <v>0.04</v>
      </c>
    </row>
    <row r="26" spans="1:32">
      <c r="A26" s="23"/>
      <c r="B26" s="11" t="s">
        <v>638</v>
      </c>
      <c r="C26" s="12">
        <v>2670</v>
      </c>
      <c r="D26" s="12">
        <v>67</v>
      </c>
      <c r="E26" s="12">
        <v>226</v>
      </c>
      <c r="F26" s="12">
        <v>155</v>
      </c>
      <c r="G26" s="12">
        <v>87</v>
      </c>
      <c r="H26" s="12">
        <v>92</v>
      </c>
      <c r="I26" s="12">
        <v>110</v>
      </c>
      <c r="J26" s="12">
        <v>18</v>
      </c>
      <c r="K26" s="12">
        <v>220</v>
      </c>
      <c r="L26" s="12">
        <v>170</v>
      </c>
      <c r="M26" s="12">
        <v>100</v>
      </c>
      <c r="N26" s="12">
        <v>90</v>
      </c>
      <c r="O26" s="12">
        <v>63</v>
      </c>
      <c r="P26" s="12">
        <v>140</v>
      </c>
      <c r="Q26" s="12">
        <v>133</v>
      </c>
      <c r="R26" s="12">
        <v>26</v>
      </c>
      <c r="S26" s="12">
        <v>100</v>
      </c>
      <c r="T26" s="12">
        <v>150</v>
      </c>
      <c r="U26" s="12">
        <v>56</v>
      </c>
      <c r="V26" s="12">
        <v>146</v>
      </c>
      <c r="W26" s="12">
        <v>46</v>
      </c>
      <c r="X26" s="12">
        <v>66</v>
      </c>
      <c r="Y26" s="12">
        <v>71</v>
      </c>
      <c r="Z26" s="12">
        <v>159</v>
      </c>
      <c r="AA26" s="12">
        <v>71</v>
      </c>
      <c r="AB26" s="12">
        <v>158</v>
      </c>
      <c r="AC26" s="12">
        <v>110</v>
      </c>
      <c r="AD26" s="12">
        <v>165</v>
      </c>
      <c r="AE26" s="12">
        <v>130</v>
      </c>
      <c r="AF26" s="12">
        <v>71</v>
      </c>
    </row>
    <row r="27" spans="1:32">
      <c r="A27" s="23"/>
      <c r="B27" s="13" t="s">
        <v>639</v>
      </c>
      <c r="C27" s="14">
        <v>0.11</v>
      </c>
      <c r="D27" s="14">
        <v>7.0000000000000007E-2</v>
      </c>
      <c r="E27" s="14">
        <v>0.25</v>
      </c>
      <c r="F27" s="14">
        <v>0.18</v>
      </c>
      <c r="G27" s="14">
        <v>0.09</v>
      </c>
      <c r="H27" s="14">
        <v>0.08</v>
      </c>
      <c r="I27" s="14">
        <v>7.0000000000000007E-2</v>
      </c>
      <c r="J27" s="14">
        <v>0.06</v>
      </c>
      <c r="K27" s="14">
        <v>0.24</v>
      </c>
      <c r="L27" s="14">
        <v>0.19</v>
      </c>
      <c r="M27" s="14">
        <v>0.1</v>
      </c>
      <c r="N27" s="14">
        <v>0.1</v>
      </c>
      <c r="O27" s="14">
        <v>7.0000000000000007E-2</v>
      </c>
      <c r="P27" s="14">
        <v>0.15</v>
      </c>
      <c r="Q27" s="14">
        <v>0.14000000000000001</v>
      </c>
      <c r="R27" s="14">
        <v>0.05</v>
      </c>
      <c r="S27" s="14">
        <v>0.11</v>
      </c>
      <c r="T27" s="14">
        <v>0.16</v>
      </c>
      <c r="U27" s="14">
        <v>0.12</v>
      </c>
      <c r="V27" s="14">
        <v>0.16</v>
      </c>
      <c r="W27" s="14">
        <v>0.1</v>
      </c>
      <c r="X27" s="14">
        <v>7.0000000000000007E-2</v>
      </c>
      <c r="Y27" s="14">
        <v>7.0000000000000007E-2</v>
      </c>
      <c r="Z27" s="14">
        <v>0.18</v>
      </c>
      <c r="AA27" s="14">
        <v>7.0000000000000007E-2</v>
      </c>
      <c r="AB27" s="14">
        <v>0.17</v>
      </c>
      <c r="AC27" s="14">
        <v>0.11</v>
      </c>
      <c r="AD27" s="14">
        <v>0.18</v>
      </c>
      <c r="AE27" s="14">
        <v>0.14000000000000001</v>
      </c>
      <c r="AF27" s="14">
        <v>7.0000000000000007E-2</v>
      </c>
    </row>
    <row r="28" spans="1:32" ht="23.25">
      <c r="A28" s="23"/>
      <c r="B28" s="11" t="s">
        <v>640</v>
      </c>
      <c r="C28" s="12">
        <v>3872</v>
      </c>
      <c r="D28" s="12">
        <v>142</v>
      </c>
      <c r="E28" s="12">
        <v>137</v>
      </c>
      <c r="F28" s="12">
        <v>189</v>
      </c>
      <c r="G28" s="12">
        <v>187</v>
      </c>
      <c r="H28" s="12">
        <v>174</v>
      </c>
      <c r="I28" s="12">
        <v>232</v>
      </c>
      <c r="J28" s="12">
        <v>58</v>
      </c>
      <c r="K28" s="12">
        <v>203</v>
      </c>
      <c r="L28" s="12">
        <v>137</v>
      </c>
      <c r="M28" s="12">
        <v>154</v>
      </c>
      <c r="N28" s="12">
        <v>110</v>
      </c>
      <c r="O28" s="12">
        <v>145</v>
      </c>
      <c r="P28" s="12">
        <v>176</v>
      </c>
      <c r="Q28" s="12">
        <v>175</v>
      </c>
      <c r="R28" s="12">
        <v>93</v>
      </c>
      <c r="S28" s="12">
        <v>172</v>
      </c>
      <c r="T28" s="12">
        <v>142</v>
      </c>
      <c r="U28" s="12">
        <v>81</v>
      </c>
      <c r="V28" s="12">
        <v>145</v>
      </c>
      <c r="W28" s="12">
        <v>74</v>
      </c>
      <c r="X28" s="12">
        <v>158</v>
      </c>
      <c r="Y28" s="12">
        <v>209</v>
      </c>
      <c r="Z28" s="12">
        <v>107</v>
      </c>
      <c r="AA28" s="12">
        <v>95</v>
      </c>
      <c r="AB28" s="12">
        <v>123</v>
      </c>
      <c r="AC28" s="12">
        <v>167</v>
      </c>
      <c r="AD28" s="12">
        <v>181</v>
      </c>
      <c r="AE28" s="12">
        <v>145</v>
      </c>
      <c r="AF28" s="12">
        <v>252</v>
      </c>
    </row>
    <row r="29" spans="1:32" ht="23.25">
      <c r="A29" s="23"/>
      <c r="B29" s="13" t="s">
        <v>641</v>
      </c>
      <c r="C29" s="14">
        <v>0.16</v>
      </c>
      <c r="D29" s="14">
        <v>0.15</v>
      </c>
      <c r="E29" s="14">
        <v>0.14000000000000001</v>
      </c>
      <c r="F29" s="14">
        <v>0.22</v>
      </c>
      <c r="G29" s="14">
        <v>0.2</v>
      </c>
      <c r="H29" s="14">
        <v>0.15</v>
      </c>
      <c r="I29" s="14">
        <v>0.16</v>
      </c>
      <c r="J29" s="14">
        <v>0.22</v>
      </c>
      <c r="K29" s="14">
        <v>0.22</v>
      </c>
      <c r="L29" s="14">
        <v>0.15</v>
      </c>
      <c r="M29" s="14">
        <v>0.16</v>
      </c>
      <c r="N29" s="14">
        <v>0.12</v>
      </c>
      <c r="O29" s="14">
        <v>0.16</v>
      </c>
      <c r="P29" s="14">
        <v>0.19</v>
      </c>
      <c r="Q29" s="14">
        <v>0.19</v>
      </c>
      <c r="R29" s="14">
        <v>0.2</v>
      </c>
      <c r="S29" s="14">
        <v>0.2</v>
      </c>
      <c r="T29" s="14">
        <v>0.15</v>
      </c>
      <c r="U29" s="14">
        <v>0.17</v>
      </c>
      <c r="V29" s="14">
        <v>0.15</v>
      </c>
      <c r="W29" s="14">
        <v>0.16</v>
      </c>
      <c r="X29" s="14">
        <v>0.17</v>
      </c>
      <c r="Y29" s="14">
        <v>0.23</v>
      </c>
      <c r="Z29" s="14">
        <v>0.11</v>
      </c>
      <c r="AA29" s="14">
        <v>0.1</v>
      </c>
      <c r="AB29" s="14">
        <v>0.13</v>
      </c>
      <c r="AC29" s="14">
        <v>0.18</v>
      </c>
      <c r="AD29" s="14">
        <v>0.2</v>
      </c>
      <c r="AE29" s="14">
        <v>0.16</v>
      </c>
      <c r="AF29" s="14">
        <v>0.26</v>
      </c>
    </row>
    <row r="30" spans="1:32" ht="45.75">
      <c r="A30" s="23"/>
      <c r="B30" s="11" t="s">
        <v>642</v>
      </c>
      <c r="C30" s="12">
        <v>2387</v>
      </c>
      <c r="D30" s="12">
        <v>69</v>
      </c>
      <c r="E30" s="12">
        <v>71</v>
      </c>
      <c r="F30" s="12">
        <v>84</v>
      </c>
      <c r="G30" s="12">
        <v>107</v>
      </c>
      <c r="H30" s="12">
        <v>84</v>
      </c>
      <c r="I30" s="12">
        <v>110</v>
      </c>
      <c r="J30" s="12">
        <v>26</v>
      </c>
      <c r="K30" s="12">
        <v>63</v>
      </c>
      <c r="L30" s="12">
        <v>76</v>
      </c>
      <c r="M30" s="12">
        <v>117</v>
      </c>
      <c r="N30" s="12">
        <v>96</v>
      </c>
      <c r="O30" s="12">
        <v>102</v>
      </c>
      <c r="P30" s="12">
        <v>114</v>
      </c>
      <c r="Q30" s="12">
        <v>111</v>
      </c>
      <c r="R30" s="12">
        <v>53</v>
      </c>
      <c r="S30" s="12">
        <v>55</v>
      </c>
      <c r="T30" s="12">
        <v>82</v>
      </c>
      <c r="U30" s="12">
        <v>31</v>
      </c>
      <c r="V30" s="12">
        <v>79</v>
      </c>
      <c r="W30" s="12">
        <v>50</v>
      </c>
      <c r="X30" s="12">
        <v>91</v>
      </c>
      <c r="Y30" s="12">
        <v>89</v>
      </c>
      <c r="Z30" s="12">
        <v>76</v>
      </c>
      <c r="AA30" s="12">
        <v>125</v>
      </c>
      <c r="AB30" s="12">
        <v>84</v>
      </c>
      <c r="AC30" s="12">
        <v>85</v>
      </c>
      <c r="AD30" s="12">
        <v>94</v>
      </c>
      <c r="AE30" s="12">
        <v>103</v>
      </c>
      <c r="AF30" s="12">
        <v>110</v>
      </c>
    </row>
    <row r="31" spans="1:32" ht="45.75">
      <c r="A31" s="23"/>
      <c r="B31" s="13" t="s">
        <v>643</v>
      </c>
      <c r="C31" s="14">
        <v>0.1</v>
      </c>
      <c r="D31" s="14">
        <v>7.0000000000000007E-2</v>
      </c>
      <c r="E31" s="14">
        <v>7.0000000000000007E-2</v>
      </c>
      <c r="F31" s="14">
        <v>0.09</v>
      </c>
      <c r="G31" s="14">
        <v>0.12</v>
      </c>
      <c r="H31" s="14">
        <v>7.0000000000000007E-2</v>
      </c>
      <c r="I31" s="14">
        <v>0.08</v>
      </c>
      <c r="J31" s="14">
        <v>0.09</v>
      </c>
      <c r="K31" s="14">
        <v>7.0000000000000007E-2</v>
      </c>
      <c r="L31" s="14">
        <v>0.08</v>
      </c>
      <c r="M31" s="14">
        <v>0.12</v>
      </c>
      <c r="N31" s="14">
        <v>0.1</v>
      </c>
      <c r="O31" s="14">
        <v>0.11</v>
      </c>
      <c r="P31" s="14">
        <v>0.12</v>
      </c>
      <c r="Q31" s="14">
        <v>0.12</v>
      </c>
      <c r="R31" s="14">
        <v>0.11</v>
      </c>
      <c r="S31" s="14">
        <v>0.06</v>
      </c>
      <c r="T31" s="14">
        <v>0.09</v>
      </c>
      <c r="U31" s="14">
        <v>0.06</v>
      </c>
      <c r="V31" s="14">
        <v>0.08</v>
      </c>
      <c r="W31" s="14">
        <v>0.1</v>
      </c>
      <c r="X31" s="14">
        <v>0.09</v>
      </c>
      <c r="Y31" s="14">
        <v>0.09</v>
      </c>
      <c r="Z31" s="14">
        <v>0.08</v>
      </c>
      <c r="AA31" s="14">
        <v>0.13</v>
      </c>
      <c r="AB31" s="14">
        <v>0.09</v>
      </c>
      <c r="AC31" s="14">
        <v>0.09</v>
      </c>
      <c r="AD31" s="14">
        <v>0.1</v>
      </c>
      <c r="AE31" s="14">
        <v>0.11</v>
      </c>
      <c r="AF31" s="14">
        <v>0.11</v>
      </c>
    </row>
    <row r="32" spans="1:32">
      <c r="A32" s="23"/>
      <c r="B32" s="11" t="s">
        <v>644</v>
      </c>
      <c r="C32" s="12">
        <v>5256</v>
      </c>
      <c r="D32" s="12">
        <v>191</v>
      </c>
      <c r="E32" s="12">
        <v>166</v>
      </c>
      <c r="F32" s="12">
        <v>216</v>
      </c>
      <c r="G32" s="12">
        <v>222</v>
      </c>
      <c r="H32" s="12">
        <v>396</v>
      </c>
      <c r="I32" s="12">
        <v>465</v>
      </c>
      <c r="J32" s="12">
        <v>69</v>
      </c>
      <c r="K32" s="12">
        <v>98</v>
      </c>
      <c r="L32" s="12">
        <v>164</v>
      </c>
      <c r="M32" s="12">
        <v>203</v>
      </c>
      <c r="N32" s="12">
        <v>200</v>
      </c>
      <c r="O32" s="12">
        <v>147</v>
      </c>
      <c r="P32" s="12">
        <v>110</v>
      </c>
      <c r="Q32" s="12">
        <v>168</v>
      </c>
      <c r="R32" s="12">
        <v>100</v>
      </c>
      <c r="S32" s="12">
        <v>118</v>
      </c>
      <c r="T32" s="12">
        <v>144</v>
      </c>
      <c r="U32" s="12">
        <v>97</v>
      </c>
      <c r="V32" s="12">
        <v>218</v>
      </c>
      <c r="W32" s="12">
        <v>98</v>
      </c>
      <c r="X32" s="12">
        <v>244</v>
      </c>
      <c r="Y32" s="12">
        <v>186</v>
      </c>
      <c r="Z32" s="12">
        <v>132</v>
      </c>
      <c r="AA32" s="12">
        <v>154</v>
      </c>
      <c r="AB32" s="12">
        <v>163</v>
      </c>
      <c r="AC32" s="12">
        <v>102</v>
      </c>
      <c r="AD32" s="12">
        <v>123</v>
      </c>
      <c r="AE32" s="12">
        <v>236</v>
      </c>
      <c r="AF32" s="12">
        <v>312</v>
      </c>
    </row>
    <row r="33" spans="1:32">
      <c r="A33" s="23"/>
      <c r="B33" s="13" t="s">
        <v>645</v>
      </c>
      <c r="C33" s="14">
        <v>0.23</v>
      </c>
      <c r="D33" s="14">
        <v>0.21</v>
      </c>
      <c r="E33" s="14">
        <v>0.18</v>
      </c>
      <c r="F33" s="14">
        <v>0.25</v>
      </c>
      <c r="G33" s="14">
        <v>0.27</v>
      </c>
      <c r="H33" s="14">
        <v>0.41</v>
      </c>
      <c r="I33" s="14">
        <v>0.38</v>
      </c>
      <c r="J33" s="14">
        <v>0.26</v>
      </c>
      <c r="K33" s="14">
        <v>0.1</v>
      </c>
      <c r="L33" s="14">
        <v>0.18</v>
      </c>
      <c r="M33" s="14">
        <v>0.22</v>
      </c>
      <c r="N33" s="14">
        <v>0.24</v>
      </c>
      <c r="O33" s="14">
        <v>0.17</v>
      </c>
      <c r="P33" s="14">
        <v>0.11</v>
      </c>
      <c r="Q33" s="14">
        <v>0.19</v>
      </c>
      <c r="R33" s="14">
        <v>0.23</v>
      </c>
      <c r="S33" s="14">
        <v>0.13</v>
      </c>
      <c r="T33" s="14">
        <v>0.15</v>
      </c>
      <c r="U33" s="14">
        <v>0.23</v>
      </c>
      <c r="V33" s="14">
        <v>0.25</v>
      </c>
      <c r="W33" s="14">
        <v>0.23</v>
      </c>
      <c r="X33" s="14">
        <v>0.28000000000000003</v>
      </c>
      <c r="Y33" s="14">
        <v>0.21</v>
      </c>
      <c r="Z33" s="14">
        <v>0.14000000000000001</v>
      </c>
      <c r="AA33" s="14">
        <v>0.17</v>
      </c>
      <c r="AB33" s="14">
        <v>0.18</v>
      </c>
      <c r="AC33" s="14">
        <v>0.11</v>
      </c>
      <c r="AD33" s="14">
        <v>0.13</v>
      </c>
      <c r="AE33" s="14">
        <v>0.28999999999999998</v>
      </c>
      <c r="AF33" s="14">
        <v>0.39</v>
      </c>
    </row>
    <row r="34" spans="1:32">
      <c r="A34" s="23"/>
      <c r="B34" s="11" t="s">
        <v>646</v>
      </c>
      <c r="C34" s="12">
        <v>3789</v>
      </c>
      <c r="D34" s="12">
        <v>108</v>
      </c>
      <c r="E34" s="12">
        <v>160</v>
      </c>
      <c r="F34" s="12">
        <v>144</v>
      </c>
      <c r="G34" s="12">
        <v>168</v>
      </c>
      <c r="H34" s="12">
        <v>282</v>
      </c>
      <c r="I34" s="12">
        <v>334</v>
      </c>
      <c r="J34" s="12">
        <v>53</v>
      </c>
      <c r="K34" s="12">
        <v>128</v>
      </c>
      <c r="L34" s="12">
        <v>119</v>
      </c>
      <c r="M34" s="12">
        <v>207</v>
      </c>
      <c r="N34" s="12">
        <v>172</v>
      </c>
      <c r="O34" s="12">
        <v>91</v>
      </c>
      <c r="P34" s="12">
        <v>148</v>
      </c>
      <c r="Q34" s="12">
        <v>99</v>
      </c>
      <c r="R34" s="12">
        <v>107</v>
      </c>
      <c r="S34" s="12">
        <v>133</v>
      </c>
      <c r="T34" s="12">
        <v>98</v>
      </c>
      <c r="U34" s="12">
        <v>43</v>
      </c>
      <c r="V34" s="12">
        <v>150</v>
      </c>
      <c r="W34" s="12">
        <v>97</v>
      </c>
      <c r="X34" s="12">
        <v>164</v>
      </c>
      <c r="Y34" s="12">
        <v>165</v>
      </c>
      <c r="Z34" s="12">
        <v>91</v>
      </c>
      <c r="AA34" s="12">
        <v>99</v>
      </c>
      <c r="AB34" s="12">
        <v>146</v>
      </c>
      <c r="AC34" s="12">
        <v>145</v>
      </c>
      <c r="AD34" s="12">
        <v>121</v>
      </c>
      <c r="AE34" s="12">
        <v>213</v>
      </c>
      <c r="AF34" s="12">
        <v>150</v>
      </c>
    </row>
    <row r="35" spans="1:32">
      <c r="A35" s="23"/>
      <c r="B35" s="13" t="s">
        <v>647</v>
      </c>
      <c r="C35" s="14">
        <v>0.16</v>
      </c>
      <c r="D35" s="14">
        <v>0.11</v>
      </c>
      <c r="E35" s="14">
        <v>0.17</v>
      </c>
      <c r="F35" s="14">
        <v>0.16</v>
      </c>
      <c r="G35" s="14">
        <v>0.18</v>
      </c>
      <c r="H35" s="14">
        <v>0.26</v>
      </c>
      <c r="I35" s="14">
        <v>0.25</v>
      </c>
      <c r="J35" s="14">
        <v>0.19</v>
      </c>
      <c r="K35" s="14">
        <v>0.14000000000000001</v>
      </c>
      <c r="L35" s="14">
        <v>0.13</v>
      </c>
      <c r="M35" s="14">
        <v>0.24</v>
      </c>
      <c r="N35" s="14">
        <v>0.19</v>
      </c>
      <c r="O35" s="14">
        <v>0.1</v>
      </c>
      <c r="P35" s="14">
        <v>0.16</v>
      </c>
      <c r="Q35" s="14">
        <v>0.1</v>
      </c>
      <c r="R35" s="14">
        <v>0.23</v>
      </c>
      <c r="S35" s="14">
        <v>0.14000000000000001</v>
      </c>
      <c r="T35" s="14">
        <v>0.1</v>
      </c>
      <c r="U35" s="14">
        <v>0.09</v>
      </c>
      <c r="V35" s="14">
        <v>0.16</v>
      </c>
      <c r="W35" s="14">
        <v>0.21</v>
      </c>
      <c r="X35" s="14">
        <v>0.18</v>
      </c>
      <c r="Y35" s="14">
        <v>0.18</v>
      </c>
      <c r="Z35" s="14">
        <v>0.1</v>
      </c>
      <c r="AA35" s="14">
        <v>0.1</v>
      </c>
      <c r="AB35" s="14">
        <v>0.16</v>
      </c>
      <c r="AC35" s="14">
        <v>0.16</v>
      </c>
      <c r="AD35" s="14">
        <v>0.13</v>
      </c>
      <c r="AE35" s="14">
        <v>0.24</v>
      </c>
      <c r="AF35" s="14">
        <v>0.15</v>
      </c>
    </row>
    <row r="36" spans="1:32" ht="45.75">
      <c r="A36" s="23"/>
      <c r="B36" s="11" t="s">
        <v>648</v>
      </c>
      <c r="C36" s="12">
        <v>2328</v>
      </c>
      <c r="D36" s="12">
        <v>95</v>
      </c>
      <c r="E36" s="12">
        <v>152</v>
      </c>
      <c r="F36" s="12">
        <v>103</v>
      </c>
      <c r="G36" s="12">
        <v>109</v>
      </c>
      <c r="H36" s="12">
        <v>60</v>
      </c>
      <c r="I36" s="12">
        <v>80</v>
      </c>
      <c r="J36" s="12">
        <v>20</v>
      </c>
      <c r="K36" s="12">
        <v>167</v>
      </c>
      <c r="L36" s="12">
        <v>81</v>
      </c>
      <c r="M36" s="12">
        <v>116</v>
      </c>
      <c r="N36" s="12">
        <v>81</v>
      </c>
      <c r="O36" s="12">
        <v>85</v>
      </c>
      <c r="P36" s="12">
        <v>129</v>
      </c>
      <c r="Q36" s="12">
        <v>106</v>
      </c>
      <c r="R36" s="12">
        <v>54</v>
      </c>
      <c r="S36" s="12">
        <v>86</v>
      </c>
      <c r="T36" s="12">
        <v>115</v>
      </c>
      <c r="U36" s="12">
        <v>37</v>
      </c>
      <c r="V36" s="12">
        <v>106</v>
      </c>
      <c r="W36" s="12">
        <v>58</v>
      </c>
      <c r="X36" s="12">
        <v>72</v>
      </c>
      <c r="Y36" s="12">
        <v>117</v>
      </c>
      <c r="Z36" s="12">
        <v>99</v>
      </c>
      <c r="AA36" s="12">
        <v>89</v>
      </c>
      <c r="AB36" s="12">
        <v>149</v>
      </c>
      <c r="AC36" s="12">
        <v>84</v>
      </c>
      <c r="AD36" s="12">
        <v>131</v>
      </c>
      <c r="AE36" s="12">
        <v>60</v>
      </c>
      <c r="AF36" s="12">
        <v>81</v>
      </c>
    </row>
    <row r="37" spans="1:32" ht="45.75">
      <c r="A37" s="23"/>
      <c r="B37" s="13" t="s">
        <v>649</v>
      </c>
      <c r="C37" s="14">
        <v>0.1</v>
      </c>
      <c r="D37" s="14">
        <v>0.1</v>
      </c>
      <c r="E37" s="14">
        <v>0.16</v>
      </c>
      <c r="F37" s="14">
        <v>0.12</v>
      </c>
      <c r="G37" s="14">
        <v>0.12</v>
      </c>
      <c r="H37" s="14">
        <v>0.05</v>
      </c>
      <c r="I37" s="14">
        <v>0.06</v>
      </c>
      <c r="J37" s="14">
        <v>7.0000000000000007E-2</v>
      </c>
      <c r="K37" s="14">
        <v>0.19</v>
      </c>
      <c r="L37" s="14">
        <v>0.09</v>
      </c>
      <c r="M37" s="14">
        <v>0.13</v>
      </c>
      <c r="N37" s="14">
        <v>0.09</v>
      </c>
      <c r="O37" s="14">
        <v>0.09</v>
      </c>
      <c r="P37" s="14">
        <v>0.14000000000000001</v>
      </c>
      <c r="Q37" s="14">
        <v>0.11</v>
      </c>
      <c r="R37" s="14">
        <v>0.12</v>
      </c>
      <c r="S37" s="14">
        <v>0.09</v>
      </c>
      <c r="T37" s="14">
        <v>0.13</v>
      </c>
      <c r="U37" s="14">
        <v>0.08</v>
      </c>
      <c r="V37" s="14">
        <v>0.12</v>
      </c>
      <c r="W37" s="14">
        <v>0.12</v>
      </c>
      <c r="X37" s="14">
        <v>0.08</v>
      </c>
      <c r="Y37" s="14">
        <v>0.12</v>
      </c>
      <c r="Z37" s="14">
        <v>0.11</v>
      </c>
      <c r="AA37" s="14">
        <v>0.09</v>
      </c>
      <c r="AB37" s="14">
        <v>0.16</v>
      </c>
      <c r="AC37" s="14">
        <v>0.09</v>
      </c>
      <c r="AD37" s="14">
        <v>0.14000000000000001</v>
      </c>
      <c r="AE37" s="14">
        <v>0.06</v>
      </c>
      <c r="AF37" s="14">
        <v>0.08</v>
      </c>
    </row>
    <row r="38" spans="1:32" ht="34.5">
      <c r="A38" s="23"/>
      <c r="B38" s="11" t="s">
        <v>650</v>
      </c>
      <c r="C38" s="12">
        <v>966</v>
      </c>
      <c r="D38" s="12">
        <v>54</v>
      </c>
      <c r="E38" s="12">
        <v>34</v>
      </c>
      <c r="F38" s="12">
        <v>17</v>
      </c>
      <c r="G38" s="12">
        <v>37</v>
      </c>
      <c r="H38" s="12">
        <v>44</v>
      </c>
      <c r="I38" s="12">
        <v>54</v>
      </c>
      <c r="J38" s="12">
        <v>10</v>
      </c>
      <c r="K38" s="12">
        <v>33</v>
      </c>
      <c r="L38" s="12">
        <v>54</v>
      </c>
      <c r="M38" s="12">
        <v>27</v>
      </c>
      <c r="N38" s="12">
        <v>27</v>
      </c>
      <c r="O38" s="12">
        <v>25</v>
      </c>
      <c r="P38" s="12">
        <v>33</v>
      </c>
      <c r="Q38" s="12">
        <v>53</v>
      </c>
      <c r="R38" s="12">
        <v>7</v>
      </c>
      <c r="S38" s="12">
        <v>17</v>
      </c>
      <c r="T38" s="12">
        <v>23</v>
      </c>
      <c r="U38" s="12">
        <v>21</v>
      </c>
      <c r="V38" s="12">
        <v>37</v>
      </c>
      <c r="W38" s="12">
        <v>14</v>
      </c>
      <c r="X38" s="12">
        <v>34</v>
      </c>
      <c r="Y38" s="12">
        <v>82</v>
      </c>
      <c r="Z38" s="12">
        <v>46</v>
      </c>
      <c r="AA38" s="12">
        <v>27</v>
      </c>
      <c r="AB38" s="12">
        <v>44</v>
      </c>
      <c r="AC38" s="12">
        <v>21</v>
      </c>
      <c r="AD38" s="12">
        <v>30</v>
      </c>
      <c r="AE38" s="12">
        <v>17</v>
      </c>
      <c r="AF38" s="12">
        <v>52</v>
      </c>
    </row>
    <row r="39" spans="1:32" ht="23.25">
      <c r="A39" s="23"/>
      <c r="B39" s="13" t="s">
        <v>651</v>
      </c>
      <c r="C39" s="14">
        <v>0.04</v>
      </c>
      <c r="D39" s="14">
        <v>0.05</v>
      </c>
      <c r="E39" s="14">
        <v>0.03</v>
      </c>
      <c r="F39" s="14">
        <v>0.02</v>
      </c>
      <c r="G39" s="14">
        <v>0.04</v>
      </c>
      <c r="H39" s="14">
        <v>0.04</v>
      </c>
      <c r="I39" s="14">
        <v>0.04</v>
      </c>
      <c r="J39" s="14">
        <v>0.03</v>
      </c>
      <c r="K39" s="14">
        <v>0.03</v>
      </c>
      <c r="L39" s="14">
        <v>0.06</v>
      </c>
      <c r="M39" s="14">
        <v>0.03</v>
      </c>
      <c r="N39" s="14">
        <v>0.03</v>
      </c>
      <c r="O39" s="14">
        <v>0.03</v>
      </c>
      <c r="P39" s="14">
        <v>0.03</v>
      </c>
      <c r="Q39" s="14">
        <v>0.05</v>
      </c>
      <c r="R39" s="14">
        <v>0.01</v>
      </c>
      <c r="S39" s="14">
        <v>0.02</v>
      </c>
      <c r="T39" s="14">
        <v>0.02</v>
      </c>
      <c r="U39" s="14">
        <v>0.04</v>
      </c>
      <c r="V39" s="14">
        <v>0.04</v>
      </c>
      <c r="W39" s="14">
        <v>0.03</v>
      </c>
      <c r="X39" s="14">
        <v>0.03</v>
      </c>
      <c r="Y39" s="14">
        <v>0.08</v>
      </c>
      <c r="Z39" s="14">
        <v>0.05</v>
      </c>
      <c r="AA39" s="14">
        <v>0.03</v>
      </c>
      <c r="AB39" s="14">
        <v>0.04</v>
      </c>
      <c r="AC39" s="14">
        <v>0.02</v>
      </c>
      <c r="AD39" s="14">
        <v>0.03</v>
      </c>
      <c r="AE39" s="14">
        <v>0.02</v>
      </c>
      <c r="AF39" s="14">
        <v>0.05</v>
      </c>
    </row>
    <row r="40" spans="1:32">
      <c r="A40" s="23"/>
      <c r="B40" s="11" t="s">
        <v>652</v>
      </c>
      <c r="C40" s="12">
        <v>5652</v>
      </c>
      <c r="D40" s="12">
        <v>189</v>
      </c>
      <c r="E40" s="12">
        <v>250</v>
      </c>
      <c r="F40" s="12">
        <v>188</v>
      </c>
      <c r="G40" s="12">
        <v>183</v>
      </c>
      <c r="H40" s="12">
        <v>300</v>
      </c>
      <c r="I40" s="12">
        <v>360</v>
      </c>
      <c r="J40" s="12">
        <v>60</v>
      </c>
      <c r="K40" s="12">
        <v>187</v>
      </c>
      <c r="L40" s="12">
        <v>197</v>
      </c>
      <c r="M40" s="12">
        <v>294</v>
      </c>
      <c r="N40" s="12">
        <v>204</v>
      </c>
      <c r="O40" s="12">
        <v>262</v>
      </c>
      <c r="P40" s="12">
        <v>180</v>
      </c>
      <c r="Q40" s="12">
        <v>189</v>
      </c>
      <c r="R40" s="12">
        <v>126</v>
      </c>
      <c r="S40" s="12">
        <v>202</v>
      </c>
      <c r="T40" s="12">
        <v>222</v>
      </c>
      <c r="U40" s="12">
        <v>92</v>
      </c>
      <c r="V40" s="12">
        <v>207</v>
      </c>
      <c r="W40" s="12">
        <v>94</v>
      </c>
      <c r="X40" s="12">
        <v>194</v>
      </c>
      <c r="Y40" s="12">
        <v>223</v>
      </c>
      <c r="Z40" s="12">
        <v>174</v>
      </c>
      <c r="AA40" s="12">
        <v>224</v>
      </c>
      <c r="AB40" s="12">
        <v>161</v>
      </c>
      <c r="AC40" s="12">
        <v>227</v>
      </c>
      <c r="AD40" s="12">
        <v>252</v>
      </c>
      <c r="AE40" s="12">
        <v>208</v>
      </c>
      <c r="AF40" s="12">
        <v>251</v>
      </c>
    </row>
    <row r="41" spans="1:32">
      <c r="A41" s="23"/>
      <c r="B41" s="13" t="s">
        <v>653</v>
      </c>
      <c r="C41" s="14">
        <v>0.28000000000000003</v>
      </c>
      <c r="D41" s="14">
        <v>0.24</v>
      </c>
      <c r="E41" s="14">
        <v>0.33</v>
      </c>
      <c r="F41" s="14">
        <v>0.28999999999999998</v>
      </c>
      <c r="G41" s="14">
        <v>0.25</v>
      </c>
      <c r="H41" s="14">
        <v>0.36</v>
      </c>
      <c r="I41" s="14">
        <v>0.35</v>
      </c>
      <c r="J41" s="14">
        <v>0.31</v>
      </c>
      <c r="K41" s="14">
        <v>0.3</v>
      </c>
      <c r="L41" s="14">
        <v>0.25</v>
      </c>
      <c r="M41" s="14">
        <v>0.39</v>
      </c>
      <c r="N41" s="14">
        <v>0.25</v>
      </c>
      <c r="O41" s="14">
        <v>0.35</v>
      </c>
      <c r="P41" s="14">
        <v>0.23</v>
      </c>
      <c r="Q41" s="14">
        <v>0.24</v>
      </c>
      <c r="R41" s="14">
        <v>0.33</v>
      </c>
      <c r="S41" s="14">
        <v>0.28999999999999998</v>
      </c>
      <c r="T41" s="14">
        <v>0.38</v>
      </c>
      <c r="U41" s="14">
        <v>0.26</v>
      </c>
      <c r="V41" s="14">
        <v>0.27</v>
      </c>
      <c r="W41" s="14">
        <v>0.24</v>
      </c>
      <c r="X41" s="14">
        <v>0.24</v>
      </c>
      <c r="Y41" s="14">
        <v>0.28999999999999998</v>
      </c>
      <c r="Z41" s="14">
        <v>0.23</v>
      </c>
      <c r="AA41" s="14">
        <v>0.3</v>
      </c>
      <c r="AB41" s="14">
        <v>0.19</v>
      </c>
      <c r="AC41" s="14">
        <v>0.32</v>
      </c>
      <c r="AD41" s="14">
        <v>0.36</v>
      </c>
      <c r="AE41" s="14">
        <v>0.28999999999999998</v>
      </c>
      <c r="AF41" s="14">
        <v>0.28000000000000003</v>
      </c>
    </row>
    <row r="42" spans="1:32">
      <c r="A42" s="23"/>
      <c r="B42" s="11" t="s">
        <v>550</v>
      </c>
      <c r="C42" s="12">
        <v>84</v>
      </c>
      <c r="D42" s="12">
        <v>2</v>
      </c>
      <c r="E42" s="12">
        <v>0</v>
      </c>
      <c r="F42" s="12">
        <v>0</v>
      </c>
      <c r="G42" s="12">
        <v>1</v>
      </c>
      <c r="H42" s="12">
        <v>3</v>
      </c>
      <c r="I42" s="12">
        <v>4</v>
      </c>
      <c r="J42" s="12">
        <v>1</v>
      </c>
      <c r="K42" s="12">
        <v>15</v>
      </c>
      <c r="L42" s="12">
        <v>1</v>
      </c>
      <c r="M42" s="12">
        <v>0</v>
      </c>
      <c r="N42" s="12">
        <v>5</v>
      </c>
      <c r="O42" s="12">
        <v>2</v>
      </c>
      <c r="P42" s="12">
        <v>0</v>
      </c>
      <c r="Q42" s="12">
        <v>4</v>
      </c>
      <c r="R42" s="12">
        <v>0</v>
      </c>
      <c r="S42" s="12">
        <v>10</v>
      </c>
      <c r="T42" s="12">
        <v>4</v>
      </c>
      <c r="U42" s="12">
        <v>1</v>
      </c>
      <c r="V42" s="12">
        <v>2</v>
      </c>
      <c r="W42" s="12">
        <v>0</v>
      </c>
      <c r="X42" s="12">
        <v>4</v>
      </c>
      <c r="Y42" s="12">
        <v>10</v>
      </c>
      <c r="Z42" s="12">
        <v>1</v>
      </c>
      <c r="AA42" s="12">
        <v>2</v>
      </c>
      <c r="AB42" s="12">
        <v>13</v>
      </c>
      <c r="AC42" s="12">
        <v>3</v>
      </c>
      <c r="AD42" s="12">
        <v>1</v>
      </c>
      <c r="AE42" s="12">
        <v>2</v>
      </c>
      <c r="AF42" s="12">
        <v>1</v>
      </c>
    </row>
    <row r="43" spans="1:32">
      <c r="A43" s="23"/>
      <c r="B43" s="13" t="s">
        <v>551</v>
      </c>
      <c r="C43" s="15" t="s">
        <v>485</v>
      </c>
      <c r="D43" s="15" t="s">
        <v>485</v>
      </c>
      <c r="E43" s="15" t="s">
        <v>485</v>
      </c>
      <c r="F43" s="15" t="s">
        <v>485</v>
      </c>
      <c r="G43" s="15" t="s">
        <v>485</v>
      </c>
      <c r="H43" s="15" t="s">
        <v>485</v>
      </c>
      <c r="I43" s="15" t="s">
        <v>485</v>
      </c>
      <c r="J43" s="15" t="s">
        <v>485</v>
      </c>
      <c r="K43" s="14">
        <v>0.02</v>
      </c>
      <c r="L43" s="15" t="s">
        <v>485</v>
      </c>
      <c r="M43" s="15" t="s">
        <v>485</v>
      </c>
      <c r="N43" s="14">
        <v>0.01</v>
      </c>
      <c r="O43" s="15" t="s">
        <v>485</v>
      </c>
      <c r="P43" s="15" t="s">
        <v>485</v>
      </c>
      <c r="Q43" s="15" t="s">
        <v>485</v>
      </c>
      <c r="R43" s="15" t="s">
        <v>485</v>
      </c>
      <c r="S43" s="14">
        <v>0.01</v>
      </c>
      <c r="T43" s="15" t="s">
        <v>485</v>
      </c>
      <c r="U43" s="15" t="s">
        <v>485</v>
      </c>
      <c r="V43" s="15" t="s">
        <v>485</v>
      </c>
      <c r="W43" s="15" t="s">
        <v>485</v>
      </c>
      <c r="X43" s="15" t="s">
        <v>485</v>
      </c>
      <c r="Y43" s="14">
        <v>0.01</v>
      </c>
      <c r="Z43" s="15" t="s">
        <v>485</v>
      </c>
      <c r="AA43" s="15" t="s">
        <v>485</v>
      </c>
      <c r="AB43" s="14">
        <v>0.01</v>
      </c>
      <c r="AC43" s="15" t="s">
        <v>485</v>
      </c>
      <c r="AD43" s="15" t="s">
        <v>485</v>
      </c>
      <c r="AE43" s="15" t="s">
        <v>485</v>
      </c>
      <c r="AF43" s="15" t="s">
        <v>485</v>
      </c>
    </row>
    <row r="44" spans="1:32">
      <c r="A44" s="23"/>
      <c r="B44" s="11" t="s">
        <v>618</v>
      </c>
      <c r="C44" s="12">
        <v>165</v>
      </c>
      <c r="D44" s="12">
        <v>1</v>
      </c>
      <c r="E44" s="12">
        <v>3</v>
      </c>
      <c r="F44" s="12">
        <v>10</v>
      </c>
      <c r="G44" s="12">
        <v>7</v>
      </c>
      <c r="H44" s="12">
        <v>3</v>
      </c>
      <c r="I44" s="12">
        <v>6</v>
      </c>
      <c r="J44" s="12">
        <v>3</v>
      </c>
      <c r="K44" s="12">
        <v>9</v>
      </c>
      <c r="L44" s="12">
        <v>2</v>
      </c>
      <c r="M44" s="12">
        <v>1</v>
      </c>
      <c r="N44" s="12">
        <v>10</v>
      </c>
      <c r="O44" s="12">
        <v>16</v>
      </c>
      <c r="P44" s="12">
        <v>0</v>
      </c>
      <c r="Q44" s="12">
        <v>5</v>
      </c>
      <c r="R44" s="12">
        <v>4</v>
      </c>
      <c r="S44" s="12">
        <v>16</v>
      </c>
      <c r="T44" s="12">
        <v>7</v>
      </c>
      <c r="U44" s="12">
        <v>4</v>
      </c>
      <c r="V44" s="12">
        <v>3</v>
      </c>
      <c r="W44" s="12">
        <v>4</v>
      </c>
      <c r="X44" s="12">
        <v>9</v>
      </c>
      <c r="Y44" s="12">
        <v>4</v>
      </c>
      <c r="Z44" s="12">
        <v>1</v>
      </c>
      <c r="AA44" s="12">
        <v>1</v>
      </c>
      <c r="AB44" s="12">
        <v>0</v>
      </c>
      <c r="AC44" s="12">
        <v>13</v>
      </c>
      <c r="AD44" s="12">
        <v>0</v>
      </c>
      <c r="AE44" s="12">
        <v>6</v>
      </c>
      <c r="AF44" s="12">
        <v>10</v>
      </c>
    </row>
    <row r="45" spans="1:32">
      <c r="A45" s="23"/>
      <c r="B45" s="13" t="s">
        <v>619</v>
      </c>
      <c r="C45" s="14">
        <v>0.01</v>
      </c>
      <c r="D45" s="15" t="s">
        <v>485</v>
      </c>
      <c r="E45" s="15" t="s">
        <v>485</v>
      </c>
      <c r="F45" s="14">
        <v>0.01</v>
      </c>
      <c r="G45" s="14">
        <v>0.01</v>
      </c>
      <c r="H45" s="15" t="s">
        <v>485</v>
      </c>
      <c r="I45" s="15" t="s">
        <v>485</v>
      </c>
      <c r="J45" s="14">
        <v>0.01</v>
      </c>
      <c r="K45" s="14">
        <v>0.01</v>
      </c>
      <c r="L45" s="15" t="s">
        <v>485</v>
      </c>
      <c r="M45" s="15" t="s">
        <v>485</v>
      </c>
      <c r="N45" s="14">
        <v>0.01</v>
      </c>
      <c r="O45" s="14">
        <v>0.02</v>
      </c>
      <c r="P45" s="15" t="s">
        <v>485</v>
      </c>
      <c r="Q45" s="15" t="s">
        <v>485</v>
      </c>
      <c r="R45" s="14">
        <v>0.01</v>
      </c>
      <c r="S45" s="14">
        <v>0.02</v>
      </c>
      <c r="T45" s="14">
        <v>0.01</v>
      </c>
      <c r="U45" s="14">
        <v>0.01</v>
      </c>
      <c r="V45" s="15" t="s">
        <v>485</v>
      </c>
      <c r="W45" s="14">
        <v>0.01</v>
      </c>
      <c r="X45" s="14">
        <v>0.01</v>
      </c>
      <c r="Y45" s="15" t="s">
        <v>485</v>
      </c>
      <c r="Z45" s="15" t="s">
        <v>485</v>
      </c>
      <c r="AA45" s="15" t="s">
        <v>485</v>
      </c>
      <c r="AB45" s="15" t="s">
        <v>485</v>
      </c>
      <c r="AC45" s="14">
        <v>0.01</v>
      </c>
      <c r="AD45" s="15" t="s">
        <v>485</v>
      </c>
      <c r="AE45" s="14">
        <v>0.01</v>
      </c>
      <c r="AF45" s="14">
        <v>0.01</v>
      </c>
    </row>
    <row r="46" spans="1:32">
      <c r="A46" s="23"/>
      <c r="B46" s="11" t="s">
        <v>497</v>
      </c>
      <c r="C46" s="12">
        <v>146</v>
      </c>
      <c r="D46" s="12">
        <v>0</v>
      </c>
      <c r="E46" s="12">
        <v>8</v>
      </c>
      <c r="F46" s="12">
        <v>9</v>
      </c>
      <c r="G46" s="12">
        <v>4</v>
      </c>
      <c r="H46" s="12">
        <v>4</v>
      </c>
      <c r="I46" s="12">
        <v>6</v>
      </c>
      <c r="J46" s="12">
        <v>2</v>
      </c>
      <c r="K46" s="12">
        <v>19</v>
      </c>
      <c r="L46" s="12">
        <v>10</v>
      </c>
      <c r="M46" s="12">
        <v>2</v>
      </c>
      <c r="N46" s="12">
        <v>8</v>
      </c>
      <c r="O46" s="12">
        <v>7</v>
      </c>
      <c r="P46" s="12">
        <v>2</v>
      </c>
      <c r="Q46" s="12">
        <v>4</v>
      </c>
      <c r="R46" s="12">
        <v>1</v>
      </c>
      <c r="S46" s="12">
        <v>51</v>
      </c>
      <c r="T46" s="12">
        <v>13</v>
      </c>
      <c r="U46" s="12">
        <v>2</v>
      </c>
      <c r="V46" s="12">
        <v>10</v>
      </c>
      <c r="W46" s="12">
        <v>0</v>
      </c>
      <c r="X46" s="12">
        <v>0</v>
      </c>
      <c r="Y46" s="12">
        <v>6</v>
      </c>
      <c r="Z46" s="12">
        <v>4</v>
      </c>
      <c r="AA46" s="12">
        <v>12</v>
      </c>
      <c r="AB46" s="12">
        <v>0</v>
      </c>
      <c r="AC46" s="12">
        <v>3</v>
      </c>
      <c r="AD46" s="12">
        <v>4</v>
      </c>
      <c r="AE46" s="12">
        <v>24</v>
      </c>
      <c r="AF46" s="12">
        <v>3</v>
      </c>
    </row>
    <row r="47" spans="1:32">
      <c r="A47" s="23"/>
      <c r="B47" s="13" t="s">
        <v>498</v>
      </c>
      <c r="C47" s="14">
        <v>0.01</v>
      </c>
      <c r="D47" s="15" t="s">
        <v>485</v>
      </c>
      <c r="E47" s="14">
        <v>0.01</v>
      </c>
      <c r="F47" s="14">
        <v>0.01</v>
      </c>
      <c r="G47" s="15" t="s">
        <v>485</v>
      </c>
      <c r="H47" s="15" t="s">
        <v>485</v>
      </c>
      <c r="I47" s="15" t="s">
        <v>485</v>
      </c>
      <c r="J47" s="14">
        <v>0.01</v>
      </c>
      <c r="K47" s="14">
        <v>0.02</v>
      </c>
      <c r="L47" s="14">
        <v>0.01</v>
      </c>
      <c r="M47" s="15" t="s">
        <v>485</v>
      </c>
      <c r="N47" s="14">
        <v>0.01</v>
      </c>
      <c r="O47" s="14">
        <v>0.01</v>
      </c>
      <c r="P47" s="15" t="s">
        <v>485</v>
      </c>
      <c r="Q47" s="15" t="s">
        <v>485</v>
      </c>
      <c r="R47" s="15" t="s">
        <v>485</v>
      </c>
      <c r="S47" s="14">
        <v>0.05</v>
      </c>
      <c r="T47" s="14">
        <v>0.01</v>
      </c>
      <c r="U47" s="14">
        <v>0.01</v>
      </c>
      <c r="V47" s="14">
        <v>0.01</v>
      </c>
      <c r="W47" s="15" t="s">
        <v>485</v>
      </c>
      <c r="X47" s="15" t="s">
        <v>485</v>
      </c>
      <c r="Y47" s="14">
        <v>0.01</v>
      </c>
      <c r="Z47" s="15" t="s">
        <v>485</v>
      </c>
      <c r="AA47" s="14">
        <v>0.01</v>
      </c>
      <c r="AB47" s="15" t="s">
        <v>485</v>
      </c>
      <c r="AC47" s="15" t="s">
        <v>485</v>
      </c>
      <c r="AD47" s="15" t="s">
        <v>485</v>
      </c>
      <c r="AE47" s="14">
        <v>0.02</v>
      </c>
      <c r="AF47" s="15" t="s">
        <v>485</v>
      </c>
    </row>
  </sheetData>
  <mergeCells count="9">
    <mergeCell ref="B4:F4"/>
    <mergeCell ref="A10:A47"/>
    <mergeCell ref="H3:L3"/>
    <mergeCell ref="C8:AF8"/>
    <mergeCell ref="B3:F3"/>
    <mergeCell ref="B5:F5"/>
    <mergeCell ref="H5:L5"/>
    <mergeCell ref="B10:B11"/>
    <mergeCell ref="H4:L4"/>
  </mergeCell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F47"/>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45</v>
      </c>
      <c r="C3" s="19"/>
      <c r="D3" s="19"/>
      <c r="E3" s="19"/>
      <c r="F3" s="19"/>
      <c r="H3" s="19" t="s">
        <v>46</v>
      </c>
      <c r="I3" s="19"/>
      <c r="J3" s="19"/>
      <c r="K3" s="19"/>
      <c r="L3" s="19"/>
    </row>
    <row r="4" spans="1:32" ht="27" customHeight="1">
      <c r="B4" s="19"/>
      <c r="C4" s="19"/>
      <c r="D4" s="19"/>
      <c r="E4" s="19"/>
      <c r="F4" s="19"/>
      <c r="H4" s="19"/>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HYPERLINK("#Content!A24","&lt;&lt;Back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23.25">
      <c r="A12" s="23"/>
      <c r="B12" s="11" t="s">
        <v>624</v>
      </c>
      <c r="C12" s="12">
        <v>3492</v>
      </c>
      <c r="D12" s="12">
        <v>174</v>
      </c>
      <c r="E12" s="12">
        <v>83</v>
      </c>
      <c r="F12" s="12">
        <v>82</v>
      </c>
      <c r="G12" s="12">
        <v>129</v>
      </c>
      <c r="H12" s="12">
        <v>73</v>
      </c>
      <c r="I12" s="12">
        <v>103</v>
      </c>
      <c r="J12" s="12">
        <v>30</v>
      </c>
      <c r="K12" s="12">
        <v>69</v>
      </c>
      <c r="L12" s="12">
        <v>171</v>
      </c>
      <c r="M12" s="12">
        <v>72</v>
      </c>
      <c r="N12" s="12">
        <v>216</v>
      </c>
      <c r="O12" s="12">
        <v>206</v>
      </c>
      <c r="P12" s="12">
        <v>89</v>
      </c>
      <c r="Q12" s="12">
        <v>125</v>
      </c>
      <c r="R12" s="12">
        <v>63</v>
      </c>
      <c r="S12" s="12">
        <v>79</v>
      </c>
      <c r="T12" s="12">
        <v>67</v>
      </c>
      <c r="U12" s="12">
        <v>87</v>
      </c>
      <c r="V12" s="12">
        <v>55</v>
      </c>
      <c r="W12" s="12">
        <v>62</v>
      </c>
      <c r="X12" s="12">
        <v>159</v>
      </c>
      <c r="Y12" s="12">
        <v>171</v>
      </c>
      <c r="Z12" s="12">
        <v>122</v>
      </c>
      <c r="AA12" s="12">
        <v>189</v>
      </c>
      <c r="AB12" s="12">
        <v>78</v>
      </c>
      <c r="AC12" s="12">
        <v>104</v>
      </c>
      <c r="AD12" s="12">
        <v>68</v>
      </c>
      <c r="AE12" s="12">
        <v>103</v>
      </c>
      <c r="AF12" s="12">
        <v>158</v>
      </c>
    </row>
    <row r="13" spans="1:32" ht="23.25">
      <c r="A13" s="23"/>
      <c r="B13" s="13" t="s">
        <v>625</v>
      </c>
      <c r="C13" s="14">
        <v>0.13</v>
      </c>
      <c r="D13" s="14">
        <v>0.17</v>
      </c>
      <c r="E13" s="14">
        <v>0.08</v>
      </c>
      <c r="F13" s="14">
        <v>0.08</v>
      </c>
      <c r="G13" s="14">
        <v>0.13</v>
      </c>
      <c r="H13" s="14">
        <v>0.06</v>
      </c>
      <c r="I13" s="14">
        <v>7.0000000000000007E-2</v>
      </c>
      <c r="J13" s="14">
        <v>0.1</v>
      </c>
      <c r="K13" s="14">
        <v>7.0000000000000007E-2</v>
      </c>
      <c r="L13" s="14">
        <v>0.17</v>
      </c>
      <c r="M13" s="14">
        <v>7.0000000000000007E-2</v>
      </c>
      <c r="N13" s="14">
        <v>0.22</v>
      </c>
      <c r="O13" s="14">
        <v>0.2</v>
      </c>
      <c r="P13" s="14">
        <v>0.09</v>
      </c>
      <c r="Q13" s="14">
        <v>0.12</v>
      </c>
      <c r="R13" s="14">
        <v>0.13</v>
      </c>
      <c r="S13" s="14">
        <v>0.08</v>
      </c>
      <c r="T13" s="14">
        <v>7.0000000000000007E-2</v>
      </c>
      <c r="U13" s="14">
        <v>0.17</v>
      </c>
      <c r="V13" s="14">
        <v>0.05</v>
      </c>
      <c r="W13" s="14">
        <v>0.12</v>
      </c>
      <c r="X13" s="14">
        <v>0.16</v>
      </c>
      <c r="Y13" s="14">
        <v>0.17</v>
      </c>
      <c r="Z13" s="14">
        <v>0.12</v>
      </c>
      <c r="AA13" s="14">
        <v>0.18</v>
      </c>
      <c r="AB13" s="14">
        <v>0.08</v>
      </c>
      <c r="AC13" s="14">
        <v>0.1</v>
      </c>
      <c r="AD13" s="14">
        <v>7.0000000000000007E-2</v>
      </c>
      <c r="AE13" s="14">
        <v>0.1</v>
      </c>
      <c r="AF13" s="14">
        <v>0.15</v>
      </c>
    </row>
    <row r="14" spans="1:32" ht="34.5">
      <c r="A14" s="23"/>
      <c r="B14" s="11" t="s">
        <v>626</v>
      </c>
      <c r="C14" s="12">
        <v>3029</v>
      </c>
      <c r="D14" s="12">
        <v>164</v>
      </c>
      <c r="E14" s="12">
        <v>121</v>
      </c>
      <c r="F14" s="12">
        <v>55</v>
      </c>
      <c r="G14" s="12">
        <v>79</v>
      </c>
      <c r="H14" s="12">
        <v>112</v>
      </c>
      <c r="I14" s="12">
        <v>133</v>
      </c>
      <c r="J14" s="12">
        <v>21</v>
      </c>
      <c r="K14" s="12">
        <v>77</v>
      </c>
      <c r="L14" s="12">
        <v>121</v>
      </c>
      <c r="M14" s="12">
        <v>138</v>
      </c>
      <c r="N14" s="12">
        <v>131</v>
      </c>
      <c r="O14" s="12">
        <v>130</v>
      </c>
      <c r="P14" s="12">
        <v>120</v>
      </c>
      <c r="Q14" s="12">
        <v>151</v>
      </c>
      <c r="R14" s="12">
        <v>41</v>
      </c>
      <c r="S14" s="12">
        <v>122</v>
      </c>
      <c r="T14" s="12">
        <v>72</v>
      </c>
      <c r="U14" s="12">
        <v>76</v>
      </c>
      <c r="V14" s="12">
        <v>131</v>
      </c>
      <c r="W14" s="12">
        <v>84</v>
      </c>
      <c r="X14" s="12">
        <v>123</v>
      </c>
      <c r="Y14" s="12">
        <v>140</v>
      </c>
      <c r="Z14" s="12">
        <v>88</v>
      </c>
      <c r="AA14" s="12">
        <v>159</v>
      </c>
      <c r="AB14" s="12">
        <v>107</v>
      </c>
      <c r="AC14" s="12">
        <v>59</v>
      </c>
      <c r="AD14" s="12">
        <v>97</v>
      </c>
      <c r="AE14" s="12">
        <v>91</v>
      </c>
      <c r="AF14" s="12">
        <v>64</v>
      </c>
    </row>
    <row r="15" spans="1:32" ht="34.5">
      <c r="A15" s="23"/>
      <c r="B15" s="13" t="s">
        <v>627</v>
      </c>
      <c r="C15" s="14">
        <v>0.11</v>
      </c>
      <c r="D15" s="14">
        <v>0.16</v>
      </c>
      <c r="E15" s="14">
        <v>0.12</v>
      </c>
      <c r="F15" s="14">
        <v>0.06</v>
      </c>
      <c r="G15" s="14">
        <v>0.08</v>
      </c>
      <c r="H15" s="14">
        <v>0.09</v>
      </c>
      <c r="I15" s="14">
        <v>0.09</v>
      </c>
      <c r="J15" s="14">
        <v>7.0000000000000007E-2</v>
      </c>
      <c r="K15" s="14">
        <v>0.08</v>
      </c>
      <c r="L15" s="14">
        <v>0.12</v>
      </c>
      <c r="M15" s="14">
        <v>0.14000000000000001</v>
      </c>
      <c r="N15" s="14">
        <v>0.13</v>
      </c>
      <c r="O15" s="14">
        <v>0.13</v>
      </c>
      <c r="P15" s="14">
        <v>0.12</v>
      </c>
      <c r="Q15" s="14">
        <v>0.15</v>
      </c>
      <c r="R15" s="14">
        <v>0.08</v>
      </c>
      <c r="S15" s="14">
        <v>0.12</v>
      </c>
      <c r="T15" s="14">
        <v>7.0000000000000007E-2</v>
      </c>
      <c r="U15" s="14">
        <v>0.15</v>
      </c>
      <c r="V15" s="14">
        <v>0.13</v>
      </c>
      <c r="W15" s="14">
        <v>0.17</v>
      </c>
      <c r="X15" s="14">
        <v>0.12</v>
      </c>
      <c r="Y15" s="14">
        <v>0.14000000000000001</v>
      </c>
      <c r="Z15" s="14">
        <v>0.09</v>
      </c>
      <c r="AA15" s="14">
        <v>0.15</v>
      </c>
      <c r="AB15" s="14">
        <v>0.1</v>
      </c>
      <c r="AC15" s="14">
        <v>0.06</v>
      </c>
      <c r="AD15" s="14">
        <v>0.1</v>
      </c>
      <c r="AE15" s="14">
        <v>0.09</v>
      </c>
      <c r="AF15" s="14">
        <v>0.06</v>
      </c>
    </row>
    <row r="16" spans="1:32" ht="34.5">
      <c r="A16" s="23"/>
      <c r="B16" s="11" t="s">
        <v>628</v>
      </c>
      <c r="C16" s="12">
        <v>3771</v>
      </c>
      <c r="D16" s="12">
        <v>181</v>
      </c>
      <c r="E16" s="12">
        <v>121</v>
      </c>
      <c r="F16" s="12">
        <v>58</v>
      </c>
      <c r="G16" s="12">
        <v>179</v>
      </c>
      <c r="H16" s="12">
        <v>165</v>
      </c>
      <c r="I16" s="12">
        <v>208</v>
      </c>
      <c r="J16" s="12">
        <v>43</v>
      </c>
      <c r="K16" s="12">
        <v>124</v>
      </c>
      <c r="L16" s="12">
        <v>115</v>
      </c>
      <c r="M16" s="12">
        <v>96</v>
      </c>
      <c r="N16" s="12">
        <v>148</v>
      </c>
      <c r="O16" s="12">
        <v>180</v>
      </c>
      <c r="P16" s="12">
        <v>139</v>
      </c>
      <c r="Q16" s="12">
        <v>147</v>
      </c>
      <c r="R16" s="12">
        <v>20</v>
      </c>
      <c r="S16" s="12">
        <v>52</v>
      </c>
      <c r="T16" s="12">
        <v>115</v>
      </c>
      <c r="U16" s="12">
        <v>63</v>
      </c>
      <c r="V16" s="12">
        <v>139</v>
      </c>
      <c r="W16" s="12">
        <v>69</v>
      </c>
      <c r="X16" s="12">
        <v>197</v>
      </c>
      <c r="Y16" s="12">
        <v>136</v>
      </c>
      <c r="Z16" s="12">
        <v>122</v>
      </c>
      <c r="AA16" s="12">
        <v>135</v>
      </c>
      <c r="AB16" s="12">
        <v>126</v>
      </c>
      <c r="AC16" s="12">
        <v>226</v>
      </c>
      <c r="AD16" s="12">
        <v>145</v>
      </c>
      <c r="AE16" s="12">
        <v>145</v>
      </c>
      <c r="AF16" s="12">
        <v>122</v>
      </c>
    </row>
    <row r="17" spans="1:32" ht="23.25">
      <c r="A17" s="23"/>
      <c r="B17" s="13" t="s">
        <v>629</v>
      </c>
      <c r="C17" s="14">
        <v>0.14000000000000001</v>
      </c>
      <c r="D17" s="14">
        <v>0.18</v>
      </c>
      <c r="E17" s="14">
        <v>0.12</v>
      </c>
      <c r="F17" s="14">
        <v>0.06</v>
      </c>
      <c r="G17" s="14">
        <v>0.18</v>
      </c>
      <c r="H17" s="14">
        <v>0.14000000000000001</v>
      </c>
      <c r="I17" s="14">
        <v>0.14000000000000001</v>
      </c>
      <c r="J17" s="14">
        <v>0.15</v>
      </c>
      <c r="K17" s="14">
        <v>0.12</v>
      </c>
      <c r="L17" s="14">
        <v>0.11</v>
      </c>
      <c r="M17" s="14">
        <v>0.09</v>
      </c>
      <c r="N17" s="14">
        <v>0.15</v>
      </c>
      <c r="O17" s="14">
        <v>0.18</v>
      </c>
      <c r="P17" s="14">
        <v>0.14000000000000001</v>
      </c>
      <c r="Q17" s="14">
        <v>0.14000000000000001</v>
      </c>
      <c r="R17" s="14">
        <v>0.04</v>
      </c>
      <c r="S17" s="14">
        <v>0.05</v>
      </c>
      <c r="T17" s="14">
        <v>0.11</v>
      </c>
      <c r="U17" s="14">
        <v>0.12</v>
      </c>
      <c r="V17" s="14">
        <v>0.14000000000000001</v>
      </c>
      <c r="W17" s="14">
        <v>0.14000000000000001</v>
      </c>
      <c r="X17" s="14">
        <v>0.19</v>
      </c>
      <c r="Y17" s="14">
        <v>0.13</v>
      </c>
      <c r="Z17" s="14">
        <v>0.12</v>
      </c>
      <c r="AA17" s="14">
        <v>0.13</v>
      </c>
      <c r="AB17" s="14">
        <v>0.12</v>
      </c>
      <c r="AC17" s="14">
        <v>0.22</v>
      </c>
      <c r="AD17" s="14">
        <v>0.14000000000000001</v>
      </c>
      <c r="AE17" s="14">
        <v>0.14000000000000001</v>
      </c>
      <c r="AF17" s="14">
        <v>0.11</v>
      </c>
    </row>
    <row r="18" spans="1:32" ht="34.5">
      <c r="A18" s="23"/>
      <c r="B18" s="11" t="s">
        <v>630</v>
      </c>
      <c r="C18" s="12">
        <v>4972</v>
      </c>
      <c r="D18" s="12">
        <v>185</v>
      </c>
      <c r="E18" s="12">
        <v>210</v>
      </c>
      <c r="F18" s="12">
        <v>197</v>
      </c>
      <c r="G18" s="12">
        <v>158</v>
      </c>
      <c r="H18" s="12">
        <v>221</v>
      </c>
      <c r="I18" s="12">
        <v>273</v>
      </c>
      <c r="J18" s="12">
        <v>52</v>
      </c>
      <c r="K18" s="12">
        <v>129</v>
      </c>
      <c r="L18" s="12">
        <v>151</v>
      </c>
      <c r="M18" s="12">
        <v>287</v>
      </c>
      <c r="N18" s="12">
        <v>135</v>
      </c>
      <c r="O18" s="12">
        <v>158</v>
      </c>
      <c r="P18" s="12">
        <v>221</v>
      </c>
      <c r="Q18" s="12">
        <v>259</v>
      </c>
      <c r="R18" s="12">
        <v>76</v>
      </c>
      <c r="S18" s="12">
        <v>145</v>
      </c>
      <c r="T18" s="12">
        <v>235</v>
      </c>
      <c r="U18" s="12">
        <v>106</v>
      </c>
      <c r="V18" s="12">
        <v>169</v>
      </c>
      <c r="W18" s="12">
        <v>69</v>
      </c>
      <c r="X18" s="12">
        <v>223</v>
      </c>
      <c r="Y18" s="12">
        <v>192</v>
      </c>
      <c r="Z18" s="12">
        <v>193</v>
      </c>
      <c r="AA18" s="12">
        <v>227</v>
      </c>
      <c r="AB18" s="12">
        <v>230</v>
      </c>
      <c r="AC18" s="12">
        <v>159</v>
      </c>
      <c r="AD18" s="12">
        <v>237</v>
      </c>
      <c r="AE18" s="12">
        <v>135</v>
      </c>
      <c r="AF18" s="12">
        <v>136</v>
      </c>
    </row>
    <row r="19" spans="1:32" ht="34.5">
      <c r="A19" s="23"/>
      <c r="B19" s="13" t="s">
        <v>631</v>
      </c>
      <c r="C19" s="14">
        <v>0.19</v>
      </c>
      <c r="D19" s="14">
        <v>0.18</v>
      </c>
      <c r="E19" s="14">
        <v>0.2</v>
      </c>
      <c r="F19" s="14">
        <v>0.2</v>
      </c>
      <c r="G19" s="14">
        <v>0.16</v>
      </c>
      <c r="H19" s="14">
        <v>0.18</v>
      </c>
      <c r="I19" s="14">
        <v>0.18</v>
      </c>
      <c r="J19" s="14">
        <v>0.18</v>
      </c>
      <c r="K19" s="14">
        <v>0.13</v>
      </c>
      <c r="L19" s="14">
        <v>0.15</v>
      </c>
      <c r="M19" s="14">
        <v>0.28000000000000003</v>
      </c>
      <c r="N19" s="14">
        <v>0.14000000000000001</v>
      </c>
      <c r="O19" s="14">
        <v>0.16</v>
      </c>
      <c r="P19" s="14">
        <v>0.22</v>
      </c>
      <c r="Q19" s="14">
        <v>0.25</v>
      </c>
      <c r="R19" s="14">
        <v>0.15</v>
      </c>
      <c r="S19" s="14">
        <v>0.14000000000000001</v>
      </c>
      <c r="T19" s="14">
        <v>0.23</v>
      </c>
      <c r="U19" s="14">
        <v>0.21</v>
      </c>
      <c r="V19" s="14">
        <v>0.17</v>
      </c>
      <c r="W19" s="14">
        <v>0.14000000000000001</v>
      </c>
      <c r="X19" s="14">
        <v>0.22</v>
      </c>
      <c r="Y19" s="14">
        <v>0.19</v>
      </c>
      <c r="Z19" s="14">
        <v>0.19</v>
      </c>
      <c r="AA19" s="14">
        <v>0.22</v>
      </c>
      <c r="AB19" s="14">
        <v>0.22</v>
      </c>
      <c r="AC19" s="14">
        <v>0.16</v>
      </c>
      <c r="AD19" s="14">
        <v>0.24</v>
      </c>
      <c r="AE19" s="14">
        <v>0.13</v>
      </c>
      <c r="AF19" s="14">
        <v>0.13</v>
      </c>
    </row>
    <row r="20" spans="1:32" ht="34.5">
      <c r="A20" s="23"/>
      <c r="B20" s="11" t="s">
        <v>632</v>
      </c>
      <c r="C20" s="12">
        <v>2855</v>
      </c>
      <c r="D20" s="12">
        <v>119</v>
      </c>
      <c r="E20" s="12">
        <v>94</v>
      </c>
      <c r="F20" s="12">
        <v>70</v>
      </c>
      <c r="G20" s="12">
        <v>75</v>
      </c>
      <c r="H20" s="12">
        <v>96</v>
      </c>
      <c r="I20" s="12">
        <v>119</v>
      </c>
      <c r="J20" s="12">
        <v>23</v>
      </c>
      <c r="K20" s="12">
        <v>48</v>
      </c>
      <c r="L20" s="12">
        <v>92</v>
      </c>
      <c r="M20" s="12">
        <v>165</v>
      </c>
      <c r="N20" s="12">
        <v>127</v>
      </c>
      <c r="O20" s="12">
        <v>100</v>
      </c>
      <c r="P20" s="12">
        <v>177</v>
      </c>
      <c r="Q20" s="12">
        <v>148</v>
      </c>
      <c r="R20" s="12">
        <v>88</v>
      </c>
      <c r="S20" s="12">
        <v>54</v>
      </c>
      <c r="T20" s="12">
        <v>95</v>
      </c>
      <c r="U20" s="12">
        <v>61</v>
      </c>
      <c r="V20" s="12">
        <v>124</v>
      </c>
      <c r="W20" s="12">
        <v>43</v>
      </c>
      <c r="X20" s="12">
        <v>60</v>
      </c>
      <c r="Y20" s="12">
        <v>121</v>
      </c>
      <c r="Z20" s="12">
        <v>133</v>
      </c>
      <c r="AA20" s="12">
        <v>110</v>
      </c>
      <c r="AB20" s="12">
        <v>160</v>
      </c>
      <c r="AC20" s="12">
        <v>93</v>
      </c>
      <c r="AD20" s="12">
        <v>88</v>
      </c>
      <c r="AE20" s="12">
        <v>47</v>
      </c>
      <c r="AF20" s="12">
        <v>59</v>
      </c>
    </row>
    <row r="21" spans="1:32" ht="34.5">
      <c r="A21" s="23"/>
      <c r="B21" s="13" t="s">
        <v>633</v>
      </c>
      <c r="C21" s="14">
        <v>0.11</v>
      </c>
      <c r="D21" s="14">
        <v>0.12</v>
      </c>
      <c r="E21" s="14">
        <v>0.09</v>
      </c>
      <c r="F21" s="14">
        <v>7.0000000000000007E-2</v>
      </c>
      <c r="G21" s="14">
        <v>7.0000000000000007E-2</v>
      </c>
      <c r="H21" s="14">
        <v>0.08</v>
      </c>
      <c r="I21" s="14">
        <v>0.08</v>
      </c>
      <c r="J21" s="14">
        <v>0.08</v>
      </c>
      <c r="K21" s="14">
        <v>0.05</v>
      </c>
      <c r="L21" s="14">
        <v>0.09</v>
      </c>
      <c r="M21" s="14">
        <v>0.16</v>
      </c>
      <c r="N21" s="14">
        <v>0.13</v>
      </c>
      <c r="O21" s="14">
        <v>0.1</v>
      </c>
      <c r="P21" s="14">
        <v>0.18</v>
      </c>
      <c r="Q21" s="14">
        <v>0.14000000000000001</v>
      </c>
      <c r="R21" s="14">
        <v>0.18</v>
      </c>
      <c r="S21" s="14">
        <v>0.05</v>
      </c>
      <c r="T21" s="14">
        <v>0.09</v>
      </c>
      <c r="U21" s="14">
        <v>0.12</v>
      </c>
      <c r="V21" s="14">
        <v>0.12</v>
      </c>
      <c r="W21" s="14">
        <v>0.08</v>
      </c>
      <c r="X21" s="14">
        <v>0.06</v>
      </c>
      <c r="Y21" s="14">
        <v>0.12</v>
      </c>
      <c r="Z21" s="14">
        <v>0.13</v>
      </c>
      <c r="AA21" s="14">
        <v>0.11</v>
      </c>
      <c r="AB21" s="14">
        <v>0.16</v>
      </c>
      <c r="AC21" s="14">
        <v>0.09</v>
      </c>
      <c r="AD21" s="14">
        <v>0.09</v>
      </c>
      <c r="AE21" s="14">
        <v>0.05</v>
      </c>
      <c r="AF21" s="14">
        <v>0.06</v>
      </c>
    </row>
    <row r="22" spans="1:32" ht="34.5">
      <c r="A22" s="23"/>
      <c r="B22" s="11" t="s">
        <v>634</v>
      </c>
      <c r="C22" s="12">
        <v>5883</v>
      </c>
      <c r="D22" s="12">
        <v>249</v>
      </c>
      <c r="E22" s="12">
        <v>180</v>
      </c>
      <c r="F22" s="12">
        <v>197</v>
      </c>
      <c r="G22" s="12">
        <v>267</v>
      </c>
      <c r="H22" s="12">
        <v>259</v>
      </c>
      <c r="I22" s="12">
        <v>345</v>
      </c>
      <c r="J22" s="12">
        <v>85</v>
      </c>
      <c r="K22" s="12">
        <v>205</v>
      </c>
      <c r="L22" s="12">
        <v>246</v>
      </c>
      <c r="M22" s="12">
        <v>215</v>
      </c>
      <c r="N22" s="12">
        <v>212</v>
      </c>
      <c r="O22" s="12">
        <v>200</v>
      </c>
      <c r="P22" s="12">
        <v>232</v>
      </c>
      <c r="Q22" s="12">
        <v>194</v>
      </c>
      <c r="R22" s="12">
        <v>156</v>
      </c>
      <c r="S22" s="12">
        <v>249</v>
      </c>
      <c r="T22" s="12">
        <v>278</v>
      </c>
      <c r="U22" s="12">
        <v>94</v>
      </c>
      <c r="V22" s="12">
        <v>272</v>
      </c>
      <c r="W22" s="12">
        <v>111</v>
      </c>
      <c r="X22" s="12">
        <v>315</v>
      </c>
      <c r="Y22" s="12">
        <v>203</v>
      </c>
      <c r="Z22" s="12">
        <v>180</v>
      </c>
      <c r="AA22" s="12">
        <v>284</v>
      </c>
      <c r="AB22" s="12">
        <v>243</v>
      </c>
      <c r="AC22" s="12">
        <v>269</v>
      </c>
      <c r="AD22" s="12">
        <v>279</v>
      </c>
      <c r="AE22" s="12">
        <v>281</v>
      </c>
      <c r="AF22" s="12">
        <v>453</v>
      </c>
    </row>
    <row r="23" spans="1:32" ht="34.5">
      <c r="A23" s="23"/>
      <c r="B23" s="13" t="s">
        <v>635</v>
      </c>
      <c r="C23" s="14">
        <v>0.22</v>
      </c>
      <c r="D23" s="14">
        <v>0.25</v>
      </c>
      <c r="E23" s="14">
        <v>0.17</v>
      </c>
      <c r="F23" s="14">
        <v>0.2</v>
      </c>
      <c r="G23" s="14">
        <v>0.27</v>
      </c>
      <c r="H23" s="14">
        <v>0.21</v>
      </c>
      <c r="I23" s="14">
        <v>0.23</v>
      </c>
      <c r="J23" s="14">
        <v>0.28999999999999998</v>
      </c>
      <c r="K23" s="14">
        <v>0.2</v>
      </c>
      <c r="L23" s="14">
        <v>0.24</v>
      </c>
      <c r="M23" s="14">
        <v>0.21</v>
      </c>
      <c r="N23" s="14">
        <v>0.21</v>
      </c>
      <c r="O23" s="14">
        <v>0.2</v>
      </c>
      <c r="P23" s="14">
        <v>0.23</v>
      </c>
      <c r="Q23" s="14">
        <v>0.19</v>
      </c>
      <c r="R23" s="14">
        <v>0.31</v>
      </c>
      <c r="S23" s="14">
        <v>0.25</v>
      </c>
      <c r="T23" s="14">
        <v>0.28000000000000003</v>
      </c>
      <c r="U23" s="14">
        <v>0.19</v>
      </c>
      <c r="V23" s="14">
        <v>0.27</v>
      </c>
      <c r="W23" s="14">
        <v>0.22</v>
      </c>
      <c r="X23" s="14">
        <v>0.31</v>
      </c>
      <c r="Y23" s="14">
        <v>0.2</v>
      </c>
      <c r="Z23" s="14">
        <v>0.18</v>
      </c>
      <c r="AA23" s="14">
        <v>0.27</v>
      </c>
      <c r="AB23" s="14">
        <v>0.24</v>
      </c>
      <c r="AC23" s="14">
        <v>0.27</v>
      </c>
      <c r="AD23" s="14">
        <v>0.28000000000000003</v>
      </c>
      <c r="AE23" s="14">
        <v>0.28000000000000003</v>
      </c>
      <c r="AF23" s="14">
        <v>0.42</v>
      </c>
    </row>
    <row r="24" spans="1:32" ht="23.25">
      <c r="A24" s="23"/>
      <c r="B24" s="11" t="s">
        <v>636</v>
      </c>
      <c r="C24" s="12">
        <v>1886</v>
      </c>
      <c r="D24" s="12">
        <v>63</v>
      </c>
      <c r="E24" s="12">
        <v>75</v>
      </c>
      <c r="F24" s="12">
        <v>40</v>
      </c>
      <c r="G24" s="12">
        <v>70</v>
      </c>
      <c r="H24" s="12">
        <v>49</v>
      </c>
      <c r="I24" s="12">
        <v>62</v>
      </c>
      <c r="J24" s="12">
        <v>13</v>
      </c>
      <c r="K24" s="12">
        <v>96</v>
      </c>
      <c r="L24" s="12">
        <v>113</v>
      </c>
      <c r="M24" s="12">
        <v>40</v>
      </c>
      <c r="N24" s="12">
        <v>43</v>
      </c>
      <c r="O24" s="12">
        <v>103</v>
      </c>
      <c r="P24" s="12">
        <v>99</v>
      </c>
      <c r="Q24" s="12">
        <v>84</v>
      </c>
      <c r="R24" s="12">
        <v>38</v>
      </c>
      <c r="S24" s="12">
        <v>39</v>
      </c>
      <c r="T24" s="12">
        <v>48</v>
      </c>
      <c r="U24" s="12">
        <v>22</v>
      </c>
      <c r="V24" s="12">
        <v>71</v>
      </c>
      <c r="W24" s="12">
        <v>74</v>
      </c>
      <c r="X24" s="12">
        <v>89</v>
      </c>
      <c r="Y24" s="12">
        <v>72</v>
      </c>
      <c r="Z24" s="12">
        <v>97</v>
      </c>
      <c r="AA24" s="12">
        <v>51</v>
      </c>
      <c r="AB24" s="12">
        <v>145</v>
      </c>
      <c r="AC24" s="12">
        <v>55</v>
      </c>
      <c r="AD24" s="12">
        <v>60</v>
      </c>
      <c r="AE24" s="12">
        <v>71</v>
      </c>
      <c r="AF24" s="12">
        <v>50</v>
      </c>
    </row>
    <row r="25" spans="1:32" ht="23.25">
      <c r="A25" s="23"/>
      <c r="B25" s="13" t="s">
        <v>637</v>
      </c>
      <c r="C25" s="14">
        <v>7.0000000000000007E-2</v>
      </c>
      <c r="D25" s="14">
        <v>0.06</v>
      </c>
      <c r="E25" s="14">
        <v>7.0000000000000007E-2</v>
      </c>
      <c r="F25" s="14">
        <v>0.04</v>
      </c>
      <c r="G25" s="14">
        <v>7.0000000000000007E-2</v>
      </c>
      <c r="H25" s="14">
        <v>0.04</v>
      </c>
      <c r="I25" s="14">
        <v>0.04</v>
      </c>
      <c r="J25" s="14">
        <v>0.05</v>
      </c>
      <c r="K25" s="14">
        <v>0.1</v>
      </c>
      <c r="L25" s="14">
        <v>0.11</v>
      </c>
      <c r="M25" s="14">
        <v>0.04</v>
      </c>
      <c r="N25" s="14">
        <v>0.04</v>
      </c>
      <c r="O25" s="14">
        <v>0.1</v>
      </c>
      <c r="P25" s="14">
        <v>0.1</v>
      </c>
      <c r="Q25" s="14">
        <v>0.08</v>
      </c>
      <c r="R25" s="14">
        <v>0.08</v>
      </c>
      <c r="S25" s="14">
        <v>0.04</v>
      </c>
      <c r="T25" s="14">
        <v>0.05</v>
      </c>
      <c r="U25" s="14">
        <v>0.04</v>
      </c>
      <c r="V25" s="14">
        <v>7.0000000000000007E-2</v>
      </c>
      <c r="W25" s="14">
        <v>0.15</v>
      </c>
      <c r="X25" s="14">
        <v>0.09</v>
      </c>
      <c r="Y25" s="14">
        <v>7.0000000000000007E-2</v>
      </c>
      <c r="Z25" s="14">
        <v>0.1</v>
      </c>
      <c r="AA25" s="14">
        <v>0.05</v>
      </c>
      <c r="AB25" s="14">
        <v>0.14000000000000001</v>
      </c>
      <c r="AC25" s="14">
        <v>0.05</v>
      </c>
      <c r="AD25" s="14">
        <v>0.06</v>
      </c>
      <c r="AE25" s="14">
        <v>7.0000000000000007E-2</v>
      </c>
      <c r="AF25" s="14">
        <v>0.05</v>
      </c>
    </row>
    <row r="26" spans="1:32">
      <c r="A26" s="23"/>
      <c r="B26" s="11" t="s">
        <v>638</v>
      </c>
      <c r="C26" s="12">
        <v>4039</v>
      </c>
      <c r="D26" s="12">
        <v>112</v>
      </c>
      <c r="E26" s="12">
        <v>352</v>
      </c>
      <c r="F26" s="12">
        <v>225</v>
      </c>
      <c r="G26" s="12">
        <v>126</v>
      </c>
      <c r="H26" s="12">
        <v>110</v>
      </c>
      <c r="I26" s="12">
        <v>140</v>
      </c>
      <c r="J26" s="12">
        <v>30</v>
      </c>
      <c r="K26" s="12">
        <v>293</v>
      </c>
      <c r="L26" s="12">
        <v>254</v>
      </c>
      <c r="M26" s="12">
        <v>149</v>
      </c>
      <c r="N26" s="12">
        <v>133</v>
      </c>
      <c r="O26" s="12">
        <v>91</v>
      </c>
      <c r="P26" s="12">
        <v>230</v>
      </c>
      <c r="Q26" s="12">
        <v>203</v>
      </c>
      <c r="R26" s="12">
        <v>37</v>
      </c>
      <c r="S26" s="12">
        <v>152</v>
      </c>
      <c r="T26" s="12">
        <v>209</v>
      </c>
      <c r="U26" s="12">
        <v>91</v>
      </c>
      <c r="V26" s="12">
        <v>221</v>
      </c>
      <c r="W26" s="12">
        <v>74</v>
      </c>
      <c r="X26" s="12">
        <v>104</v>
      </c>
      <c r="Y26" s="12">
        <v>118</v>
      </c>
      <c r="Z26" s="12">
        <v>281</v>
      </c>
      <c r="AA26" s="12">
        <v>101</v>
      </c>
      <c r="AB26" s="12">
        <v>269</v>
      </c>
      <c r="AC26" s="12">
        <v>139</v>
      </c>
      <c r="AD26" s="12">
        <v>236</v>
      </c>
      <c r="AE26" s="12">
        <v>162</v>
      </c>
      <c r="AF26" s="12">
        <v>114</v>
      </c>
    </row>
    <row r="27" spans="1:32">
      <c r="A27" s="23"/>
      <c r="B27" s="13" t="s">
        <v>639</v>
      </c>
      <c r="C27" s="14">
        <v>0.15</v>
      </c>
      <c r="D27" s="14">
        <v>0.11</v>
      </c>
      <c r="E27" s="14">
        <v>0.34</v>
      </c>
      <c r="F27" s="14">
        <v>0.22</v>
      </c>
      <c r="G27" s="14">
        <v>0.13</v>
      </c>
      <c r="H27" s="14">
        <v>0.09</v>
      </c>
      <c r="I27" s="14">
        <v>0.09</v>
      </c>
      <c r="J27" s="14">
        <v>0.1</v>
      </c>
      <c r="K27" s="14">
        <v>0.28999999999999998</v>
      </c>
      <c r="L27" s="14">
        <v>0.25</v>
      </c>
      <c r="M27" s="14">
        <v>0.15</v>
      </c>
      <c r="N27" s="14">
        <v>0.13</v>
      </c>
      <c r="O27" s="14">
        <v>0.09</v>
      </c>
      <c r="P27" s="14">
        <v>0.23</v>
      </c>
      <c r="Q27" s="14">
        <v>0.2</v>
      </c>
      <c r="R27" s="14">
        <v>7.0000000000000007E-2</v>
      </c>
      <c r="S27" s="14">
        <v>0.15</v>
      </c>
      <c r="T27" s="14">
        <v>0.21</v>
      </c>
      <c r="U27" s="14">
        <v>0.18</v>
      </c>
      <c r="V27" s="14">
        <v>0.22</v>
      </c>
      <c r="W27" s="14">
        <v>0.15</v>
      </c>
      <c r="X27" s="14">
        <v>0.1</v>
      </c>
      <c r="Y27" s="14">
        <v>0.12</v>
      </c>
      <c r="Z27" s="14">
        <v>0.28000000000000003</v>
      </c>
      <c r="AA27" s="14">
        <v>0.1</v>
      </c>
      <c r="AB27" s="14">
        <v>0.26</v>
      </c>
      <c r="AC27" s="14">
        <v>0.14000000000000001</v>
      </c>
      <c r="AD27" s="14">
        <v>0.24</v>
      </c>
      <c r="AE27" s="14">
        <v>0.16</v>
      </c>
      <c r="AF27" s="14">
        <v>0.11</v>
      </c>
    </row>
    <row r="28" spans="1:32" ht="23.25">
      <c r="A28" s="23"/>
      <c r="B28" s="11" t="s">
        <v>640</v>
      </c>
      <c r="C28" s="12">
        <v>5608</v>
      </c>
      <c r="D28" s="12">
        <v>214</v>
      </c>
      <c r="E28" s="12">
        <v>185</v>
      </c>
      <c r="F28" s="12">
        <v>276</v>
      </c>
      <c r="G28" s="12">
        <v>256</v>
      </c>
      <c r="H28" s="12">
        <v>231</v>
      </c>
      <c r="I28" s="12">
        <v>317</v>
      </c>
      <c r="J28" s="12">
        <v>85</v>
      </c>
      <c r="K28" s="12">
        <v>272</v>
      </c>
      <c r="L28" s="12">
        <v>214</v>
      </c>
      <c r="M28" s="12">
        <v>212</v>
      </c>
      <c r="N28" s="12">
        <v>172</v>
      </c>
      <c r="O28" s="12">
        <v>228</v>
      </c>
      <c r="P28" s="12">
        <v>267</v>
      </c>
      <c r="Q28" s="12">
        <v>241</v>
      </c>
      <c r="R28" s="12">
        <v>121</v>
      </c>
      <c r="S28" s="12">
        <v>297</v>
      </c>
      <c r="T28" s="12">
        <v>205</v>
      </c>
      <c r="U28" s="12">
        <v>105</v>
      </c>
      <c r="V28" s="12">
        <v>188</v>
      </c>
      <c r="W28" s="12">
        <v>112</v>
      </c>
      <c r="X28" s="12">
        <v>246</v>
      </c>
      <c r="Y28" s="12">
        <v>304</v>
      </c>
      <c r="Z28" s="12">
        <v>158</v>
      </c>
      <c r="AA28" s="12">
        <v>140</v>
      </c>
      <c r="AB28" s="12">
        <v>180</v>
      </c>
      <c r="AC28" s="12">
        <v>242</v>
      </c>
      <c r="AD28" s="12">
        <v>259</v>
      </c>
      <c r="AE28" s="12">
        <v>207</v>
      </c>
      <c r="AF28" s="12">
        <v>348</v>
      </c>
    </row>
    <row r="29" spans="1:32" ht="23.25">
      <c r="A29" s="23"/>
      <c r="B29" s="13" t="s">
        <v>641</v>
      </c>
      <c r="C29" s="14">
        <v>0.21</v>
      </c>
      <c r="D29" s="14">
        <v>0.21</v>
      </c>
      <c r="E29" s="14">
        <v>0.18</v>
      </c>
      <c r="F29" s="14">
        <v>0.27</v>
      </c>
      <c r="G29" s="14">
        <v>0.26</v>
      </c>
      <c r="H29" s="14">
        <v>0.19</v>
      </c>
      <c r="I29" s="14">
        <v>0.21</v>
      </c>
      <c r="J29" s="14">
        <v>0.28999999999999998</v>
      </c>
      <c r="K29" s="14">
        <v>0.27</v>
      </c>
      <c r="L29" s="14">
        <v>0.21</v>
      </c>
      <c r="M29" s="14">
        <v>0.21</v>
      </c>
      <c r="N29" s="14">
        <v>0.17</v>
      </c>
      <c r="O29" s="14">
        <v>0.23</v>
      </c>
      <c r="P29" s="14">
        <v>0.26</v>
      </c>
      <c r="Q29" s="14">
        <v>0.24</v>
      </c>
      <c r="R29" s="14">
        <v>0.24</v>
      </c>
      <c r="S29" s="14">
        <v>0.3</v>
      </c>
      <c r="T29" s="14">
        <v>0.2</v>
      </c>
      <c r="U29" s="14">
        <v>0.21</v>
      </c>
      <c r="V29" s="14">
        <v>0.19</v>
      </c>
      <c r="W29" s="14">
        <v>0.22</v>
      </c>
      <c r="X29" s="14">
        <v>0.24</v>
      </c>
      <c r="Y29" s="14">
        <v>0.3</v>
      </c>
      <c r="Z29" s="14">
        <v>0.16</v>
      </c>
      <c r="AA29" s="14">
        <v>0.13</v>
      </c>
      <c r="AB29" s="14">
        <v>0.17</v>
      </c>
      <c r="AC29" s="14">
        <v>0.24</v>
      </c>
      <c r="AD29" s="14">
        <v>0.26</v>
      </c>
      <c r="AE29" s="14">
        <v>0.2</v>
      </c>
      <c r="AF29" s="14">
        <v>0.32</v>
      </c>
    </row>
    <row r="30" spans="1:32" ht="45.75">
      <c r="A30" s="23"/>
      <c r="B30" s="11" t="s">
        <v>642</v>
      </c>
      <c r="C30" s="12">
        <v>3711</v>
      </c>
      <c r="D30" s="12">
        <v>107</v>
      </c>
      <c r="E30" s="12">
        <v>113</v>
      </c>
      <c r="F30" s="12">
        <v>125</v>
      </c>
      <c r="G30" s="12">
        <v>167</v>
      </c>
      <c r="H30" s="12">
        <v>136</v>
      </c>
      <c r="I30" s="12">
        <v>176</v>
      </c>
      <c r="J30" s="12">
        <v>40</v>
      </c>
      <c r="K30" s="12">
        <v>94</v>
      </c>
      <c r="L30" s="12">
        <v>122</v>
      </c>
      <c r="M30" s="12">
        <v>173</v>
      </c>
      <c r="N30" s="12">
        <v>160</v>
      </c>
      <c r="O30" s="12">
        <v>159</v>
      </c>
      <c r="P30" s="12">
        <v>171</v>
      </c>
      <c r="Q30" s="12">
        <v>172</v>
      </c>
      <c r="R30" s="12">
        <v>77</v>
      </c>
      <c r="S30" s="12">
        <v>76</v>
      </c>
      <c r="T30" s="12">
        <v>98</v>
      </c>
      <c r="U30" s="12">
        <v>52</v>
      </c>
      <c r="V30" s="12">
        <v>133</v>
      </c>
      <c r="W30" s="12">
        <v>72</v>
      </c>
      <c r="X30" s="12">
        <v>121</v>
      </c>
      <c r="Y30" s="12">
        <v>126</v>
      </c>
      <c r="Z30" s="12">
        <v>119</v>
      </c>
      <c r="AA30" s="12">
        <v>180</v>
      </c>
      <c r="AB30" s="12">
        <v>129</v>
      </c>
      <c r="AC30" s="12">
        <v>124</v>
      </c>
      <c r="AD30" s="12">
        <v>147</v>
      </c>
      <c r="AE30" s="12">
        <v>168</v>
      </c>
      <c r="AF30" s="12">
        <v>169</v>
      </c>
    </row>
    <row r="31" spans="1:32" ht="45.75">
      <c r="A31" s="23"/>
      <c r="B31" s="13" t="s">
        <v>643</v>
      </c>
      <c r="C31" s="14">
        <v>0.14000000000000001</v>
      </c>
      <c r="D31" s="14">
        <v>0.11</v>
      </c>
      <c r="E31" s="14">
        <v>0.11</v>
      </c>
      <c r="F31" s="14">
        <v>0.12</v>
      </c>
      <c r="G31" s="14">
        <v>0.17</v>
      </c>
      <c r="H31" s="14">
        <v>0.11</v>
      </c>
      <c r="I31" s="14">
        <v>0.12</v>
      </c>
      <c r="J31" s="14">
        <v>0.14000000000000001</v>
      </c>
      <c r="K31" s="14">
        <v>0.09</v>
      </c>
      <c r="L31" s="14">
        <v>0.12</v>
      </c>
      <c r="M31" s="14">
        <v>0.17</v>
      </c>
      <c r="N31" s="14">
        <v>0.16</v>
      </c>
      <c r="O31" s="14">
        <v>0.16</v>
      </c>
      <c r="P31" s="14">
        <v>0.17</v>
      </c>
      <c r="Q31" s="14">
        <v>0.17</v>
      </c>
      <c r="R31" s="14">
        <v>0.15</v>
      </c>
      <c r="S31" s="14">
        <v>0.08</v>
      </c>
      <c r="T31" s="14">
        <v>0.1</v>
      </c>
      <c r="U31" s="14">
        <v>0.1</v>
      </c>
      <c r="V31" s="14">
        <v>0.13</v>
      </c>
      <c r="W31" s="14">
        <v>0.14000000000000001</v>
      </c>
      <c r="X31" s="14">
        <v>0.12</v>
      </c>
      <c r="Y31" s="14">
        <v>0.13</v>
      </c>
      <c r="Z31" s="14">
        <v>0.12</v>
      </c>
      <c r="AA31" s="14">
        <v>0.17</v>
      </c>
      <c r="AB31" s="14">
        <v>0.12</v>
      </c>
      <c r="AC31" s="14">
        <v>0.12</v>
      </c>
      <c r="AD31" s="14">
        <v>0.15</v>
      </c>
      <c r="AE31" s="14">
        <v>0.17</v>
      </c>
      <c r="AF31" s="14">
        <v>0.16</v>
      </c>
    </row>
    <row r="32" spans="1:32">
      <c r="A32" s="23"/>
      <c r="B32" s="11" t="s">
        <v>644</v>
      </c>
      <c r="C32" s="12">
        <v>8541</v>
      </c>
      <c r="D32" s="12">
        <v>303</v>
      </c>
      <c r="E32" s="12">
        <v>239</v>
      </c>
      <c r="F32" s="12">
        <v>286</v>
      </c>
      <c r="G32" s="12">
        <v>388</v>
      </c>
      <c r="H32" s="12">
        <v>623</v>
      </c>
      <c r="I32" s="12">
        <v>721</v>
      </c>
      <c r="J32" s="12">
        <v>98</v>
      </c>
      <c r="K32" s="12">
        <v>147</v>
      </c>
      <c r="L32" s="12">
        <v>242</v>
      </c>
      <c r="M32" s="12">
        <v>289</v>
      </c>
      <c r="N32" s="12">
        <v>336</v>
      </c>
      <c r="O32" s="12">
        <v>271</v>
      </c>
      <c r="P32" s="12">
        <v>155</v>
      </c>
      <c r="Q32" s="12">
        <v>277</v>
      </c>
      <c r="R32" s="12">
        <v>157</v>
      </c>
      <c r="S32" s="12">
        <v>195</v>
      </c>
      <c r="T32" s="12">
        <v>196</v>
      </c>
      <c r="U32" s="12">
        <v>172</v>
      </c>
      <c r="V32" s="12">
        <v>365</v>
      </c>
      <c r="W32" s="12">
        <v>164</v>
      </c>
      <c r="X32" s="12">
        <v>383</v>
      </c>
      <c r="Y32" s="12">
        <v>305</v>
      </c>
      <c r="Z32" s="12">
        <v>213</v>
      </c>
      <c r="AA32" s="12">
        <v>275</v>
      </c>
      <c r="AB32" s="12">
        <v>261</v>
      </c>
      <c r="AC32" s="12">
        <v>161</v>
      </c>
      <c r="AD32" s="12">
        <v>164</v>
      </c>
      <c r="AE32" s="12">
        <v>408</v>
      </c>
      <c r="AF32" s="12">
        <v>571</v>
      </c>
    </row>
    <row r="33" spans="1:32">
      <c r="A33" s="23"/>
      <c r="B33" s="13" t="s">
        <v>645</v>
      </c>
      <c r="C33" s="14">
        <v>0.32</v>
      </c>
      <c r="D33" s="14">
        <v>0.3</v>
      </c>
      <c r="E33" s="14">
        <v>0.23</v>
      </c>
      <c r="F33" s="14">
        <v>0.28000000000000003</v>
      </c>
      <c r="G33" s="14">
        <v>0.39</v>
      </c>
      <c r="H33" s="14">
        <v>0.52</v>
      </c>
      <c r="I33" s="14">
        <v>0.48</v>
      </c>
      <c r="J33" s="14">
        <v>0.33</v>
      </c>
      <c r="K33" s="14">
        <v>0.15</v>
      </c>
      <c r="L33" s="14">
        <v>0.24</v>
      </c>
      <c r="M33" s="14">
        <v>0.28999999999999998</v>
      </c>
      <c r="N33" s="14">
        <v>0.34</v>
      </c>
      <c r="O33" s="14">
        <v>0.27</v>
      </c>
      <c r="P33" s="14">
        <v>0.15</v>
      </c>
      <c r="Q33" s="14">
        <v>0.27</v>
      </c>
      <c r="R33" s="14">
        <v>0.31</v>
      </c>
      <c r="S33" s="14">
        <v>0.19</v>
      </c>
      <c r="T33" s="14">
        <v>0.2</v>
      </c>
      <c r="U33" s="14">
        <v>0.34</v>
      </c>
      <c r="V33" s="14">
        <v>0.36</v>
      </c>
      <c r="W33" s="14">
        <v>0.33</v>
      </c>
      <c r="X33" s="14">
        <v>0.38</v>
      </c>
      <c r="Y33" s="14">
        <v>0.3</v>
      </c>
      <c r="Z33" s="14">
        <v>0.21</v>
      </c>
      <c r="AA33" s="14">
        <v>0.26</v>
      </c>
      <c r="AB33" s="14">
        <v>0.25</v>
      </c>
      <c r="AC33" s="14">
        <v>0.16</v>
      </c>
      <c r="AD33" s="14">
        <v>0.16</v>
      </c>
      <c r="AE33" s="14">
        <v>0.4</v>
      </c>
      <c r="AF33" s="14">
        <v>0.53</v>
      </c>
    </row>
    <row r="34" spans="1:32">
      <c r="A34" s="23"/>
      <c r="B34" s="11" t="s">
        <v>646</v>
      </c>
      <c r="C34" s="12">
        <v>5635</v>
      </c>
      <c r="D34" s="12">
        <v>160</v>
      </c>
      <c r="E34" s="12">
        <v>254</v>
      </c>
      <c r="F34" s="12">
        <v>190</v>
      </c>
      <c r="G34" s="12">
        <v>230</v>
      </c>
      <c r="H34" s="12">
        <v>391</v>
      </c>
      <c r="I34" s="12">
        <v>463</v>
      </c>
      <c r="J34" s="12">
        <v>73</v>
      </c>
      <c r="K34" s="12">
        <v>186</v>
      </c>
      <c r="L34" s="12">
        <v>180</v>
      </c>
      <c r="M34" s="12">
        <v>335</v>
      </c>
      <c r="N34" s="12">
        <v>266</v>
      </c>
      <c r="O34" s="12">
        <v>131</v>
      </c>
      <c r="P34" s="12">
        <v>233</v>
      </c>
      <c r="Q34" s="12">
        <v>167</v>
      </c>
      <c r="R34" s="12">
        <v>152</v>
      </c>
      <c r="S34" s="12">
        <v>186</v>
      </c>
      <c r="T34" s="12">
        <v>133</v>
      </c>
      <c r="U34" s="12">
        <v>65</v>
      </c>
      <c r="V34" s="12">
        <v>200</v>
      </c>
      <c r="W34" s="12">
        <v>135</v>
      </c>
      <c r="X34" s="12">
        <v>260</v>
      </c>
      <c r="Y34" s="12">
        <v>220</v>
      </c>
      <c r="Z34" s="12">
        <v>142</v>
      </c>
      <c r="AA34" s="12">
        <v>157</v>
      </c>
      <c r="AB34" s="12">
        <v>235</v>
      </c>
      <c r="AC34" s="12">
        <v>235</v>
      </c>
      <c r="AD34" s="12">
        <v>179</v>
      </c>
      <c r="AE34" s="12">
        <v>328</v>
      </c>
      <c r="AF34" s="12">
        <v>205</v>
      </c>
    </row>
    <row r="35" spans="1:32">
      <c r="A35" s="23"/>
      <c r="B35" s="13" t="s">
        <v>647</v>
      </c>
      <c r="C35" s="14">
        <v>0.21</v>
      </c>
      <c r="D35" s="14">
        <v>0.16</v>
      </c>
      <c r="E35" s="14">
        <v>0.24</v>
      </c>
      <c r="F35" s="14">
        <v>0.19</v>
      </c>
      <c r="G35" s="14">
        <v>0.23</v>
      </c>
      <c r="H35" s="14">
        <v>0.32</v>
      </c>
      <c r="I35" s="14">
        <v>0.31</v>
      </c>
      <c r="J35" s="14">
        <v>0.25</v>
      </c>
      <c r="K35" s="14">
        <v>0.19</v>
      </c>
      <c r="L35" s="14">
        <v>0.18</v>
      </c>
      <c r="M35" s="14">
        <v>0.33</v>
      </c>
      <c r="N35" s="14">
        <v>0.27</v>
      </c>
      <c r="O35" s="14">
        <v>0.13</v>
      </c>
      <c r="P35" s="14">
        <v>0.23</v>
      </c>
      <c r="Q35" s="14">
        <v>0.16</v>
      </c>
      <c r="R35" s="14">
        <v>0.3</v>
      </c>
      <c r="S35" s="14">
        <v>0.19</v>
      </c>
      <c r="T35" s="14">
        <v>0.13</v>
      </c>
      <c r="U35" s="14">
        <v>0.13</v>
      </c>
      <c r="V35" s="14">
        <v>0.2</v>
      </c>
      <c r="W35" s="14">
        <v>0.27</v>
      </c>
      <c r="X35" s="14">
        <v>0.26</v>
      </c>
      <c r="Y35" s="14">
        <v>0.22</v>
      </c>
      <c r="Z35" s="14">
        <v>0.14000000000000001</v>
      </c>
      <c r="AA35" s="14">
        <v>0.15</v>
      </c>
      <c r="AB35" s="14">
        <v>0.23</v>
      </c>
      <c r="AC35" s="14">
        <v>0.23</v>
      </c>
      <c r="AD35" s="14">
        <v>0.18</v>
      </c>
      <c r="AE35" s="14">
        <v>0.33</v>
      </c>
      <c r="AF35" s="14">
        <v>0.19</v>
      </c>
    </row>
    <row r="36" spans="1:32" ht="45.75">
      <c r="A36" s="23"/>
      <c r="B36" s="11" t="s">
        <v>648</v>
      </c>
      <c r="C36" s="12">
        <v>3784</v>
      </c>
      <c r="D36" s="12">
        <v>186</v>
      </c>
      <c r="E36" s="12">
        <v>240</v>
      </c>
      <c r="F36" s="12">
        <v>217</v>
      </c>
      <c r="G36" s="12">
        <v>180</v>
      </c>
      <c r="H36" s="12">
        <v>91</v>
      </c>
      <c r="I36" s="12">
        <v>128</v>
      </c>
      <c r="J36" s="12">
        <v>38</v>
      </c>
      <c r="K36" s="12">
        <v>265</v>
      </c>
      <c r="L36" s="12">
        <v>128</v>
      </c>
      <c r="M36" s="12">
        <v>197</v>
      </c>
      <c r="N36" s="12">
        <v>118</v>
      </c>
      <c r="O36" s="12">
        <v>135</v>
      </c>
      <c r="P36" s="12">
        <v>191</v>
      </c>
      <c r="Q36" s="12">
        <v>162</v>
      </c>
      <c r="R36" s="12">
        <v>95</v>
      </c>
      <c r="S36" s="12">
        <v>156</v>
      </c>
      <c r="T36" s="12">
        <v>185</v>
      </c>
      <c r="U36" s="12">
        <v>58</v>
      </c>
      <c r="V36" s="12">
        <v>190</v>
      </c>
      <c r="W36" s="12">
        <v>86</v>
      </c>
      <c r="X36" s="12">
        <v>126</v>
      </c>
      <c r="Y36" s="12">
        <v>176</v>
      </c>
      <c r="Z36" s="12">
        <v>177</v>
      </c>
      <c r="AA36" s="12">
        <v>165</v>
      </c>
      <c r="AB36" s="12">
        <v>237</v>
      </c>
      <c r="AC36" s="12">
        <v>157</v>
      </c>
      <c r="AD36" s="12">
        <v>210</v>
      </c>
      <c r="AE36" s="12">
        <v>89</v>
      </c>
      <c r="AF36" s="12">
        <v>114</v>
      </c>
    </row>
    <row r="37" spans="1:32" ht="45.75">
      <c r="A37" s="23"/>
      <c r="B37" s="13" t="s">
        <v>649</v>
      </c>
      <c r="C37" s="14">
        <v>0.14000000000000001</v>
      </c>
      <c r="D37" s="14">
        <v>0.19</v>
      </c>
      <c r="E37" s="14">
        <v>0.23</v>
      </c>
      <c r="F37" s="14">
        <v>0.22</v>
      </c>
      <c r="G37" s="14">
        <v>0.18</v>
      </c>
      <c r="H37" s="14">
        <v>7.0000000000000007E-2</v>
      </c>
      <c r="I37" s="14">
        <v>0.09</v>
      </c>
      <c r="J37" s="14">
        <v>0.13</v>
      </c>
      <c r="K37" s="14">
        <v>0.26</v>
      </c>
      <c r="L37" s="14">
        <v>0.13</v>
      </c>
      <c r="M37" s="14">
        <v>0.19</v>
      </c>
      <c r="N37" s="14">
        <v>0.12</v>
      </c>
      <c r="O37" s="14">
        <v>0.13</v>
      </c>
      <c r="P37" s="14">
        <v>0.19</v>
      </c>
      <c r="Q37" s="14">
        <v>0.16</v>
      </c>
      <c r="R37" s="14">
        <v>0.19</v>
      </c>
      <c r="S37" s="14">
        <v>0.16</v>
      </c>
      <c r="T37" s="14">
        <v>0.18</v>
      </c>
      <c r="U37" s="14">
        <v>0.11</v>
      </c>
      <c r="V37" s="14">
        <v>0.19</v>
      </c>
      <c r="W37" s="14">
        <v>0.17</v>
      </c>
      <c r="X37" s="14">
        <v>0.12</v>
      </c>
      <c r="Y37" s="14">
        <v>0.17</v>
      </c>
      <c r="Z37" s="14">
        <v>0.17</v>
      </c>
      <c r="AA37" s="14">
        <v>0.16</v>
      </c>
      <c r="AB37" s="14">
        <v>0.23</v>
      </c>
      <c r="AC37" s="14">
        <v>0.16</v>
      </c>
      <c r="AD37" s="14">
        <v>0.21</v>
      </c>
      <c r="AE37" s="14">
        <v>0.09</v>
      </c>
      <c r="AF37" s="14">
        <v>0.11</v>
      </c>
    </row>
    <row r="38" spans="1:32" ht="34.5">
      <c r="A38" s="23"/>
      <c r="B38" s="11" t="s">
        <v>650</v>
      </c>
      <c r="C38" s="12">
        <v>1322</v>
      </c>
      <c r="D38" s="12">
        <v>73</v>
      </c>
      <c r="E38" s="12">
        <v>38</v>
      </c>
      <c r="F38" s="12">
        <v>22</v>
      </c>
      <c r="G38" s="12">
        <v>41</v>
      </c>
      <c r="H38" s="12">
        <v>62</v>
      </c>
      <c r="I38" s="12">
        <v>74</v>
      </c>
      <c r="J38" s="12">
        <v>12</v>
      </c>
      <c r="K38" s="12">
        <v>43</v>
      </c>
      <c r="L38" s="12">
        <v>74</v>
      </c>
      <c r="M38" s="12">
        <v>29</v>
      </c>
      <c r="N38" s="12">
        <v>40</v>
      </c>
      <c r="O38" s="12">
        <v>34</v>
      </c>
      <c r="P38" s="12">
        <v>37</v>
      </c>
      <c r="Q38" s="12">
        <v>71</v>
      </c>
      <c r="R38" s="12">
        <v>7</v>
      </c>
      <c r="S38" s="12">
        <v>26</v>
      </c>
      <c r="T38" s="12">
        <v>25</v>
      </c>
      <c r="U38" s="12">
        <v>29</v>
      </c>
      <c r="V38" s="12">
        <v>46</v>
      </c>
      <c r="W38" s="12">
        <v>19</v>
      </c>
      <c r="X38" s="12">
        <v>37</v>
      </c>
      <c r="Y38" s="12">
        <v>109</v>
      </c>
      <c r="Z38" s="12">
        <v>71</v>
      </c>
      <c r="AA38" s="12">
        <v>40</v>
      </c>
      <c r="AB38" s="12">
        <v>68</v>
      </c>
      <c r="AC38" s="12">
        <v>25</v>
      </c>
      <c r="AD38" s="12">
        <v>41</v>
      </c>
      <c r="AE38" s="12">
        <v>18</v>
      </c>
      <c r="AF38" s="12">
        <v>69</v>
      </c>
    </row>
    <row r="39" spans="1:32" ht="23.25">
      <c r="A39" s="23"/>
      <c r="B39" s="13" t="s">
        <v>651</v>
      </c>
      <c r="C39" s="14">
        <v>0.05</v>
      </c>
      <c r="D39" s="14">
        <v>7.0000000000000007E-2</v>
      </c>
      <c r="E39" s="14">
        <v>0.04</v>
      </c>
      <c r="F39" s="14">
        <v>0.02</v>
      </c>
      <c r="G39" s="14">
        <v>0.04</v>
      </c>
      <c r="H39" s="14">
        <v>0.05</v>
      </c>
      <c r="I39" s="14">
        <v>0.05</v>
      </c>
      <c r="J39" s="14">
        <v>0.04</v>
      </c>
      <c r="K39" s="14">
        <v>0.04</v>
      </c>
      <c r="L39" s="14">
        <v>7.0000000000000007E-2</v>
      </c>
      <c r="M39" s="14">
        <v>0.03</v>
      </c>
      <c r="N39" s="14">
        <v>0.04</v>
      </c>
      <c r="O39" s="14">
        <v>0.03</v>
      </c>
      <c r="P39" s="14">
        <v>0.04</v>
      </c>
      <c r="Q39" s="14">
        <v>7.0000000000000007E-2</v>
      </c>
      <c r="R39" s="14">
        <v>0.01</v>
      </c>
      <c r="S39" s="14">
        <v>0.03</v>
      </c>
      <c r="T39" s="14">
        <v>0.02</v>
      </c>
      <c r="U39" s="14">
        <v>0.06</v>
      </c>
      <c r="V39" s="14">
        <v>0.05</v>
      </c>
      <c r="W39" s="14">
        <v>0.04</v>
      </c>
      <c r="X39" s="14">
        <v>0.04</v>
      </c>
      <c r="Y39" s="14">
        <v>0.11</v>
      </c>
      <c r="Z39" s="14">
        <v>7.0000000000000007E-2</v>
      </c>
      <c r="AA39" s="14">
        <v>0.04</v>
      </c>
      <c r="AB39" s="14">
        <v>7.0000000000000007E-2</v>
      </c>
      <c r="AC39" s="14">
        <v>0.02</v>
      </c>
      <c r="AD39" s="14">
        <v>0.04</v>
      </c>
      <c r="AE39" s="14">
        <v>0.02</v>
      </c>
      <c r="AF39" s="14">
        <v>0.06</v>
      </c>
    </row>
    <row r="40" spans="1:32">
      <c r="A40" s="23"/>
      <c r="B40" s="11" t="s">
        <v>652</v>
      </c>
      <c r="C40" s="12">
        <v>11763</v>
      </c>
      <c r="D40" s="12">
        <v>387</v>
      </c>
      <c r="E40" s="12">
        <v>517</v>
      </c>
      <c r="F40" s="12">
        <v>475</v>
      </c>
      <c r="G40" s="12">
        <v>432</v>
      </c>
      <c r="H40" s="12">
        <v>665</v>
      </c>
      <c r="I40" s="12">
        <v>825</v>
      </c>
      <c r="J40" s="12">
        <v>160</v>
      </c>
      <c r="K40" s="12">
        <v>545</v>
      </c>
      <c r="L40" s="12">
        <v>400</v>
      </c>
      <c r="M40" s="12">
        <v>541</v>
      </c>
      <c r="N40" s="12">
        <v>374</v>
      </c>
      <c r="O40" s="12">
        <v>487</v>
      </c>
      <c r="P40" s="12">
        <v>415</v>
      </c>
      <c r="Q40" s="12">
        <v>404</v>
      </c>
      <c r="R40" s="12">
        <v>239</v>
      </c>
      <c r="S40" s="12">
        <v>499</v>
      </c>
      <c r="T40" s="12">
        <v>626</v>
      </c>
      <c r="U40" s="12">
        <v>244</v>
      </c>
      <c r="V40" s="12">
        <v>434</v>
      </c>
      <c r="W40" s="12">
        <v>195</v>
      </c>
      <c r="X40" s="12">
        <v>377</v>
      </c>
      <c r="Y40" s="12">
        <v>460</v>
      </c>
      <c r="Z40" s="12">
        <v>398</v>
      </c>
      <c r="AA40" s="12">
        <v>493</v>
      </c>
      <c r="AB40" s="12">
        <v>310</v>
      </c>
      <c r="AC40" s="12">
        <v>524</v>
      </c>
      <c r="AD40" s="12">
        <v>542</v>
      </c>
      <c r="AE40" s="12">
        <v>477</v>
      </c>
      <c r="AF40" s="12">
        <v>422</v>
      </c>
    </row>
    <row r="41" spans="1:32">
      <c r="A41" s="23"/>
      <c r="B41" s="13" t="s">
        <v>653</v>
      </c>
      <c r="C41" s="14">
        <v>0.45</v>
      </c>
      <c r="D41" s="14">
        <v>0.38</v>
      </c>
      <c r="E41" s="14">
        <v>0.5</v>
      </c>
      <c r="F41" s="14">
        <v>0.47</v>
      </c>
      <c r="G41" s="14">
        <v>0.43</v>
      </c>
      <c r="H41" s="14">
        <v>0.55000000000000004</v>
      </c>
      <c r="I41" s="14">
        <v>0.55000000000000004</v>
      </c>
      <c r="J41" s="14">
        <v>0.54</v>
      </c>
      <c r="K41" s="14">
        <v>0.54</v>
      </c>
      <c r="L41" s="14">
        <v>0.4</v>
      </c>
      <c r="M41" s="14">
        <v>0.53</v>
      </c>
      <c r="N41" s="14">
        <v>0.37</v>
      </c>
      <c r="O41" s="14">
        <v>0.48</v>
      </c>
      <c r="P41" s="14">
        <v>0.41</v>
      </c>
      <c r="Q41" s="14">
        <v>0.39</v>
      </c>
      <c r="R41" s="14">
        <v>0.48</v>
      </c>
      <c r="S41" s="14">
        <v>0.5</v>
      </c>
      <c r="T41" s="14">
        <v>0.62</v>
      </c>
      <c r="U41" s="14">
        <v>0.48</v>
      </c>
      <c r="V41" s="14">
        <v>0.43</v>
      </c>
      <c r="W41" s="14">
        <v>0.39</v>
      </c>
      <c r="X41" s="14">
        <v>0.37</v>
      </c>
      <c r="Y41" s="14">
        <v>0.46</v>
      </c>
      <c r="Z41" s="14">
        <v>0.39</v>
      </c>
      <c r="AA41" s="14">
        <v>0.47</v>
      </c>
      <c r="AB41" s="14">
        <v>0.3</v>
      </c>
      <c r="AC41" s="14">
        <v>0.52</v>
      </c>
      <c r="AD41" s="14">
        <v>0.54</v>
      </c>
      <c r="AE41" s="14">
        <v>0.47</v>
      </c>
      <c r="AF41" s="14">
        <v>0.39</v>
      </c>
    </row>
    <row r="42" spans="1:32">
      <c r="A42" s="23"/>
      <c r="B42" s="11" t="s">
        <v>550</v>
      </c>
      <c r="C42" s="12">
        <v>138</v>
      </c>
      <c r="D42" s="12">
        <v>5</v>
      </c>
      <c r="E42" s="12">
        <v>1</v>
      </c>
      <c r="F42" s="12">
        <v>3</v>
      </c>
      <c r="G42" s="12">
        <v>2</v>
      </c>
      <c r="H42" s="12">
        <v>10</v>
      </c>
      <c r="I42" s="12">
        <v>11</v>
      </c>
      <c r="J42" s="12">
        <v>1</v>
      </c>
      <c r="K42" s="12">
        <v>27</v>
      </c>
      <c r="L42" s="12">
        <v>1</v>
      </c>
      <c r="M42" s="12">
        <v>1</v>
      </c>
      <c r="N42" s="12">
        <v>7</v>
      </c>
      <c r="O42" s="12">
        <v>2</v>
      </c>
      <c r="P42" s="12">
        <v>0</v>
      </c>
      <c r="Q42" s="12">
        <v>7</v>
      </c>
      <c r="R42" s="12">
        <v>0</v>
      </c>
      <c r="S42" s="12">
        <v>12</v>
      </c>
      <c r="T42" s="12">
        <v>7</v>
      </c>
      <c r="U42" s="12">
        <v>1</v>
      </c>
      <c r="V42" s="12">
        <v>2</v>
      </c>
      <c r="W42" s="12">
        <v>0</v>
      </c>
      <c r="X42" s="12">
        <v>5</v>
      </c>
      <c r="Y42" s="12">
        <v>20</v>
      </c>
      <c r="Z42" s="12">
        <v>1</v>
      </c>
      <c r="AA42" s="12">
        <v>3</v>
      </c>
      <c r="AB42" s="12">
        <v>14</v>
      </c>
      <c r="AC42" s="12">
        <v>3</v>
      </c>
      <c r="AD42" s="12">
        <v>1</v>
      </c>
      <c r="AE42" s="12">
        <v>2</v>
      </c>
      <c r="AF42" s="12">
        <v>1</v>
      </c>
    </row>
    <row r="43" spans="1:32">
      <c r="A43" s="23"/>
      <c r="B43" s="13" t="s">
        <v>551</v>
      </c>
      <c r="C43" s="14">
        <v>0.01</v>
      </c>
      <c r="D43" s="15" t="s">
        <v>485</v>
      </c>
      <c r="E43" s="15" t="s">
        <v>485</v>
      </c>
      <c r="F43" s="15" t="s">
        <v>485</v>
      </c>
      <c r="G43" s="15" t="s">
        <v>485</v>
      </c>
      <c r="H43" s="14">
        <v>0.01</v>
      </c>
      <c r="I43" s="14">
        <v>0.01</v>
      </c>
      <c r="J43" s="15" t="s">
        <v>485</v>
      </c>
      <c r="K43" s="14">
        <v>0.03</v>
      </c>
      <c r="L43" s="15" t="s">
        <v>485</v>
      </c>
      <c r="M43" s="15" t="s">
        <v>485</v>
      </c>
      <c r="N43" s="14">
        <v>0.01</v>
      </c>
      <c r="O43" s="15" t="s">
        <v>485</v>
      </c>
      <c r="P43" s="15" t="s">
        <v>485</v>
      </c>
      <c r="Q43" s="14">
        <v>0.01</v>
      </c>
      <c r="R43" s="15" t="s">
        <v>485</v>
      </c>
      <c r="S43" s="14">
        <v>0.01</v>
      </c>
      <c r="T43" s="14">
        <v>0.01</v>
      </c>
      <c r="U43" s="15" t="s">
        <v>485</v>
      </c>
      <c r="V43" s="15" t="s">
        <v>485</v>
      </c>
      <c r="W43" s="15" t="s">
        <v>485</v>
      </c>
      <c r="X43" s="15" t="s">
        <v>485</v>
      </c>
      <c r="Y43" s="14">
        <v>0.02</v>
      </c>
      <c r="Z43" s="15" t="s">
        <v>485</v>
      </c>
      <c r="AA43" s="15" t="s">
        <v>485</v>
      </c>
      <c r="AB43" s="14">
        <v>0.01</v>
      </c>
      <c r="AC43" s="15" t="s">
        <v>485</v>
      </c>
      <c r="AD43" s="15" t="s">
        <v>485</v>
      </c>
      <c r="AE43" s="15" t="s">
        <v>485</v>
      </c>
      <c r="AF43" s="15" t="s">
        <v>485</v>
      </c>
    </row>
    <row r="44" spans="1:32">
      <c r="A44" s="23"/>
      <c r="B44" s="11" t="s">
        <v>618</v>
      </c>
      <c r="C44" s="12">
        <v>164</v>
      </c>
      <c r="D44" s="12">
        <v>3</v>
      </c>
      <c r="E44" s="12">
        <v>9</v>
      </c>
      <c r="F44" s="12">
        <v>14</v>
      </c>
      <c r="G44" s="12">
        <v>6</v>
      </c>
      <c r="H44" s="12">
        <v>3</v>
      </c>
      <c r="I44" s="12">
        <v>5</v>
      </c>
      <c r="J44" s="12">
        <v>2</v>
      </c>
      <c r="K44" s="12">
        <v>4</v>
      </c>
      <c r="L44" s="12">
        <v>2</v>
      </c>
      <c r="M44" s="12">
        <v>2</v>
      </c>
      <c r="N44" s="12">
        <v>10</v>
      </c>
      <c r="O44" s="12">
        <v>12</v>
      </c>
      <c r="P44" s="12">
        <v>0</v>
      </c>
      <c r="Q44" s="12">
        <v>7</v>
      </c>
      <c r="R44" s="12">
        <v>1</v>
      </c>
      <c r="S44" s="12">
        <v>8</v>
      </c>
      <c r="T44" s="12">
        <v>5</v>
      </c>
      <c r="U44" s="12">
        <v>0</v>
      </c>
      <c r="V44" s="12">
        <v>0</v>
      </c>
      <c r="W44" s="12">
        <v>0</v>
      </c>
      <c r="X44" s="12">
        <v>7</v>
      </c>
      <c r="Y44" s="12">
        <v>9</v>
      </c>
      <c r="Z44" s="12">
        <v>5</v>
      </c>
      <c r="AA44" s="12">
        <v>1</v>
      </c>
      <c r="AB44" s="12">
        <v>0</v>
      </c>
      <c r="AC44" s="12">
        <v>4</v>
      </c>
      <c r="AD44" s="12">
        <v>3</v>
      </c>
      <c r="AE44" s="12">
        <v>3</v>
      </c>
      <c r="AF44" s="12">
        <v>1</v>
      </c>
    </row>
    <row r="45" spans="1:32">
      <c r="A45" s="23"/>
      <c r="B45" s="13" t="s">
        <v>619</v>
      </c>
      <c r="C45" s="14">
        <v>0.01</v>
      </c>
      <c r="D45" s="15" t="s">
        <v>485</v>
      </c>
      <c r="E45" s="14">
        <v>0.01</v>
      </c>
      <c r="F45" s="14">
        <v>0.01</v>
      </c>
      <c r="G45" s="14">
        <v>0.01</v>
      </c>
      <c r="H45" s="15" t="s">
        <v>485</v>
      </c>
      <c r="I45" s="15" t="s">
        <v>485</v>
      </c>
      <c r="J45" s="14">
        <v>0.01</v>
      </c>
      <c r="K45" s="15" t="s">
        <v>485</v>
      </c>
      <c r="L45" s="15" t="s">
        <v>485</v>
      </c>
      <c r="M45" s="15" t="s">
        <v>485</v>
      </c>
      <c r="N45" s="14">
        <v>0.01</v>
      </c>
      <c r="O45" s="14">
        <v>0.01</v>
      </c>
      <c r="P45" s="15" t="s">
        <v>485</v>
      </c>
      <c r="Q45" s="14">
        <v>0.01</v>
      </c>
      <c r="R45" s="15" t="s">
        <v>485</v>
      </c>
      <c r="S45" s="14">
        <v>0.01</v>
      </c>
      <c r="T45" s="15" t="s">
        <v>485</v>
      </c>
      <c r="U45" s="15" t="s">
        <v>485</v>
      </c>
      <c r="V45" s="15" t="s">
        <v>485</v>
      </c>
      <c r="W45" s="15" t="s">
        <v>485</v>
      </c>
      <c r="X45" s="14">
        <v>0.01</v>
      </c>
      <c r="Y45" s="14">
        <v>0.01</v>
      </c>
      <c r="Z45" s="14">
        <v>0.01</v>
      </c>
      <c r="AA45" s="15" t="s">
        <v>485</v>
      </c>
      <c r="AB45" s="15" t="s">
        <v>485</v>
      </c>
      <c r="AC45" s="15" t="s">
        <v>485</v>
      </c>
      <c r="AD45" s="15" t="s">
        <v>485</v>
      </c>
      <c r="AE45" s="15" t="s">
        <v>485</v>
      </c>
      <c r="AF45" s="15" t="s">
        <v>485</v>
      </c>
    </row>
    <row r="46" spans="1:32">
      <c r="A46" s="23"/>
      <c r="B46" s="11" t="s">
        <v>497</v>
      </c>
      <c r="C46" s="12">
        <v>240</v>
      </c>
      <c r="D46" s="12">
        <v>0</v>
      </c>
      <c r="E46" s="12">
        <v>15</v>
      </c>
      <c r="F46" s="12">
        <v>48</v>
      </c>
      <c r="G46" s="12">
        <v>7</v>
      </c>
      <c r="H46" s="12">
        <v>5</v>
      </c>
      <c r="I46" s="12">
        <v>5</v>
      </c>
      <c r="J46" s="12">
        <v>0</v>
      </c>
      <c r="K46" s="12">
        <v>11</v>
      </c>
      <c r="L46" s="12">
        <v>9</v>
      </c>
      <c r="M46" s="12">
        <v>5</v>
      </c>
      <c r="N46" s="12">
        <v>8</v>
      </c>
      <c r="O46" s="12">
        <v>17</v>
      </c>
      <c r="P46" s="12">
        <v>0</v>
      </c>
      <c r="Q46" s="12">
        <v>4</v>
      </c>
      <c r="R46" s="12">
        <v>1</v>
      </c>
      <c r="S46" s="12">
        <v>10</v>
      </c>
      <c r="T46" s="12">
        <v>14</v>
      </c>
      <c r="U46" s="12">
        <v>3</v>
      </c>
      <c r="V46" s="12">
        <v>9</v>
      </c>
      <c r="W46" s="12">
        <v>2</v>
      </c>
      <c r="X46" s="12">
        <v>1</v>
      </c>
      <c r="Y46" s="12">
        <v>2</v>
      </c>
      <c r="Z46" s="12">
        <v>18</v>
      </c>
      <c r="AA46" s="12">
        <v>16</v>
      </c>
      <c r="AB46" s="12">
        <v>11</v>
      </c>
      <c r="AC46" s="12">
        <v>4</v>
      </c>
      <c r="AD46" s="12">
        <v>1</v>
      </c>
      <c r="AE46" s="12">
        <v>9</v>
      </c>
      <c r="AF46" s="12">
        <v>3</v>
      </c>
    </row>
    <row r="47" spans="1:32">
      <c r="A47" s="23"/>
      <c r="B47" s="13" t="s">
        <v>498</v>
      </c>
      <c r="C47" s="14">
        <v>0.01</v>
      </c>
      <c r="D47" s="15" t="s">
        <v>485</v>
      </c>
      <c r="E47" s="14">
        <v>0.01</v>
      </c>
      <c r="F47" s="14">
        <v>0.05</v>
      </c>
      <c r="G47" s="14">
        <v>0.01</v>
      </c>
      <c r="H47" s="15" t="s">
        <v>485</v>
      </c>
      <c r="I47" s="15" t="s">
        <v>485</v>
      </c>
      <c r="J47" s="15" t="s">
        <v>485</v>
      </c>
      <c r="K47" s="14">
        <v>0.01</v>
      </c>
      <c r="L47" s="14">
        <v>0.01</v>
      </c>
      <c r="M47" s="14">
        <v>0.01</v>
      </c>
      <c r="N47" s="14">
        <v>0.01</v>
      </c>
      <c r="O47" s="14">
        <v>0.02</v>
      </c>
      <c r="P47" s="15" t="s">
        <v>485</v>
      </c>
      <c r="Q47" s="15" t="s">
        <v>485</v>
      </c>
      <c r="R47" s="15" t="s">
        <v>485</v>
      </c>
      <c r="S47" s="14">
        <v>0.01</v>
      </c>
      <c r="T47" s="14">
        <v>0.01</v>
      </c>
      <c r="U47" s="14">
        <v>0.01</v>
      </c>
      <c r="V47" s="14">
        <v>0.01</v>
      </c>
      <c r="W47" s="15" t="s">
        <v>485</v>
      </c>
      <c r="X47" s="15" t="s">
        <v>485</v>
      </c>
      <c r="Y47" s="15" t="s">
        <v>485</v>
      </c>
      <c r="Z47" s="14">
        <v>0.02</v>
      </c>
      <c r="AA47" s="14">
        <v>0.02</v>
      </c>
      <c r="AB47" s="14">
        <v>0.01</v>
      </c>
      <c r="AC47" s="15" t="s">
        <v>485</v>
      </c>
      <c r="AD47" s="15" t="s">
        <v>485</v>
      </c>
      <c r="AE47" s="14">
        <v>0.01</v>
      </c>
      <c r="AF47" s="15" t="s">
        <v>485</v>
      </c>
    </row>
  </sheetData>
  <mergeCells count="9">
    <mergeCell ref="B4:F4"/>
    <mergeCell ref="A10:A47"/>
    <mergeCell ref="H3:L3"/>
    <mergeCell ref="C8:AF8"/>
    <mergeCell ref="B3:F3"/>
    <mergeCell ref="B5:F5"/>
    <mergeCell ref="H5:L5"/>
    <mergeCell ref="B10:B11"/>
    <mergeCell ref="H4:L4"/>
  </mergeCell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F1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47</v>
      </c>
      <c r="C3" s="19"/>
      <c r="D3" s="19"/>
      <c r="E3" s="19"/>
      <c r="F3" s="19"/>
      <c r="H3" s="19" t="s">
        <v>48</v>
      </c>
      <c r="I3" s="19"/>
      <c r="J3" s="19"/>
      <c r="K3" s="19"/>
      <c r="L3" s="19"/>
    </row>
    <row r="4" spans="1:32" ht="27" customHeight="1">
      <c r="B4" s="19"/>
      <c r="C4" s="19"/>
      <c r="D4" s="19"/>
      <c r="E4" s="19"/>
      <c r="F4" s="19"/>
      <c r="H4" s="19"/>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HYPERLINK("#Content!A25","&lt;&lt;Back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656</v>
      </c>
      <c r="C12" s="12">
        <v>11651</v>
      </c>
      <c r="D12" s="12">
        <v>449</v>
      </c>
      <c r="E12" s="12">
        <v>381</v>
      </c>
      <c r="F12" s="12">
        <v>237</v>
      </c>
      <c r="G12" s="12">
        <v>657</v>
      </c>
      <c r="H12" s="12">
        <v>755</v>
      </c>
      <c r="I12" s="12">
        <v>883</v>
      </c>
      <c r="J12" s="12">
        <v>128</v>
      </c>
      <c r="K12" s="12">
        <v>286</v>
      </c>
      <c r="L12" s="12">
        <v>667</v>
      </c>
      <c r="M12" s="12">
        <v>431</v>
      </c>
      <c r="N12" s="12">
        <v>436</v>
      </c>
      <c r="O12" s="12">
        <v>301</v>
      </c>
      <c r="P12" s="12">
        <v>393</v>
      </c>
      <c r="Q12" s="12">
        <v>446</v>
      </c>
      <c r="R12" s="12">
        <v>200</v>
      </c>
      <c r="S12" s="12">
        <v>281</v>
      </c>
      <c r="T12" s="12">
        <v>425</v>
      </c>
      <c r="U12" s="12">
        <v>237</v>
      </c>
      <c r="V12" s="12">
        <v>358</v>
      </c>
      <c r="W12" s="12">
        <v>263</v>
      </c>
      <c r="X12" s="12">
        <v>670</v>
      </c>
      <c r="Y12" s="12">
        <v>355</v>
      </c>
      <c r="Z12" s="12">
        <v>262</v>
      </c>
      <c r="AA12" s="12">
        <v>677</v>
      </c>
      <c r="AB12" s="12">
        <v>348</v>
      </c>
      <c r="AC12" s="12">
        <v>308</v>
      </c>
      <c r="AD12" s="12">
        <v>356</v>
      </c>
      <c r="AE12" s="12">
        <v>560</v>
      </c>
      <c r="AF12" s="12">
        <v>840</v>
      </c>
    </row>
    <row r="13" spans="1:32">
      <c r="A13" s="23"/>
      <c r="B13" s="13" t="s">
        <v>503</v>
      </c>
      <c r="C13" s="14">
        <v>0.44</v>
      </c>
      <c r="D13" s="14">
        <v>0.45</v>
      </c>
      <c r="E13" s="14">
        <v>0.37</v>
      </c>
      <c r="F13" s="14">
        <v>0.24</v>
      </c>
      <c r="G13" s="14">
        <v>0.66</v>
      </c>
      <c r="H13" s="14">
        <v>0.62</v>
      </c>
      <c r="I13" s="14">
        <v>0.59</v>
      </c>
      <c r="J13" s="14">
        <v>0.44</v>
      </c>
      <c r="K13" s="14">
        <v>0.28999999999999998</v>
      </c>
      <c r="L13" s="14">
        <v>0.66</v>
      </c>
      <c r="M13" s="14">
        <v>0.43</v>
      </c>
      <c r="N13" s="14">
        <v>0.43</v>
      </c>
      <c r="O13" s="14">
        <v>0.3</v>
      </c>
      <c r="P13" s="14">
        <v>0.39</v>
      </c>
      <c r="Q13" s="14">
        <v>0.43</v>
      </c>
      <c r="R13" s="14">
        <v>0.4</v>
      </c>
      <c r="S13" s="14">
        <v>0.28000000000000003</v>
      </c>
      <c r="T13" s="14">
        <v>0.42</v>
      </c>
      <c r="U13" s="14">
        <v>0.47</v>
      </c>
      <c r="V13" s="14">
        <v>0.35</v>
      </c>
      <c r="W13" s="14">
        <v>0.52</v>
      </c>
      <c r="X13" s="14">
        <v>0.66</v>
      </c>
      <c r="Y13" s="14">
        <v>0.35</v>
      </c>
      <c r="Z13" s="14">
        <v>0.26</v>
      </c>
      <c r="AA13" s="14">
        <v>0.65</v>
      </c>
      <c r="AB13" s="14">
        <v>0.34</v>
      </c>
      <c r="AC13" s="14">
        <v>0.31</v>
      </c>
      <c r="AD13" s="14">
        <v>0.36</v>
      </c>
      <c r="AE13" s="14">
        <v>0.56000000000000005</v>
      </c>
      <c r="AF13" s="14">
        <v>0.78</v>
      </c>
    </row>
    <row r="14" spans="1:32">
      <c r="A14" s="23"/>
      <c r="B14" s="11" t="s">
        <v>657</v>
      </c>
      <c r="C14" s="12">
        <v>4808</v>
      </c>
      <c r="D14" s="12">
        <v>207</v>
      </c>
      <c r="E14" s="12">
        <v>224</v>
      </c>
      <c r="F14" s="12">
        <v>317</v>
      </c>
      <c r="G14" s="12">
        <v>104</v>
      </c>
      <c r="H14" s="12">
        <v>169</v>
      </c>
      <c r="I14" s="12">
        <v>236</v>
      </c>
      <c r="J14" s="12">
        <v>67</v>
      </c>
      <c r="K14" s="12">
        <v>259</v>
      </c>
      <c r="L14" s="12">
        <v>66</v>
      </c>
      <c r="M14" s="12">
        <v>190</v>
      </c>
      <c r="N14" s="12">
        <v>146</v>
      </c>
      <c r="O14" s="12">
        <v>219</v>
      </c>
      <c r="P14" s="12">
        <v>288</v>
      </c>
      <c r="Q14" s="12">
        <v>145</v>
      </c>
      <c r="R14" s="12">
        <v>99</v>
      </c>
      <c r="S14" s="12">
        <v>194</v>
      </c>
      <c r="T14" s="12">
        <v>158</v>
      </c>
      <c r="U14" s="12">
        <v>114</v>
      </c>
      <c r="V14" s="12">
        <v>259</v>
      </c>
      <c r="W14" s="12">
        <v>95</v>
      </c>
      <c r="X14" s="12">
        <v>136</v>
      </c>
      <c r="Y14" s="12">
        <v>289</v>
      </c>
      <c r="Z14" s="12">
        <v>228</v>
      </c>
      <c r="AA14" s="12">
        <v>38</v>
      </c>
      <c r="AB14" s="12">
        <v>331</v>
      </c>
      <c r="AC14" s="12">
        <v>297</v>
      </c>
      <c r="AD14" s="12">
        <v>255</v>
      </c>
      <c r="AE14" s="12">
        <v>117</v>
      </c>
      <c r="AF14" s="12">
        <v>99</v>
      </c>
    </row>
    <row r="15" spans="1:32">
      <c r="A15" s="23"/>
      <c r="B15" s="13" t="s">
        <v>505</v>
      </c>
      <c r="C15" s="14">
        <v>0.18</v>
      </c>
      <c r="D15" s="14">
        <v>0.2</v>
      </c>
      <c r="E15" s="14">
        <v>0.21</v>
      </c>
      <c r="F15" s="14">
        <v>0.31</v>
      </c>
      <c r="G15" s="14">
        <v>0.1</v>
      </c>
      <c r="H15" s="14">
        <v>0.14000000000000001</v>
      </c>
      <c r="I15" s="14">
        <v>0.15</v>
      </c>
      <c r="J15" s="14">
        <v>0.23</v>
      </c>
      <c r="K15" s="14">
        <v>0.26</v>
      </c>
      <c r="L15" s="14">
        <v>7.0000000000000007E-2</v>
      </c>
      <c r="M15" s="14">
        <v>0.19</v>
      </c>
      <c r="N15" s="14">
        <v>0.15</v>
      </c>
      <c r="O15" s="14">
        <v>0.22</v>
      </c>
      <c r="P15" s="14">
        <v>0.28999999999999998</v>
      </c>
      <c r="Q15" s="14">
        <v>0.14000000000000001</v>
      </c>
      <c r="R15" s="14">
        <v>0.2</v>
      </c>
      <c r="S15" s="14">
        <v>0.19</v>
      </c>
      <c r="T15" s="14">
        <v>0.16</v>
      </c>
      <c r="U15" s="14">
        <v>0.23</v>
      </c>
      <c r="V15" s="14">
        <v>0.26</v>
      </c>
      <c r="W15" s="14">
        <v>0.19</v>
      </c>
      <c r="X15" s="14">
        <v>0.13</v>
      </c>
      <c r="Y15" s="14">
        <v>0.28999999999999998</v>
      </c>
      <c r="Z15" s="14">
        <v>0.22</v>
      </c>
      <c r="AA15" s="14">
        <v>0.04</v>
      </c>
      <c r="AB15" s="14">
        <v>0.32</v>
      </c>
      <c r="AC15" s="14">
        <v>0.28999999999999998</v>
      </c>
      <c r="AD15" s="14">
        <v>0.25</v>
      </c>
      <c r="AE15" s="14">
        <v>0.11</v>
      </c>
      <c r="AF15" s="14">
        <v>0.09</v>
      </c>
    </row>
    <row r="16" spans="1:32">
      <c r="A16" s="23"/>
      <c r="B16" s="11" t="s">
        <v>658</v>
      </c>
      <c r="C16" s="12">
        <v>9097</v>
      </c>
      <c r="D16" s="12">
        <v>344</v>
      </c>
      <c r="E16" s="12">
        <v>359</v>
      </c>
      <c r="F16" s="12">
        <v>434</v>
      </c>
      <c r="G16" s="12">
        <v>215</v>
      </c>
      <c r="H16" s="12">
        <v>264</v>
      </c>
      <c r="I16" s="12">
        <v>358</v>
      </c>
      <c r="J16" s="12">
        <v>94</v>
      </c>
      <c r="K16" s="12">
        <v>406</v>
      </c>
      <c r="L16" s="12">
        <v>242</v>
      </c>
      <c r="M16" s="12">
        <v>345</v>
      </c>
      <c r="N16" s="12">
        <v>380</v>
      </c>
      <c r="O16" s="12">
        <v>446</v>
      </c>
      <c r="P16" s="12">
        <v>327</v>
      </c>
      <c r="Q16" s="12">
        <v>386</v>
      </c>
      <c r="R16" s="12">
        <v>182</v>
      </c>
      <c r="S16" s="12">
        <v>478</v>
      </c>
      <c r="T16" s="12">
        <v>360</v>
      </c>
      <c r="U16" s="12">
        <v>136</v>
      </c>
      <c r="V16" s="12">
        <v>370</v>
      </c>
      <c r="W16" s="12">
        <v>130</v>
      </c>
      <c r="X16" s="12">
        <v>203</v>
      </c>
      <c r="Y16" s="12">
        <v>336</v>
      </c>
      <c r="Z16" s="12">
        <v>513</v>
      </c>
      <c r="AA16" s="12">
        <v>236</v>
      </c>
      <c r="AB16" s="12">
        <v>325</v>
      </c>
      <c r="AC16" s="12">
        <v>375</v>
      </c>
      <c r="AD16" s="12">
        <v>367</v>
      </c>
      <c r="AE16" s="12">
        <v>304</v>
      </c>
      <c r="AF16" s="12">
        <v>133</v>
      </c>
    </row>
    <row r="17" spans="1:32">
      <c r="A17" s="23"/>
      <c r="B17" s="13" t="s">
        <v>659</v>
      </c>
      <c r="C17" s="14">
        <v>0.35</v>
      </c>
      <c r="D17" s="14">
        <v>0.34</v>
      </c>
      <c r="E17" s="14">
        <v>0.34</v>
      </c>
      <c r="F17" s="14">
        <v>0.43</v>
      </c>
      <c r="G17" s="14">
        <v>0.21</v>
      </c>
      <c r="H17" s="14">
        <v>0.22</v>
      </c>
      <c r="I17" s="14">
        <v>0.24</v>
      </c>
      <c r="J17" s="14">
        <v>0.32</v>
      </c>
      <c r="K17" s="14">
        <v>0.4</v>
      </c>
      <c r="L17" s="14">
        <v>0.24</v>
      </c>
      <c r="M17" s="14">
        <v>0.34</v>
      </c>
      <c r="N17" s="14">
        <v>0.38</v>
      </c>
      <c r="O17" s="14">
        <v>0.44</v>
      </c>
      <c r="P17" s="14">
        <v>0.32</v>
      </c>
      <c r="Q17" s="14">
        <v>0.38</v>
      </c>
      <c r="R17" s="14">
        <v>0.36</v>
      </c>
      <c r="S17" s="14">
        <v>0.48</v>
      </c>
      <c r="T17" s="14">
        <v>0.36</v>
      </c>
      <c r="U17" s="14">
        <v>0.27</v>
      </c>
      <c r="V17" s="14">
        <v>0.37</v>
      </c>
      <c r="W17" s="14">
        <v>0.26</v>
      </c>
      <c r="X17" s="14">
        <v>0.2</v>
      </c>
      <c r="Y17" s="14">
        <v>0.33</v>
      </c>
      <c r="Z17" s="14">
        <v>0.51</v>
      </c>
      <c r="AA17" s="14">
        <v>0.23</v>
      </c>
      <c r="AB17" s="14">
        <v>0.32</v>
      </c>
      <c r="AC17" s="14">
        <v>0.37</v>
      </c>
      <c r="AD17" s="14">
        <v>0.37</v>
      </c>
      <c r="AE17" s="14">
        <v>0.3</v>
      </c>
      <c r="AF17" s="14">
        <v>0.13</v>
      </c>
    </row>
    <row r="18" spans="1:32">
      <c r="A18" s="23"/>
      <c r="B18" s="11" t="s">
        <v>497</v>
      </c>
      <c r="C18" s="12">
        <v>798</v>
      </c>
      <c r="D18" s="12">
        <v>6</v>
      </c>
      <c r="E18" s="12">
        <v>81</v>
      </c>
      <c r="F18" s="12">
        <v>19</v>
      </c>
      <c r="G18" s="12">
        <v>28</v>
      </c>
      <c r="H18" s="12">
        <v>22</v>
      </c>
      <c r="I18" s="12">
        <v>26</v>
      </c>
      <c r="J18" s="12">
        <v>4</v>
      </c>
      <c r="K18" s="12">
        <v>53</v>
      </c>
      <c r="L18" s="12">
        <v>32</v>
      </c>
      <c r="M18" s="12">
        <v>45</v>
      </c>
      <c r="N18" s="12">
        <v>38</v>
      </c>
      <c r="O18" s="12">
        <v>40</v>
      </c>
      <c r="P18" s="12">
        <v>2</v>
      </c>
      <c r="Q18" s="12">
        <v>47</v>
      </c>
      <c r="R18" s="12">
        <v>21</v>
      </c>
      <c r="S18" s="12">
        <v>51</v>
      </c>
      <c r="T18" s="12">
        <v>61</v>
      </c>
      <c r="U18" s="12">
        <v>16</v>
      </c>
      <c r="V18" s="12">
        <v>25</v>
      </c>
      <c r="W18" s="12">
        <v>16</v>
      </c>
      <c r="X18" s="12">
        <v>7</v>
      </c>
      <c r="Y18" s="12">
        <v>27</v>
      </c>
      <c r="Z18" s="12">
        <v>14</v>
      </c>
      <c r="AA18" s="12">
        <v>89</v>
      </c>
      <c r="AB18" s="12">
        <v>26</v>
      </c>
      <c r="AC18" s="12">
        <v>26</v>
      </c>
      <c r="AD18" s="12">
        <v>24</v>
      </c>
      <c r="AE18" s="12">
        <v>27</v>
      </c>
      <c r="AF18" s="12">
        <v>2</v>
      </c>
    </row>
    <row r="19" spans="1:32">
      <c r="A19" s="23"/>
      <c r="B19" s="13" t="s">
        <v>498</v>
      </c>
      <c r="C19" s="14">
        <v>0.03</v>
      </c>
      <c r="D19" s="14">
        <v>0.01</v>
      </c>
      <c r="E19" s="14">
        <v>0.08</v>
      </c>
      <c r="F19" s="14">
        <v>0.02</v>
      </c>
      <c r="G19" s="14">
        <v>0.03</v>
      </c>
      <c r="H19" s="14">
        <v>0.02</v>
      </c>
      <c r="I19" s="14">
        <v>0.02</v>
      </c>
      <c r="J19" s="14">
        <v>0.01</v>
      </c>
      <c r="K19" s="14">
        <v>0.05</v>
      </c>
      <c r="L19" s="14">
        <v>0.03</v>
      </c>
      <c r="M19" s="14">
        <v>0.04</v>
      </c>
      <c r="N19" s="14">
        <v>0.04</v>
      </c>
      <c r="O19" s="14">
        <v>0.04</v>
      </c>
      <c r="P19" s="15" t="s">
        <v>485</v>
      </c>
      <c r="Q19" s="14">
        <v>0.05</v>
      </c>
      <c r="R19" s="14">
        <v>0.04</v>
      </c>
      <c r="S19" s="14">
        <v>0.05</v>
      </c>
      <c r="T19" s="14">
        <v>0.06</v>
      </c>
      <c r="U19" s="14">
        <v>0.03</v>
      </c>
      <c r="V19" s="14">
        <v>0.02</v>
      </c>
      <c r="W19" s="14">
        <v>0.03</v>
      </c>
      <c r="X19" s="14">
        <v>0.01</v>
      </c>
      <c r="Y19" s="14">
        <v>0.03</v>
      </c>
      <c r="Z19" s="14">
        <v>0.01</v>
      </c>
      <c r="AA19" s="14">
        <v>0.08</v>
      </c>
      <c r="AB19" s="14">
        <v>0.02</v>
      </c>
      <c r="AC19" s="14">
        <v>0.03</v>
      </c>
      <c r="AD19" s="14">
        <v>0.02</v>
      </c>
      <c r="AE19" s="14">
        <v>0.03</v>
      </c>
      <c r="AF19" s="15" t="s">
        <v>485</v>
      </c>
    </row>
  </sheetData>
  <mergeCells count="9">
    <mergeCell ref="H3:L3"/>
    <mergeCell ref="C8:AF8"/>
    <mergeCell ref="B3:F3"/>
    <mergeCell ref="B5:F5"/>
    <mergeCell ref="A10:A19"/>
    <mergeCell ref="H5:L5"/>
    <mergeCell ref="B10:B11"/>
    <mergeCell ref="H4:L4"/>
    <mergeCell ref="B4:F4"/>
  </mergeCell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F4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49</v>
      </c>
      <c r="C3" s="19"/>
      <c r="D3" s="19"/>
      <c r="E3" s="19"/>
      <c r="F3" s="19"/>
      <c r="H3" s="19" t="s">
        <v>50</v>
      </c>
      <c r="I3" s="19"/>
      <c r="J3" s="19"/>
      <c r="K3" s="19"/>
      <c r="L3" s="19"/>
    </row>
    <row r="4" spans="1:32" ht="27" customHeight="1">
      <c r="B4" s="19"/>
      <c r="C4" s="19"/>
      <c r="D4" s="19"/>
      <c r="E4" s="19"/>
      <c r="F4" s="19"/>
      <c r="H4" s="19"/>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HYPERLINK("#Content!A26","&lt;&lt;Back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45.75">
      <c r="A12" s="23"/>
      <c r="B12" s="11" t="s">
        <v>660</v>
      </c>
      <c r="C12" s="12">
        <v>2631</v>
      </c>
      <c r="D12" s="12">
        <v>107</v>
      </c>
      <c r="E12" s="12">
        <v>139</v>
      </c>
      <c r="F12" s="12">
        <v>156</v>
      </c>
      <c r="G12" s="12">
        <v>117</v>
      </c>
      <c r="H12" s="12">
        <v>102</v>
      </c>
      <c r="I12" s="12">
        <v>141</v>
      </c>
      <c r="J12" s="12">
        <v>39</v>
      </c>
      <c r="K12" s="12">
        <v>119</v>
      </c>
      <c r="L12" s="12">
        <v>77</v>
      </c>
      <c r="M12" s="12">
        <v>93</v>
      </c>
      <c r="N12" s="12">
        <v>67</v>
      </c>
      <c r="O12" s="12">
        <v>102</v>
      </c>
      <c r="P12" s="12">
        <v>101</v>
      </c>
      <c r="Q12" s="12">
        <v>139</v>
      </c>
      <c r="R12" s="12">
        <v>29</v>
      </c>
      <c r="S12" s="12">
        <v>90</v>
      </c>
      <c r="T12" s="12">
        <v>109</v>
      </c>
      <c r="U12" s="12">
        <v>53</v>
      </c>
      <c r="V12" s="12">
        <v>74</v>
      </c>
      <c r="W12" s="12">
        <v>30</v>
      </c>
      <c r="X12" s="12">
        <v>117</v>
      </c>
      <c r="Y12" s="12">
        <v>90</v>
      </c>
      <c r="Z12" s="12">
        <v>81</v>
      </c>
      <c r="AA12" s="12">
        <v>108</v>
      </c>
      <c r="AB12" s="12">
        <v>81</v>
      </c>
      <c r="AC12" s="12">
        <v>125</v>
      </c>
      <c r="AD12" s="12">
        <v>123</v>
      </c>
      <c r="AE12" s="12">
        <v>104</v>
      </c>
      <c r="AF12" s="12">
        <v>117</v>
      </c>
    </row>
    <row r="13" spans="1:32" ht="34.5">
      <c r="A13" s="23"/>
      <c r="B13" s="13" t="s">
        <v>661</v>
      </c>
      <c r="C13" s="14">
        <v>0.1</v>
      </c>
      <c r="D13" s="14">
        <v>0.11</v>
      </c>
      <c r="E13" s="14">
        <v>0.13</v>
      </c>
      <c r="F13" s="14">
        <v>0.16</v>
      </c>
      <c r="G13" s="14">
        <v>0.12</v>
      </c>
      <c r="H13" s="14">
        <v>0.08</v>
      </c>
      <c r="I13" s="14">
        <v>0.09</v>
      </c>
      <c r="J13" s="14">
        <v>0.13</v>
      </c>
      <c r="K13" s="14">
        <v>0.12</v>
      </c>
      <c r="L13" s="14">
        <v>0.08</v>
      </c>
      <c r="M13" s="14">
        <v>0.09</v>
      </c>
      <c r="N13" s="14">
        <v>7.0000000000000007E-2</v>
      </c>
      <c r="O13" s="14">
        <v>0.1</v>
      </c>
      <c r="P13" s="14">
        <v>0.1</v>
      </c>
      <c r="Q13" s="14">
        <v>0.13</v>
      </c>
      <c r="R13" s="14">
        <v>0.06</v>
      </c>
      <c r="S13" s="14">
        <v>0.09</v>
      </c>
      <c r="T13" s="14">
        <v>0.11</v>
      </c>
      <c r="U13" s="14">
        <v>0.11</v>
      </c>
      <c r="V13" s="14">
        <v>7.0000000000000007E-2</v>
      </c>
      <c r="W13" s="14">
        <v>0.06</v>
      </c>
      <c r="X13" s="14">
        <v>0.12</v>
      </c>
      <c r="Y13" s="14">
        <v>0.09</v>
      </c>
      <c r="Z13" s="14">
        <v>0.08</v>
      </c>
      <c r="AA13" s="14">
        <v>0.1</v>
      </c>
      <c r="AB13" s="14">
        <v>0.08</v>
      </c>
      <c r="AC13" s="14">
        <v>0.12</v>
      </c>
      <c r="AD13" s="14">
        <v>0.12</v>
      </c>
      <c r="AE13" s="14">
        <v>0.1</v>
      </c>
      <c r="AF13" s="14">
        <v>0.11</v>
      </c>
    </row>
    <row r="14" spans="1:32">
      <c r="A14" s="23"/>
      <c r="B14" s="11" t="s">
        <v>662</v>
      </c>
      <c r="C14" s="12">
        <v>4520</v>
      </c>
      <c r="D14" s="12">
        <v>193</v>
      </c>
      <c r="E14" s="12">
        <v>108</v>
      </c>
      <c r="F14" s="12">
        <v>190</v>
      </c>
      <c r="G14" s="12">
        <v>288</v>
      </c>
      <c r="H14" s="12">
        <v>269</v>
      </c>
      <c r="I14" s="12">
        <v>321</v>
      </c>
      <c r="J14" s="12">
        <v>52</v>
      </c>
      <c r="K14" s="12">
        <v>140</v>
      </c>
      <c r="L14" s="12">
        <v>108</v>
      </c>
      <c r="M14" s="12">
        <v>149</v>
      </c>
      <c r="N14" s="12">
        <v>90</v>
      </c>
      <c r="O14" s="12">
        <v>175</v>
      </c>
      <c r="P14" s="12">
        <v>105</v>
      </c>
      <c r="Q14" s="12">
        <v>155</v>
      </c>
      <c r="R14" s="12">
        <v>121</v>
      </c>
      <c r="S14" s="12">
        <v>226</v>
      </c>
      <c r="T14" s="12">
        <v>297</v>
      </c>
      <c r="U14" s="12">
        <v>103</v>
      </c>
      <c r="V14" s="12">
        <v>141</v>
      </c>
      <c r="W14" s="12">
        <v>41</v>
      </c>
      <c r="X14" s="12">
        <v>207</v>
      </c>
      <c r="Y14" s="12">
        <v>123</v>
      </c>
      <c r="Z14" s="12">
        <v>245</v>
      </c>
      <c r="AA14" s="12">
        <v>169</v>
      </c>
      <c r="AB14" s="12">
        <v>137</v>
      </c>
      <c r="AC14" s="12">
        <v>90</v>
      </c>
      <c r="AD14" s="12">
        <v>122</v>
      </c>
      <c r="AE14" s="12">
        <v>223</v>
      </c>
      <c r="AF14" s="12">
        <v>166</v>
      </c>
    </row>
    <row r="15" spans="1:32">
      <c r="A15" s="23"/>
      <c r="B15" s="13" t="s">
        <v>663</v>
      </c>
      <c r="C15" s="14">
        <v>0.17</v>
      </c>
      <c r="D15" s="14">
        <v>0.19</v>
      </c>
      <c r="E15" s="14">
        <v>0.1</v>
      </c>
      <c r="F15" s="14">
        <v>0.19</v>
      </c>
      <c r="G15" s="14">
        <v>0.28999999999999998</v>
      </c>
      <c r="H15" s="14">
        <v>0.22</v>
      </c>
      <c r="I15" s="14">
        <v>0.21</v>
      </c>
      <c r="J15" s="14">
        <v>0.18</v>
      </c>
      <c r="K15" s="14">
        <v>0.14000000000000001</v>
      </c>
      <c r="L15" s="14">
        <v>0.11</v>
      </c>
      <c r="M15" s="14">
        <v>0.15</v>
      </c>
      <c r="N15" s="14">
        <v>0.09</v>
      </c>
      <c r="O15" s="14">
        <v>0.17</v>
      </c>
      <c r="P15" s="14">
        <v>0.1</v>
      </c>
      <c r="Q15" s="14">
        <v>0.15</v>
      </c>
      <c r="R15" s="14">
        <v>0.24</v>
      </c>
      <c r="S15" s="14">
        <v>0.23</v>
      </c>
      <c r="T15" s="14">
        <v>0.3</v>
      </c>
      <c r="U15" s="14">
        <v>0.2</v>
      </c>
      <c r="V15" s="14">
        <v>0.14000000000000001</v>
      </c>
      <c r="W15" s="14">
        <v>0.08</v>
      </c>
      <c r="X15" s="14">
        <v>0.2</v>
      </c>
      <c r="Y15" s="14">
        <v>0.12</v>
      </c>
      <c r="Z15" s="14">
        <v>0.24</v>
      </c>
      <c r="AA15" s="14">
        <v>0.16</v>
      </c>
      <c r="AB15" s="14">
        <v>0.13</v>
      </c>
      <c r="AC15" s="14">
        <v>0.09</v>
      </c>
      <c r="AD15" s="14">
        <v>0.12</v>
      </c>
      <c r="AE15" s="14">
        <v>0.22</v>
      </c>
      <c r="AF15" s="14">
        <v>0.16</v>
      </c>
    </row>
    <row r="16" spans="1:32" ht="34.5">
      <c r="A16" s="23"/>
      <c r="B16" s="11" t="s">
        <v>664</v>
      </c>
      <c r="C16" s="12">
        <v>1442</v>
      </c>
      <c r="D16" s="12">
        <v>46</v>
      </c>
      <c r="E16" s="12">
        <v>75</v>
      </c>
      <c r="F16" s="12">
        <v>58</v>
      </c>
      <c r="G16" s="12">
        <v>87</v>
      </c>
      <c r="H16" s="12">
        <v>84</v>
      </c>
      <c r="I16" s="12">
        <v>97</v>
      </c>
      <c r="J16" s="12">
        <v>13</v>
      </c>
      <c r="K16" s="12">
        <v>95</v>
      </c>
      <c r="L16" s="12">
        <v>41</v>
      </c>
      <c r="M16" s="12">
        <v>48</v>
      </c>
      <c r="N16" s="12">
        <v>42</v>
      </c>
      <c r="O16" s="12">
        <v>42</v>
      </c>
      <c r="P16" s="12">
        <v>49</v>
      </c>
      <c r="Q16" s="12">
        <v>51</v>
      </c>
      <c r="R16" s="12">
        <v>22</v>
      </c>
      <c r="S16" s="12">
        <v>78</v>
      </c>
      <c r="T16" s="12">
        <v>90</v>
      </c>
      <c r="U16" s="12">
        <v>54</v>
      </c>
      <c r="V16" s="12">
        <v>56</v>
      </c>
      <c r="W16" s="12">
        <v>15</v>
      </c>
      <c r="X16" s="12">
        <v>51</v>
      </c>
      <c r="Y16" s="12">
        <v>57</v>
      </c>
      <c r="Z16" s="12">
        <v>53</v>
      </c>
      <c r="AA16" s="12">
        <v>11</v>
      </c>
      <c r="AB16" s="12">
        <v>86</v>
      </c>
      <c r="AC16" s="12">
        <v>66</v>
      </c>
      <c r="AD16" s="12">
        <v>60</v>
      </c>
      <c r="AE16" s="12">
        <v>98</v>
      </c>
      <c r="AF16" s="12">
        <v>102</v>
      </c>
    </row>
    <row r="17" spans="1:32" ht="23.25">
      <c r="A17" s="23"/>
      <c r="B17" s="13" t="s">
        <v>665</v>
      </c>
      <c r="C17" s="14">
        <v>0.05</v>
      </c>
      <c r="D17" s="14">
        <v>0.05</v>
      </c>
      <c r="E17" s="14">
        <v>7.0000000000000007E-2</v>
      </c>
      <c r="F17" s="14">
        <v>0.06</v>
      </c>
      <c r="G17" s="14">
        <v>0.09</v>
      </c>
      <c r="H17" s="14">
        <v>7.0000000000000007E-2</v>
      </c>
      <c r="I17" s="14">
        <v>7.0000000000000007E-2</v>
      </c>
      <c r="J17" s="14">
        <v>0.05</v>
      </c>
      <c r="K17" s="14">
        <v>0.1</v>
      </c>
      <c r="L17" s="14">
        <v>0.04</v>
      </c>
      <c r="M17" s="14">
        <v>0.05</v>
      </c>
      <c r="N17" s="14">
        <v>0.04</v>
      </c>
      <c r="O17" s="14">
        <v>0.04</v>
      </c>
      <c r="P17" s="14">
        <v>0.05</v>
      </c>
      <c r="Q17" s="14">
        <v>0.05</v>
      </c>
      <c r="R17" s="14">
        <v>0.05</v>
      </c>
      <c r="S17" s="14">
        <v>0.08</v>
      </c>
      <c r="T17" s="14">
        <v>0.09</v>
      </c>
      <c r="U17" s="14">
        <v>0.11</v>
      </c>
      <c r="V17" s="14">
        <v>0.06</v>
      </c>
      <c r="W17" s="14">
        <v>0.03</v>
      </c>
      <c r="X17" s="14">
        <v>0.05</v>
      </c>
      <c r="Y17" s="14">
        <v>0.06</v>
      </c>
      <c r="Z17" s="14">
        <v>0.05</v>
      </c>
      <c r="AA17" s="14">
        <v>0.01</v>
      </c>
      <c r="AB17" s="14">
        <v>0.08</v>
      </c>
      <c r="AC17" s="14">
        <v>7.0000000000000007E-2</v>
      </c>
      <c r="AD17" s="14">
        <v>0.06</v>
      </c>
      <c r="AE17" s="14">
        <v>0.1</v>
      </c>
      <c r="AF17" s="14">
        <v>0.09</v>
      </c>
    </row>
    <row r="18" spans="1:32" ht="34.5">
      <c r="A18" s="23"/>
      <c r="B18" s="11" t="s">
        <v>666</v>
      </c>
      <c r="C18" s="12">
        <v>748</v>
      </c>
      <c r="D18" s="12">
        <v>21</v>
      </c>
      <c r="E18" s="12">
        <v>31</v>
      </c>
      <c r="F18" s="12">
        <v>12</v>
      </c>
      <c r="G18" s="12">
        <v>27</v>
      </c>
      <c r="H18" s="12">
        <v>38</v>
      </c>
      <c r="I18" s="12">
        <v>44</v>
      </c>
      <c r="J18" s="12">
        <v>6</v>
      </c>
      <c r="K18" s="12">
        <v>36</v>
      </c>
      <c r="L18" s="12">
        <v>13</v>
      </c>
      <c r="M18" s="12">
        <v>17</v>
      </c>
      <c r="N18" s="12">
        <v>35</v>
      </c>
      <c r="O18" s="12">
        <v>23</v>
      </c>
      <c r="P18" s="12">
        <v>33</v>
      </c>
      <c r="Q18" s="12">
        <v>36</v>
      </c>
      <c r="R18" s="12">
        <v>3</v>
      </c>
      <c r="S18" s="12">
        <v>42</v>
      </c>
      <c r="T18" s="12">
        <v>59</v>
      </c>
      <c r="U18" s="12">
        <v>14</v>
      </c>
      <c r="V18" s="12">
        <v>38</v>
      </c>
      <c r="W18" s="12">
        <v>15</v>
      </c>
      <c r="X18" s="12">
        <v>11</v>
      </c>
      <c r="Y18" s="12">
        <v>27</v>
      </c>
      <c r="Z18" s="12">
        <v>36</v>
      </c>
      <c r="AA18" s="12">
        <v>9</v>
      </c>
      <c r="AB18" s="12">
        <v>47</v>
      </c>
      <c r="AC18" s="12">
        <v>40</v>
      </c>
      <c r="AD18" s="12">
        <v>39</v>
      </c>
      <c r="AE18" s="12">
        <v>7</v>
      </c>
      <c r="AF18" s="12">
        <v>13</v>
      </c>
    </row>
    <row r="19" spans="1:32" ht="23.25">
      <c r="A19" s="23"/>
      <c r="B19" s="13" t="s">
        <v>667</v>
      </c>
      <c r="C19" s="14">
        <v>0.03</v>
      </c>
      <c r="D19" s="14">
        <v>0.02</v>
      </c>
      <c r="E19" s="14">
        <v>0.03</v>
      </c>
      <c r="F19" s="14">
        <v>0.01</v>
      </c>
      <c r="G19" s="14">
        <v>0.03</v>
      </c>
      <c r="H19" s="14">
        <v>0.03</v>
      </c>
      <c r="I19" s="14">
        <v>0.03</v>
      </c>
      <c r="J19" s="14">
        <v>0.02</v>
      </c>
      <c r="K19" s="14">
        <v>0.04</v>
      </c>
      <c r="L19" s="14">
        <v>0.01</v>
      </c>
      <c r="M19" s="14">
        <v>0.02</v>
      </c>
      <c r="N19" s="14">
        <v>0.04</v>
      </c>
      <c r="O19" s="14">
        <v>0.02</v>
      </c>
      <c r="P19" s="14">
        <v>0.03</v>
      </c>
      <c r="Q19" s="14">
        <v>0.03</v>
      </c>
      <c r="R19" s="14">
        <v>0.01</v>
      </c>
      <c r="S19" s="14">
        <v>0.04</v>
      </c>
      <c r="T19" s="14">
        <v>0.06</v>
      </c>
      <c r="U19" s="14">
        <v>0.03</v>
      </c>
      <c r="V19" s="14">
        <v>0.04</v>
      </c>
      <c r="W19" s="14">
        <v>0.03</v>
      </c>
      <c r="X19" s="14">
        <v>0.01</v>
      </c>
      <c r="Y19" s="14">
        <v>0.03</v>
      </c>
      <c r="Z19" s="14">
        <v>0.04</v>
      </c>
      <c r="AA19" s="14">
        <v>0.01</v>
      </c>
      <c r="AB19" s="14">
        <v>0.05</v>
      </c>
      <c r="AC19" s="14">
        <v>0.04</v>
      </c>
      <c r="AD19" s="14">
        <v>0.04</v>
      </c>
      <c r="AE19" s="14">
        <v>0.01</v>
      </c>
      <c r="AF19" s="14">
        <v>0.01</v>
      </c>
    </row>
    <row r="20" spans="1:32" ht="34.5">
      <c r="A20" s="23"/>
      <c r="B20" s="11" t="s">
        <v>668</v>
      </c>
      <c r="C20" s="12">
        <v>1048</v>
      </c>
      <c r="D20" s="12">
        <v>59</v>
      </c>
      <c r="E20" s="12">
        <v>39</v>
      </c>
      <c r="F20" s="12">
        <v>31</v>
      </c>
      <c r="G20" s="12">
        <v>55</v>
      </c>
      <c r="H20" s="12">
        <v>41</v>
      </c>
      <c r="I20" s="12">
        <v>48</v>
      </c>
      <c r="J20" s="12">
        <v>7</v>
      </c>
      <c r="K20" s="12">
        <v>52</v>
      </c>
      <c r="L20" s="12">
        <v>62</v>
      </c>
      <c r="M20" s="12">
        <v>39</v>
      </c>
      <c r="N20" s="12">
        <v>38</v>
      </c>
      <c r="O20" s="12">
        <v>35</v>
      </c>
      <c r="P20" s="12">
        <v>40</v>
      </c>
      <c r="Q20" s="12">
        <v>37</v>
      </c>
      <c r="R20" s="12">
        <v>26</v>
      </c>
      <c r="S20" s="12">
        <v>31</v>
      </c>
      <c r="T20" s="12">
        <v>17</v>
      </c>
      <c r="U20" s="12">
        <v>19</v>
      </c>
      <c r="V20" s="12">
        <v>37</v>
      </c>
      <c r="W20" s="12">
        <v>51</v>
      </c>
      <c r="X20" s="12">
        <v>97</v>
      </c>
      <c r="Y20" s="12">
        <v>55</v>
      </c>
      <c r="Z20" s="12">
        <v>35</v>
      </c>
      <c r="AA20" s="12">
        <v>21</v>
      </c>
      <c r="AB20" s="12">
        <v>45</v>
      </c>
      <c r="AC20" s="12">
        <v>62</v>
      </c>
      <c r="AD20" s="12">
        <v>36</v>
      </c>
      <c r="AE20" s="12">
        <v>59</v>
      </c>
      <c r="AF20" s="12">
        <v>52</v>
      </c>
    </row>
    <row r="21" spans="1:32" ht="34.5">
      <c r="A21" s="23"/>
      <c r="B21" s="13" t="s">
        <v>669</v>
      </c>
      <c r="C21" s="14">
        <v>0.04</v>
      </c>
      <c r="D21" s="14">
        <v>0.06</v>
      </c>
      <c r="E21" s="14">
        <v>0.04</v>
      </c>
      <c r="F21" s="14">
        <v>0.03</v>
      </c>
      <c r="G21" s="14">
        <v>0.05</v>
      </c>
      <c r="H21" s="14">
        <v>0.03</v>
      </c>
      <c r="I21" s="14">
        <v>0.03</v>
      </c>
      <c r="J21" s="14">
        <v>0.02</v>
      </c>
      <c r="K21" s="14">
        <v>0.05</v>
      </c>
      <c r="L21" s="14">
        <v>0.06</v>
      </c>
      <c r="M21" s="14">
        <v>0.04</v>
      </c>
      <c r="N21" s="14">
        <v>0.04</v>
      </c>
      <c r="O21" s="14">
        <v>0.04</v>
      </c>
      <c r="P21" s="14">
        <v>0.04</v>
      </c>
      <c r="Q21" s="14">
        <v>0.04</v>
      </c>
      <c r="R21" s="14">
        <v>0.05</v>
      </c>
      <c r="S21" s="14">
        <v>0.03</v>
      </c>
      <c r="T21" s="14">
        <v>0.02</v>
      </c>
      <c r="U21" s="14">
        <v>0.04</v>
      </c>
      <c r="V21" s="14">
        <v>0.04</v>
      </c>
      <c r="W21" s="14">
        <v>0.1</v>
      </c>
      <c r="X21" s="14">
        <v>0.1</v>
      </c>
      <c r="Y21" s="14">
        <v>0.05</v>
      </c>
      <c r="Z21" s="14">
        <v>0.03</v>
      </c>
      <c r="AA21" s="14">
        <v>0.02</v>
      </c>
      <c r="AB21" s="14">
        <v>0.04</v>
      </c>
      <c r="AC21" s="14">
        <v>0.06</v>
      </c>
      <c r="AD21" s="14">
        <v>0.04</v>
      </c>
      <c r="AE21" s="14">
        <v>0.06</v>
      </c>
      <c r="AF21" s="14">
        <v>0.05</v>
      </c>
    </row>
    <row r="22" spans="1:32" ht="45.75">
      <c r="A22" s="23"/>
      <c r="B22" s="11" t="s">
        <v>670</v>
      </c>
      <c r="C22" s="12">
        <v>2351</v>
      </c>
      <c r="D22" s="12">
        <v>78</v>
      </c>
      <c r="E22" s="12">
        <v>69</v>
      </c>
      <c r="F22" s="12">
        <v>57</v>
      </c>
      <c r="G22" s="12">
        <v>88</v>
      </c>
      <c r="H22" s="12">
        <v>128</v>
      </c>
      <c r="I22" s="12">
        <v>155</v>
      </c>
      <c r="J22" s="12">
        <v>27</v>
      </c>
      <c r="K22" s="12">
        <v>40</v>
      </c>
      <c r="L22" s="12">
        <v>89</v>
      </c>
      <c r="M22" s="12">
        <v>72</v>
      </c>
      <c r="N22" s="12">
        <v>111</v>
      </c>
      <c r="O22" s="12">
        <v>79</v>
      </c>
      <c r="P22" s="12">
        <v>74</v>
      </c>
      <c r="Q22" s="12">
        <v>73</v>
      </c>
      <c r="R22" s="12">
        <v>53</v>
      </c>
      <c r="S22" s="12">
        <v>68</v>
      </c>
      <c r="T22" s="12">
        <v>52</v>
      </c>
      <c r="U22" s="12">
        <v>44</v>
      </c>
      <c r="V22" s="12">
        <v>80</v>
      </c>
      <c r="W22" s="12">
        <v>65</v>
      </c>
      <c r="X22" s="12">
        <v>131</v>
      </c>
      <c r="Y22" s="12">
        <v>96</v>
      </c>
      <c r="Z22" s="12">
        <v>72</v>
      </c>
      <c r="AA22" s="12">
        <v>67</v>
      </c>
      <c r="AB22" s="12">
        <v>101</v>
      </c>
      <c r="AC22" s="12">
        <v>74</v>
      </c>
      <c r="AD22" s="12">
        <v>78</v>
      </c>
      <c r="AE22" s="12">
        <v>87</v>
      </c>
      <c r="AF22" s="12">
        <v>190</v>
      </c>
    </row>
    <row r="23" spans="1:32" ht="34.5">
      <c r="A23" s="23"/>
      <c r="B23" s="13" t="s">
        <v>671</v>
      </c>
      <c r="C23" s="14">
        <v>0.09</v>
      </c>
      <c r="D23" s="14">
        <v>0.08</v>
      </c>
      <c r="E23" s="14">
        <v>7.0000000000000007E-2</v>
      </c>
      <c r="F23" s="14">
        <v>0.06</v>
      </c>
      <c r="G23" s="14">
        <v>0.09</v>
      </c>
      <c r="H23" s="14">
        <v>0.11</v>
      </c>
      <c r="I23" s="14">
        <v>0.1</v>
      </c>
      <c r="J23" s="14">
        <v>0.09</v>
      </c>
      <c r="K23" s="14">
        <v>0.04</v>
      </c>
      <c r="L23" s="14">
        <v>0.09</v>
      </c>
      <c r="M23" s="14">
        <v>7.0000000000000007E-2</v>
      </c>
      <c r="N23" s="14">
        <v>0.11</v>
      </c>
      <c r="O23" s="14">
        <v>0.08</v>
      </c>
      <c r="P23" s="14">
        <v>7.0000000000000007E-2</v>
      </c>
      <c r="Q23" s="14">
        <v>7.0000000000000007E-2</v>
      </c>
      <c r="R23" s="14">
        <v>0.11</v>
      </c>
      <c r="S23" s="14">
        <v>7.0000000000000007E-2</v>
      </c>
      <c r="T23" s="14">
        <v>0.05</v>
      </c>
      <c r="U23" s="14">
        <v>0.09</v>
      </c>
      <c r="V23" s="14">
        <v>0.08</v>
      </c>
      <c r="W23" s="14">
        <v>0.13</v>
      </c>
      <c r="X23" s="14">
        <v>0.13</v>
      </c>
      <c r="Y23" s="14">
        <v>0.1</v>
      </c>
      <c r="Z23" s="14">
        <v>7.0000000000000007E-2</v>
      </c>
      <c r="AA23" s="14">
        <v>0.06</v>
      </c>
      <c r="AB23" s="14">
        <v>0.1</v>
      </c>
      <c r="AC23" s="14">
        <v>7.0000000000000007E-2</v>
      </c>
      <c r="AD23" s="14">
        <v>0.08</v>
      </c>
      <c r="AE23" s="14">
        <v>0.09</v>
      </c>
      <c r="AF23" s="14">
        <v>0.18</v>
      </c>
    </row>
    <row r="24" spans="1:32" ht="23.25">
      <c r="A24" s="23"/>
      <c r="B24" s="11" t="s">
        <v>672</v>
      </c>
      <c r="C24" s="12">
        <v>3362</v>
      </c>
      <c r="D24" s="12">
        <v>100</v>
      </c>
      <c r="E24" s="12">
        <v>154</v>
      </c>
      <c r="F24" s="12">
        <v>158</v>
      </c>
      <c r="G24" s="12">
        <v>103</v>
      </c>
      <c r="H24" s="12">
        <v>139</v>
      </c>
      <c r="I24" s="12">
        <v>195</v>
      </c>
      <c r="J24" s="12">
        <v>56</v>
      </c>
      <c r="K24" s="12">
        <v>165</v>
      </c>
      <c r="L24" s="12">
        <v>85</v>
      </c>
      <c r="M24" s="12">
        <v>192</v>
      </c>
      <c r="N24" s="12">
        <v>119</v>
      </c>
      <c r="O24" s="12">
        <v>133</v>
      </c>
      <c r="P24" s="12">
        <v>132</v>
      </c>
      <c r="Q24" s="12">
        <v>132</v>
      </c>
      <c r="R24" s="12">
        <v>24</v>
      </c>
      <c r="S24" s="12">
        <v>114</v>
      </c>
      <c r="T24" s="12">
        <v>87</v>
      </c>
      <c r="U24" s="12">
        <v>44</v>
      </c>
      <c r="V24" s="12">
        <v>164</v>
      </c>
      <c r="W24" s="12">
        <v>43</v>
      </c>
      <c r="X24" s="12">
        <v>110</v>
      </c>
      <c r="Y24" s="12">
        <v>110</v>
      </c>
      <c r="Z24" s="12">
        <v>109</v>
      </c>
      <c r="AA24" s="12">
        <v>210</v>
      </c>
      <c r="AB24" s="12">
        <v>106</v>
      </c>
      <c r="AC24" s="12">
        <v>155</v>
      </c>
      <c r="AD24" s="12">
        <v>123</v>
      </c>
      <c r="AE24" s="12">
        <v>174</v>
      </c>
      <c r="AF24" s="12">
        <v>131</v>
      </c>
    </row>
    <row r="25" spans="1:32" ht="23.25">
      <c r="A25" s="23"/>
      <c r="B25" s="13" t="s">
        <v>673</v>
      </c>
      <c r="C25" s="14">
        <v>0.13</v>
      </c>
      <c r="D25" s="14">
        <v>0.1</v>
      </c>
      <c r="E25" s="14">
        <v>0.15</v>
      </c>
      <c r="F25" s="14">
        <v>0.16</v>
      </c>
      <c r="G25" s="14">
        <v>0.1</v>
      </c>
      <c r="H25" s="14">
        <v>0.11</v>
      </c>
      <c r="I25" s="14">
        <v>0.13</v>
      </c>
      <c r="J25" s="14">
        <v>0.19</v>
      </c>
      <c r="K25" s="14">
        <v>0.16</v>
      </c>
      <c r="L25" s="14">
        <v>0.09</v>
      </c>
      <c r="M25" s="14">
        <v>0.19</v>
      </c>
      <c r="N25" s="14">
        <v>0.12</v>
      </c>
      <c r="O25" s="14">
        <v>0.13</v>
      </c>
      <c r="P25" s="14">
        <v>0.13</v>
      </c>
      <c r="Q25" s="14">
        <v>0.13</v>
      </c>
      <c r="R25" s="14">
        <v>0.05</v>
      </c>
      <c r="S25" s="14">
        <v>0.11</v>
      </c>
      <c r="T25" s="14">
        <v>0.09</v>
      </c>
      <c r="U25" s="14">
        <v>0.09</v>
      </c>
      <c r="V25" s="14">
        <v>0.16</v>
      </c>
      <c r="W25" s="14">
        <v>0.09</v>
      </c>
      <c r="X25" s="14">
        <v>0.11</v>
      </c>
      <c r="Y25" s="14">
        <v>0.11</v>
      </c>
      <c r="Z25" s="14">
        <v>0.11</v>
      </c>
      <c r="AA25" s="14">
        <v>0.2</v>
      </c>
      <c r="AB25" s="14">
        <v>0.1</v>
      </c>
      <c r="AC25" s="14">
        <v>0.15</v>
      </c>
      <c r="AD25" s="14">
        <v>0.12</v>
      </c>
      <c r="AE25" s="14">
        <v>0.17</v>
      </c>
      <c r="AF25" s="14">
        <v>0.12</v>
      </c>
    </row>
    <row r="26" spans="1:32">
      <c r="A26" s="23"/>
      <c r="B26" s="11" t="s">
        <v>674</v>
      </c>
      <c r="C26" s="12">
        <v>1293</v>
      </c>
      <c r="D26" s="12">
        <v>44</v>
      </c>
      <c r="E26" s="12">
        <v>46</v>
      </c>
      <c r="F26" s="12">
        <v>42</v>
      </c>
      <c r="G26" s="12">
        <v>48</v>
      </c>
      <c r="H26" s="12">
        <v>92</v>
      </c>
      <c r="I26" s="12">
        <v>103</v>
      </c>
      <c r="J26" s="12">
        <v>11</v>
      </c>
      <c r="K26" s="12">
        <v>42</v>
      </c>
      <c r="L26" s="12">
        <v>70</v>
      </c>
      <c r="M26" s="12">
        <v>43</v>
      </c>
      <c r="N26" s="12">
        <v>37</v>
      </c>
      <c r="O26" s="12">
        <v>50</v>
      </c>
      <c r="P26" s="12">
        <v>63</v>
      </c>
      <c r="Q26" s="12">
        <v>51</v>
      </c>
      <c r="R26" s="12">
        <v>12</v>
      </c>
      <c r="S26" s="12">
        <v>44</v>
      </c>
      <c r="T26" s="12">
        <v>36</v>
      </c>
      <c r="U26" s="12">
        <v>24</v>
      </c>
      <c r="V26" s="12">
        <v>44</v>
      </c>
      <c r="W26" s="12">
        <v>13</v>
      </c>
      <c r="X26" s="12">
        <v>45</v>
      </c>
      <c r="Y26" s="12">
        <v>44</v>
      </c>
      <c r="Z26" s="12">
        <v>55</v>
      </c>
      <c r="AA26" s="12">
        <v>26</v>
      </c>
      <c r="AB26" s="12">
        <v>38</v>
      </c>
      <c r="AC26" s="12">
        <v>54</v>
      </c>
      <c r="AD26" s="12">
        <v>38</v>
      </c>
      <c r="AE26" s="12">
        <v>19</v>
      </c>
      <c r="AF26" s="12">
        <v>22</v>
      </c>
    </row>
    <row r="27" spans="1:32">
      <c r="A27" s="23"/>
      <c r="B27" s="13" t="s">
        <v>675</v>
      </c>
      <c r="C27" s="14">
        <v>0.05</v>
      </c>
      <c r="D27" s="14">
        <v>0.04</v>
      </c>
      <c r="E27" s="14">
        <v>0.04</v>
      </c>
      <c r="F27" s="14">
        <v>0.04</v>
      </c>
      <c r="G27" s="14">
        <v>0.05</v>
      </c>
      <c r="H27" s="14">
        <v>0.08</v>
      </c>
      <c r="I27" s="14">
        <v>7.0000000000000007E-2</v>
      </c>
      <c r="J27" s="14">
        <v>0.04</v>
      </c>
      <c r="K27" s="14">
        <v>0.04</v>
      </c>
      <c r="L27" s="14">
        <v>7.0000000000000007E-2</v>
      </c>
      <c r="M27" s="14">
        <v>0.04</v>
      </c>
      <c r="N27" s="14">
        <v>0.04</v>
      </c>
      <c r="O27" s="14">
        <v>0.05</v>
      </c>
      <c r="P27" s="14">
        <v>0.06</v>
      </c>
      <c r="Q27" s="14">
        <v>0.05</v>
      </c>
      <c r="R27" s="14">
        <v>0.02</v>
      </c>
      <c r="S27" s="14">
        <v>0.04</v>
      </c>
      <c r="T27" s="14">
        <v>0.04</v>
      </c>
      <c r="U27" s="14">
        <v>0.05</v>
      </c>
      <c r="V27" s="14">
        <v>0.04</v>
      </c>
      <c r="W27" s="14">
        <v>0.03</v>
      </c>
      <c r="X27" s="14">
        <v>0.05</v>
      </c>
      <c r="Y27" s="14">
        <v>0.04</v>
      </c>
      <c r="Z27" s="14">
        <v>0.05</v>
      </c>
      <c r="AA27" s="14">
        <v>0.03</v>
      </c>
      <c r="AB27" s="14">
        <v>0.04</v>
      </c>
      <c r="AC27" s="14">
        <v>0.05</v>
      </c>
      <c r="AD27" s="14">
        <v>0.04</v>
      </c>
      <c r="AE27" s="14">
        <v>0.02</v>
      </c>
      <c r="AF27" s="14">
        <v>0.02</v>
      </c>
    </row>
    <row r="28" spans="1:32">
      <c r="A28" s="23"/>
      <c r="B28" s="11" t="s">
        <v>676</v>
      </c>
      <c r="C28" s="12">
        <v>976</v>
      </c>
      <c r="D28" s="12">
        <v>47</v>
      </c>
      <c r="E28" s="12">
        <v>42</v>
      </c>
      <c r="F28" s="12">
        <v>19</v>
      </c>
      <c r="G28" s="12">
        <v>11</v>
      </c>
      <c r="H28" s="12">
        <v>60</v>
      </c>
      <c r="I28" s="12">
        <v>76</v>
      </c>
      <c r="J28" s="12">
        <v>16</v>
      </c>
      <c r="K28" s="12">
        <v>33</v>
      </c>
      <c r="L28" s="12">
        <v>57</v>
      </c>
      <c r="M28" s="12">
        <v>28</v>
      </c>
      <c r="N28" s="12">
        <v>32</v>
      </c>
      <c r="O28" s="12">
        <v>44</v>
      </c>
      <c r="P28" s="12">
        <v>42</v>
      </c>
      <c r="Q28" s="12">
        <v>38</v>
      </c>
      <c r="R28" s="12">
        <v>17</v>
      </c>
      <c r="S28" s="12">
        <v>21</v>
      </c>
      <c r="T28" s="12">
        <v>13</v>
      </c>
      <c r="U28" s="12">
        <v>22</v>
      </c>
      <c r="V28" s="12">
        <v>51</v>
      </c>
      <c r="W28" s="12">
        <v>37</v>
      </c>
      <c r="X28" s="12">
        <v>24</v>
      </c>
      <c r="Y28" s="12">
        <v>42</v>
      </c>
      <c r="Z28" s="12">
        <v>12</v>
      </c>
      <c r="AA28" s="12">
        <v>53</v>
      </c>
      <c r="AB28" s="12">
        <v>44</v>
      </c>
      <c r="AC28" s="12">
        <v>35</v>
      </c>
      <c r="AD28" s="12">
        <v>64</v>
      </c>
      <c r="AE28" s="12">
        <v>16</v>
      </c>
      <c r="AF28" s="12">
        <v>6</v>
      </c>
    </row>
    <row r="29" spans="1:32">
      <c r="A29" s="23"/>
      <c r="B29" s="13" t="s">
        <v>677</v>
      </c>
      <c r="C29" s="14">
        <v>0.04</v>
      </c>
      <c r="D29" s="14">
        <v>0.05</v>
      </c>
      <c r="E29" s="14">
        <v>0.04</v>
      </c>
      <c r="F29" s="14">
        <v>0.02</v>
      </c>
      <c r="G29" s="14">
        <v>0.01</v>
      </c>
      <c r="H29" s="14">
        <v>0.05</v>
      </c>
      <c r="I29" s="14">
        <v>0.05</v>
      </c>
      <c r="J29" s="14">
        <v>0.05</v>
      </c>
      <c r="K29" s="14">
        <v>0.03</v>
      </c>
      <c r="L29" s="14">
        <v>0.06</v>
      </c>
      <c r="M29" s="14">
        <v>0.03</v>
      </c>
      <c r="N29" s="14">
        <v>0.03</v>
      </c>
      <c r="O29" s="14">
        <v>0.04</v>
      </c>
      <c r="P29" s="14">
        <v>0.04</v>
      </c>
      <c r="Q29" s="14">
        <v>0.04</v>
      </c>
      <c r="R29" s="14">
        <v>0.03</v>
      </c>
      <c r="S29" s="14">
        <v>0.02</v>
      </c>
      <c r="T29" s="14">
        <v>0.01</v>
      </c>
      <c r="U29" s="14">
        <v>0.04</v>
      </c>
      <c r="V29" s="14">
        <v>0.05</v>
      </c>
      <c r="W29" s="14">
        <v>0.08</v>
      </c>
      <c r="X29" s="14">
        <v>0.02</v>
      </c>
      <c r="Y29" s="14">
        <v>0.04</v>
      </c>
      <c r="Z29" s="14">
        <v>0.01</v>
      </c>
      <c r="AA29" s="14">
        <v>0.05</v>
      </c>
      <c r="AB29" s="14">
        <v>0.04</v>
      </c>
      <c r="AC29" s="14">
        <v>0.04</v>
      </c>
      <c r="AD29" s="14">
        <v>7.0000000000000007E-2</v>
      </c>
      <c r="AE29" s="14">
        <v>0.02</v>
      </c>
      <c r="AF29" s="14">
        <v>0.01</v>
      </c>
    </row>
    <row r="30" spans="1:32" ht="34.5">
      <c r="A30" s="23"/>
      <c r="B30" s="11" t="s">
        <v>678</v>
      </c>
      <c r="C30" s="12">
        <v>1508</v>
      </c>
      <c r="D30" s="12">
        <v>77</v>
      </c>
      <c r="E30" s="12">
        <v>32</v>
      </c>
      <c r="F30" s="12">
        <v>35</v>
      </c>
      <c r="G30" s="12">
        <v>74</v>
      </c>
      <c r="H30" s="12">
        <v>56</v>
      </c>
      <c r="I30" s="12">
        <v>69</v>
      </c>
      <c r="J30" s="12">
        <v>12</v>
      </c>
      <c r="K30" s="12">
        <v>20</v>
      </c>
      <c r="L30" s="12">
        <v>82</v>
      </c>
      <c r="M30" s="12">
        <v>35</v>
      </c>
      <c r="N30" s="12">
        <v>43</v>
      </c>
      <c r="O30" s="12">
        <v>74</v>
      </c>
      <c r="P30" s="12">
        <v>43</v>
      </c>
      <c r="Q30" s="12">
        <v>68</v>
      </c>
      <c r="R30" s="12">
        <v>16</v>
      </c>
      <c r="S30" s="12">
        <v>19</v>
      </c>
      <c r="T30" s="12">
        <v>24</v>
      </c>
      <c r="U30" s="12">
        <v>28</v>
      </c>
      <c r="V30" s="12">
        <v>48</v>
      </c>
      <c r="W30" s="12">
        <v>47</v>
      </c>
      <c r="X30" s="12">
        <v>64</v>
      </c>
      <c r="Y30" s="12">
        <v>80</v>
      </c>
      <c r="Z30" s="12">
        <v>61</v>
      </c>
      <c r="AA30" s="12">
        <v>47</v>
      </c>
      <c r="AB30" s="12">
        <v>31</v>
      </c>
      <c r="AC30" s="12">
        <v>37</v>
      </c>
      <c r="AD30" s="12">
        <v>53</v>
      </c>
      <c r="AE30" s="12">
        <v>56</v>
      </c>
      <c r="AF30" s="12">
        <v>161</v>
      </c>
    </row>
    <row r="31" spans="1:32" ht="23.25">
      <c r="A31" s="23"/>
      <c r="B31" s="13" t="s">
        <v>679</v>
      </c>
      <c r="C31" s="14">
        <v>0.06</v>
      </c>
      <c r="D31" s="14">
        <v>0.08</v>
      </c>
      <c r="E31" s="14">
        <v>0.03</v>
      </c>
      <c r="F31" s="14">
        <v>0.03</v>
      </c>
      <c r="G31" s="14">
        <v>7.0000000000000007E-2</v>
      </c>
      <c r="H31" s="14">
        <v>0.05</v>
      </c>
      <c r="I31" s="14">
        <v>0.05</v>
      </c>
      <c r="J31" s="14">
        <v>0.04</v>
      </c>
      <c r="K31" s="14">
        <v>0.02</v>
      </c>
      <c r="L31" s="14">
        <v>0.08</v>
      </c>
      <c r="M31" s="14">
        <v>0.04</v>
      </c>
      <c r="N31" s="14">
        <v>0.04</v>
      </c>
      <c r="O31" s="14">
        <v>7.0000000000000007E-2</v>
      </c>
      <c r="P31" s="14">
        <v>0.04</v>
      </c>
      <c r="Q31" s="14">
        <v>7.0000000000000007E-2</v>
      </c>
      <c r="R31" s="14">
        <v>0.03</v>
      </c>
      <c r="S31" s="14">
        <v>0.02</v>
      </c>
      <c r="T31" s="14">
        <v>0.02</v>
      </c>
      <c r="U31" s="14">
        <v>0.06</v>
      </c>
      <c r="V31" s="14">
        <v>0.05</v>
      </c>
      <c r="W31" s="14">
        <v>0.09</v>
      </c>
      <c r="X31" s="14">
        <v>0.06</v>
      </c>
      <c r="Y31" s="14">
        <v>0.08</v>
      </c>
      <c r="Z31" s="14">
        <v>0.06</v>
      </c>
      <c r="AA31" s="14">
        <v>0.05</v>
      </c>
      <c r="AB31" s="14">
        <v>0.03</v>
      </c>
      <c r="AC31" s="14">
        <v>0.04</v>
      </c>
      <c r="AD31" s="14">
        <v>0.05</v>
      </c>
      <c r="AE31" s="14">
        <v>0.06</v>
      </c>
      <c r="AF31" s="14">
        <v>0.15</v>
      </c>
    </row>
    <row r="32" spans="1:32" ht="23.25">
      <c r="A32" s="23"/>
      <c r="B32" s="11" t="s">
        <v>680</v>
      </c>
      <c r="C32" s="12">
        <v>2144</v>
      </c>
      <c r="D32" s="12">
        <v>104</v>
      </c>
      <c r="E32" s="12">
        <v>108</v>
      </c>
      <c r="F32" s="12">
        <v>77</v>
      </c>
      <c r="G32" s="12">
        <v>18</v>
      </c>
      <c r="H32" s="12">
        <v>43</v>
      </c>
      <c r="I32" s="12">
        <v>58</v>
      </c>
      <c r="J32" s="12">
        <v>16</v>
      </c>
      <c r="K32" s="12">
        <v>83</v>
      </c>
      <c r="L32" s="12">
        <v>119</v>
      </c>
      <c r="M32" s="12">
        <v>115</v>
      </c>
      <c r="N32" s="12">
        <v>104</v>
      </c>
      <c r="O32" s="12">
        <v>96</v>
      </c>
      <c r="P32" s="12">
        <v>150</v>
      </c>
      <c r="Q32" s="12">
        <v>71</v>
      </c>
      <c r="R32" s="12">
        <v>32</v>
      </c>
      <c r="S32" s="12">
        <v>64</v>
      </c>
      <c r="T32" s="12">
        <v>84</v>
      </c>
      <c r="U32" s="12">
        <v>27</v>
      </c>
      <c r="V32" s="12">
        <v>107</v>
      </c>
      <c r="W32" s="12">
        <v>46</v>
      </c>
      <c r="X32" s="12">
        <v>38</v>
      </c>
      <c r="Y32" s="12">
        <v>92</v>
      </c>
      <c r="Z32" s="12">
        <v>110</v>
      </c>
      <c r="AA32" s="12">
        <v>106</v>
      </c>
      <c r="AB32" s="12">
        <v>131</v>
      </c>
      <c r="AC32" s="12">
        <v>116</v>
      </c>
      <c r="AD32" s="12">
        <v>152</v>
      </c>
      <c r="AE32" s="12">
        <v>75</v>
      </c>
      <c r="AF32" s="12">
        <v>48</v>
      </c>
    </row>
    <row r="33" spans="1:32" ht="23.25">
      <c r="A33" s="23"/>
      <c r="B33" s="13" t="s">
        <v>681</v>
      </c>
      <c r="C33" s="14">
        <v>0.08</v>
      </c>
      <c r="D33" s="14">
        <v>0.1</v>
      </c>
      <c r="E33" s="14">
        <v>0.1</v>
      </c>
      <c r="F33" s="14">
        <v>0.08</v>
      </c>
      <c r="G33" s="14">
        <v>0.02</v>
      </c>
      <c r="H33" s="14">
        <v>0.04</v>
      </c>
      <c r="I33" s="14">
        <v>0.04</v>
      </c>
      <c r="J33" s="14">
        <v>0.05</v>
      </c>
      <c r="K33" s="14">
        <v>0.08</v>
      </c>
      <c r="L33" s="14">
        <v>0.12</v>
      </c>
      <c r="M33" s="14">
        <v>0.11</v>
      </c>
      <c r="N33" s="14">
        <v>0.1</v>
      </c>
      <c r="O33" s="14">
        <v>0.1</v>
      </c>
      <c r="P33" s="14">
        <v>0.15</v>
      </c>
      <c r="Q33" s="14">
        <v>7.0000000000000007E-2</v>
      </c>
      <c r="R33" s="14">
        <v>0.06</v>
      </c>
      <c r="S33" s="14">
        <v>0.06</v>
      </c>
      <c r="T33" s="14">
        <v>0.08</v>
      </c>
      <c r="U33" s="14">
        <v>0.05</v>
      </c>
      <c r="V33" s="14">
        <v>0.11</v>
      </c>
      <c r="W33" s="14">
        <v>0.09</v>
      </c>
      <c r="X33" s="14">
        <v>0.04</v>
      </c>
      <c r="Y33" s="14">
        <v>0.09</v>
      </c>
      <c r="Z33" s="14">
        <v>0.11</v>
      </c>
      <c r="AA33" s="14">
        <v>0.1</v>
      </c>
      <c r="AB33" s="14">
        <v>0.13</v>
      </c>
      <c r="AC33" s="14">
        <v>0.12</v>
      </c>
      <c r="AD33" s="14">
        <v>0.15</v>
      </c>
      <c r="AE33" s="14">
        <v>7.0000000000000007E-2</v>
      </c>
      <c r="AF33" s="14">
        <v>0.05</v>
      </c>
    </row>
    <row r="34" spans="1:32" ht="23.25">
      <c r="A34" s="23"/>
      <c r="B34" s="11" t="s">
        <v>682</v>
      </c>
      <c r="C34" s="12">
        <v>1935</v>
      </c>
      <c r="D34" s="12">
        <v>65</v>
      </c>
      <c r="E34" s="12">
        <v>44</v>
      </c>
      <c r="F34" s="12">
        <v>64</v>
      </c>
      <c r="G34" s="12">
        <v>55</v>
      </c>
      <c r="H34" s="12">
        <v>64</v>
      </c>
      <c r="I34" s="12">
        <v>84</v>
      </c>
      <c r="J34" s="12">
        <v>20</v>
      </c>
      <c r="K34" s="12">
        <v>57</v>
      </c>
      <c r="L34" s="12">
        <v>92</v>
      </c>
      <c r="M34" s="12">
        <v>74</v>
      </c>
      <c r="N34" s="12">
        <v>171</v>
      </c>
      <c r="O34" s="12">
        <v>76</v>
      </c>
      <c r="P34" s="12">
        <v>55</v>
      </c>
      <c r="Q34" s="12">
        <v>68</v>
      </c>
      <c r="R34" s="12">
        <v>76</v>
      </c>
      <c r="S34" s="12">
        <v>77</v>
      </c>
      <c r="T34" s="12">
        <v>57</v>
      </c>
      <c r="U34" s="12">
        <v>36</v>
      </c>
      <c r="V34" s="12">
        <v>69</v>
      </c>
      <c r="W34" s="12">
        <v>57</v>
      </c>
      <c r="X34" s="12">
        <v>75</v>
      </c>
      <c r="Y34" s="12">
        <v>45</v>
      </c>
      <c r="Z34" s="12">
        <v>37</v>
      </c>
      <c r="AA34" s="12">
        <v>67</v>
      </c>
      <c r="AB34" s="12">
        <v>69</v>
      </c>
      <c r="AC34" s="12">
        <v>49</v>
      </c>
      <c r="AD34" s="12">
        <v>61</v>
      </c>
      <c r="AE34" s="12">
        <v>45</v>
      </c>
      <c r="AF34" s="12">
        <v>45</v>
      </c>
    </row>
    <row r="35" spans="1:32">
      <c r="A35" s="23"/>
      <c r="B35" s="13" t="s">
        <v>683</v>
      </c>
      <c r="C35" s="14">
        <v>7.0000000000000007E-2</v>
      </c>
      <c r="D35" s="14">
        <v>0.06</v>
      </c>
      <c r="E35" s="14">
        <v>0.04</v>
      </c>
      <c r="F35" s="14">
        <v>0.06</v>
      </c>
      <c r="G35" s="14">
        <v>0.05</v>
      </c>
      <c r="H35" s="14">
        <v>0.05</v>
      </c>
      <c r="I35" s="14">
        <v>0.06</v>
      </c>
      <c r="J35" s="14">
        <v>7.0000000000000007E-2</v>
      </c>
      <c r="K35" s="14">
        <v>0.06</v>
      </c>
      <c r="L35" s="14">
        <v>0.09</v>
      </c>
      <c r="M35" s="14">
        <v>7.0000000000000007E-2</v>
      </c>
      <c r="N35" s="14">
        <v>0.17</v>
      </c>
      <c r="O35" s="14">
        <v>0.08</v>
      </c>
      <c r="P35" s="14">
        <v>0.06</v>
      </c>
      <c r="Q35" s="14">
        <v>7.0000000000000007E-2</v>
      </c>
      <c r="R35" s="14">
        <v>0.15</v>
      </c>
      <c r="S35" s="14">
        <v>0.08</v>
      </c>
      <c r="T35" s="14">
        <v>0.06</v>
      </c>
      <c r="U35" s="14">
        <v>7.0000000000000007E-2</v>
      </c>
      <c r="V35" s="14">
        <v>7.0000000000000007E-2</v>
      </c>
      <c r="W35" s="14">
        <v>0.11</v>
      </c>
      <c r="X35" s="14">
        <v>7.0000000000000007E-2</v>
      </c>
      <c r="Y35" s="14">
        <v>0.04</v>
      </c>
      <c r="Z35" s="14">
        <v>0.04</v>
      </c>
      <c r="AA35" s="14">
        <v>0.06</v>
      </c>
      <c r="AB35" s="14">
        <v>7.0000000000000007E-2</v>
      </c>
      <c r="AC35" s="14">
        <v>0.05</v>
      </c>
      <c r="AD35" s="14">
        <v>0.06</v>
      </c>
      <c r="AE35" s="14">
        <v>0.04</v>
      </c>
      <c r="AF35" s="14">
        <v>0.04</v>
      </c>
    </row>
    <row r="36" spans="1:32" ht="45.75">
      <c r="A36" s="23"/>
      <c r="B36" s="11" t="s">
        <v>684</v>
      </c>
      <c r="C36" s="12">
        <v>1349</v>
      </c>
      <c r="D36" s="12">
        <v>39</v>
      </c>
      <c r="E36" s="12">
        <v>102</v>
      </c>
      <c r="F36" s="12">
        <v>53</v>
      </c>
      <c r="G36" s="12">
        <v>10</v>
      </c>
      <c r="H36" s="12">
        <v>69</v>
      </c>
      <c r="I36" s="12">
        <v>81</v>
      </c>
      <c r="J36" s="12">
        <v>12</v>
      </c>
      <c r="K36" s="12">
        <v>48</v>
      </c>
      <c r="L36" s="12">
        <v>59</v>
      </c>
      <c r="M36" s="12">
        <v>81</v>
      </c>
      <c r="N36" s="12">
        <v>66</v>
      </c>
      <c r="O36" s="12">
        <v>27</v>
      </c>
      <c r="P36" s="12">
        <v>104</v>
      </c>
      <c r="Q36" s="12">
        <v>47</v>
      </c>
      <c r="R36" s="12">
        <v>37</v>
      </c>
      <c r="S36" s="12">
        <v>85</v>
      </c>
      <c r="T36" s="12">
        <v>39</v>
      </c>
      <c r="U36" s="12">
        <v>17</v>
      </c>
      <c r="V36" s="12">
        <v>76</v>
      </c>
      <c r="W36" s="12">
        <v>23</v>
      </c>
      <c r="X36" s="12">
        <v>22</v>
      </c>
      <c r="Y36" s="12">
        <v>87</v>
      </c>
      <c r="Z36" s="12">
        <v>81</v>
      </c>
      <c r="AA36" s="12">
        <v>47</v>
      </c>
      <c r="AB36" s="12">
        <v>62</v>
      </c>
      <c r="AC36" s="12">
        <v>63</v>
      </c>
      <c r="AD36" s="12">
        <v>41</v>
      </c>
      <c r="AE36" s="12">
        <v>20</v>
      </c>
      <c r="AF36" s="12">
        <v>11</v>
      </c>
    </row>
    <row r="37" spans="1:32" ht="23.25">
      <c r="A37" s="23"/>
      <c r="B37" s="13" t="s">
        <v>685</v>
      </c>
      <c r="C37" s="14">
        <v>0.05</v>
      </c>
      <c r="D37" s="14">
        <v>0.04</v>
      </c>
      <c r="E37" s="14">
        <v>0.1</v>
      </c>
      <c r="F37" s="14">
        <v>0.05</v>
      </c>
      <c r="G37" s="14">
        <v>0.01</v>
      </c>
      <c r="H37" s="14">
        <v>0.06</v>
      </c>
      <c r="I37" s="14">
        <v>0.05</v>
      </c>
      <c r="J37" s="14">
        <v>0.04</v>
      </c>
      <c r="K37" s="14">
        <v>0.05</v>
      </c>
      <c r="L37" s="14">
        <v>0.06</v>
      </c>
      <c r="M37" s="14">
        <v>0.08</v>
      </c>
      <c r="N37" s="14">
        <v>7.0000000000000007E-2</v>
      </c>
      <c r="O37" s="14">
        <v>0.03</v>
      </c>
      <c r="P37" s="14">
        <v>0.1</v>
      </c>
      <c r="Q37" s="14">
        <v>0.04</v>
      </c>
      <c r="R37" s="14">
        <v>7.0000000000000007E-2</v>
      </c>
      <c r="S37" s="14">
        <v>0.08</v>
      </c>
      <c r="T37" s="14">
        <v>0.04</v>
      </c>
      <c r="U37" s="14">
        <v>0.03</v>
      </c>
      <c r="V37" s="14">
        <v>7.0000000000000007E-2</v>
      </c>
      <c r="W37" s="14">
        <v>0.05</v>
      </c>
      <c r="X37" s="14">
        <v>0.02</v>
      </c>
      <c r="Y37" s="14">
        <v>0.09</v>
      </c>
      <c r="Z37" s="14">
        <v>0.08</v>
      </c>
      <c r="AA37" s="14">
        <v>0.05</v>
      </c>
      <c r="AB37" s="14">
        <v>0.06</v>
      </c>
      <c r="AC37" s="14">
        <v>0.06</v>
      </c>
      <c r="AD37" s="14">
        <v>0.04</v>
      </c>
      <c r="AE37" s="14">
        <v>0.02</v>
      </c>
      <c r="AF37" s="14">
        <v>0.01</v>
      </c>
    </row>
    <row r="38" spans="1:32">
      <c r="A38" s="23"/>
      <c r="B38" s="11" t="s">
        <v>686</v>
      </c>
      <c r="C38" s="12">
        <v>497</v>
      </c>
      <c r="D38" s="12">
        <v>24</v>
      </c>
      <c r="E38" s="12">
        <v>25</v>
      </c>
      <c r="F38" s="12">
        <v>11</v>
      </c>
      <c r="G38" s="12">
        <v>6</v>
      </c>
      <c r="H38" s="12">
        <v>11</v>
      </c>
      <c r="I38" s="12">
        <v>16</v>
      </c>
      <c r="J38" s="12">
        <v>4</v>
      </c>
      <c r="K38" s="12">
        <v>32</v>
      </c>
      <c r="L38" s="12">
        <v>25</v>
      </c>
      <c r="M38" s="12">
        <v>18</v>
      </c>
      <c r="N38" s="12">
        <v>23</v>
      </c>
      <c r="O38" s="12">
        <v>20</v>
      </c>
      <c r="P38" s="12">
        <v>19</v>
      </c>
      <c r="Q38" s="12">
        <v>30</v>
      </c>
      <c r="R38" s="12">
        <v>25</v>
      </c>
      <c r="S38" s="12">
        <v>22</v>
      </c>
      <c r="T38" s="12">
        <v>14</v>
      </c>
      <c r="U38" s="12">
        <v>17</v>
      </c>
      <c r="V38" s="12">
        <v>12</v>
      </c>
      <c r="W38" s="12">
        <v>17</v>
      </c>
      <c r="X38" s="12">
        <v>13</v>
      </c>
      <c r="Y38" s="12">
        <v>35</v>
      </c>
      <c r="Z38" s="12">
        <v>9</v>
      </c>
      <c r="AA38" s="12">
        <v>49</v>
      </c>
      <c r="AB38" s="12">
        <v>29</v>
      </c>
      <c r="AC38" s="12">
        <v>26</v>
      </c>
      <c r="AD38" s="12">
        <v>7</v>
      </c>
      <c r="AE38" s="12">
        <v>6</v>
      </c>
      <c r="AF38" s="12">
        <v>5</v>
      </c>
    </row>
    <row r="39" spans="1:32">
      <c r="A39" s="23"/>
      <c r="B39" s="13" t="s">
        <v>687</v>
      </c>
      <c r="C39" s="14">
        <v>0.02</v>
      </c>
      <c r="D39" s="14">
        <v>0.02</v>
      </c>
      <c r="E39" s="14">
        <v>0.03</v>
      </c>
      <c r="F39" s="14">
        <v>0.01</v>
      </c>
      <c r="G39" s="15" t="s">
        <v>485</v>
      </c>
      <c r="H39" s="14">
        <v>0.01</v>
      </c>
      <c r="I39" s="14">
        <v>0.01</v>
      </c>
      <c r="J39" s="14">
        <v>0.02</v>
      </c>
      <c r="K39" s="14">
        <v>0.03</v>
      </c>
      <c r="L39" s="14">
        <v>0.02</v>
      </c>
      <c r="M39" s="14">
        <v>0.02</v>
      </c>
      <c r="N39" s="14">
        <v>0.02</v>
      </c>
      <c r="O39" s="14">
        <v>0.02</v>
      </c>
      <c r="P39" s="14">
        <v>0.02</v>
      </c>
      <c r="Q39" s="14">
        <v>0.03</v>
      </c>
      <c r="R39" s="14">
        <v>0.05</v>
      </c>
      <c r="S39" s="14">
        <v>0.02</v>
      </c>
      <c r="T39" s="14">
        <v>0.01</v>
      </c>
      <c r="U39" s="14">
        <v>0.03</v>
      </c>
      <c r="V39" s="14">
        <v>0.01</v>
      </c>
      <c r="W39" s="14">
        <v>0.03</v>
      </c>
      <c r="X39" s="14">
        <v>0.01</v>
      </c>
      <c r="Y39" s="14">
        <v>0.04</v>
      </c>
      <c r="Z39" s="14">
        <v>0.01</v>
      </c>
      <c r="AA39" s="14">
        <v>0.05</v>
      </c>
      <c r="AB39" s="14">
        <v>0.03</v>
      </c>
      <c r="AC39" s="14">
        <v>0.03</v>
      </c>
      <c r="AD39" s="14">
        <v>0.01</v>
      </c>
      <c r="AE39" s="14">
        <v>0.01</v>
      </c>
      <c r="AF39" s="15" t="s">
        <v>485</v>
      </c>
    </row>
    <row r="40" spans="1:32">
      <c r="A40" s="23"/>
      <c r="B40" s="11" t="s">
        <v>550</v>
      </c>
      <c r="C40" s="12">
        <v>54</v>
      </c>
      <c r="D40" s="12">
        <v>0</v>
      </c>
      <c r="E40" s="12">
        <v>0</v>
      </c>
      <c r="F40" s="12">
        <v>1</v>
      </c>
      <c r="G40" s="12">
        <v>2</v>
      </c>
      <c r="H40" s="12">
        <v>1</v>
      </c>
      <c r="I40" s="12">
        <v>1</v>
      </c>
      <c r="J40" s="12">
        <v>0</v>
      </c>
      <c r="K40" s="12">
        <v>12</v>
      </c>
      <c r="L40" s="12">
        <v>3</v>
      </c>
      <c r="M40" s="12">
        <v>1</v>
      </c>
      <c r="N40" s="12">
        <v>3</v>
      </c>
      <c r="O40" s="12">
        <v>1</v>
      </c>
      <c r="P40" s="12">
        <v>0</v>
      </c>
      <c r="Q40" s="12">
        <v>4</v>
      </c>
      <c r="R40" s="12">
        <v>0</v>
      </c>
      <c r="S40" s="12">
        <v>3</v>
      </c>
      <c r="T40" s="12">
        <v>2</v>
      </c>
      <c r="U40" s="12">
        <v>0</v>
      </c>
      <c r="V40" s="12">
        <v>0</v>
      </c>
      <c r="W40" s="12">
        <v>0</v>
      </c>
      <c r="X40" s="12">
        <v>1</v>
      </c>
      <c r="Y40" s="12">
        <v>10</v>
      </c>
      <c r="Z40" s="12">
        <v>1</v>
      </c>
      <c r="AA40" s="12">
        <v>4</v>
      </c>
      <c r="AB40" s="12">
        <v>4</v>
      </c>
      <c r="AC40" s="12">
        <v>0</v>
      </c>
      <c r="AD40" s="12">
        <v>0</v>
      </c>
      <c r="AE40" s="12">
        <v>3</v>
      </c>
      <c r="AF40" s="12">
        <v>1</v>
      </c>
    </row>
    <row r="41" spans="1:32">
      <c r="A41" s="23"/>
      <c r="B41" s="13" t="s">
        <v>551</v>
      </c>
      <c r="C41" s="15" t="s">
        <v>485</v>
      </c>
      <c r="D41" s="15" t="s">
        <v>485</v>
      </c>
      <c r="E41" s="15" t="s">
        <v>485</v>
      </c>
      <c r="F41" s="15" t="s">
        <v>485</v>
      </c>
      <c r="G41" s="15" t="s">
        <v>485</v>
      </c>
      <c r="H41" s="15" t="s">
        <v>485</v>
      </c>
      <c r="I41" s="15" t="s">
        <v>485</v>
      </c>
      <c r="J41" s="15" t="s">
        <v>485</v>
      </c>
      <c r="K41" s="14">
        <v>0.01</v>
      </c>
      <c r="L41" s="15" t="s">
        <v>485</v>
      </c>
      <c r="M41" s="15" t="s">
        <v>485</v>
      </c>
      <c r="N41" s="15" t="s">
        <v>485</v>
      </c>
      <c r="O41" s="15" t="s">
        <v>485</v>
      </c>
      <c r="P41" s="15" t="s">
        <v>485</v>
      </c>
      <c r="Q41" s="15" t="s">
        <v>485</v>
      </c>
      <c r="R41" s="15" t="s">
        <v>485</v>
      </c>
      <c r="S41" s="15" t="s">
        <v>485</v>
      </c>
      <c r="T41" s="15" t="s">
        <v>485</v>
      </c>
      <c r="U41" s="15" t="s">
        <v>485</v>
      </c>
      <c r="V41" s="15" t="s">
        <v>485</v>
      </c>
      <c r="W41" s="15" t="s">
        <v>485</v>
      </c>
      <c r="X41" s="15" t="s">
        <v>485</v>
      </c>
      <c r="Y41" s="14">
        <v>0.01</v>
      </c>
      <c r="Z41" s="15" t="s">
        <v>485</v>
      </c>
      <c r="AA41" s="15" t="s">
        <v>485</v>
      </c>
      <c r="AB41" s="15" t="s">
        <v>485</v>
      </c>
      <c r="AC41" s="15" t="s">
        <v>485</v>
      </c>
      <c r="AD41" s="15" t="s">
        <v>485</v>
      </c>
      <c r="AE41" s="15" t="s">
        <v>485</v>
      </c>
      <c r="AF41" s="15" t="s">
        <v>485</v>
      </c>
    </row>
    <row r="42" spans="1:32">
      <c r="A42" s="23"/>
      <c r="B42" s="11" t="s">
        <v>618</v>
      </c>
      <c r="C42" s="12">
        <v>155</v>
      </c>
      <c r="D42" s="12">
        <v>0</v>
      </c>
      <c r="E42" s="12">
        <v>9</v>
      </c>
      <c r="F42" s="12">
        <v>6</v>
      </c>
      <c r="G42" s="12">
        <v>6</v>
      </c>
      <c r="H42" s="12">
        <v>5</v>
      </c>
      <c r="I42" s="12">
        <v>7</v>
      </c>
      <c r="J42" s="12">
        <v>1</v>
      </c>
      <c r="K42" s="12">
        <v>7</v>
      </c>
      <c r="L42" s="12">
        <v>2</v>
      </c>
      <c r="M42" s="12">
        <v>2</v>
      </c>
      <c r="N42" s="12">
        <v>4</v>
      </c>
      <c r="O42" s="12">
        <v>15</v>
      </c>
      <c r="P42" s="12">
        <v>0</v>
      </c>
      <c r="Q42" s="12">
        <v>6</v>
      </c>
      <c r="R42" s="12">
        <v>2</v>
      </c>
      <c r="S42" s="12">
        <v>5</v>
      </c>
      <c r="T42" s="12">
        <v>4</v>
      </c>
      <c r="U42" s="12">
        <v>1</v>
      </c>
      <c r="V42" s="12">
        <v>2</v>
      </c>
      <c r="W42" s="12">
        <v>0</v>
      </c>
      <c r="X42" s="12">
        <v>8</v>
      </c>
      <c r="Y42" s="12">
        <v>11</v>
      </c>
      <c r="Z42" s="12">
        <v>6</v>
      </c>
      <c r="AA42" s="12">
        <v>0</v>
      </c>
      <c r="AB42" s="12">
        <v>2</v>
      </c>
      <c r="AC42" s="12">
        <v>4</v>
      </c>
      <c r="AD42" s="12">
        <v>1</v>
      </c>
      <c r="AE42" s="12">
        <v>2</v>
      </c>
      <c r="AF42" s="12">
        <v>0</v>
      </c>
    </row>
    <row r="43" spans="1:32">
      <c r="A43" s="23"/>
      <c r="B43" s="13" t="s">
        <v>619</v>
      </c>
      <c r="C43" s="14">
        <v>0.01</v>
      </c>
      <c r="D43" s="15" t="s">
        <v>485</v>
      </c>
      <c r="E43" s="14">
        <v>0.01</v>
      </c>
      <c r="F43" s="14">
        <v>0.01</v>
      </c>
      <c r="G43" s="14">
        <v>0.01</v>
      </c>
      <c r="H43" s="15" t="s">
        <v>485</v>
      </c>
      <c r="I43" s="15" t="s">
        <v>485</v>
      </c>
      <c r="J43" s="14">
        <v>0.01</v>
      </c>
      <c r="K43" s="14">
        <v>0.01</v>
      </c>
      <c r="L43" s="15" t="s">
        <v>485</v>
      </c>
      <c r="M43" s="15" t="s">
        <v>485</v>
      </c>
      <c r="N43" s="15" t="s">
        <v>485</v>
      </c>
      <c r="O43" s="14">
        <v>0.02</v>
      </c>
      <c r="P43" s="15" t="s">
        <v>485</v>
      </c>
      <c r="Q43" s="14">
        <v>0.01</v>
      </c>
      <c r="R43" s="14">
        <v>0.01</v>
      </c>
      <c r="S43" s="14">
        <v>0.01</v>
      </c>
      <c r="T43" s="15" t="s">
        <v>485</v>
      </c>
      <c r="U43" s="15" t="s">
        <v>485</v>
      </c>
      <c r="V43" s="15" t="s">
        <v>485</v>
      </c>
      <c r="W43" s="15" t="s">
        <v>485</v>
      </c>
      <c r="X43" s="14">
        <v>0.01</v>
      </c>
      <c r="Y43" s="14">
        <v>0.01</v>
      </c>
      <c r="Z43" s="14">
        <v>0.01</v>
      </c>
      <c r="AA43" s="15" t="s">
        <v>485</v>
      </c>
      <c r="AB43" s="15" t="s">
        <v>485</v>
      </c>
      <c r="AC43" s="15" t="s">
        <v>485</v>
      </c>
      <c r="AD43" s="15" t="s">
        <v>485</v>
      </c>
      <c r="AE43" s="15" t="s">
        <v>485</v>
      </c>
      <c r="AF43" s="15" t="s">
        <v>485</v>
      </c>
    </row>
    <row r="44" spans="1:32">
      <c r="A44" s="23"/>
      <c r="B44" s="11" t="s">
        <v>497</v>
      </c>
      <c r="C44" s="12">
        <v>339</v>
      </c>
      <c r="D44" s="12">
        <v>2</v>
      </c>
      <c r="E44" s="12">
        <v>23</v>
      </c>
      <c r="F44" s="12">
        <v>35</v>
      </c>
      <c r="G44" s="12">
        <v>8</v>
      </c>
      <c r="H44" s="12">
        <v>7</v>
      </c>
      <c r="I44" s="12">
        <v>8</v>
      </c>
      <c r="J44" s="12">
        <v>1</v>
      </c>
      <c r="K44" s="12">
        <v>21</v>
      </c>
      <c r="L44" s="12">
        <v>21</v>
      </c>
      <c r="M44" s="12">
        <v>4</v>
      </c>
      <c r="N44" s="12">
        <v>15</v>
      </c>
      <c r="O44" s="12">
        <v>15</v>
      </c>
      <c r="P44" s="12">
        <v>4</v>
      </c>
      <c r="Q44" s="12">
        <v>19</v>
      </c>
      <c r="R44" s="12">
        <v>5</v>
      </c>
      <c r="S44" s="12">
        <v>17</v>
      </c>
      <c r="T44" s="12">
        <v>20</v>
      </c>
      <c r="U44" s="12">
        <v>0</v>
      </c>
      <c r="V44" s="12">
        <v>12</v>
      </c>
      <c r="W44" s="12">
        <v>2</v>
      </c>
      <c r="X44" s="12">
        <v>1</v>
      </c>
      <c r="Y44" s="12">
        <v>2</v>
      </c>
      <c r="Z44" s="12">
        <v>15</v>
      </c>
      <c r="AA44" s="12">
        <v>48</v>
      </c>
      <c r="AB44" s="12">
        <v>18</v>
      </c>
      <c r="AC44" s="12">
        <v>8</v>
      </c>
      <c r="AD44" s="12">
        <v>3</v>
      </c>
      <c r="AE44" s="12">
        <v>14</v>
      </c>
      <c r="AF44" s="12">
        <v>2</v>
      </c>
    </row>
    <row r="45" spans="1:32">
      <c r="A45" s="23"/>
      <c r="B45" s="13" t="s">
        <v>498</v>
      </c>
      <c r="C45" s="14">
        <v>0.01</v>
      </c>
      <c r="D45" s="15" t="s">
        <v>485</v>
      </c>
      <c r="E45" s="14">
        <v>0.02</v>
      </c>
      <c r="F45" s="14">
        <v>0.03</v>
      </c>
      <c r="G45" s="14">
        <v>0.01</v>
      </c>
      <c r="H45" s="14">
        <v>0.01</v>
      </c>
      <c r="I45" s="14">
        <v>0.01</v>
      </c>
      <c r="J45" s="15" t="s">
        <v>485</v>
      </c>
      <c r="K45" s="14">
        <v>0.02</v>
      </c>
      <c r="L45" s="14">
        <v>0.02</v>
      </c>
      <c r="M45" s="15" t="s">
        <v>485</v>
      </c>
      <c r="N45" s="14">
        <v>0.02</v>
      </c>
      <c r="O45" s="14">
        <v>0.01</v>
      </c>
      <c r="P45" s="14">
        <v>0.01</v>
      </c>
      <c r="Q45" s="14">
        <v>0.02</v>
      </c>
      <c r="R45" s="14">
        <v>0.01</v>
      </c>
      <c r="S45" s="14">
        <v>0.02</v>
      </c>
      <c r="T45" s="14">
        <v>0.02</v>
      </c>
      <c r="U45" s="15" t="s">
        <v>485</v>
      </c>
      <c r="V45" s="14">
        <v>0.01</v>
      </c>
      <c r="W45" s="15" t="s">
        <v>485</v>
      </c>
      <c r="X45" s="15" t="s">
        <v>485</v>
      </c>
      <c r="Y45" s="15" t="s">
        <v>485</v>
      </c>
      <c r="Z45" s="14">
        <v>0.01</v>
      </c>
      <c r="AA45" s="14">
        <v>0.05</v>
      </c>
      <c r="AB45" s="14">
        <v>0.02</v>
      </c>
      <c r="AC45" s="14">
        <v>0.01</v>
      </c>
      <c r="AD45" s="15" t="s">
        <v>485</v>
      </c>
      <c r="AE45" s="14">
        <v>0.01</v>
      </c>
      <c r="AF45" s="15" t="s">
        <v>485</v>
      </c>
    </row>
  </sheetData>
  <mergeCells count="9">
    <mergeCell ref="B4:F4"/>
    <mergeCell ref="H3:L3"/>
    <mergeCell ref="C8:AF8"/>
    <mergeCell ref="A10:A45"/>
    <mergeCell ref="B3:F3"/>
    <mergeCell ref="B5:F5"/>
    <mergeCell ref="H5:L5"/>
    <mergeCell ref="B10:B11"/>
    <mergeCell ref="H4:L4"/>
  </mergeCell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F4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12" customHeight="1">
      <c r="B3" s="19" t="s">
        <v>51</v>
      </c>
      <c r="C3" s="19"/>
      <c r="D3" s="19"/>
      <c r="E3" s="19"/>
      <c r="F3" s="19"/>
      <c r="H3" s="19" t="s">
        <v>52</v>
      </c>
      <c r="I3" s="19"/>
      <c r="J3" s="19"/>
      <c r="K3" s="19"/>
      <c r="L3" s="19"/>
    </row>
    <row r="4" spans="1:32" ht="27" customHeight="1">
      <c r="B4" s="19"/>
      <c r="C4" s="19"/>
      <c r="D4" s="19"/>
      <c r="E4" s="19"/>
      <c r="F4" s="19"/>
      <c r="H4" s="19"/>
      <c r="I4" s="19"/>
      <c r="J4" s="19"/>
      <c r="K4" s="19"/>
      <c r="L4" s="19"/>
    </row>
    <row r="5" spans="1:32" ht="12" customHeight="1">
      <c r="B5" s="19" t="s">
        <v>688</v>
      </c>
      <c r="C5" s="19"/>
      <c r="D5" s="19"/>
      <c r="E5" s="19"/>
      <c r="F5" s="19"/>
      <c r="H5" s="19" t="s">
        <v>689</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HYPERLINK("#Content!A27","&lt;&lt;Back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25859</v>
      </c>
      <c r="D10" s="10">
        <v>1004</v>
      </c>
      <c r="E10" s="10">
        <v>1013</v>
      </c>
      <c r="F10" s="10">
        <v>966</v>
      </c>
      <c r="G10" s="10">
        <v>989</v>
      </c>
      <c r="H10" s="10">
        <v>1198</v>
      </c>
      <c r="I10" s="10">
        <v>1490</v>
      </c>
      <c r="J10" s="10">
        <v>292</v>
      </c>
      <c r="K10" s="10">
        <v>976</v>
      </c>
      <c r="L10" s="10">
        <v>984</v>
      </c>
      <c r="M10" s="10">
        <v>1006</v>
      </c>
      <c r="N10" s="10">
        <v>981</v>
      </c>
      <c r="O10" s="10">
        <v>976</v>
      </c>
      <c r="P10" s="10">
        <v>1007</v>
      </c>
      <c r="Q10" s="10">
        <v>1000</v>
      </c>
      <c r="R10" s="10">
        <v>494</v>
      </c>
      <c r="S10" s="10">
        <v>983</v>
      </c>
      <c r="T10" s="10">
        <v>980</v>
      </c>
      <c r="U10" s="10">
        <v>502</v>
      </c>
      <c r="V10" s="10">
        <v>997</v>
      </c>
      <c r="W10" s="10">
        <v>501</v>
      </c>
      <c r="X10" s="10">
        <v>1007</v>
      </c>
      <c r="Y10" s="10">
        <v>993</v>
      </c>
      <c r="Z10" s="10">
        <v>996</v>
      </c>
      <c r="AA10" s="10">
        <v>992</v>
      </c>
      <c r="AB10" s="10">
        <v>1011</v>
      </c>
      <c r="AC10" s="10">
        <v>993</v>
      </c>
      <c r="AD10" s="10">
        <v>998</v>
      </c>
      <c r="AE10" s="10">
        <v>992</v>
      </c>
      <c r="AF10" s="10">
        <v>1071</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45.75">
      <c r="A12" s="23"/>
      <c r="B12" s="11" t="s">
        <v>660</v>
      </c>
      <c r="C12" s="12">
        <v>4577</v>
      </c>
      <c r="D12" s="12">
        <v>161</v>
      </c>
      <c r="E12" s="12">
        <v>220</v>
      </c>
      <c r="F12" s="12">
        <v>223</v>
      </c>
      <c r="G12" s="12">
        <v>241</v>
      </c>
      <c r="H12" s="12">
        <v>192</v>
      </c>
      <c r="I12" s="12">
        <v>249</v>
      </c>
      <c r="J12" s="12">
        <v>56</v>
      </c>
      <c r="K12" s="12">
        <v>190</v>
      </c>
      <c r="L12" s="12">
        <v>143</v>
      </c>
      <c r="M12" s="12">
        <v>204</v>
      </c>
      <c r="N12" s="12">
        <v>116</v>
      </c>
      <c r="O12" s="12">
        <v>161</v>
      </c>
      <c r="P12" s="12">
        <v>191</v>
      </c>
      <c r="Q12" s="12">
        <v>197</v>
      </c>
      <c r="R12" s="12">
        <v>62</v>
      </c>
      <c r="S12" s="12">
        <v>149</v>
      </c>
      <c r="T12" s="12">
        <v>177</v>
      </c>
      <c r="U12" s="12">
        <v>81</v>
      </c>
      <c r="V12" s="12">
        <v>220</v>
      </c>
      <c r="W12" s="12">
        <v>63</v>
      </c>
      <c r="X12" s="12">
        <v>235</v>
      </c>
      <c r="Y12" s="12">
        <v>199</v>
      </c>
      <c r="Z12" s="12">
        <v>163</v>
      </c>
      <c r="AA12" s="12">
        <v>199</v>
      </c>
      <c r="AB12" s="12">
        <v>183</v>
      </c>
      <c r="AC12" s="12">
        <v>178</v>
      </c>
      <c r="AD12" s="12">
        <v>192</v>
      </c>
      <c r="AE12" s="12">
        <v>206</v>
      </c>
      <c r="AF12" s="12">
        <v>232</v>
      </c>
    </row>
    <row r="13" spans="1:32" ht="34.5">
      <c r="A13" s="23"/>
      <c r="B13" s="13" t="s">
        <v>661</v>
      </c>
      <c r="C13" s="14">
        <v>0.2</v>
      </c>
      <c r="D13" s="14">
        <v>0.18</v>
      </c>
      <c r="E13" s="14">
        <v>0.25</v>
      </c>
      <c r="F13" s="14">
        <v>0.28000000000000003</v>
      </c>
      <c r="G13" s="14">
        <v>0.28000000000000003</v>
      </c>
      <c r="H13" s="14">
        <v>0.18</v>
      </c>
      <c r="I13" s="14">
        <v>0.18</v>
      </c>
      <c r="J13" s="14">
        <v>0.22</v>
      </c>
      <c r="K13" s="14">
        <v>0.22</v>
      </c>
      <c r="L13" s="14">
        <v>0.16</v>
      </c>
      <c r="M13" s="14">
        <v>0.22</v>
      </c>
      <c r="N13" s="14">
        <v>0.13</v>
      </c>
      <c r="O13" s="14">
        <v>0.18</v>
      </c>
      <c r="P13" s="14">
        <v>0.21</v>
      </c>
      <c r="Q13" s="14">
        <v>0.23</v>
      </c>
      <c r="R13" s="14">
        <v>0.13</v>
      </c>
      <c r="S13" s="14">
        <v>0.17</v>
      </c>
      <c r="T13" s="14">
        <v>0.2</v>
      </c>
      <c r="U13" s="14">
        <v>0.18</v>
      </c>
      <c r="V13" s="14">
        <v>0.24</v>
      </c>
      <c r="W13" s="14">
        <v>0.13</v>
      </c>
      <c r="X13" s="14">
        <v>0.26</v>
      </c>
      <c r="Y13" s="14">
        <v>0.22</v>
      </c>
      <c r="Z13" s="14">
        <v>0.18</v>
      </c>
      <c r="AA13" s="14">
        <v>0.23</v>
      </c>
      <c r="AB13" s="14">
        <v>0.2</v>
      </c>
      <c r="AC13" s="14">
        <v>0.21</v>
      </c>
      <c r="AD13" s="14">
        <v>0.22</v>
      </c>
      <c r="AE13" s="14">
        <v>0.23</v>
      </c>
      <c r="AF13" s="14">
        <v>0.24</v>
      </c>
    </row>
    <row r="14" spans="1:32">
      <c r="A14" s="23"/>
      <c r="B14" s="11" t="s">
        <v>662</v>
      </c>
      <c r="C14" s="12">
        <v>5025</v>
      </c>
      <c r="D14" s="12">
        <v>196</v>
      </c>
      <c r="E14" s="12">
        <v>163</v>
      </c>
      <c r="F14" s="12">
        <v>224</v>
      </c>
      <c r="G14" s="12">
        <v>235</v>
      </c>
      <c r="H14" s="12">
        <v>264</v>
      </c>
      <c r="I14" s="12">
        <v>328</v>
      </c>
      <c r="J14" s="12">
        <v>64</v>
      </c>
      <c r="K14" s="12">
        <v>174</v>
      </c>
      <c r="L14" s="12">
        <v>133</v>
      </c>
      <c r="M14" s="12">
        <v>226</v>
      </c>
      <c r="N14" s="12">
        <v>115</v>
      </c>
      <c r="O14" s="12">
        <v>218</v>
      </c>
      <c r="P14" s="12">
        <v>139</v>
      </c>
      <c r="Q14" s="12">
        <v>162</v>
      </c>
      <c r="R14" s="12">
        <v>102</v>
      </c>
      <c r="S14" s="12">
        <v>209</v>
      </c>
      <c r="T14" s="12">
        <v>262</v>
      </c>
      <c r="U14" s="12">
        <v>96</v>
      </c>
      <c r="V14" s="12">
        <v>169</v>
      </c>
      <c r="W14" s="12">
        <v>62</v>
      </c>
      <c r="X14" s="12">
        <v>245</v>
      </c>
      <c r="Y14" s="12">
        <v>170</v>
      </c>
      <c r="Z14" s="12">
        <v>191</v>
      </c>
      <c r="AA14" s="12">
        <v>232</v>
      </c>
      <c r="AB14" s="12">
        <v>181</v>
      </c>
      <c r="AC14" s="12">
        <v>139</v>
      </c>
      <c r="AD14" s="12">
        <v>200</v>
      </c>
      <c r="AE14" s="12">
        <v>271</v>
      </c>
      <c r="AF14" s="12">
        <v>237</v>
      </c>
    </row>
    <row r="15" spans="1:32">
      <c r="A15" s="23"/>
      <c r="B15" s="13" t="s">
        <v>663</v>
      </c>
      <c r="C15" s="14">
        <v>0.24</v>
      </c>
      <c r="D15" s="14">
        <v>0.24</v>
      </c>
      <c r="E15" s="14">
        <v>0.18</v>
      </c>
      <c r="F15" s="14">
        <v>0.28999999999999998</v>
      </c>
      <c r="G15" s="14">
        <v>0.34</v>
      </c>
      <c r="H15" s="14">
        <v>0.28000000000000003</v>
      </c>
      <c r="I15" s="14">
        <v>0.28000000000000003</v>
      </c>
      <c r="J15" s="14">
        <v>0.27</v>
      </c>
      <c r="K15" s="14">
        <v>0.21</v>
      </c>
      <c r="L15" s="14">
        <v>0.15</v>
      </c>
      <c r="M15" s="14">
        <v>0.26</v>
      </c>
      <c r="N15" s="14">
        <v>0.13</v>
      </c>
      <c r="O15" s="14">
        <v>0.27</v>
      </c>
      <c r="P15" s="14">
        <v>0.15</v>
      </c>
      <c r="Q15" s="14">
        <v>0.19</v>
      </c>
      <c r="R15" s="14">
        <v>0.27</v>
      </c>
      <c r="S15" s="14">
        <v>0.28000000000000003</v>
      </c>
      <c r="T15" s="14">
        <v>0.38</v>
      </c>
      <c r="U15" s="14">
        <v>0.24</v>
      </c>
      <c r="V15" s="14">
        <v>0.2</v>
      </c>
      <c r="W15" s="14">
        <v>0.13</v>
      </c>
      <c r="X15" s="14">
        <v>0.31</v>
      </c>
      <c r="Y15" s="14">
        <v>0.2</v>
      </c>
      <c r="Z15" s="14">
        <v>0.25</v>
      </c>
      <c r="AA15" s="14">
        <v>0.28000000000000003</v>
      </c>
      <c r="AB15" s="14">
        <v>0.21</v>
      </c>
      <c r="AC15" s="14">
        <v>0.15</v>
      </c>
      <c r="AD15" s="14">
        <v>0.23</v>
      </c>
      <c r="AE15" s="14">
        <v>0.35</v>
      </c>
      <c r="AF15" s="14">
        <v>0.26</v>
      </c>
    </row>
    <row r="16" spans="1:32" ht="34.5">
      <c r="A16" s="23"/>
      <c r="B16" s="11" t="s">
        <v>664</v>
      </c>
      <c r="C16" s="12">
        <v>2746</v>
      </c>
      <c r="D16" s="12">
        <v>109</v>
      </c>
      <c r="E16" s="12">
        <v>121</v>
      </c>
      <c r="F16" s="12">
        <v>98</v>
      </c>
      <c r="G16" s="12">
        <v>116</v>
      </c>
      <c r="H16" s="12">
        <v>130</v>
      </c>
      <c r="I16" s="12">
        <v>164</v>
      </c>
      <c r="J16" s="12">
        <v>34</v>
      </c>
      <c r="K16" s="12">
        <v>127</v>
      </c>
      <c r="L16" s="12">
        <v>77</v>
      </c>
      <c r="M16" s="12">
        <v>148</v>
      </c>
      <c r="N16" s="12">
        <v>77</v>
      </c>
      <c r="O16" s="12">
        <v>100</v>
      </c>
      <c r="P16" s="12">
        <v>103</v>
      </c>
      <c r="Q16" s="12">
        <v>113</v>
      </c>
      <c r="R16" s="12">
        <v>36</v>
      </c>
      <c r="S16" s="12">
        <v>97</v>
      </c>
      <c r="T16" s="12">
        <v>171</v>
      </c>
      <c r="U16" s="12">
        <v>70</v>
      </c>
      <c r="V16" s="12">
        <v>107</v>
      </c>
      <c r="W16" s="12">
        <v>46</v>
      </c>
      <c r="X16" s="12">
        <v>110</v>
      </c>
      <c r="Y16" s="12">
        <v>108</v>
      </c>
      <c r="Z16" s="12">
        <v>111</v>
      </c>
      <c r="AA16" s="12">
        <v>46</v>
      </c>
      <c r="AB16" s="12">
        <v>110</v>
      </c>
      <c r="AC16" s="12">
        <v>96</v>
      </c>
      <c r="AD16" s="12">
        <v>116</v>
      </c>
      <c r="AE16" s="12">
        <v>131</v>
      </c>
      <c r="AF16" s="12">
        <v>147</v>
      </c>
    </row>
    <row r="17" spans="1:32" ht="23.25">
      <c r="A17" s="23"/>
      <c r="B17" s="13" t="s">
        <v>665</v>
      </c>
      <c r="C17" s="14">
        <v>0.11</v>
      </c>
      <c r="D17" s="14">
        <v>0.11</v>
      </c>
      <c r="E17" s="14">
        <v>0.13</v>
      </c>
      <c r="F17" s="14">
        <v>0.11</v>
      </c>
      <c r="G17" s="14">
        <v>0.13</v>
      </c>
      <c r="H17" s="14">
        <v>0.12</v>
      </c>
      <c r="I17" s="14">
        <v>0.12</v>
      </c>
      <c r="J17" s="14">
        <v>0.12</v>
      </c>
      <c r="K17" s="14">
        <v>0.14000000000000001</v>
      </c>
      <c r="L17" s="14">
        <v>0.08</v>
      </c>
      <c r="M17" s="14">
        <v>0.15</v>
      </c>
      <c r="N17" s="14">
        <v>0.08</v>
      </c>
      <c r="O17" s="14">
        <v>0.11</v>
      </c>
      <c r="P17" s="14">
        <v>0.11</v>
      </c>
      <c r="Q17" s="14">
        <v>0.12</v>
      </c>
      <c r="R17" s="14">
        <v>0.08</v>
      </c>
      <c r="S17" s="14">
        <v>0.11</v>
      </c>
      <c r="T17" s="14">
        <v>0.19</v>
      </c>
      <c r="U17" s="14">
        <v>0.16</v>
      </c>
      <c r="V17" s="14">
        <v>0.11</v>
      </c>
      <c r="W17" s="14">
        <v>0.09</v>
      </c>
      <c r="X17" s="14">
        <v>0.12</v>
      </c>
      <c r="Y17" s="14">
        <v>0.12</v>
      </c>
      <c r="Z17" s="14">
        <v>0.12</v>
      </c>
      <c r="AA17" s="14">
        <v>0.05</v>
      </c>
      <c r="AB17" s="14">
        <v>0.12</v>
      </c>
      <c r="AC17" s="14">
        <v>0.1</v>
      </c>
      <c r="AD17" s="14">
        <v>0.12</v>
      </c>
      <c r="AE17" s="14">
        <v>0.15</v>
      </c>
      <c r="AF17" s="14">
        <v>0.15</v>
      </c>
    </row>
    <row r="18" spans="1:32" ht="34.5">
      <c r="A18" s="23"/>
      <c r="B18" s="11" t="s">
        <v>666</v>
      </c>
      <c r="C18" s="12">
        <v>1448</v>
      </c>
      <c r="D18" s="12">
        <v>52</v>
      </c>
      <c r="E18" s="12">
        <v>67</v>
      </c>
      <c r="F18" s="12">
        <v>58</v>
      </c>
      <c r="G18" s="12">
        <v>60</v>
      </c>
      <c r="H18" s="12">
        <v>76</v>
      </c>
      <c r="I18" s="12">
        <v>85</v>
      </c>
      <c r="J18" s="12">
        <v>10</v>
      </c>
      <c r="K18" s="12">
        <v>58</v>
      </c>
      <c r="L18" s="12">
        <v>52</v>
      </c>
      <c r="M18" s="12">
        <v>45</v>
      </c>
      <c r="N18" s="12">
        <v>45</v>
      </c>
      <c r="O18" s="12">
        <v>45</v>
      </c>
      <c r="P18" s="12">
        <v>72</v>
      </c>
      <c r="Q18" s="12">
        <v>64</v>
      </c>
      <c r="R18" s="12">
        <v>13</v>
      </c>
      <c r="S18" s="12">
        <v>63</v>
      </c>
      <c r="T18" s="12">
        <v>150</v>
      </c>
      <c r="U18" s="12">
        <v>39</v>
      </c>
      <c r="V18" s="12">
        <v>79</v>
      </c>
      <c r="W18" s="12">
        <v>36</v>
      </c>
      <c r="X18" s="12">
        <v>17</v>
      </c>
      <c r="Y18" s="12">
        <v>65</v>
      </c>
      <c r="Z18" s="12">
        <v>87</v>
      </c>
      <c r="AA18" s="12">
        <v>32</v>
      </c>
      <c r="AB18" s="12">
        <v>69</v>
      </c>
      <c r="AC18" s="12">
        <v>59</v>
      </c>
      <c r="AD18" s="12">
        <v>50</v>
      </c>
      <c r="AE18" s="12">
        <v>43</v>
      </c>
      <c r="AF18" s="12">
        <v>26</v>
      </c>
    </row>
    <row r="19" spans="1:32" ht="23.25">
      <c r="A19" s="23"/>
      <c r="B19" s="13" t="s">
        <v>667</v>
      </c>
      <c r="C19" s="14">
        <v>0.06</v>
      </c>
      <c r="D19" s="14">
        <v>0.05</v>
      </c>
      <c r="E19" s="14">
        <v>7.0000000000000007E-2</v>
      </c>
      <c r="F19" s="14">
        <v>0.06</v>
      </c>
      <c r="G19" s="14">
        <v>0.06</v>
      </c>
      <c r="H19" s="14">
        <v>7.0000000000000007E-2</v>
      </c>
      <c r="I19" s="14">
        <v>0.06</v>
      </c>
      <c r="J19" s="14">
        <v>0.03</v>
      </c>
      <c r="K19" s="14">
        <v>0.06</v>
      </c>
      <c r="L19" s="14">
        <v>0.05</v>
      </c>
      <c r="M19" s="14">
        <v>0.05</v>
      </c>
      <c r="N19" s="14">
        <v>0.05</v>
      </c>
      <c r="O19" s="14">
        <v>0.05</v>
      </c>
      <c r="P19" s="14">
        <v>7.0000000000000007E-2</v>
      </c>
      <c r="Q19" s="14">
        <v>7.0000000000000007E-2</v>
      </c>
      <c r="R19" s="14">
        <v>0.03</v>
      </c>
      <c r="S19" s="14">
        <v>7.0000000000000007E-2</v>
      </c>
      <c r="T19" s="14">
        <v>0.16</v>
      </c>
      <c r="U19" s="14">
        <v>0.08</v>
      </c>
      <c r="V19" s="14">
        <v>0.08</v>
      </c>
      <c r="W19" s="14">
        <v>7.0000000000000007E-2</v>
      </c>
      <c r="X19" s="14">
        <v>0.02</v>
      </c>
      <c r="Y19" s="14">
        <v>7.0000000000000007E-2</v>
      </c>
      <c r="Z19" s="14">
        <v>0.09</v>
      </c>
      <c r="AA19" s="14">
        <v>0.03</v>
      </c>
      <c r="AB19" s="14">
        <v>7.0000000000000007E-2</v>
      </c>
      <c r="AC19" s="14">
        <v>0.06</v>
      </c>
      <c r="AD19" s="14">
        <v>0.05</v>
      </c>
      <c r="AE19" s="14">
        <v>0.04</v>
      </c>
      <c r="AF19" s="14">
        <v>0.02</v>
      </c>
    </row>
    <row r="20" spans="1:32" ht="34.5">
      <c r="A20" s="23"/>
      <c r="B20" s="11" t="s">
        <v>668</v>
      </c>
      <c r="C20" s="12">
        <v>2492</v>
      </c>
      <c r="D20" s="12">
        <v>104</v>
      </c>
      <c r="E20" s="12">
        <v>106</v>
      </c>
      <c r="F20" s="12">
        <v>75</v>
      </c>
      <c r="G20" s="12">
        <v>119</v>
      </c>
      <c r="H20" s="12">
        <v>99</v>
      </c>
      <c r="I20" s="12">
        <v>118</v>
      </c>
      <c r="J20" s="12">
        <v>20</v>
      </c>
      <c r="K20" s="12">
        <v>91</v>
      </c>
      <c r="L20" s="12">
        <v>94</v>
      </c>
      <c r="M20" s="12">
        <v>90</v>
      </c>
      <c r="N20" s="12">
        <v>101</v>
      </c>
      <c r="O20" s="12">
        <v>73</v>
      </c>
      <c r="P20" s="12">
        <v>106</v>
      </c>
      <c r="Q20" s="12">
        <v>126</v>
      </c>
      <c r="R20" s="12">
        <v>49</v>
      </c>
      <c r="S20" s="12">
        <v>49</v>
      </c>
      <c r="T20" s="12">
        <v>70</v>
      </c>
      <c r="U20" s="12">
        <v>62</v>
      </c>
      <c r="V20" s="12">
        <v>80</v>
      </c>
      <c r="W20" s="12">
        <v>72</v>
      </c>
      <c r="X20" s="12">
        <v>175</v>
      </c>
      <c r="Y20" s="12">
        <v>117</v>
      </c>
      <c r="Z20" s="12">
        <v>85</v>
      </c>
      <c r="AA20" s="12">
        <v>65</v>
      </c>
      <c r="AB20" s="12">
        <v>94</v>
      </c>
      <c r="AC20" s="12">
        <v>69</v>
      </c>
      <c r="AD20" s="12">
        <v>85</v>
      </c>
      <c r="AE20" s="12">
        <v>119</v>
      </c>
      <c r="AF20" s="12">
        <v>123</v>
      </c>
    </row>
    <row r="21" spans="1:32" ht="34.5">
      <c r="A21" s="23"/>
      <c r="B21" s="13" t="s">
        <v>669</v>
      </c>
      <c r="C21" s="14">
        <v>0.1</v>
      </c>
      <c r="D21" s="14">
        <v>0.11</v>
      </c>
      <c r="E21" s="14">
        <v>0.11</v>
      </c>
      <c r="F21" s="14">
        <v>0.08</v>
      </c>
      <c r="G21" s="14">
        <v>0.13</v>
      </c>
      <c r="H21" s="14">
        <v>0.09</v>
      </c>
      <c r="I21" s="14">
        <v>0.08</v>
      </c>
      <c r="J21" s="14">
        <v>7.0000000000000007E-2</v>
      </c>
      <c r="K21" s="14">
        <v>0.1</v>
      </c>
      <c r="L21" s="14">
        <v>0.1</v>
      </c>
      <c r="M21" s="14">
        <v>0.09</v>
      </c>
      <c r="N21" s="14">
        <v>0.11</v>
      </c>
      <c r="O21" s="14">
        <v>0.08</v>
      </c>
      <c r="P21" s="14">
        <v>0.11</v>
      </c>
      <c r="Q21" s="14">
        <v>0.13</v>
      </c>
      <c r="R21" s="14">
        <v>0.1</v>
      </c>
      <c r="S21" s="14">
        <v>0.05</v>
      </c>
      <c r="T21" s="14">
        <v>7.0000000000000007E-2</v>
      </c>
      <c r="U21" s="14">
        <v>0.13</v>
      </c>
      <c r="V21" s="14">
        <v>0.08</v>
      </c>
      <c r="W21" s="14">
        <v>0.16</v>
      </c>
      <c r="X21" s="14">
        <v>0.19</v>
      </c>
      <c r="Y21" s="14">
        <v>0.12</v>
      </c>
      <c r="Z21" s="14">
        <v>0.09</v>
      </c>
      <c r="AA21" s="14">
        <v>7.0000000000000007E-2</v>
      </c>
      <c r="AB21" s="14">
        <v>0.1</v>
      </c>
      <c r="AC21" s="14">
        <v>7.0000000000000007E-2</v>
      </c>
      <c r="AD21" s="14">
        <v>0.09</v>
      </c>
      <c r="AE21" s="14">
        <v>0.13</v>
      </c>
      <c r="AF21" s="14">
        <v>0.12</v>
      </c>
    </row>
    <row r="22" spans="1:32" ht="45.75">
      <c r="A22" s="23"/>
      <c r="B22" s="11" t="s">
        <v>690</v>
      </c>
      <c r="C22" s="12">
        <v>3235</v>
      </c>
      <c r="D22" s="12">
        <v>143</v>
      </c>
      <c r="E22" s="12">
        <v>123</v>
      </c>
      <c r="F22" s="12">
        <v>124</v>
      </c>
      <c r="G22" s="12">
        <v>175</v>
      </c>
      <c r="H22" s="12">
        <v>171</v>
      </c>
      <c r="I22" s="12">
        <v>212</v>
      </c>
      <c r="J22" s="12">
        <v>40</v>
      </c>
      <c r="K22" s="12">
        <v>102</v>
      </c>
      <c r="L22" s="12">
        <v>117</v>
      </c>
      <c r="M22" s="12">
        <v>128</v>
      </c>
      <c r="N22" s="12">
        <v>131</v>
      </c>
      <c r="O22" s="12">
        <v>88</v>
      </c>
      <c r="P22" s="12">
        <v>118</v>
      </c>
      <c r="Q22" s="12">
        <v>110</v>
      </c>
      <c r="R22" s="12">
        <v>61</v>
      </c>
      <c r="S22" s="12">
        <v>71</v>
      </c>
      <c r="T22" s="12">
        <v>82</v>
      </c>
      <c r="U22" s="12">
        <v>63</v>
      </c>
      <c r="V22" s="12">
        <v>114</v>
      </c>
      <c r="W22" s="12">
        <v>79</v>
      </c>
      <c r="X22" s="12">
        <v>151</v>
      </c>
      <c r="Y22" s="12">
        <v>150</v>
      </c>
      <c r="Z22" s="12">
        <v>103</v>
      </c>
      <c r="AA22" s="12">
        <v>115</v>
      </c>
      <c r="AB22" s="12">
        <v>139</v>
      </c>
      <c r="AC22" s="12">
        <v>119</v>
      </c>
      <c r="AD22" s="12">
        <v>114</v>
      </c>
      <c r="AE22" s="12">
        <v>156</v>
      </c>
      <c r="AF22" s="12">
        <v>235</v>
      </c>
    </row>
    <row r="23" spans="1:32" ht="34.5">
      <c r="A23" s="23"/>
      <c r="B23" s="13" t="s">
        <v>671</v>
      </c>
      <c r="C23" s="14">
        <v>0.14000000000000001</v>
      </c>
      <c r="D23" s="14">
        <v>0.16</v>
      </c>
      <c r="E23" s="14">
        <v>0.13</v>
      </c>
      <c r="F23" s="14">
        <v>0.14000000000000001</v>
      </c>
      <c r="G23" s="14">
        <v>0.19</v>
      </c>
      <c r="H23" s="14">
        <v>0.16</v>
      </c>
      <c r="I23" s="14">
        <v>0.16</v>
      </c>
      <c r="J23" s="14">
        <v>0.15</v>
      </c>
      <c r="K23" s="14">
        <v>0.11</v>
      </c>
      <c r="L23" s="14">
        <v>0.13</v>
      </c>
      <c r="M23" s="14">
        <v>0.14000000000000001</v>
      </c>
      <c r="N23" s="14">
        <v>0.15</v>
      </c>
      <c r="O23" s="14">
        <v>0.1</v>
      </c>
      <c r="P23" s="14">
        <v>0.13</v>
      </c>
      <c r="Q23" s="14">
        <v>0.12</v>
      </c>
      <c r="R23" s="14">
        <v>0.14000000000000001</v>
      </c>
      <c r="S23" s="14">
        <v>0.08</v>
      </c>
      <c r="T23" s="14">
        <v>0.09</v>
      </c>
      <c r="U23" s="14">
        <v>0.14000000000000001</v>
      </c>
      <c r="V23" s="14">
        <v>0.12</v>
      </c>
      <c r="W23" s="14">
        <v>0.18</v>
      </c>
      <c r="X23" s="14">
        <v>0.17</v>
      </c>
      <c r="Y23" s="14">
        <v>0.17</v>
      </c>
      <c r="Z23" s="14">
        <v>0.11</v>
      </c>
      <c r="AA23" s="14">
        <v>0.12</v>
      </c>
      <c r="AB23" s="14">
        <v>0.15</v>
      </c>
      <c r="AC23" s="14">
        <v>0.13</v>
      </c>
      <c r="AD23" s="14">
        <v>0.12</v>
      </c>
      <c r="AE23" s="14">
        <v>0.17</v>
      </c>
      <c r="AF23" s="14">
        <v>0.27</v>
      </c>
    </row>
    <row r="24" spans="1:32" ht="23.25">
      <c r="A24" s="23"/>
      <c r="B24" s="11" t="s">
        <v>672</v>
      </c>
      <c r="C24" s="12">
        <v>4964</v>
      </c>
      <c r="D24" s="12">
        <v>168</v>
      </c>
      <c r="E24" s="12">
        <v>217</v>
      </c>
      <c r="F24" s="12">
        <v>237</v>
      </c>
      <c r="G24" s="12">
        <v>194</v>
      </c>
      <c r="H24" s="12">
        <v>242</v>
      </c>
      <c r="I24" s="12">
        <v>299</v>
      </c>
      <c r="J24" s="12">
        <v>58</v>
      </c>
      <c r="K24" s="12">
        <v>213</v>
      </c>
      <c r="L24" s="12">
        <v>160</v>
      </c>
      <c r="M24" s="12">
        <v>235</v>
      </c>
      <c r="N24" s="12">
        <v>183</v>
      </c>
      <c r="O24" s="12">
        <v>189</v>
      </c>
      <c r="P24" s="12">
        <v>183</v>
      </c>
      <c r="Q24" s="12">
        <v>214</v>
      </c>
      <c r="R24" s="12">
        <v>47</v>
      </c>
      <c r="S24" s="12">
        <v>178</v>
      </c>
      <c r="T24" s="12">
        <v>201</v>
      </c>
      <c r="U24" s="12">
        <v>83</v>
      </c>
      <c r="V24" s="12">
        <v>212</v>
      </c>
      <c r="W24" s="12">
        <v>57</v>
      </c>
      <c r="X24" s="12">
        <v>160</v>
      </c>
      <c r="Y24" s="12">
        <v>168</v>
      </c>
      <c r="Z24" s="12">
        <v>141</v>
      </c>
      <c r="AA24" s="12">
        <v>214</v>
      </c>
      <c r="AB24" s="12">
        <v>192</v>
      </c>
      <c r="AC24" s="12">
        <v>199</v>
      </c>
      <c r="AD24" s="12">
        <v>197</v>
      </c>
      <c r="AE24" s="12">
        <v>192</v>
      </c>
      <c r="AF24" s="12">
        <v>164</v>
      </c>
    </row>
    <row r="25" spans="1:32" ht="23.25">
      <c r="A25" s="23"/>
      <c r="B25" s="13" t="s">
        <v>673</v>
      </c>
      <c r="C25" s="14">
        <v>0.22</v>
      </c>
      <c r="D25" s="14">
        <v>0.19</v>
      </c>
      <c r="E25" s="14">
        <v>0.25</v>
      </c>
      <c r="F25" s="14">
        <v>0.28999999999999998</v>
      </c>
      <c r="G25" s="14">
        <v>0.22</v>
      </c>
      <c r="H25" s="14">
        <v>0.23</v>
      </c>
      <c r="I25" s="14">
        <v>0.23</v>
      </c>
      <c r="J25" s="14">
        <v>0.24</v>
      </c>
      <c r="K25" s="14">
        <v>0.26</v>
      </c>
      <c r="L25" s="14">
        <v>0.18</v>
      </c>
      <c r="M25" s="14">
        <v>0.28999999999999998</v>
      </c>
      <c r="N25" s="14">
        <v>0.21</v>
      </c>
      <c r="O25" s="14">
        <v>0.22</v>
      </c>
      <c r="P25" s="14">
        <v>0.21</v>
      </c>
      <c r="Q25" s="14">
        <v>0.25</v>
      </c>
      <c r="R25" s="14">
        <v>0.1</v>
      </c>
      <c r="S25" s="14">
        <v>0.2</v>
      </c>
      <c r="T25" s="14">
        <v>0.23</v>
      </c>
      <c r="U25" s="14">
        <v>0.18</v>
      </c>
      <c r="V25" s="14">
        <v>0.25</v>
      </c>
      <c r="W25" s="14">
        <v>0.12</v>
      </c>
      <c r="X25" s="14">
        <v>0.18</v>
      </c>
      <c r="Y25" s="14">
        <v>0.19</v>
      </c>
      <c r="Z25" s="14">
        <v>0.16</v>
      </c>
      <c r="AA25" s="14">
        <v>0.27</v>
      </c>
      <c r="AB25" s="14">
        <v>0.21</v>
      </c>
      <c r="AC25" s="14">
        <v>0.24</v>
      </c>
      <c r="AD25" s="14">
        <v>0.22</v>
      </c>
      <c r="AE25" s="14">
        <v>0.23</v>
      </c>
      <c r="AF25" s="14">
        <v>0.17</v>
      </c>
    </row>
    <row r="26" spans="1:32">
      <c r="A26" s="23"/>
      <c r="B26" s="11" t="s">
        <v>674</v>
      </c>
      <c r="C26" s="12">
        <v>3000</v>
      </c>
      <c r="D26" s="12">
        <v>104</v>
      </c>
      <c r="E26" s="12">
        <v>110</v>
      </c>
      <c r="F26" s="12">
        <v>106</v>
      </c>
      <c r="G26" s="12">
        <v>155</v>
      </c>
      <c r="H26" s="12">
        <v>196</v>
      </c>
      <c r="I26" s="12">
        <v>237</v>
      </c>
      <c r="J26" s="12">
        <v>42</v>
      </c>
      <c r="K26" s="12">
        <v>127</v>
      </c>
      <c r="L26" s="12">
        <v>108</v>
      </c>
      <c r="M26" s="12">
        <v>112</v>
      </c>
      <c r="N26" s="12">
        <v>107</v>
      </c>
      <c r="O26" s="12">
        <v>105</v>
      </c>
      <c r="P26" s="12">
        <v>115</v>
      </c>
      <c r="Q26" s="12">
        <v>129</v>
      </c>
      <c r="R26" s="12">
        <v>45</v>
      </c>
      <c r="S26" s="12">
        <v>77</v>
      </c>
      <c r="T26" s="12">
        <v>69</v>
      </c>
      <c r="U26" s="12">
        <v>47</v>
      </c>
      <c r="V26" s="12">
        <v>108</v>
      </c>
      <c r="W26" s="12">
        <v>46</v>
      </c>
      <c r="X26" s="12">
        <v>95</v>
      </c>
      <c r="Y26" s="12">
        <v>126</v>
      </c>
      <c r="Z26" s="12">
        <v>72</v>
      </c>
      <c r="AA26" s="12">
        <v>57</v>
      </c>
      <c r="AB26" s="12">
        <v>105</v>
      </c>
      <c r="AC26" s="12">
        <v>128</v>
      </c>
      <c r="AD26" s="12">
        <v>114</v>
      </c>
      <c r="AE26" s="12">
        <v>79</v>
      </c>
      <c r="AF26" s="12">
        <v>96</v>
      </c>
    </row>
    <row r="27" spans="1:32">
      <c r="A27" s="23"/>
      <c r="B27" s="13" t="s">
        <v>675</v>
      </c>
      <c r="C27" s="14">
        <v>0.12</v>
      </c>
      <c r="D27" s="14">
        <v>0.11</v>
      </c>
      <c r="E27" s="14">
        <v>0.11</v>
      </c>
      <c r="F27" s="14">
        <v>0.11</v>
      </c>
      <c r="G27" s="14">
        <v>0.16</v>
      </c>
      <c r="H27" s="14">
        <v>0.18</v>
      </c>
      <c r="I27" s="14">
        <v>0.17</v>
      </c>
      <c r="J27" s="14">
        <v>0.15</v>
      </c>
      <c r="K27" s="14">
        <v>0.14000000000000001</v>
      </c>
      <c r="L27" s="14">
        <v>0.12</v>
      </c>
      <c r="M27" s="14">
        <v>0.12</v>
      </c>
      <c r="N27" s="14">
        <v>0.11</v>
      </c>
      <c r="O27" s="14">
        <v>0.11</v>
      </c>
      <c r="P27" s="14">
        <v>0.12</v>
      </c>
      <c r="Q27" s="14">
        <v>0.14000000000000001</v>
      </c>
      <c r="R27" s="14">
        <v>0.09</v>
      </c>
      <c r="S27" s="14">
        <v>0.08</v>
      </c>
      <c r="T27" s="14">
        <v>7.0000000000000007E-2</v>
      </c>
      <c r="U27" s="14">
        <v>0.1</v>
      </c>
      <c r="V27" s="14">
        <v>0.11</v>
      </c>
      <c r="W27" s="14">
        <v>0.09</v>
      </c>
      <c r="X27" s="14">
        <v>0.1</v>
      </c>
      <c r="Y27" s="14">
        <v>0.13</v>
      </c>
      <c r="Z27" s="14">
        <v>0.08</v>
      </c>
      <c r="AA27" s="14">
        <v>0.06</v>
      </c>
      <c r="AB27" s="14">
        <v>0.11</v>
      </c>
      <c r="AC27" s="14">
        <v>0.14000000000000001</v>
      </c>
      <c r="AD27" s="14">
        <v>0.12</v>
      </c>
      <c r="AE27" s="14">
        <v>0.08</v>
      </c>
      <c r="AF27" s="14">
        <v>0.09</v>
      </c>
    </row>
    <row r="28" spans="1:32">
      <c r="A28" s="23"/>
      <c r="B28" s="11" t="s">
        <v>676</v>
      </c>
      <c r="C28" s="12">
        <v>1433</v>
      </c>
      <c r="D28" s="12">
        <v>96</v>
      </c>
      <c r="E28" s="12">
        <v>33</v>
      </c>
      <c r="F28" s="12">
        <v>30</v>
      </c>
      <c r="G28" s="12">
        <v>21</v>
      </c>
      <c r="H28" s="12">
        <v>72</v>
      </c>
      <c r="I28" s="12">
        <v>90</v>
      </c>
      <c r="J28" s="12">
        <v>18</v>
      </c>
      <c r="K28" s="12">
        <v>55</v>
      </c>
      <c r="L28" s="12">
        <v>94</v>
      </c>
      <c r="M28" s="12">
        <v>48</v>
      </c>
      <c r="N28" s="12">
        <v>42</v>
      </c>
      <c r="O28" s="12">
        <v>56</v>
      </c>
      <c r="P28" s="12">
        <v>58</v>
      </c>
      <c r="Q28" s="12">
        <v>71</v>
      </c>
      <c r="R28" s="12">
        <v>38</v>
      </c>
      <c r="S28" s="12">
        <v>34</v>
      </c>
      <c r="T28" s="12">
        <v>33</v>
      </c>
      <c r="U28" s="12">
        <v>29</v>
      </c>
      <c r="V28" s="12">
        <v>88</v>
      </c>
      <c r="W28" s="12">
        <v>51</v>
      </c>
      <c r="X28" s="12">
        <v>71</v>
      </c>
      <c r="Y28" s="12">
        <v>72</v>
      </c>
      <c r="Z28" s="12">
        <v>24</v>
      </c>
      <c r="AA28" s="12">
        <v>41</v>
      </c>
      <c r="AB28" s="12">
        <v>65</v>
      </c>
      <c r="AC28" s="12">
        <v>64</v>
      </c>
      <c r="AD28" s="12">
        <v>69</v>
      </c>
      <c r="AE28" s="12">
        <v>24</v>
      </c>
      <c r="AF28" s="12">
        <v>19</v>
      </c>
    </row>
    <row r="29" spans="1:32">
      <c r="A29" s="23"/>
      <c r="B29" s="13" t="s">
        <v>677</v>
      </c>
      <c r="C29" s="14">
        <v>0.06</v>
      </c>
      <c r="D29" s="14">
        <v>0.1</v>
      </c>
      <c r="E29" s="14">
        <v>0.03</v>
      </c>
      <c r="F29" s="14">
        <v>0.03</v>
      </c>
      <c r="G29" s="14">
        <v>0.02</v>
      </c>
      <c r="H29" s="14">
        <v>0.06</v>
      </c>
      <c r="I29" s="14">
        <v>0.06</v>
      </c>
      <c r="J29" s="14">
        <v>7.0000000000000007E-2</v>
      </c>
      <c r="K29" s="14">
        <v>0.06</v>
      </c>
      <c r="L29" s="14">
        <v>0.1</v>
      </c>
      <c r="M29" s="14">
        <v>0.05</v>
      </c>
      <c r="N29" s="14">
        <v>0.04</v>
      </c>
      <c r="O29" s="14">
        <v>0.06</v>
      </c>
      <c r="P29" s="14">
        <v>0.06</v>
      </c>
      <c r="Q29" s="14">
        <v>7.0000000000000007E-2</v>
      </c>
      <c r="R29" s="14">
        <v>0.08</v>
      </c>
      <c r="S29" s="14">
        <v>0.04</v>
      </c>
      <c r="T29" s="14">
        <v>0.03</v>
      </c>
      <c r="U29" s="14">
        <v>0.06</v>
      </c>
      <c r="V29" s="14">
        <v>0.09</v>
      </c>
      <c r="W29" s="14">
        <v>0.11</v>
      </c>
      <c r="X29" s="14">
        <v>7.0000000000000007E-2</v>
      </c>
      <c r="Y29" s="14">
        <v>0.08</v>
      </c>
      <c r="Z29" s="14">
        <v>0.02</v>
      </c>
      <c r="AA29" s="14">
        <v>0.04</v>
      </c>
      <c r="AB29" s="14">
        <v>7.0000000000000007E-2</v>
      </c>
      <c r="AC29" s="14">
        <v>7.0000000000000007E-2</v>
      </c>
      <c r="AD29" s="14">
        <v>7.0000000000000007E-2</v>
      </c>
      <c r="AE29" s="14">
        <v>0.02</v>
      </c>
      <c r="AF29" s="14">
        <v>0.02</v>
      </c>
    </row>
    <row r="30" spans="1:32" ht="34.5">
      <c r="A30" s="23"/>
      <c r="B30" s="11" t="s">
        <v>691</v>
      </c>
      <c r="C30" s="12">
        <v>3144</v>
      </c>
      <c r="D30" s="12">
        <v>131</v>
      </c>
      <c r="E30" s="12">
        <v>80</v>
      </c>
      <c r="F30" s="12">
        <v>54</v>
      </c>
      <c r="G30" s="12">
        <v>192</v>
      </c>
      <c r="H30" s="12">
        <v>133</v>
      </c>
      <c r="I30" s="12">
        <v>158</v>
      </c>
      <c r="J30" s="12">
        <v>25</v>
      </c>
      <c r="K30" s="12">
        <v>38</v>
      </c>
      <c r="L30" s="12">
        <v>165</v>
      </c>
      <c r="M30" s="12">
        <v>127</v>
      </c>
      <c r="N30" s="12">
        <v>99</v>
      </c>
      <c r="O30" s="12">
        <v>137</v>
      </c>
      <c r="P30" s="12">
        <v>122</v>
      </c>
      <c r="Q30" s="12">
        <v>136</v>
      </c>
      <c r="R30" s="12">
        <v>63</v>
      </c>
      <c r="S30" s="12">
        <v>23</v>
      </c>
      <c r="T30" s="12">
        <v>74</v>
      </c>
      <c r="U30" s="12">
        <v>42</v>
      </c>
      <c r="V30" s="12">
        <v>108</v>
      </c>
      <c r="W30" s="12">
        <v>92</v>
      </c>
      <c r="X30" s="12">
        <v>184</v>
      </c>
      <c r="Y30" s="12">
        <v>120</v>
      </c>
      <c r="Z30" s="12">
        <v>90</v>
      </c>
      <c r="AA30" s="12">
        <v>165</v>
      </c>
      <c r="AB30" s="12">
        <v>93</v>
      </c>
      <c r="AC30" s="12">
        <v>99</v>
      </c>
      <c r="AD30" s="12">
        <v>78</v>
      </c>
      <c r="AE30" s="12">
        <v>149</v>
      </c>
      <c r="AF30" s="12">
        <v>252</v>
      </c>
    </row>
    <row r="31" spans="1:32" ht="23.25">
      <c r="A31" s="23"/>
      <c r="B31" s="13" t="s">
        <v>679</v>
      </c>
      <c r="C31" s="14">
        <v>0.13</v>
      </c>
      <c r="D31" s="14">
        <v>0.14000000000000001</v>
      </c>
      <c r="E31" s="14">
        <v>0.08</v>
      </c>
      <c r="F31" s="14">
        <v>0.06</v>
      </c>
      <c r="G31" s="14">
        <v>0.21</v>
      </c>
      <c r="H31" s="14">
        <v>0.12</v>
      </c>
      <c r="I31" s="14">
        <v>0.11</v>
      </c>
      <c r="J31" s="14">
        <v>0.09</v>
      </c>
      <c r="K31" s="14">
        <v>0.04</v>
      </c>
      <c r="L31" s="14">
        <v>0.18</v>
      </c>
      <c r="M31" s="14">
        <v>0.13</v>
      </c>
      <c r="N31" s="14">
        <v>0.11</v>
      </c>
      <c r="O31" s="14">
        <v>0.15</v>
      </c>
      <c r="P31" s="14">
        <v>0.13</v>
      </c>
      <c r="Q31" s="14">
        <v>0.15</v>
      </c>
      <c r="R31" s="14">
        <v>0.13</v>
      </c>
      <c r="S31" s="14">
        <v>0.02</v>
      </c>
      <c r="T31" s="14">
        <v>0.08</v>
      </c>
      <c r="U31" s="14">
        <v>0.09</v>
      </c>
      <c r="V31" s="14">
        <v>0.11</v>
      </c>
      <c r="W31" s="14">
        <v>0.2</v>
      </c>
      <c r="X31" s="14">
        <v>0.2</v>
      </c>
      <c r="Y31" s="14">
        <v>0.13</v>
      </c>
      <c r="Z31" s="14">
        <v>0.1</v>
      </c>
      <c r="AA31" s="14">
        <v>0.18</v>
      </c>
      <c r="AB31" s="14">
        <v>0.1</v>
      </c>
      <c r="AC31" s="14">
        <v>0.1</v>
      </c>
      <c r="AD31" s="14">
        <v>0.08</v>
      </c>
      <c r="AE31" s="14">
        <v>0.16</v>
      </c>
      <c r="AF31" s="14">
        <v>0.28000000000000003</v>
      </c>
    </row>
    <row r="32" spans="1:32" ht="23.25">
      <c r="A32" s="23"/>
      <c r="B32" s="11" t="s">
        <v>680</v>
      </c>
      <c r="C32" s="12">
        <v>4388</v>
      </c>
      <c r="D32" s="12">
        <v>150</v>
      </c>
      <c r="E32" s="12">
        <v>182</v>
      </c>
      <c r="F32" s="12">
        <v>168</v>
      </c>
      <c r="G32" s="12">
        <v>92</v>
      </c>
      <c r="H32" s="12">
        <v>146</v>
      </c>
      <c r="I32" s="12">
        <v>187</v>
      </c>
      <c r="J32" s="12">
        <v>41</v>
      </c>
      <c r="K32" s="12">
        <v>141</v>
      </c>
      <c r="L32" s="12">
        <v>169</v>
      </c>
      <c r="M32" s="12">
        <v>204</v>
      </c>
      <c r="N32" s="12">
        <v>154</v>
      </c>
      <c r="O32" s="12">
        <v>199</v>
      </c>
      <c r="P32" s="12">
        <v>208</v>
      </c>
      <c r="Q32" s="12">
        <v>167</v>
      </c>
      <c r="R32" s="12">
        <v>99</v>
      </c>
      <c r="S32" s="12">
        <v>147</v>
      </c>
      <c r="T32" s="12">
        <v>137</v>
      </c>
      <c r="U32" s="12">
        <v>79</v>
      </c>
      <c r="V32" s="12">
        <v>165</v>
      </c>
      <c r="W32" s="12">
        <v>89</v>
      </c>
      <c r="X32" s="12">
        <v>138</v>
      </c>
      <c r="Y32" s="12">
        <v>215</v>
      </c>
      <c r="Z32" s="12">
        <v>207</v>
      </c>
      <c r="AA32" s="12">
        <v>217</v>
      </c>
      <c r="AB32" s="12">
        <v>194</v>
      </c>
      <c r="AC32" s="12">
        <v>217</v>
      </c>
      <c r="AD32" s="12">
        <v>267</v>
      </c>
      <c r="AE32" s="12">
        <v>156</v>
      </c>
      <c r="AF32" s="12">
        <v>158</v>
      </c>
    </row>
    <row r="33" spans="1:32" ht="23.25">
      <c r="A33" s="23"/>
      <c r="B33" s="13" t="s">
        <v>681</v>
      </c>
      <c r="C33" s="14">
        <v>0.19</v>
      </c>
      <c r="D33" s="14">
        <v>0.17</v>
      </c>
      <c r="E33" s="14">
        <v>0.2</v>
      </c>
      <c r="F33" s="14">
        <v>0.19</v>
      </c>
      <c r="G33" s="14">
        <v>0.1</v>
      </c>
      <c r="H33" s="14">
        <v>0.13</v>
      </c>
      <c r="I33" s="14">
        <v>0.13</v>
      </c>
      <c r="J33" s="14">
        <v>0.15</v>
      </c>
      <c r="K33" s="14">
        <v>0.16</v>
      </c>
      <c r="L33" s="14">
        <v>0.2</v>
      </c>
      <c r="M33" s="14">
        <v>0.23</v>
      </c>
      <c r="N33" s="14">
        <v>0.18</v>
      </c>
      <c r="O33" s="14">
        <v>0.23</v>
      </c>
      <c r="P33" s="14">
        <v>0.24</v>
      </c>
      <c r="Q33" s="14">
        <v>0.18</v>
      </c>
      <c r="R33" s="14">
        <v>0.21</v>
      </c>
      <c r="S33" s="14">
        <v>0.16</v>
      </c>
      <c r="T33" s="14">
        <v>0.15</v>
      </c>
      <c r="U33" s="14">
        <v>0.17</v>
      </c>
      <c r="V33" s="14">
        <v>0.19</v>
      </c>
      <c r="W33" s="14">
        <v>0.2</v>
      </c>
      <c r="X33" s="14">
        <v>0.14000000000000001</v>
      </c>
      <c r="Y33" s="14">
        <v>0.24</v>
      </c>
      <c r="Z33" s="14">
        <v>0.23</v>
      </c>
      <c r="AA33" s="14">
        <v>0.24</v>
      </c>
      <c r="AB33" s="14">
        <v>0.22</v>
      </c>
      <c r="AC33" s="14">
        <v>0.25</v>
      </c>
      <c r="AD33" s="14">
        <v>0.32</v>
      </c>
      <c r="AE33" s="14">
        <v>0.17</v>
      </c>
      <c r="AF33" s="14">
        <v>0.15</v>
      </c>
    </row>
    <row r="34" spans="1:32" ht="23.25">
      <c r="A34" s="23"/>
      <c r="B34" s="11" t="s">
        <v>682</v>
      </c>
      <c r="C34" s="12">
        <v>4098</v>
      </c>
      <c r="D34" s="12">
        <v>153</v>
      </c>
      <c r="E34" s="12">
        <v>104</v>
      </c>
      <c r="F34" s="12">
        <v>121</v>
      </c>
      <c r="G34" s="12">
        <v>171</v>
      </c>
      <c r="H34" s="12">
        <v>201</v>
      </c>
      <c r="I34" s="12">
        <v>263</v>
      </c>
      <c r="J34" s="12">
        <v>62</v>
      </c>
      <c r="K34" s="12">
        <v>156</v>
      </c>
      <c r="L34" s="12">
        <v>172</v>
      </c>
      <c r="M34" s="12">
        <v>157</v>
      </c>
      <c r="N34" s="12">
        <v>228</v>
      </c>
      <c r="O34" s="12">
        <v>163</v>
      </c>
      <c r="P34" s="12">
        <v>120</v>
      </c>
      <c r="Q34" s="12">
        <v>143</v>
      </c>
      <c r="R34" s="12">
        <v>155</v>
      </c>
      <c r="S34" s="12">
        <v>161</v>
      </c>
      <c r="T34" s="12">
        <v>108</v>
      </c>
      <c r="U34" s="12">
        <v>62</v>
      </c>
      <c r="V34" s="12">
        <v>123</v>
      </c>
      <c r="W34" s="12">
        <v>91</v>
      </c>
      <c r="X34" s="12">
        <v>134</v>
      </c>
      <c r="Y34" s="12">
        <v>139</v>
      </c>
      <c r="Z34" s="12">
        <v>76</v>
      </c>
      <c r="AA34" s="12">
        <v>157</v>
      </c>
      <c r="AB34" s="12">
        <v>153</v>
      </c>
      <c r="AC34" s="12">
        <v>119</v>
      </c>
      <c r="AD34" s="12">
        <v>146</v>
      </c>
      <c r="AE34" s="12">
        <v>139</v>
      </c>
      <c r="AF34" s="12">
        <v>206</v>
      </c>
    </row>
    <row r="35" spans="1:32">
      <c r="A35" s="23"/>
      <c r="B35" s="13" t="s">
        <v>683</v>
      </c>
      <c r="C35" s="14">
        <v>0.17</v>
      </c>
      <c r="D35" s="14">
        <v>0.16</v>
      </c>
      <c r="E35" s="14">
        <v>0.11</v>
      </c>
      <c r="F35" s="14">
        <v>0.13</v>
      </c>
      <c r="G35" s="14">
        <v>0.18</v>
      </c>
      <c r="H35" s="14">
        <v>0.18</v>
      </c>
      <c r="I35" s="14">
        <v>0.19</v>
      </c>
      <c r="J35" s="14">
        <v>0.23</v>
      </c>
      <c r="K35" s="14">
        <v>0.17</v>
      </c>
      <c r="L35" s="14">
        <v>0.19</v>
      </c>
      <c r="M35" s="14">
        <v>0.17</v>
      </c>
      <c r="N35" s="14">
        <v>0.28000000000000003</v>
      </c>
      <c r="O35" s="14">
        <v>0.18</v>
      </c>
      <c r="P35" s="14">
        <v>0.13</v>
      </c>
      <c r="Q35" s="14">
        <v>0.15</v>
      </c>
      <c r="R35" s="14">
        <v>0.37</v>
      </c>
      <c r="S35" s="14">
        <v>0.18</v>
      </c>
      <c r="T35" s="14">
        <v>0.12</v>
      </c>
      <c r="U35" s="14">
        <v>0.13</v>
      </c>
      <c r="V35" s="14">
        <v>0.13</v>
      </c>
      <c r="W35" s="14">
        <v>0.2</v>
      </c>
      <c r="X35" s="14">
        <v>0.14000000000000001</v>
      </c>
      <c r="Y35" s="14">
        <v>0.15</v>
      </c>
      <c r="Z35" s="14">
        <v>0.08</v>
      </c>
      <c r="AA35" s="14">
        <v>0.17</v>
      </c>
      <c r="AB35" s="14">
        <v>0.16</v>
      </c>
      <c r="AC35" s="14">
        <v>0.13</v>
      </c>
      <c r="AD35" s="14">
        <v>0.16</v>
      </c>
      <c r="AE35" s="14">
        <v>0.15</v>
      </c>
      <c r="AF35" s="14">
        <v>0.2</v>
      </c>
    </row>
    <row r="36" spans="1:32" ht="45.75">
      <c r="A36" s="23"/>
      <c r="B36" s="11" t="s">
        <v>684</v>
      </c>
      <c r="C36" s="12">
        <v>2817</v>
      </c>
      <c r="D36" s="12">
        <v>85</v>
      </c>
      <c r="E36" s="12">
        <v>192</v>
      </c>
      <c r="F36" s="12">
        <v>80</v>
      </c>
      <c r="G36" s="12">
        <v>30</v>
      </c>
      <c r="H36" s="12">
        <v>127</v>
      </c>
      <c r="I36" s="12">
        <v>157</v>
      </c>
      <c r="J36" s="12">
        <v>30</v>
      </c>
      <c r="K36" s="12">
        <v>89</v>
      </c>
      <c r="L36" s="12">
        <v>106</v>
      </c>
      <c r="M36" s="12">
        <v>160</v>
      </c>
      <c r="N36" s="12">
        <v>120</v>
      </c>
      <c r="O36" s="12">
        <v>86</v>
      </c>
      <c r="P36" s="12">
        <v>180</v>
      </c>
      <c r="Q36" s="12">
        <v>113</v>
      </c>
      <c r="R36" s="12">
        <v>56</v>
      </c>
      <c r="S36" s="12">
        <v>111</v>
      </c>
      <c r="T36" s="12">
        <v>89</v>
      </c>
      <c r="U36" s="12">
        <v>50</v>
      </c>
      <c r="V36" s="12">
        <v>142</v>
      </c>
      <c r="W36" s="12">
        <v>51</v>
      </c>
      <c r="X36" s="12">
        <v>84</v>
      </c>
      <c r="Y36" s="12">
        <v>140</v>
      </c>
      <c r="Z36" s="12">
        <v>120</v>
      </c>
      <c r="AA36" s="12">
        <v>132</v>
      </c>
      <c r="AB36" s="12">
        <v>137</v>
      </c>
      <c r="AC36" s="12">
        <v>84</v>
      </c>
      <c r="AD36" s="12">
        <v>88</v>
      </c>
      <c r="AE36" s="12">
        <v>74</v>
      </c>
      <c r="AF36" s="12">
        <v>62</v>
      </c>
    </row>
    <row r="37" spans="1:32" ht="23.25">
      <c r="A37" s="23"/>
      <c r="B37" s="13" t="s">
        <v>685</v>
      </c>
      <c r="C37" s="14">
        <v>0.11</v>
      </c>
      <c r="D37" s="14">
        <v>0.09</v>
      </c>
      <c r="E37" s="14">
        <v>0.21</v>
      </c>
      <c r="F37" s="14">
        <v>0.09</v>
      </c>
      <c r="G37" s="14">
        <v>0.03</v>
      </c>
      <c r="H37" s="14">
        <v>0.11</v>
      </c>
      <c r="I37" s="14">
        <v>0.11</v>
      </c>
      <c r="J37" s="14">
        <v>0.11</v>
      </c>
      <c r="K37" s="14">
        <v>0.1</v>
      </c>
      <c r="L37" s="14">
        <v>0.11</v>
      </c>
      <c r="M37" s="14">
        <v>0.17</v>
      </c>
      <c r="N37" s="14">
        <v>0.13</v>
      </c>
      <c r="O37" s="14">
        <v>0.09</v>
      </c>
      <c r="P37" s="14">
        <v>0.2</v>
      </c>
      <c r="Q37" s="14">
        <v>0.12</v>
      </c>
      <c r="R37" s="14">
        <v>0.12</v>
      </c>
      <c r="S37" s="14">
        <v>0.12</v>
      </c>
      <c r="T37" s="14">
        <v>0.09</v>
      </c>
      <c r="U37" s="14">
        <v>0.1</v>
      </c>
      <c r="V37" s="14">
        <v>0.15</v>
      </c>
      <c r="W37" s="14">
        <v>0.11</v>
      </c>
      <c r="X37" s="14">
        <v>0.09</v>
      </c>
      <c r="Y37" s="14">
        <v>0.15</v>
      </c>
      <c r="Z37" s="14">
        <v>0.13</v>
      </c>
      <c r="AA37" s="14">
        <v>0.14000000000000001</v>
      </c>
      <c r="AB37" s="14">
        <v>0.14000000000000001</v>
      </c>
      <c r="AC37" s="14">
        <v>0.09</v>
      </c>
      <c r="AD37" s="14">
        <v>0.09</v>
      </c>
      <c r="AE37" s="14">
        <v>0.08</v>
      </c>
      <c r="AF37" s="14">
        <v>0.06</v>
      </c>
    </row>
    <row r="38" spans="1:32">
      <c r="A38" s="23"/>
      <c r="B38" s="11" t="s">
        <v>686</v>
      </c>
      <c r="C38" s="12">
        <v>1356</v>
      </c>
      <c r="D38" s="12">
        <v>50</v>
      </c>
      <c r="E38" s="12">
        <v>52</v>
      </c>
      <c r="F38" s="12">
        <v>34</v>
      </c>
      <c r="G38" s="12">
        <v>18</v>
      </c>
      <c r="H38" s="12">
        <v>34</v>
      </c>
      <c r="I38" s="12">
        <v>44</v>
      </c>
      <c r="J38" s="12">
        <v>9</v>
      </c>
      <c r="K38" s="12">
        <v>71</v>
      </c>
      <c r="L38" s="12">
        <v>51</v>
      </c>
      <c r="M38" s="12">
        <v>62</v>
      </c>
      <c r="N38" s="12">
        <v>87</v>
      </c>
      <c r="O38" s="12">
        <v>73</v>
      </c>
      <c r="P38" s="12">
        <v>37</v>
      </c>
      <c r="Q38" s="12">
        <v>64</v>
      </c>
      <c r="R38" s="12">
        <v>56</v>
      </c>
      <c r="S38" s="12">
        <v>54</v>
      </c>
      <c r="T38" s="12">
        <v>38</v>
      </c>
      <c r="U38" s="12">
        <v>28</v>
      </c>
      <c r="V38" s="12">
        <v>51</v>
      </c>
      <c r="W38" s="12">
        <v>38</v>
      </c>
      <c r="X38" s="12">
        <v>21</v>
      </c>
      <c r="Y38" s="12">
        <v>70</v>
      </c>
      <c r="Z38" s="12">
        <v>32</v>
      </c>
      <c r="AA38" s="12">
        <v>68</v>
      </c>
      <c r="AB38" s="12">
        <v>48</v>
      </c>
      <c r="AC38" s="12">
        <v>39</v>
      </c>
      <c r="AD38" s="12">
        <v>51</v>
      </c>
      <c r="AE38" s="12">
        <v>15</v>
      </c>
      <c r="AF38" s="12">
        <v>25</v>
      </c>
    </row>
    <row r="39" spans="1:32">
      <c r="A39" s="23"/>
      <c r="B39" s="13" t="s">
        <v>687</v>
      </c>
      <c r="C39" s="14">
        <v>0.05</v>
      </c>
      <c r="D39" s="14">
        <v>0.05</v>
      </c>
      <c r="E39" s="14">
        <v>0.05</v>
      </c>
      <c r="F39" s="14">
        <v>0.04</v>
      </c>
      <c r="G39" s="14">
        <v>0.02</v>
      </c>
      <c r="H39" s="14">
        <v>0.03</v>
      </c>
      <c r="I39" s="14">
        <v>0.03</v>
      </c>
      <c r="J39" s="14">
        <v>0.03</v>
      </c>
      <c r="K39" s="14">
        <v>0.08</v>
      </c>
      <c r="L39" s="14">
        <v>0.05</v>
      </c>
      <c r="M39" s="14">
        <v>0.06</v>
      </c>
      <c r="N39" s="14">
        <v>0.09</v>
      </c>
      <c r="O39" s="14">
        <v>0.08</v>
      </c>
      <c r="P39" s="14">
        <v>0.04</v>
      </c>
      <c r="Q39" s="14">
        <v>7.0000000000000007E-2</v>
      </c>
      <c r="R39" s="14">
        <v>0.12</v>
      </c>
      <c r="S39" s="14">
        <v>0.06</v>
      </c>
      <c r="T39" s="14">
        <v>0.04</v>
      </c>
      <c r="U39" s="14">
        <v>0.06</v>
      </c>
      <c r="V39" s="14">
        <v>0.05</v>
      </c>
      <c r="W39" s="14">
        <v>0.08</v>
      </c>
      <c r="X39" s="14">
        <v>0.02</v>
      </c>
      <c r="Y39" s="14">
        <v>7.0000000000000007E-2</v>
      </c>
      <c r="Z39" s="14">
        <v>0.03</v>
      </c>
      <c r="AA39" s="14">
        <v>7.0000000000000007E-2</v>
      </c>
      <c r="AB39" s="14">
        <v>0.05</v>
      </c>
      <c r="AC39" s="14">
        <v>0.04</v>
      </c>
      <c r="AD39" s="14">
        <v>0.05</v>
      </c>
      <c r="AE39" s="14">
        <v>0.01</v>
      </c>
      <c r="AF39" s="14">
        <v>0.02</v>
      </c>
    </row>
    <row r="40" spans="1:32">
      <c r="A40" s="23"/>
      <c r="B40" s="11" t="s">
        <v>550</v>
      </c>
      <c r="C40" s="12">
        <v>79</v>
      </c>
      <c r="D40" s="12">
        <v>0</v>
      </c>
      <c r="E40" s="12">
        <v>2</v>
      </c>
      <c r="F40" s="12">
        <v>1</v>
      </c>
      <c r="G40" s="12">
        <v>2</v>
      </c>
      <c r="H40" s="12">
        <v>5</v>
      </c>
      <c r="I40" s="12">
        <v>5</v>
      </c>
      <c r="J40" s="12">
        <v>0</v>
      </c>
      <c r="K40" s="12">
        <v>8</v>
      </c>
      <c r="L40" s="12">
        <v>1</v>
      </c>
      <c r="M40" s="12">
        <v>0</v>
      </c>
      <c r="N40" s="12">
        <v>3</v>
      </c>
      <c r="O40" s="12">
        <v>1</v>
      </c>
      <c r="P40" s="12">
        <v>1</v>
      </c>
      <c r="Q40" s="12">
        <v>8</v>
      </c>
      <c r="R40" s="12">
        <v>0</v>
      </c>
      <c r="S40" s="12">
        <v>7</v>
      </c>
      <c r="T40" s="12">
        <v>2</v>
      </c>
      <c r="U40" s="12">
        <v>1</v>
      </c>
      <c r="V40" s="12">
        <v>1</v>
      </c>
      <c r="W40" s="12">
        <v>2</v>
      </c>
      <c r="X40" s="12">
        <v>3</v>
      </c>
      <c r="Y40" s="12">
        <v>13</v>
      </c>
      <c r="Z40" s="12">
        <v>0</v>
      </c>
      <c r="AA40" s="12">
        <v>1</v>
      </c>
      <c r="AB40" s="12">
        <v>4</v>
      </c>
      <c r="AC40" s="12">
        <v>1</v>
      </c>
      <c r="AD40" s="12">
        <v>0</v>
      </c>
      <c r="AE40" s="12">
        <v>3</v>
      </c>
      <c r="AF40" s="12">
        <v>1</v>
      </c>
    </row>
    <row r="41" spans="1:32">
      <c r="A41" s="23"/>
      <c r="B41" s="13" t="s">
        <v>551</v>
      </c>
      <c r="C41" s="15" t="s">
        <v>485</v>
      </c>
      <c r="D41" s="15" t="s">
        <v>485</v>
      </c>
      <c r="E41" s="15" t="s">
        <v>485</v>
      </c>
      <c r="F41" s="15" t="s">
        <v>485</v>
      </c>
      <c r="G41" s="15" t="s">
        <v>485</v>
      </c>
      <c r="H41" s="15" t="s">
        <v>485</v>
      </c>
      <c r="I41" s="15" t="s">
        <v>485</v>
      </c>
      <c r="J41" s="15" t="s">
        <v>485</v>
      </c>
      <c r="K41" s="14">
        <v>0.01</v>
      </c>
      <c r="L41" s="15" t="s">
        <v>485</v>
      </c>
      <c r="M41" s="15" t="s">
        <v>485</v>
      </c>
      <c r="N41" s="15" t="s">
        <v>485</v>
      </c>
      <c r="O41" s="15" t="s">
        <v>485</v>
      </c>
      <c r="P41" s="15" t="s">
        <v>485</v>
      </c>
      <c r="Q41" s="14">
        <v>0.01</v>
      </c>
      <c r="R41" s="15" t="s">
        <v>485</v>
      </c>
      <c r="S41" s="14">
        <v>0.01</v>
      </c>
      <c r="T41" s="15" t="s">
        <v>485</v>
      </c>
      <c r="U41" s="15" t="s">
        <v>485</v>
      </c>
      <c r="V41" s="15" t="s">
        <v>485</v>
      </c>
      <c r="W41" s="15" t="s">
        <v>485</v>
      </c>
      <c r="X41" s="15" t="s">
        <v>485</v>
      </c>
      <c r="Y41" s="14">
        <v>0.01</v>
      </c>
      <c r="Z41" s="15" t="s">
        <v>485</v>
      </c>
      <c r="AA41" s="15" t="s">
        <v>485</v>
      </c>
      <c r="AB41" s="15" t="s">
        <v>485</v>
      </c>
      <c r="AC41" s="15" t="s">
        <v>485</v>
      </c>
      <c r="AD41" s="15" t="s">
        <v>485</v>
      </c>
      <c r="AE41" s="15" t="s">
        <v>485</v>
      </c>
      <c r="AF41" s="15" t="s">
        <v>485</v>
      </c>
    </row>
    <row r="42" spans="1:32">
      <c r="A42" s="23"/>
      <c r="B42" s="11" t="s">
        <v>618</v>
      </c>
      <c r="C42" s="12">
        <v>141</v>
      </c>
      <c r="D42" s="12">
        <v>2</v>
      </c>
      <c r="E42" s="12">
        <v>4</v>
      </c>
      <c r="F42" s="12">
        <v>2</v>
      </c>
      <c r="G42" s="12">
        <v>4</v>
      </c>
      <c r="H42" s="12">
        <v>4</v>
      </c>
      <c r="I42" s="12">
        <v>5</v>
      </c>
      <c r="J42" s="12">
        <v>2</v>
      </c>
      <c r="K42" s="12">
        <v>7</v>
      </c>
      <c r="L42" s="12">
        <v>3</v>
      </c>
      <c r="M42" s="12">
        <v>0</v>
      </c>
      <c r="N42" s="12">
        <v>14</v>
      </c>
      <c r="O42" s="12">
        <v>11</v>
      </c>
      <c r="P42" s="12">
        <v>0</v>
      </c>
      <c r="Q42" s="12">
        <v>2</v>
      </c>
      <c r="R42" s="12">
        <v>1</v>
      </c>
      <c r="S42" s="12">
        <v>15</v>
      </c>
      <c r="T42" s="12">
        <v>5</v>
      </c>
      <c r="U42" s="12">
        <v>4</v>
      </c>
      <c r="V42" s="12">
        <v>3</v>
      </c>
      <c r="W42" s="12">
        <v>3</v>
      </c>
      <c r="X42" s="12">
        <v>5</v>
      </c>
      <c r="Y42" s="12">
        <v>2</v>
      </c>
      <c r="Z42" s="12">
        <v>1</v>
      </c>
      <c r="AA42" s="12">
        <v>0</v>
      </c>
      <c r="AB42" s="12">
        <v>1</v>
      </c>
      <c r="AC42" s="12">
        <v>5</v>
      </c>
      <c r="AD42" s="12">
        <v>0</v>
      </c>
      <c r="AE42" s="12">
        <v>6</v>
      </c>
      <c r="AF42" s="12">
        <v>14</v>
      </c>
    </row>
    <row r="43" spans="1:32">
      <c r="A43" s="23"/>
      <c r="B43" s="13" t="s">
        <v>619</v>
      </c>
      <c r="C43" s="14">
        <v>0.01</v>
      </c>
      <c r="D43" s="15" t="s">
        <v>485</v>
      </c>
      <c r="E43" s="15" t="s">
        <v>485</v>
      </c>
      <c r="F43" s="15" t="s">
        <v>485</v>
      </c>
      <c r="G43" s="15" t="s">
        <v>485</v>
      </c>
      <c r="H43" s="15" t="s">
        <v>485</v>
      </c>
      <c r="I43" s="15" t="s">
        <v>485</v>
      </c>
      <c r="J43" s="14">
        <v>0.01</v>
      </c>
      <c r="K43" s="14">
        <v>0.01</v>
      </c>
      <c r="L43" s="15" t="s">
        <v>485</v>
      </c>
      <c r="M43" s="15" t="s">
        <v>485</v>
      </c>
      <c r="N43" s="14">
        <v>0.01</v>
      </c>
      <c r="O43" s="14">
        <v>0.01</v>
      </c>
      <c r="P43" s="15" t="s">
        <v>485</v>
      </c>
      <c r="Q43" s="15" t="s">
        <v>485</v>
      </c>
      <c r="R43" s="15" t="s">
        <v>485</v>
      </c>
      <c r="S43" s="14">
        <v>0.02</v>
      </c>
      <c r="T43" s="15" t="s">
        <v>485</v>
      </c>
      <c r="U43" s="14">
        <v>0.01</v>
      </c>
      <c r="V43" s="15" t="s">
        <v>485</v>
      </c>
      <c r="W43" s="14">
        <v>0.01</v>
      </c>
      <c r="X43" s="14">
        <v>0.01</v>
      </c>
      <c r="Y43" s="15" t="s">
        <v>485</v>
      </c>
      <c r="Z43" s="15" t="s">
        <v>485</v>
      </c>
      <c r="AA43" s="15" t="s">
        <v>485</v>
      </c>
      <c r="AB43" s="15" t="s">
        <v>485</v>
      </c>
      <c r="AC43" s="14">
        <v>0.01</v>
      </c>
      <c r="AD43" s="15" t="s">
        <v>485</v>
      </c>
      <c r="AE43" s="14">
        <v>0.01</v>
      </c>
      <c r="AF43" s="14">
        <v>0.01</v>
      </c>
    </row>
    <row r="44" spans="1:32">
      <c r="A44" s="23"/>
      <c r="B44" s="11" t="s">
        <v>497</v>
      </c>
      <c r="C44" s="12">
        <v>152</v>
      </c>
      <c r="D44" s="12">
        <v>3</v>
      </c>
      <c r="E44" s="12">
        <v>9</v>
      </c>
      <c r="F44" s="12">
        <v>10</v>
      </c>
      <c r="G44" s="12">
        <v>6</v>
      </c>
      <c r="H44" s="12">
        <v>0</v>
      </c>
      <c r="I44" s="12">
        <v>1</v>
      </c>
      <c r="J44" s="12">
        <v>1</v>
      </c>
      <c r="K44" s="12">
        <v>17</v>
      </c>
      <c r="L44" s="12">
        <v>7</v>
      </c>
      <c r="M44" s="12">
        <v>3</v>
      </c>
      <c r="N44" s="12">
        <v>12</v>
      </c>
      <c r="O44" s="12">
        <v>11</v>
      </c>
      <c r="P44" s="12">
        <v>0</v>
      </c>
      <c r="Q44" s="12">
        <v>2</v>
      </c>
      <c r="R44" s="12">
        <v>3</v>
      </c>
      <c r="S44" s="12">
        <v>22</v>
      </c>
      <c r="T44" s="12">
        <v>4</v>
      </c>
      <c r="U44" s="12">
        <v>4</v>
      </c>
      <c r="V44" s="12">
        <v>2</v>
      </c>
      <c r="W44" s="12">
        <v>1</v>
      </c>
      <c r="X44" s="12">
        <v>3</v>
      </c>
      <c r="Y44" s="12">
        <v>8</v>
      </c>
      <c r="Z44" s="12">
        <v>8</v>
      </c>
      <c r="AA44" s="12">
        <v>11</v>
      </c>
      <c r="AB44" s="12">
        <v>1</v>
      </c>
      <c r="AC44" s="12">
        <v>0</v>
      </c>
      <c r="AD44" s="12">
        <v>7</v>
      </c>
      <c r="AE44" s="12">
        <v>15</v>
      </c>
      <c r="AF44" s="12">
        <v>4</v>
      </c>
    </row>
    <row r="45" spans="1:32">
      <c r="A45" s="23"/>
      <c r="B45" s="13" t="s">
        <v>498</v>
      </c>
      <c r="C45" s="14">
        <v>0.01</v>
      </c>
      <c r="D45" s="15" t="s">
        <v>485</v>
      </c>
      <c r="E45" s="14">
        <v>0.01</v>
      </c>
      <c r="F45" s="14">
        <v>0.01</v>
      </c>
      <c r="G45" s="14">
        <v>0.01</v>
      </c>
      <c r="H45" s="15" t="s">
        <v>485</v>
      </c>
      <c r="I45" s="15" t="s">
        <v>485</v>
      </c>
      <c r="J45" s="15" t="s">
        <v>485</v>
      </c>
      <c r="K45" s="14">
        <v>0.02</v>
      </c>
      <c r="L45" s="14">
        <v>0.01</v>
      </c>
      <c r="M45" s="15" t="s">
        <v>485</v>
      </c>
      <c r="N45" s="14">
        <v>0.01</v>
      </c>
      <c r="O45" s="14">
        <v>0.01</v>
      </c>
      <c r="P45" s="15" t="s">
        <v>485</v>
      </c>
      <c r="Q45" s="15" t="s">
        <v>485</v>
      </c>
      <c r="R45" s="14">
        <v>0.01</v>
      </c>
      <c r="S45" s="14">
        <v>0.02</v>
      </c>
      <c r="T45" s="15" t="s">
        <v>485</v>
      </c>
      <c r="U45" s="14">
        <v>0.01</v>
      </c>
      <c r="V45" s="15" t="s">
        <v>485</v>
      </c>
      <c r="W45" s="15" t="s">
        <v>485</v>
      </c>
      <c r="X45" s="15" t="s">
        <v>485</v>
      </c>
      <c r="Y45" s="14">
        <v>0.01</v>
      </c>
      <c r="Z45" s="14">
        <v>0.01</v>
      </c>
      <c r="AA45" s="14">
        <v>0.01</v>
      </c>
      <c r="AB45" s="15" t="s">
        <v>485</v>
      </c>
      <c r="AC45" s="15" t="s">
        <v>485</v>
      </c>
      <c r="AD45" s="14">
        <v>0.01</v>
      </c>
      <c r="AE45" s="14">
        <v>0.01</v>
      </c>
      <c r="AF45" s="15" t="s">
        <v>485</v>
      </c>
    </row>
  </sheetData>
  <mergeCells count="9">
    <mergeCell ref="B4:F4"/>
    <mergeCell ref="H3:L3"/>
    <mergeCell ref="C8:AF8"/>
    <mergeCell ref="A10:A45"/>
    <mergeCell ref="B3:F3"/>
    <mergeCell ref="B5:F5"/>
    <mergeCell ref="H5:L5"/>
    <mergeCell ref="B10:B11"/>
    <mergeCell ref="H4:L4"/>
  </mergeCell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F4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36" customHeight="1">
      <c r="B3" s="19" t="s">
        <v>53</v>
      </c>
      <c r="C3" s="19"/>
      <c r="D3" s="19"/>
      <c r="E3" s="19"/>
      <c r="F3" s="19"/>
      <c r="H3" s="19" t="s">
        <v>54</v>
      </c>
      <c r="I3" s="19"/>
      <c r="J3" s="19"/>
      <c r="K3" s="19"/>
      <c r="L3" s="19"/>
    </row>
    <row r="4" spans="1:32" ht="27" customHeight="1">
      <c r="B4" s="19"/>
      <c r="C4" s="19"/>
      <c r="D4" s="19"/>
      <c r="E4" s="19"/>
      <c r="F4" s="19"/>
      <c r="H4" s="19"/>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HYPERLINK("#Content!A28","&lt;&lt;Back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45.75">
      <c r="A12" s="23"/>
      <c r="B12" s="11" t="s">
        <v>660</v>
      </c>
      <c r="C12" s="12">
        <v>7208</v>
      </c>
      <c r="D12" s="12">
        <v>267</v>
      </c>
      <c r="E12" s="12">
        <v>359</v>
      </c>
      <c r="F12" s="12">
        <v>379</v>
      </c>
      <c r="G12" s="12">
        <v>358</v>
      </c>
      <c r="H12" s="12">
        <v>295</v>
      </c>
      <c r="I12" s="12">
        <v>390</v>
      </c>
      <c r="J12" s="12">
        <v>95</v>
      </c>
      <c r="K12" s="12">
        <v>310</v>
      </c>
      <c r="L12" s="12">
        <v>221</v>
      </c>
      <c r="M12" s="12">
        <v>297</v>
      </c>
      <c r="N12" s="12">
        <v>183</v>
      </c>
      <c r="O12" s="12">
        <v>263</v>
      </c>
      <c r="P12" s="12">
        <v>291</v>
      </c>
      <c r="Q12" s="12">
        <v>336</v>
      </c>
      <c r="R12" s="12">
        <v>90</v>
      </c>
      <c r="S12" s="12">
        <v>239</v>
      </c>
      <c r="T12" s="12">
        <v>286</v>
      </c>
      <c r="U12" s="12">
        <v>135</v>
      </c>
      <c r="V12" s="12">
        <v>295</v>
      </c>
      <c r="W12" s="12">
        <v>93</v>
      </c>
      <c r="X12" s="12">
        <v>352</v>
      </c>
      <c r="Y12" s="12">
        <v>289</v>
      </c>
      <c r="Z12" s="12">
        <v>244</v>
      </c>
      <c r="AA12" s="12">
        <v>308</v>
      </c>
      <c r="AB12" s="12">
        <v>264</v>
      </c>
      <c r="AC12" s="12">
        <v>304</v>
      </c>
      <c r="AD12" s="12">
        <v>315</v>
      </c>
      <c r="AE12" s="12">
        <v>310</v>
      </c>
      <c r="AF12" s="12">
        <v>349</v>
      </c>
    </row>
    <row r="13" spans="1:32" ht="34.5">
      <c r="A13" s="23"/>
      <c r="B13" s="13" t="s">
        <v>661</v>
      </c>
      <c r="C13" s="14">
        <v>0.27</v>
      </c>
      <c r="D13" s="14">
        <v>0.27</v>
      </c>
      <c r="E13" s="14">
        <v>0.34</v>
      </c>
      <c r="F13" s="14">
        <v>0.38</v>
      </c>
      <c r="G13" s="14">
        <v>0.36</v>
      </c>
      <c r="H13" s="14">
        <v>0.24</v>
      </c>
      <c r="I13" s="14">
        <v>0.26</v>
      </c>
      <c r="J13" s="14">
        <v>0.32</v>
      </c>
      <c r="K13" s="14">
        <v>0.31</v>
      </c>
      <c r="L13" s="14">
        <v>0.22</v>
      </c>
      <c r="M13" s="14">
        <v>0.28999999999999998</v>
      </c>
      <c r="N13" s="14">
        <v>0.18</v>
      </c>
      <c r="O13" s="14">
        <v>0.26</v>
      </c>
      <c r="P13" s="14">
        <v>0.28999999999999998</v>
      </c>
      <c r="Q13" s="14">
        <v>0.33</v>
      </c>
      <c r="R13" s="14">
        <v>0.18</v>
      </c>
      <c r="S13" s="14">
        <v>0.24</v>
      </c>
      <c r="T13" s="14">
        <v>0.28000000000000003</v>
      </c>
      <c r="U13" s="14">
        <v>0.27</v>
      </c>
      <c r="V13" s="14">
        <v>0.28999999999999998</v>
      </c>
      <c r="W13" s="14">
        <v>0.18</v>
      </c>
      <c r="X13" s="14">
        <v>0.35</v>
      </c>
      <c r="Y13" s="14">
        <v>0.28999999999999998</v>
      </c>
      <c r="Z13" s="14">
        <v>0.24</v>
      </c>
      <c r="AA13" s="14">
        <v>0.3</v>
      </c>
      <c r="AB13" s="14">
        <v>0.26</v>
      </c>
      <c r="AC13" s="14">
        <v>0.3</v>
      </c>
      <c r="AD13" s="14">
        <v>0.31</v>
      </c>
      <c r="AE13" s="14">
        <v>0.31</v>
      </c>
      <c r="AF13" s="14">
        <v>0.33</v>
      </c>
    </row>
    <row r="14" spans="1:32">
      <c r="A14" s="23"/>
      <c r="B14" s="11" t="s">
        <v>662</v>
      </c>
      <c r="C14" s="12">
        <v>9545</v>
      </c>
      <c r="D14" s="12">
        <v>388</v>
      </c>
      <c r="E14" s="12">
        <v>271</v>
      </c>
      <c r="F14" s="12">
        <v>414</v>
      </c>
      <c r="G14" s="12">
        <v>523</v>
      </c>
      <c r="H14" s="12">
        <v>533</v>
      </c>
      <c r="I14" s="12">
        <v>649</v>
      </c>
      <c r="J14" s="12">
        <v>116</v>
      </c>
      <c r="K14" s="12">
        <v>314</v>
      </c>
      <c r="L14" s="12">
        <v>241</v>
      </c>
      <c r="M14" s="12">
        <v>374</v>
      </c>
      <c r="N14" s="12">
        <v>205</v>
      </c>
      <c r="O14" s="12">
        <v>394</v>
      </c>
      <c r="P14" s="12">
        <v>243</v>
      </c>
      <c r="Q14" s="12">
        <v>318</v>
      </c>
      <c r="R14" s="12">
        <v>223</v>
      </c>
      <c r="S14" s="12">
        <v>435</v>
      </c>
      <c r="T14" s="12">
        <v>558</v>
      </c>
      <c r="U14" s="12">
        <v>199</v>
      </c>
      <c r="V14" s="12">
        <v>310</v>
      </c>
      <c r="W14" s="12">
        <v>103</v>
      </c>
      <c r="X14" s="12">
        <v>452</v>
      </c>
      <c r="Y14" s="12">
        <v>293</v>
      </c>
      <c r="Z14" s="12">
        <v>436</v>
      </c>
      <c r="AA14" s="12">
        <v>401</v>
      </c>
      <c r="AB14" s="12">
        <v>318</v>
      </c>
      <c r="AC14" s="12">
        <v>229</v>
      </c>
      <c r="AD14" s="12">
        <v>322</v>
      </c>
      <c r="AE14" s="12">
        <v>494</v>
      </c>
      <c r="AF14" s="12">
        <v>404</v>
      </c>
    </row>
    <row r="15" spans="1:32">
      <c r="A15" s="23"/>
      <c r="B15" s="13" t="s">
        <v>663</v>
      </c>
      <c r="C15" s="14">
        <v>0.36</v>
      </c>
      <c r="D15" s="14">
        <v>0.39</v>
      </c>
      <c r="E15" s="14">
        <v>0.26</v>
      </c>
      <c r="F15" s="14">
        <v>0.41</v>
      </c>
      <c r="G15" s="14">
        <v>0.52</v>
      </c>
      <c r="H15" s="14">
        <v>0.44</v>
      </c>
      <c r="I15" s="14">
        <v>0.43</v>
      </c>
      <c r="J15" s="14">
        <v>0.4</v>
      </c>
      <c r="K15" s="14">
        <v>0.31</v>
      </c>
      <c r="L15" s="14">
        <v>0.24</v>
      </c>
      <c r="M15" s="14">
        <v>0.37</v>
      </c>
      <c r="N15" s="14">
        <v>0.2</v>
      </c>
      <c r="O15" s="14">
        <v>0.39</v>
      </c>
      <c r="P15" s="14">
        <v>0.24</v>
      </c>
      <c r="Q15" s="14">
        <v>0.31</v>
      </c>
      <c r="R15" s="14">
        <v>0.45</v>
      </c>
      <c r="S15" s="14">
        <v>0.43</v>
      </c>
      <c r="T15" s="14">
        <v>0.56000000000000005</v>
      </c>
      <c r="U15" s="14">
        <v>0.4</v>
      </c>
      <c r="V15" s="14">
        <v>0.31</v>
      </c>
      <c r="W15" s="14">
        <v>0.2</v>
      </c>
      <c r="X15" s="14">
        <v>0.44</v>
      </c>
      <c r="Y15" s="14">
        <v>0.28999999999999998</v>
      </c>
      <c r="Z15" s="14">
        <v>0.43</v>
      </c>
      <c r="AA15" s="14">
        <v>0.39</v>
      </c>
      <c r="AB15" s="14">
        <v>0.31</v>
      </c>
      <c r="AC15" s="14">
        <v>0.23</v>
      </c>
      <c r="AD15" s="14">
        <v>0.32</v>
      </c>
      <c r="AE15" s="14">
        <v>0.49</v>
      </c>
      <c r="AF15" s="14">
        <v>0.38</v>
      </c>
    </row>
    <row r="16" spans="1:32" ht="34.5">
      <c r="A16" s="23"/>
      <c r="B16" s="11" t="s">
        <v>664</v>
      </c>
      <c r="C16" s="12">
        <v>4188</v>
      </c>
      <c r="D16" s="12">
        <v>156</v>
      </c>
      <c r="E16" s="12">
        <v>196</v>
      </c>
      <c r="F16" s="12">
        <v>157</v>
      </c>
      <c r="G16" s="12">
        <v>203</v>
      </c>
      <c r="H16" s="12">
        <v>214</v>
      </c>
      <c r="I16" s="12">
        <v>262</v>
      </c>
      <c r="J16" s="12">
        <v>48</v>
      </c>
      <c r="K16" s="12">
        <v>222</v>
      </c>
      <c r="L16" s="12">
        <v>118</v>
      </c>
      <c r="M16" s="12">
        <v>196</v>
      </c>
      <c r="N16" s="12">
        <v>119</v>
      </c>
      <c r="O16" s="12">
        <v>142</v>
      </c>
      <c r="P16" s="12">
        <v>152</v>
      </c>
      <c r="Q16" s="12">
        <v>165</v>
      </c>
      <c r="R16" s="12">
        <v>58</v>
      </c>
      <c r="S16" s="12">
        <v>174</v>
      </c>
      <c r="T16" s="12">
        <v>261</v>
      </c>
      <c r="U16" s="12">
        <v>124</v>
      </c>
      <c r="V16" s="12">
        <v>163</v>
      </c>
      <c r="W16" s="12">
        <v>60</v>
      </c>
      <c r="X16" s="12">
        <v>161</v>
      </c>
      <c r="Y16" s="12">
        <v>165</v>
      </c>
      <c r="Z16" s="12">
        <v>164</v>
      </c>
      <c r="AA16" s="12">
        <v>57</v>
      </c>
      <c r="AB16" s="12">
        <v>196</v>
      </c>
      <c r="AC16" s="12">
        <v>163</v>
      </c>
      <c r="AD16" s="12">
        <v>176</v>
      </c>
      <c r="AE16" s="12">
        <v>229</v>
      </c>
      <c r="AF16" s="12">
        <v>249</v>
      </c>
    </row>
    <row r="17" spans="1:32" ht="23.25">
      <c r="A17" s="23"/>
      <c r="B17" s="13" t="s">
        <v>665</v>
      </c>
      <c r="C17" s="14">
        <v>0.16</v>
      </c>
      <c r="D17" s="14">
        <v>0.15</v>
      </c>
      <c r="E17" s="14">
        <v>0.19</v>
      </c>
      <c r="F17" s="14">
        <v>0.16</v>
      </c>
      <c r="G17" s="14">
        <v>0.2</v>
      </c>
      <c r="H17" s="14">
        <v>0.18</v>
      </c>
      <c r="I17" s="14">
        <v>0.17</v>
      </c>
      <c r="J17" s="14">
        <v>0.16</v>
      </c>
      <c r="K17" s="14">
        <v>0.22</v>
      </c>
      <c r="L17" s="14">
        <v>0.12</v>
      </c>
      <c r="M17" s="14">
        <v>0.19</v>
      </c>
      <c r="N17" s="14">
        <v>0.12</v>
      </c>
      <c r="O17" s="14">
        <v>0.14000000000000001</v>
      </c>
      <c r="P17" s="14">
        <v>0.15</v>
      </c>
      <c r="Q17" s="14">
        <v>0.16</v>
      </c>
      <c r="R17" s="14">
        <v>0.12</v>
      </c>
      <c r="S17" s="14">
        <v>0.17</v>
      </c>
      <c r="T17" s="14">
        <v>0.26</v>
      </c>
      <c r="U17" s="14">
        <v>0.25</v>
      </c>
      <c r="V17" s="14">
        <v>0.16</v>
      </c>
      <c r="W17" s="14">
        <v>0.12</v>
      </c>
      <c r="X17" s="14">
        <v>0.16</v>
      </c>
      <c r="Y17" s="14">
        <v>0.16</v>
      </c>
      <c r="Z17" s="14">
        <v>0.16</v>
      </c>
      <c r="AA17" s="14">
        <v>0.05</v>
      </c>
      <c r="AB17" s="14">
        <v>0.19</v>
      </c>
      <c r="AC17" s="14">
        <v>0.16</v>
      </c>
      <c r="AD17" s="14">
        <v>0.18</v>
      </c>
      <c r="AE17" s="14">
        <v>0.23</v>
      </c>
      <c r="AF17" s="14">
        <v>0.23</v>
      </c>
    </row>
    <row r="18" spans="1:32" ht="34.5">
      <c r="A18" s="23"/>
      <c r="B18" s="11" t="s">
        <v>666</v>
      </c>
      <c r="C18" s="12">
        <v>2196</v>
      </c>
      <c r="D18" s="12">
        <v>73</v>
      </c>
      <c r="E18" s="12">
        <v>98</v>
      </c>
      <c r="F18" s="12">
        <v>70</v>
      </c>
      <c r="G18" s="12">
        <v>87</v>
      </c>
      <c r="H18" s="12">
        <v>114</v>
      </c>
      <c r="I18" s="12">
        <v>130</v>
      </c>
      <c r="J18" s="12">
        <v>16</v>
      </c>
      <c r="K18" s="12">
        <v>94</v>
      </c>
      <c r="L18" s="12">
        <v>66</v>
      </c>
      <c r="M18" s="12">
        <v>62</v>
      </c>
      <c r="N18" s="12">
        <v>79</v>
      </c>
      <c r="O18" s="12">
        <v>67</v>
      </c>
      <c r="P18" s="12">
        <v>106</v>
      </c>
      <c r="Q18" s="12">
        <v>100</v>
      </c>
      <c r="R18" s="12">
        <v>16</v>
      </c>
      <c r="S18" s="12">
        <v>105</v>
      </c>
      <c r="T18" s="12">
        <v>209</v>
      </c>
      <c r="U18" s="12">
        <v>54</v>
      </c>
      <c r="V18" s="12">
        <v>117</v>
      </c>
      <c r="W18" s="12">
        <v>51</v>
      </c>
      <c r="X18" s="12">
        <v>28</v>
      </c>
      <c r="Y18" s="12">
        <v>92</v>
      </c>
      <c r="Z18" s="12">
        <v>123</v>
      </c>
      <c r="AA18" s="12">
        <v>40</v>
      </c>
      <c r="AB18" s="12">
        <v>115</v>
      </c>
      <c r="AC18" s="12">
        <v>99</v>
      </c>
      <c r="AD18" s="12">
        <v>89</v>
      </c>
      <c r="AE18" s="12">
        <v>50</v>
      </c>
      <c r="AF18" s="12">
        <v>39</v>
      </c>
    </row>
    <row r="19" spans="1:32" ht="23.25">
      <c r="A19" s="23"/>
      <c r="B19" s="13" t="s">
        <v>667</v>
      </c>
      <c r="C19" s="14">
        <v>0.08</v>
      </c>
      <c r="D19" s="14">
        <v>7.0000000000000007E-2</v>
      </c>
      <c r="E19" s="14">
        <v>0.09</v>
      </c>
      <c r="F19" s="14">
        <v>7.0000000000000007E-2</v>
      </c>
      <c r="G19" s="14">
        <v>0.09</v>
      </c>
      <c r="H19" s="14">
        <v>0.09</v>
      </c>
      <c r="I19" s="14">
        <v>0.09</v>
      </c>
      <c r="J19" s="14">
        <v>0.06</v>
      </c>
      <c r="K19" s="14">
        <v>0.09</v>
      </c>
      <c r="L19" s="14">
        <v>7.0000000000000007E-2</v>
      </c>
      <c r="M19" s="14">
        <v>0.06</v>
      </c>
      <c r="N19" s="14">
        <v>0.08</v>
      </c>
      <c r="O19" s="14">
        <v>7.0000000000000007E-2</v>
      </c>
      <c r="P19" s="14">
        <v>0.1</v>
      </c>
      <c r="Q19" s="14">
        <v>0.1</v>
      </c>
      <c r="R19" s="14">
        <v>0.03</v>
      </c>
      <c r="S19" s="14">
        <v>0.1</v>
      </c>
      <c r="T19" s="14">
        <v>0.21</v>
      </c>
      <c r="U19" s="14">
        <v>0.11</v>
      </c>
      <c r="V19" s="14">
        <v>0.12</v>
      </c>
      <c r="W19" s="14">
        <v>0.1</v>
      </c>
      <c r="X19" s="14">
        <v>0.03</v>
      </c>
      <c r="Y19" s="14">
        <v>0.09</v>
      </c>
      <c r="Z19" s="14">
        <v>0.12</v>
      </c>
      <c r="AA19" s="14">
        <v>0.04</v>
      </c>
      <c r="AB19" s="14">
        <v>0.11</v>
      </c>
      <c r="AC19" s="14">
        <v>0.1</v>
      </c>
      <c r="AD19" s="14">
        <v>0.09</v>
      </c>
      <c r="AE19" s="14">
        <v>0.05</v>
      </c>
      <c r="AF19" s="14">
        <v>0.04</v>
      </c>
    </row>
    <row r="20" spans="1:32" ht="34.5">
      <c r="A20" s="23"/>
      <c r="B20" s="11" t="s">
        <v>668</v>
      </c>
      <c r="C20" s="12">
        <v>3540</v>
      </c>
      <c r="D20" s="12">
        <v>162</v>
      </c>
      <c r="E20" s="12">
        <v>145</v>
      </c>
      <c r="F20" s="12">
        <v>106</v>
      </c>
      <c r="G20" s="12">
        <v>174</v>
      </c>
      <c r="H20" s="12">
        <v>140</v>
      </c>
      <c r="I20" s="12">
        <v>166</v>
      </c>
      <c r="J20" s="12">
        <v>27</v>
      </c>
      <c r="K20" s="12">
        <v>143</v>
      </c>
      <c r="L20" s="12">
        <v>156</v>
      </c>
      <c r="M20" s="12">
        <v>129</v>
      </c>
      <c r="N20" s="12">
        <v>139</v>
      </c>
      <c r="O20" s="12">
        <v>108</v>
      </c>
      <c r="P20" s="12">
        <v>146</v>
      </c>
      <c r="Q20" s="12">
        <v>164</v>
      </c>
      <c r="R20" s="12">
        <v>75</v>
      </c>
      <c r="S20" s="12">
        <v>80</v>
      </c>
      <c r="T20" s="12">
        <v>87</v>
      </c>
      <c r="U20" s="12">
        <v>81</v>
      </c>
      <c r="V20" s="12">
        <v>116</v>
      </c>
      <c r="W20" s="12">
        <v>122</v>
      </c>
      <c r="X20" s="12">
        <v>272</v>
      </c>
      <c r="Y20" s="12">
        <v>172</v>
      </c>
      <c r="Z20" s="12">
        <v>120</v>
      </c>
      <c r="AA20" s="12">
        <v>85</v>
      </c>
      <c r="AB20" s="12">
        <v>140</v>
      </c>
      <c r="AC20" s="12">
        <v>132</v>
      </c>
      <c r="AD20" s="12">
        <v>121</v>
      </c>
      <c r="AE20" s="12">
        <v>178</v>
      </c>
      <c r="AF20" s="12">
        <v>175</v>
      </c>
    </row>
    <row r="21" spans="1:32" ht="34.5">
      <c r="A21" s="23"/>
      <c r="B21" s="13" t="s">
        <v>669</v>
      </c>
      <c r="C21" s="14">
        <v>0.13</v>
      </c>
      <c r="D21" s="14">
        <v>0.16</v>
      </c>
      <c r="E21" s="14">
        <v>0.14000000000000001</v>
      </c>
      <c r="F21" s="14">
        <v>0.11</v>
      </c>
      <c r="G21" s="14">
        <v>0.17</v>
      </c>
      <c r="H21" s="14">
        <v>0.12</v>
      </c>
      <c r="I21" s="14">
        <v>0.11</v>
      </c>
      <c r="J21" s="14">
        <v>0.09</v>
      </c>
      <c r="K21" s="14">
        <v>0.14000000000000001</v>
      </c>
      <c r="L21" s="14">
        <v>0.16</v>
      </c>
      <c r="M21" s="14">
        <v>0.13</v>
      </c>
      <c r="N21" s="14">
        <v>0.14000000000000001</v>
      </c>
      <c r="O21" s="14">
        <v>0.11</v>
      </c>
      <c r="P21" s="14">
        <v>0.14000000000000001</v>
      </c>
      <c r="Q21" s="14">
        <v>0.16</v>
      </c>
      <c r="R21" s="14">
        <v>0.15</v>
      </c>
      <c r="S21" s="14">
        <v>0.08</v>
      </c>
      <c r="T21" s="14">
        <v>0.09</v>
      </c>
      <c r="U21" s="14">
        <v>0.16</v>
      </c>
      <c r="V21" s="14">
        <v>0.12</v>
      </c>
      <c r="W21" s="14">
        <v>0.24</v>
      </c>
      <c r="X21" s="14">
        <v>0.27</v>
      </c>
      <c r="Y21" s="14">
        <v>0.17</v>
      </c>
      <c r="Z21" s="14">
        <v>0.12</v>
      </c>
      <c r="AA21" s="14">
        <v>0.08</v>
      </c>
      <c r="AB21" s="14">
        <v>0.14000000000000001</v>
      </c>
      <c r="AC21" s="14">
        <v>0.13</v>
      </c>
      <c r="AD21" s="14">
        <v>0.12</v>
      </c>
      <c r="AE21" s="14">
        <v>0.18</v>
      </c>
      <c r="AF21" s="14">
        <v>0.16</v>
      </c>
    </row>
    <row r="22" spans="1:32" ht="45.75">
      <c r="A22" s="23"/>
      <c r="B22" s="11" t="s">
        <v>670</v>
      </c>
      <c r="C22" s="12">
        <v>5586</v>
      </c>
      <c r="D22" s="12">
        <v>222</v>
      </c>
      <c r="E22" s="12">
        <v>192</v>
      </c>
      <c r="F22" s="12">
        <v>181</v>
      </c>
      <c r="G22" s="12">
        <v>263</v>
      </c>
      <c r="H22" s="12">
        <v>300</v>
      </c>
      <c r="I22" s="12">
        <v>367</v>
      </c>
      <c r="J22" s="12">
        <v>67</v>
      </c>
      <c r="K22" s="12">
        <v>142</v>
      </c>
      <c r="L22" s="12">
        <v>206</v>
      </c>
      <c r="M22" s="12">
        <v>200</v>
      </c>
      <c r="N22" s="12">
        <v>242</v>
      </c>
      <c r="O22" s="12">
        <v>167</v>
      </c>
      <c r="P22" s="12">
        <v>192</v>
      </c>
      <c r="Q22" s="12">
        <v>183</v>
      </c>
      <c r="R22" s="12">
        <v>115</v>
      </c>
      <c r="S22" s="12">
        <v>139</v>
      </c>
      <c r="T22" s="12">
        <v>135</v>
      </c>
      <c r="U22" s="12">
        <v>107</v>
      </c>
      <c r="V22" s="12">
        <v>194</v>
      </c>
      <c r="W22" s="12">
        <v>144</v>
      </c>
      <c r="X22" s="12">
        <v>282</v>
      </c>
      <c r="Y22" s="12">
        <v>247</v>
      </c>
      <c r="Z22" s="12">
        <v>175</v>
      </c>
      <c r="AA22" s="12">
        <v>182</v>
      </c>
      <c r="AB22" s="12">
        <v>240</v>
      </c>
      <c r="AC22" s="12">
        <v>192</v>
      </c>
      <c r="AD22" s="12">
        <v>192</v>
      </c>
      <c r="AE22" s="12">
        <v>243</v>
      </c>
      <c r="AF22" s="12">
        <v>425</v>
      </c>
    </row>
    <row r="23" spans="1:32" ht="34.5">
      <c r="A23" s="23"/>
      <c r="B23" s="13" t="s">
        <v>671</v>
      </c>
      <c r="C23" s="14">
        <v>0.21</v>
      </c>
      <c r="D23" s="14">
        <v>0.22</v>
      </c>
      <c r="E23" s="14">
        <v>0.18</v>
      </c>
      <c r="F23" s="14">
        <v>0.18</v>
      </c>
      <c r="G23" s="14">
        <v>0.26</v>
      </c>
      <c r="H23" s="14">
        <v>0.25</v>
      </c>
      <c r="I23" s="14">
        <v>0.24</v>
      </c>
      <c r="J23" s="14">
        <v>0.23</v>
      </c>
      <c r="K23" s="14">
        <v>0.14000000000000001</v>
      </c>
      <c r="L23" s="14">
        <v>0.2</v>
      </c>
      <c r="M23" s="14">
        <v>0.2</v>
      </c>
      <c r="N23" s="14">
        <v>0.24</v>
      </c>
      <c r="O23" s="14">
        <v>0.17</v>
      </c>
      <c r="P23" s="14">
        <v>0.19</v>
      </c>
      <c r="Q23" s="14">
        <v>0.18</v>
      </c>
      <c r="R23" s="14">
        <v>0.23</v>
      </c>
      <c r="S23" s="14">
        <v>0.14000000000000001</v>
      </c>
      <c r="T23" s="14">
        <v>0.13</v>
      </c>
      <c r="U23" s="14">
        <v>0.21</v>
      </c>
      <c r="V23" s="14">
        <v>0.19</v>
      </c>
      <c r="W23" s="14">
        <v>0.28999999999999998</v>
      </c>
      <c r="X23" s="14">
        <v>0.28000000000000003</v>
      </c>
      <c r="Y23" s="14">
        <v>0.24</v>
      </c>
      <c r="Z23" s="14">
        <v>0.17</v>
      </c>
      <c r="AA23" s="14">
        <v>0.17</v>
      </c>
      <c r="AB23" s="14">
        <v>0.23</v>
      </c>
      <c r="AC23" s="14">
        <v>0.19</v>
      </c>
      <c r="AD23" s="14">
        <v>0.19</v>
      </c>
      <c r="AE23" s="14">
        <v>0.24</v>
      </c>
      <c r="AF23" s="14">
        <v>0.4</v>
      </c>
    </row>
    <row r="24" spans="1:32" ht="23.25">
      <c r="A24" s="23"/>
      <c r="B24" s="11" t="s">
        <v>672</v>
      </c>
      <c r="C24" s="12">
        <v>8326</v>
      </c>
      <c r="D24" s="12">
        <v>268</v>
      </c>
      <c r="E24" s="12">
        <v>370</v>
      </c>
      <c r="F24" s="12">
        <v>395</v>
      </c>
      <c r="G24" s="12">
        <v>297</v>
      </c>
      <c r="H24" s="12">
        <v>380</v>
      </c>
      <c r="I24" s="12">
        <v>494</v>
      </c>
      <c r="J24" s="12">
        <v>114</v>
      </c>
      <c r="K24" s="12">
        <v>378</v>
      </c>
      <c r="L24" s="12">
        <v>245</v>
      </c>
      <c r="M24" s="12">
        <v>426</v>
      </c>
      <c r="N24" s="12">
        <v>302</v>
      </c>
      <c r="O24" s="12">
        <v>322</v>
      </c>
      <c r="P24" s="12">
        <v>315</v>
      </c>
      <c r="Q24" s="12">
        <v>347</v>
      </c>
      <c r="R24" s="12">
        <v>71</v>
      </c>
      <c r="S24" s="12">
        <v>292</v>
      </c>
      <c r="T24" s="12">
        <v>289</v>
      </c>
      <c r="U24" s="12">
        <v>127</v>
      </c>
      <c r="V24" s="12">
        <v>376</v>
      </c>
      <c r="W24" s="12">
        <v>99</v>
      </c>
      <c r="X24" s="12">
        <v>270</v>
      </c>
      <c r="Y24" s="12">
        <v>278</v>
      </c>
      <c r="Z24" s="12">
        <v>249</v>
      </c>
      <c r="AA24" s="12">
        <v>424</v>
      </c>
      <c r="AB24" s="12">
        <v>299</v>
      </c>
      <c r="AC24" s="12">
        <v>355</v>
      </c>
      <c r="AD24" s="12">
        <v>320</v>
      </c>
      <c r="AE24" s="12">
        <v>366</v>
      </c>
      <c r="AF24" s="12">
        <v>296</v>
      </c>
    </row>
    <row r="25" spans="1:32" ht="23.25">
      <c r="A25" s="23"/>
      <c r="B25" s="13" t="s">
        <v>673</v>
      </c>
      <c r="C25" s="14">
        <v>0.32</v>
      </c>
      <c r="D25" s="14">
        <v>0.27</v>
      </c>
      <c r="E25" s="14">
        <v>0.35</v>
      </c>
      <c r="F25" s="14">
        <v>0.39</v>
      </c>
      <c r="G25" s="14">
        <v>0.3</v>
      </c>
      <c r="H25" s="14">
        <v>0.31</v>
      </c>
      <c r="I25" s="14">
        <v>0.33</v>
      </c>
      <c r="J25" s="14">
        <v>0.39</v>
      </c>
      <c r="K25" s="14">
        <v>0.38</v>
      </c>
      <c r="L25" s="14">
        <v>0.24</v>
      </c>
      <c r="M25" s="14">
        <v>0.42</v>
      </c>
      <c r="N25" s="14">
        <v>0.3</v>
      </c>
      <c r="O25" s="14">
        <v>0.32</v>
      </c>
      <c r="P25" s="14">
        <v>0.31</v>
      </c>
      <c r="Q25" s="14">
        <v>0.34</v>
      </c>
      <c r="R25" s="14">
        <v>0.14000000000000001</v>
      </c>
      <c r="S25" s="14">
        <v>0.28999999999999998</v>
      </c>
      <c r="T25" s="14">
        <v>0.28999999999999998</v>
      </c>
      <c r="U25" s="14">
        <v>0.25</v>
      </c>
      <c r="V25" s="14">
        <v>0.37</v>
      </c>
      <c r="W25" s="14">
        <v>0.2</v>
      </c>
      <c r="X25" s="14">
        <v>0.27</v>
      </c>
      <c r="Y25" s="14">
        <v>0.28000000000000003</v>
      </c>
      <c r="Z25" s="14">
        <v>0.25</v>
      </c>
      <c r="AA25" s="14">
        <v>0.41</v>
      </c>
      <c r="AB25" s="14">
        <v>0.28999999999999998</v>
      </c>
      <c r="AC25" s="14">
        <v>0.35</v>
      </c>
      <c r="AD25" s="14">
        <v>0.32</v>
      </c>
      <c r="AE25" s="14">
        <v>0.36</v>
      </c>
      <c r="AF25" s="14">
        <v>0.28000000000000003</v>
      </c>
    </row>
    <row r="26" spans="1:32">
      <c r="A26" s="23"/>
      <c r="B26" s="11" t="s">
        <v>674</v>
      </c>
      <c r="C26" s="12">
        <v>4293</v>
      </c>
      <c r="D26" s="12">
        <v>148</v>
      </c>
      <c r="E26" s="12">
        <v>156</v>
      </c>
      <c r="F26" s="12">
        <v>148</v>
      </c>
      <c r="G26" s="12">
        <v>203</v>
      </c>
      <c r="H26" s="12">
        <v>288</v>
      </c>
      <c r="I26" s="12">
        <v>341</v>
      </c>
      <c r="J26" s="12">
        <v>53</v>
      </c>
      <c r="K26" s="12">
        <v>170</v>
      </c>
      <c r="L26" s="12">
        <v>178</v>
      </c>
      <c r="M26" s="12">
        <v>155</v>
      </c>
      <c r="N26" s="12">
        <v>145</v>
      </c>
      <c r="O26" s="12">
        <v>154</v>
      </c>
      <c r="P26" s="12">
        <v>177</v>
      </c>
      <c r="Q26" s="12">
        <v>180</v>
      </c>
      <c r="R26" s="12">
        <v>57</v>
      </c>
      <c r="S26" s="12">
        <v>120</v>
      </c>
      <c r="T26" s="12">
        <v>105</v>
      </c>
      <c r="U26" s="12">
        <v>71</v>
      </c>
      <c r="V26" s="12">
        <v>153</v>
      </c>
      <c r="W26" s="12">
        <v>58</v>
      </c>
      <c r="X26" s="12">
        <v>141</v>
      </c>
      <c r="Y26" s="12">
        <v>170</v>
      </c>
      <c r="Z26" s="12">
        <v>127</v>
      </c>
      <c r="AA26" s="12">
        <v>83</v>
      </c>
      <c r="AB26" s="12">
        <v>143</v>
      </c>
      <c r="AC26" s="12">
        <v>182</v>
      </c>
      <c r="AD26" s="12">
        <v>152</v>
      </c>
      <c r="AE26" s="12">
        <v>97</v>
      </c>
      <c r="AF26" s="12">
        <v>118</v>
      </c>
    </row>
    <row r="27" spans="1:32">
      <c r="A27" s="23"/>
      <c r="B27" s="13" t="s">
        <v>675</v>
      </c>
      <c r="C27" s="14">
        <v>0.16</v>
      </c>
      <c r="D27" s="14">
        <v>0.15</v>
      </c>
      <c r="E27" s="14">
        <v>0.15</v>
      </c>
      <c r="F27" s="14">
        <v>0.15</v>
      </c>
      <c r="G27" s="14">
        <v>0.2</v>
      </c>
      <c r="H27" s="14">
        <v>0.24</v>
      </c>
      <c r="I27" s="14">
        <v>0.23</v>
      </c>
      <c r="J27" s="14">
        <v>0.18</v>
      </c>
      <c r="K27" s="14">
        <v>0.17</v>
      </c>
      <c r="L27" s="14">
        <v>0.18</v>
      </c>
      <c r="M27" s="14">
        <v>0.15</v>
      </c>
      <c r="N27" s="14">
        <v>0.14000000000000001</v>
      </c>
      <c r="O27" s="14">
        <v>0.15</v>
      </c>
      <c r="P27" s="14">
        <v>0.18</v>
      </c>
      <c r="Q27" s="14">
        <v>0.18</v>
      </c>
      <c r="R27" s="14">
        <v>0.11</v>
      </c>
      <c r="S27" s="14">
        <v>0.12</v>
      </c>
      <c r="T27" s="14">
        <v>0.11</v>
      </c>
      <c r="U27" s="14">
        <v>0.14000000000000001</v>
      </c>
      <c r="V27" s="14">
        <v>0.15</v>
      </c>
      <c r="W27" s="14">
        <v>0.12</v>
      </c>
      <c r="X27" s="14">
        <v>0.14000000000000001</v>
      </c>
      <c r="Y27" s="14">
        <v>0.17</v>
      </c>
      <c r="Z27" s="14">
        <v>0.12</v>
      </c>
      <c r="AA27" s="14">
        <v>0.08</v>
      </c>
      <c r="AB27" s="14">
        <v>0.14000000000000001</v>
      </c>
      <c r="AC27" s="14">
        <v>0.18</v>
      </c>
      <c r="AD27" s="14">
        <v>0.15</v>
      </c>
      <c r="AE27" s="14">
        <v>0.1</v>
      </c>
      <c r="AF27" s="14">
        <v>0.11</v>
      </c>
    </row>
    <row r="28" spans="1:32">
      <c r="A28" s="23"/>
      <c r="B28" s="11" t="s">
        <v>676</v>
      </c>
      <c r="C28" s="12">
        <v>2409</v>
      </c>
      <c r="D28" s="12">
        <v>143</v>
      </c>
      <c r="E28" s="12">
        <v>75</v>
      </c>
      <c r="F28" s="12">
        <v>49</v>
      </c>
      <c r="G28" s="12">
        <v>32</v>
      </c>
      <c r="H28" s="12">
        <v>132</v>
      </c>
      <c r="I28" s="12">
        <v>166</v>
      </c>
      <c r="J28" s="12">
        <v>34</v>
      </c>
      <c r="K28" s="12">
        <v>88</v>
      </c>
      <c r="L28" s="12">
        <v>151</v>
      </c>
      <c r="M28" s="12">
        <v>76</v>
      </c>
      <c r="N28" s="12">
        <v>74</v>
      </c>
      <c r="O28" s="12">
        <v>100</v>
      </c>
      <c r="P28" s="12">
        <v>101</v>
      </c>
      <c r="Q28" s="12">
        <v>109</v>
      </c>
      <c r="R28" s="12">
        <v>55</v>
      </c>
      <c r="S28" s="12">
        <v>55</v>
      </c>
      <c r="T28" s="12">
        <v>46</v>
      </c>
      <c r="U28" s="12">
        <v>51</v>
      </c>
      <c r="V28" s="12">
        <v>140</v>
      </c>
      <c r="W28" s="12">
        <v>88</v>
      </c>
      <c r="X28" s="12">
        <v>95</v>
      </c>
      <c r="Y28" s="12">
        <v>113</v>
      </c>
      <c r="Z28" s="12">
        <v>36</v>
      </c>
      <c r="AA28" s="12">
        <v>94</v>
      </c>
      <c r="AB28" s="12">
        <v>110</v>
      </c>
      <c r="AC28" s="12">
        <v>99</v>
      </c>
      <c r="AD28" s="12">
        <v>133</v>
      </c>
      <c r="AE28" s="12">
        <v>40</v>
      </c>
      <c r="AF28" s="12">
        <v>25</v>
      </c>
    </row>
    <row r="29" spans="1:32">
      <c r="A29" s="23"/>
      <c r="B29" s="13" t="s">
        <v>677</v>
      </c>
      <c r="C29" s="14">
        <v>0.09</v>
      </c>
      <c r="D29" s="14">
        <v>0.14000000000000001</v>
      </c>
      <c r="E29" s="14">
        <v>7.0000000000000007E-2</v>
      </c>
      <c r="F29" s="14">
        <v>0.05</v>
      </c>
      <c r="G29" s="14">
        <v>0.03</v>
      </c>
      <c r="H29" s="14">
        <v>0.11</v>
      </c>
      <c r="I29" s="14">
        <v>0.11</v>
      </c>
      <c r="J29" s="14">
        <v>0.12</v>
      </c>
      <c r="K29" s="14">
        <v>0.09</v>
      </c>
      <c r="L29" s="14">
        <v>0.15</v>
      </c>
      <c r="M29" s="14">
        <v>0.08</v>
      </c>
      <c r="N29" s="14">
        <v>7.0000000000000007E-2</v>
      </c>
      <c r="O29" s="14">
        <v>0.1</v>
      </c>
      <c r="P29" s="14">
        <v>0.1</v>
      </c>
      <c r="Q29" s="14">
        <v>0.11</v>
      </c>
      <c r="R29" s="14">
        <v>0.11</v>
      </c>
      <c r="S29" s="14">
        <v>0.05</v>
      </c>
      <c r="T29" s="14">
        <v>0.05</v>
      </c>
      <c r="U29" s="14">
        <v>0.1</v>
      </c>
      <c r="V29" s="14">
        <v>0.14000000000000001</v>
      </c>
      <c r="W29" s="14">
        <v>0.18</v>
      </c>
      <c r="X29" s="14">
        <v>0.09</v>
      </c>
      <c r="Y29" s="14">
        <v>0.11</v>
      </c>
      <c r="Z29" s="14">
        <v>0.03</v>
      </c>
      <c r="AA29" s="14">
        <v>0.09</v>
      </c>
      <c r="AB29" s="14">
        <v>0.11</v>
      </c>
      <c r="AC29" s="14">
        <v>0.1</v>
      </c>
      <c r="AD29" s="14">
        <v>0.13</v>
      </c>
      <c r="AE29" s="14">
        <v>0.04</v>
      </c>
      <c r="AF29" s="14">
        <v>0.02</v>
      </c>
    </row>
    <row r="30" spans="1:32" ht="34.5">
      <c r="A30" s="23"/>
      <c r="B30" s="11" t="s">
        <v>678</v>
      </c>
      <c r="C30" s="12">
        <v>4652</v>
      </c>
      <c r="D30" s="12">
        <v>209</v>
      </c>
      <c r="E30" s="12">
        <v>112</v>
      </c>
      <c r="F30" s="12">
        <v>89</v>
      </c>
      <c r="G30" s="12">
        <v>266</v>
      </c>
      <c r="H30" s="12">
        <v>189</v>
      </c>
      <c r="I30" s="12">
        <v>227</v>
      </c>
      <c r="J30" s="12">
        <v>37</v>
      </c>
      <c r="K30" s="12">
        <v>58</v>
      </c>
      <c r="L30" s="12">
        <v>247</v>
      </c>
      <c r="M30" s="12">
        <v>163</v>
      </c>
      <c r="N30" s="12">
        <v>142</v>
      </c>
      <c r="O30" s="12">
        <v>211</v>
      </c>
      <c r="P30" s="12">
        <v>165</v>
      </c>
      <c r="Q30" s="12">
        <v>203</v>
      </c>
      <c r="R30" s="12">
        <v>79</v>
      </c>
      <c r="S30" s="12">
        <v>42</v>
      </c>
      <c r="T30" s="12">
        <v>98</v>
      </c>
      <c r="U30" s="12">
        <v>70</v>
      </c>
      <c r="V30" s="12">
        <v>156</v>
      </c>
      <c r="W30" s="12">
        <v>140</v>
      </c>
      <c r="X30" s="12">
        <v>248</v>
      </c>
      <c r="Y30" s="12">
        <v>200</v>
      </c>
      <c r="Z30" s="12">
        <v>151</v>
      </c>
      <c r="AA30" s="12">
        <v>212</v>
      </c>
      <c r="AB30" s="12">
        <v>125</v>
      </c>
      <c r="AC30" s="12">
        <v>136</v>
      </c>
      <c r="AD30" s="12">
        <v>131</v>
      </c>
      <c r="AE30" s="12">
        <v>205</v>
      </c>
      <c r="AF30" s="12">
        <v>413</v>
      </c>
    </row>
    <row r="31" spans="1:32" ht="23.25">
      <c r="A31" s="23"/>
      <c r="B31" s="13" t="s">
        <v>679</v>
      </c>
      <c r="C31" s="14">
        <v>0.18</v>
      </c>
      <c r="D31" s="14">
        <v>0.21</v>
      </c>
      <c r="E31" s="14">
        <v>0.11</v>
      </c>
      <c r="F31" s="14">
        <v>0.09</v>
      </c>
      <c r="G31" s="14">
        <v>0.27</v>
      </c>
      <c r="H31" s="14">
        <v>0.16</v>
      </c>
      <c r="I31" s="14">
        <v>0.15</v>
      </c>
      <c r="J31" s="14">
        <v>0.13</v>
      </c>
      <c r="K31" s="14">
        <v>0.06</v>
      </c>
      <c r="L31" s="14">
        <v>0.25</v>
      </c>
      <c r="M31" s="14">
        <v>0.16</v>
      </c>
      <c r="N31" s="14">
        <v>0.14000000000000001</v>
      </c>
      <c r="O31" s="14">
        <v>0.21</v>
      </c>
      <c r="P31" s="14">
        <v>0.16</v>
      </c>
      <c r="Q31" s="14">
        <v>0.2</v>
      </c>
      <c r="R31" s="14">
        <v>0.16</v>
      </c>
      <c r="S31" s="14">
        <v>0.04</v>
      </c>
      <c r="T31" s="14">
        <v>0.1</v>
      </c>
      <c r="U31" s="14">
        <v>0.14000000000000001</v>
      </c>
      <c r="V31" s="14">
        <v>0.15</v>
      </c>
      <c r="W31" s="14">
        <v>0.28000000000000003</v>
      </c>
      <c r="X31" s="14">
        <v>0.24</v>
      </c>
      <c r="Y31" s="14">
        <v>0.2</v>
      </c>
      <c r="Z31" s="14">
        <v>0.15</v>
      </c>
      <c r="AA31" s="14">
        <v>0.2</v>
      </c>
      <c r="AB31" s="14">
        <v>0.12</v>
      </c>
      <c r="AC31" s="14">
        <v>0.13</v>
      </c>
      <c r="AD31" s="14">
        <v>0.13</v>
      </c>
      <c r="AE31" s="14">
        <v>0.2</v>
      </c>
      <c r="AF31" s="14">
        <v>0.38</v>
      </c>
    </row>
    <row r="32" spans="1:32" ht="23.25">
      <c r="A32" s="23"/>
      <c r="B32" s="11" t="s">
        <v>680</v>
      </c>
      <c r="C32" s="12">
        <v>6533</v>
      </c>
      <c r="D32" s="12">
        <v>253</v>
      </c>
      <c r="E32" s="12">
        <v>290</v>
      </c>
      <c r="F32" s="12">
        <v>245</v>
      </c>
      <c r="G32" s="12">
        <v>110</v>
      </c>
      <c r="H32" s="12">
        <v>189</v>
      </c>
      <c r="I32" s="12">
        <v>246</v>
      </c>
      <c r="J32" s="12">
        <v>57</v>
      </c>
      <c r="K32" s="12">
        <v>224</v>
      </c>
      <c r="L32" s="12">
        <v>288</v>
      </c>
      <c r="M32" s="12">
        <v>319</v>
      </c>
      <c r="N32" s="12">
        <v>258</v>
      </c>
      <c r="O32" s="12">
        <v>295</v>
      </c>
      <c r="P32" s="12">
        <v>357</v>
      </c>
      <c r="Q32" s="12">
        <v>238</v>
      </c>
      <c r="R32" s="12">
        <v>130</v>
      </c>
      <c r="S32" s="12">
        <v>212</v>
      </c>
      <c r="T32" s="12">
        <v>222</v>
      </c>
      <c r="U32" s="12">
        <v>106</v>
      </c>
      <c r="V32" s="12">
        <v>272</v>
      </c>
      <c r="W32" s="12">
        <v>135</v>
      </c>
      <c r="X32" s="12">
        <v>176</v>
      </c>
      <c r="Y32" s="12">
        <v>307</v>
      </c>
      <c r="Z32" s="12">
        <v>317</v>
      </c>
      <c r="AA32" s="12">
        <v>323</v>
      </c>
      <c r="AB32" s="12">
        <v>325</v>
      </c>
      <c r="AC32" s="12">
        <v>333</v>
      </c>
      <c r="AD32" s="12">
        <v>419</v>
      </c>
      <c r="AE32" s="12">
        <v>231</v>
      </c>
      <c r="AF32" s="12">
        <v>206</v>
      </c>
    </row>
    <row r="33" spans="1:32" ht="23.25">
      <c r="A33" s="23"/>
      <c r="B33" s="13" t="s">
        <v>681</v>
      </c>
      <c r="C33" s="14">
        <v>0.25</v>
      </c>
      <c r="D33" s="14">
        <v>0.25</v>
      </c>
      <c r="E33" s="14">
        <v>0.28000000000000003</v>
      </c>
      <c r="F33" s="14">
        <v>0.24</v>
      </c>
      <c r="G33" s="14">
        <v>0.11</v>
      </c>
      <c r="H33" s="14">
        <v>0.16</v>
      </c>
      <c r="I33" s="14">
        <v>0.16</v>
      </c>
      <c r="J33" s="14">
        <v>0.19</v>
      </c>
      <c r="K33" s="14">
        <v>0.22</v>
      </c>
      <c r="L33" s="14">
        <v>0.28999999999999998</v>
      </c>
      <c r="M33" s="14">
        <v>0.32</v>
      </c>
      <c r="N33" s="14">
        <v>0.26</v>
      </c>
      <c r="O33" s="14">
        <v>0.28999999999999998</v>
      </c>
      <c r="P33" s="14">
        <v>0.35</v>
      </c>
      <c r="Q33" s="14">
        <v>0.23</v>
      </c>
      <c r="R33" s="14">
        <v>0.26</v>
      </c>
      <c r="S33" s="14">
        <v>0.21</v>
      </c>
      <c r="T33" s="14">
        <v>0.22</v>
      </c>
      <c r="U33" s="14">
        <v>0.21</v>
      </c>
      <c r="V33" s="14">
        <v>0.27</v>
      </c>
      <c r="W33" s="14">
        <v>0.27</v>
      </c>
      <c r="X33" s="14">
        <v>0.17</v>
      </c>
      <c r="Y33" s="14">
        <v>0.3</v>
      </c>
      <c r="Z33" s="14">
        <v>0.31</v>
      </c>
      <c r="AA33" s="14">
        <v>0.31</v>
      </c>
      <c r="AB33" s="14">
        <v>0.32</v>
      </c>
      <c r="AC33" s="14">
        <v>0.33</v>
      </c>
      <c r="AD33" s="14">
        <v>0.42</v>
      </c>
      <c r="AE33" s="14">
        <v>0.23</v>
      </c>
      <c r="AF33" s="14">
        <v>0.19</v>
      </c>
    </row>
    <row r="34" spans="1:32" ht="23.25">
      <c r="A34" s="23"/>
      <c r="B34" s="11" t="s">
        <v>682</v>
      </c>
      <c r="C34" s="12">
        <v>6033</v>
      </c>
      <c r="D34" s="12">
        <v>217</v>
      </c>
      <c r="E34" s="12">
        <v>148</v>
      </c>
      <c r="F34" s="12">
        <v>185</v>
      </c>
      <c r="G34" s="12">
        <v>227</v>
      </c>
      <c r="H34" s="12">
        <v>265</v>
      </c>
      <c r="I34" s="12">
        <v>347</v>
      </c>
      <c r="J34" s="12">
        <v>82</v>
      </c>
      <c r="K34" s="12">
        <v>213</v>
      </c>
      <c r="L34" s="12">
        <v>265</v>
      </c>
      <c r="M34" s="12">
        <v>231</v>
      </c>
      <c r="N34" s="12">
        <v>399</v>
      </c>
      <c r="O34" s="12">
        <v>239</v>
      </c>
      <c r="P34" s="12">
        <v>174</v>
      </c>
      <c r="Q34" s="12">
        <v>210</v>
      </c>
      <c r="R34" s="12">
        <v>231</v>
      </c>
      <c r="S34" s="12">
        <v>238</v>
      </c>
      <c r="T34" s="12">
        <v>165</v>
      </c>
      <c r="U34" s="12">
        <v>98</v>
      </c>
      <c r="V34" s="12">
        <v>192</v>
      </c>
      <c r="W34" s="12">
        <v>147</v>
      </c>
      <c r="X34" s="12">
        <v>209</v>
      </c>
      <c r="Y34" s="12">
        <v>184</v>
      </c>
      <c r="Z34" s="12">
        <v>113</v>
      </c>
      <c r="AA34" s="12">
        <v>224</v>
      </c>
      <c r="AB34" s="12">
        <v>222</v>
      </c>
      <c r="AC34" s="12">
        <v>167</v>
      </c>
      <c r="AD34" s="12">
        <v>207</v>
      </c>
      <c r="AE34" s="12">
        <v>185</v>
      </c>
      <c r="AF34" s="12">
        <v>251</v>
      </c>
    </row>
    <row r="35" spans="1:32">
      <c r="A35" s="23"/>
      <c r="B35" s="13" t="s">
        <v>683</v>
      </c>
      <c r="C35" s="14">
        <v>0.23</v>
      </c>
      <c r="D35" s="14">
        <v>0.22</v>
      </c>
      <c r="E35" s="14">
        <v>0.14000000000000001</v>
      </c>
      <c r="F35" s="14">
        <v>0.18</v>
      </c>
      <c r="G35" s="14">
        <v>0.23</v>
      </c>
      <c r="H35" s="14">
        <v>0.22</v>
      </c>
      <c r="I35" s="14">
        <v>0.23</v>
      </c>
      <c r="J35" s="14">
        <v>0.28000000000000003</v>
      </c>
      <c r="K35" s="14">
        <v>0.21</v>
      </c>
      <c r="L35" s="14">
        <v>0.26</v>
      </c>
      <c r="M35" s="14">
        <v>0.23</v>
      </c>
      <c r="N35" s="14">
        <v>0.4</v>
      </c>
      <c r="O35" s="14">
        <v>0.24</v>
      </c>
      <c r="P35" s="14">
        <v>0.17</v>
      </c>
      <c r="Q35" s="14">
        <v>0.21</v>
      </c>
      <c r="R35" s="14">
        <v>0.46</v>
      </c>
      <c r="S35" s="14">
        <v>0.24</v>
      </c>
      <c r="T35" s="14">
        <v>0.16</v>
      </c>
      <c r="U35" s="14">
        <v>0.2</v>
      </c>
      <c r="V35" s="14">
        <v>0.19</v>
      </c>
      <c r="W35" s="14">
        <v>0.28999999999999998</v>
      </c>
      <c r="X35" s="14">
        <v>0.21</v>
      </c>
      <c r="Y35" s="14">
        <v>0.18</v>
      </c>
      <c r="Z35" s="14">
        <v>0.11</v>
      </c>
      <c r="AA35" s="14">
        <v>0.22</v>
      </c>
      <c r="AB35" s="14">
        <v>0.21</v>
      </c>
      <c r="AC35" s="14">
        <v>0.17</v>
      </c>
      <c r="AD35" s="14">
        <v>0.21</v>
      </c>
      <c r="AE35" s="14">
        <v>0.18</v>
      </c>
      <c r="AF35" s="14">
        <v>0.23</v>
      </c>
    </row>
    <row r="36" spans="1:32" ht="45.75">
      <c r="A36" s="23"/>
      <c r="B36" s="11" t="s">
        <v>684</v>
      </c>
      <c r="C36" s="12">
        <v>4165</v>
      </c>
      <c r="D36" s="12">
        <v>124</v>
      </c>
      <c r="E36" s="12">
        <v>294</v>
      </c>
      <c r="F36" s="12">
        <v>132</v>
      </c>
      <c r="G36" s="12">
        <v>40</v>
      </c>
      <c r="H36" s="12">
        <v>197</v>
      </c>
      <c r="I36" s="12">
        <v>238</v>
      </c>
      <c r="J36" s="12">
        <v>42</v>
      </c>
      <c r="K36" s="12">
        <v>137</v>
      </c>
      <c r="L36" s="12">
        <v>165</v>
      </c>
      <c r="M36" s="12">
        <v>241</v>
      </c>
      <c r="N36" s="12">
        <v>186</v>
      </c>
      <c r="O36" s="12">
        <v>113</v>
      </c>
      <c r="P36" s="12">
        <v>284</v>
      </c>
      <c r="Q36" s="12">
        <v>160</v>
      </c>
      <c r="R36" s="12">
        <v>94</v>
      </c>
      <c r="S36" s="12">
        <v>196</v>
      </c>
      <c r="T36" s="12">
        <v>128</v>
      </c>
      <c r="U36" s="12">
        <v>67</v>
      </c>
      <c r="V36" s="12">
        <v>217</v>
      </c>
      <c r="W36" s="12">
        <v>74</v>
      </c>
      <c r="X36" s="12">
        <v>106</v>
      </c>
      <c r="Y36" s="12">
        <v>227</v>
      </c>
      <c r="Z36" s="12">
        <v>201</v>
      </c>
      <c r="AA36" s="12">
        <v>180</v>
      </c>
      <c r="AB36" s="12">
        <v>198</v>
      </c>
      <c r="AC36" s="12">
        <v>147</v>
      </c>
      <c r="AD36" s="12">
        <v>129</v>
      </c>
      <c r="AE36" s="12">
        <v>94</v>
      </c>
      <c r="AF36" s="12">
        <v>73</v>
      </c>
    </row>
    <row r="37" spans="1:32" ht="23.25">
      <c r="A37" s="23"/>
      <c r="B37" s="13" t="s">
        <v>685</v>
      </c>
      <c r="C37" s="14">
        <v>0.16</v>
      </c>
      <c r="D37" s="14">
        <v>0.12</v>
      </c>
      <c r="E37" s="14">
        <v>0.28000000000000003</v>
      </c>
      <c r="F37" s="14">
        <v>0.13</v>
      </c>
      <c r="G37" s="14">
        <v>0.04</v>
      </c>
      <c r="H37" s="14">
        <v>0.16</v>
      </c>
      <c r="I37" s="14">
        <v>0.16</v>
      </c>
      <c r="J37" s="14">
        <v>0.14000000000000001</v>
      </c>
      <c r="K37" s="14">
        <v>0.14000000000000001</v>
      </c>
      <c r="L37" s="14">
        <v>0.16</v>
      </c>
      <c r="M37" s="14">
        <v>0.24</v>
      </c>
      <c r="N37" s="14">
        <v>0.19</v>
      </c>
      <c r="O37" s="14">
        <v>0.11</v>
      </c>
      <c r="P37" s="14">
        <v>0.28000000000000003</v>
      </c>
      <c r="Q37" s="14">
        <v>0.16</v>
      </c>
      <c r="R37" s="14">
        <v>0.19</v>
      </c>
      <c r="S37" s="14">
        <v>0.2</v>
      </c>
      <c r="T37" s="14">
        <v>0.13</v>
      </c>
      <c r="U37" s="14">
        <v>0.13</v>
      </c>
      <c r="V37" s="14">
        <v>0.21</v>
      </c>
      <c r="W37" s="14">
        <v>0.15</v>
      </c>
      <c r="X37" s="14">
        <v>0.1</v>
      </c>
      <c r="Y37" s="14">
        <v>0.23</v>
      </c>
      <c r="Z37" s="14">
        <v>0.2</v>
      </c>
      <c r="AA37" s="14">
        <v>0.17</v>
      </c>
      <c r="AB37" s="14">
        <v>0.19</v>
      </c>
      <c r="AC37" s="14">
        <v>0.15</v>
      </c>
      <c r="AD37" s="14">
        <v>0.13</v>
      </c>
      <c r="AE37" s="14">
        <v>0.09</v>
      </c>
      <c r="AF37" s="14">
        <v>7.0000000000000007E-2</v>
      </c>
    </row>
    <row r="38" spans="1:32">
      <c r="A38" s="23"/>
      <c r="B38" s="11" t="s">
        <v>686</v>
      </c>
      <c r="C38" s="12">
        <v>1853</v>
      </c>
      <c r="D38" s="12">
        <v>74</v>
      </c>
      <c r="E38" s="12">
        <v>77</v>
      </c>
      <c r="F38" s="12">
        <v>45</v>
      </c>
      <c r="G38" s="12">
        <v>24</v>
      </c>
      <c r="H38" s="12">
        <v>46</v>
      </c>
      <c r="I38" s="12">
        <v>59</v>
      </c>
      <c r="J38" s="12">
        <v>14</v>
      </c>
      <c r="K38" s="12">
        <v>104</v>
      </c>
      <c r="L38" s="12">
        <v>76</v>
      </c>
      <c r="M38" s="12">
        <v>80</v>
      </c>
      <c r="N38" s="12">
        <v>109</v>
      </c>
      <c r="O38" s="12">
        <v>94</v>
      </c>
      <c r="P38" s="12">
        <v>56</v>
      </c>
      <c r="Q38" s="12">
        <v>94</v>
      </c>
      <c r="R38" s="12">
        <v>81</v>
      </c>
      <c r="S38" s="12">
        <v>76</v>
      </c>
      <c r="T38" s="12">
        <v>51</v>
      </c>
      <c r="U38" s="12">
        <v>45</v>
      </c>
      <c r="V38" s="12">
        <v>63</v>
      </c>
      <c r="W38" s="12">
        <v>55</v>
      </c>
      <c r="X38" s="12">
        <v>34</v>
      </c>
      <c r="Y38" s="12">
        <v>105</v>
      </c>
      <c r="Z38" s="12">
        <v>40</v>
      </c>
      <c r="AA38" s="12">
        <v>117</v>
      </c>
      <c r="AB38" s="12">
        <v>77</v>
      </c>
      <c r="AC38" s="12">
        <v>65</v>
      </c>
      <c r="AD38" s="12">
        <v>58</v>
      </c>
      <c r="AE38" s="12">
        <v>20</v>
      </c>
      <c r="AF38" s="12">
        <v>30</v>
      </c>
    </row>
    <row r="39" spans="1:32">
      <c r="A39" s="23"/>
      <c r="B39" s="13" t="s">
        <v>687</v>
      </c>
      <c r="C39" s="14">
        <v>7.0000000000000007E-2</v>
      </c>
      <c r="D39" s="14">
        <v>7.0000000000000007E-2</v>
      </c>
      <c r="E39" s="14">
        <v>7.0000000000000007E-2</v>
      </c>
      <c r="F39" s="14">
        <v>0.04</v>
      </c>
      <c r="G39" s="14">
        <v>0.02</v>
      </c>
      <c r="H39" s="14">
        <v>0.04</v>
      </c>
      <c r="I39" s="14">
        <v>0.04</v>
      </c>
      <c r="J39" s="14">
        <v>0.05</v>
      </c>
      <c r="K39" s="14">
        <v>0.1</v>
      </c>
      <c r="L39" s="14">
        <v>0.08</v>
      </c>
      <c r="M39" s="14">
        <v>0.08</v>
      </c>
      <c r="N39" s="14">
        <v>0.11</v>
      </c>
      <c r="O39" s="14">
        <v>0.09</v>
      </c>
      <c r="P39" s="14">
        <v>0.06</v>
      </c>
      <c r="Q39" s="14">
        <v>0.09</v>
      </c>
      <c r="R39" s="14">
        <v>0.16</v>
      </c>
      <c r="S39" s="14">
        <v>0.08</v>
      </c>
      <c r="T39" s="14">
        <v>0.05</v>
      </c>
      <c r="U39" s="14">
        <v>0.09</v>
      </c>
      <c r="V39" s="14">
        <v>0.06</v>
      </c>
      <c r="W39" s="14">
        <v>0.11</v>
      </c>
      <c r="X39" s="14">
        <v>0.03</v>
      </c>
      <c r="Y39" s="14">
        <v>0.1</v>
      </c>
      <c r="Z39" s="14">
        <v>0.04</v>
      </c>
      <c r="AA39" s="14">
        <v>0.11</v>
      </c>
      <c r="AB39" s="14">
        <v>7.0000000000000007E-2</v>
      </c>
      <c r="AC39" s="14">
        <v>7.0000000000000007E-2</v>
      </c>
      <c r="AD39" s="14">
        <v>0.06</v>
      </c>
      <c r="AE39" s="14">
        <v>0.02</v>
      </c>
      <c r="AF39" s="14">
        <v>0.03</v>
      </c>
    </row>
    <row r="40" spans="1:32">
      <c r="A40" s="23"/>
      <c r="B40" s="11" t="s">
        <v>550</v>
      </c>
      <c r="C40" s="12">
        <v>105</v>
      </c>
      <c r="D40" s="12">
        <v>0</v>
      </c>
      <c r="E40" s="12">
        <v>2</v>
      </c>
      <c r="F40" s="12">
        <v>1</v>
      </c>
      <c r="G40" s="12">
        <v>3</v>
      </c>
      <c r="H40" s="12">
        <v>5</v>
      </c>
      <c r="I40" s="12">
        <v>5</v>
      </c>
      <c r="J40" s="12">
        <v>0</v>
      </c>
      <c r="K40" s="12">
        <v>16</v>
      </c>
      <c r="L40" s="12">
        <v>3</v>
      </c>
      <c r="M40" s="12">
        <v>1</v>
      </c>
      <c r="N40" s="12">
        <v>5</v>
      </c>
      <c r="O40" s="12">
        <v>3</v>
      </c>
      <c r="P40" s="12">
        <v>1</v>
      </c>
      <c r="Q40" s="12">
        <v>8</v>
      </c>
      <c r="R40" s="12">
        <v>0</v>
      </c>
      <c r="S40" s="12">
        <v>9</v>
      </c>
      <c r="T40" s="12">
        <v>2</v>
      </c>
      <c r="U40" s="12">
        <v>1</v>
      </c>
      <c r="V40" s="12">
        <v>1</v>
      </c>
      <c r="W40" s="12">
        <v>2</v>
      </c>
      <c r="X40" s="12">
        <v>4</v>
      </c>
      <c r="Y40" s="12">
        <v>19</v>
      </c>
      <c r="Z40" s="12">
        <v>1</v>
      </c>
      <c r="AA40" s="12">
        <v>4</v>
      </c>
      <c r="AB40" s="12">
        <v>5</v>
      </c>
      <c r="AC40" s="12">
        <v>1</v>
      </c>
      <c r="AD40" s="12">
        <v>0</v>
      </c>
      <c r="AE40" s="12">
        <v>5</v>
      </c>
      <c r="AF40" s="12">
        <v>1</v>
      </c>
    </row>
    <row r="41" spans="1:32">
      <c r="A41" s="23"/>
      <c r="B41" s="13" t="s">
        <v>551</v>
      </c>
      <c r="C41" s="15" t="s">
        <v>485</v>
      </c>
      <c r="D41" s="15" t="s">
        <v>485</v>
      </c>
      <c r="E41" s="15" t="s">
        <v>485</v>
      </c>
      <c r="F41" s="15" t="s">
        <v>485</v>
      </c>
      <c r="G41" s="15" t="s">
        <v>485</v>
      </c>
      <c r="H41" s="15" t="s">
        <v>485</v>
      </c>
      <c r="I41" s="15" t="s">
        <v>485</v>
      </c>
      <c r="J41" s="15" t="s">
        <v>485</v>
      </c>
      <c r="K41" s="14">
        <v>0.02</v>
      </c>
      <c r="L41" s="15" t="s">
        <v>485</v>
      </c>
      <c r="M41" s="15" t="s">
        <v>485</v>
      </c>
      <c r="N41" s="14">
        <v>0.01</v>
      </c>
      <c r="O41" s="15" t="s">
        <v>485</v>
      </c>
      <c r="P41" s="15" t="s">
        <v>485</v>
      </c>
      <c r="Q41" s="14">
        <v>0.01</v>
      </c>
      <c r="R41" s="15" t="s">
        <v>485</v>
      </c>
      <c r="S41" s="14">
        <v>0.01</v>
      </c>
      <c r="T41" s="15" t="s">
        <v>485</v>
      </c>
      <c r="U41" s="15" t="s">
        <v>485</v>
      </c>
      <c r="V41" s="15" t="s">
        <v>485</v>
      </c>
      <c r="W41" s="15" t="s">
        <v>485</v>
      </c>
      <c r="X41" s="15" t="s">
        <v>485</v>
      </c>
      <c r="Y41" s="14">
        <v>0.02</v>
      </c>
      <c r="Z41" s="15" t="s">
        <v>485</v>
      </c>
      <c r="AA41" s="15" t="s">
        <v>485</v>
      </c>
      <c r="AB41" s="15" t="s">
        <v>485</v>
      </c>
      <c r="AC41" s="15" t="s">
        <v>485</v>
      </c>
      <c r="AD41" s="15" t="s">
        <v>485</v>
      </c>
      <c r="AE41" s="14">
        <v>0.01</v>
      </c>
      <c r="AF41" s="15" t="s">
        <v>485</v>
      </c>
    </row>
    <row r="42" spans="1:32">
      <c r="A42" s="23"/>
      <c r="B42" s="11" t="s">
        <v>618</v>
      </c>
      <c r="C42" s="12">
        <v>155</v>
      </c>
      <c r="D42" s="12">
        <v>0</v>
      </c>
      <c r="E42" s="12">
        <v>9</v>
      </c>
      <c r="F42" s="12">
        <v>6</v>
      </c>
      <c r="G42" s="12">
        <v>6</v>
      </c>
      <c r="H42" s="12">
        <v>5</v>
      </c>
      <c r="I42" s="12">
        <v>7</v>
      </c>
      <c r="J42" s="12">
        <v>1</v>
      </c>
      <c r="K42" s="12">
        <v>7</v>
      </c>
      <c r="L42" s="12">
        <v>2</v>
      </c>
      <c r="M42" s="12">
        <v>2</v>
      </c>
      <c r="N42" s="12">
        <v>4</v>
      </c>
      <c r="O42" s="12">
        <v>15</v>
      </c>
      <c r="P42" s="12">
        <v>0</v>
      </c>
      <c r="Q42" s="12">
        <v>6</v>
      </c>
      <c r="R42" s="12">
        <v>2</v>
      </c>
      <c r="S42" s="12">
        <v>5</v>
      </c>
      <c r="T42" s="12">
        <v>4</v>
      </c>
      <c r="U42" s="12">
        <v>1</v>
      </c>
      <c r="V42" s="12">
        <v>2</v>
      </c>
      <c r="W42" s="12">
        <v>0</v>
      </c>
      <c r="X42" s="12">
        <v>8</v>
      </c>
      <c r="Y42" s="12">
        <v>11</v>
      </c>
      <c r="Z42" s="12">
        <v>6</v>
      </c>
      <c r="AA42" s="12">
        <v>0</v>
      </c>
      <c r="AB42" s="12">
        <v>2</v>
      </c>
      <c r="AC42" s="12">
        <v>4</v>
      </c>
      <c r="AD42" s="12">
        <v>1</v>
      </c>
      <c r="AE42" s="12">
        <v>2</v>
      </c>
      <c r="AF42" s="12">
        <v>0</v>
      </c>
    </row>
    <row r="43" spans="1:32">
      <c r="A43" s="23"/>
      <c r="B43" s="13" t="s">
        <v>619</v>
      </c>
      <c r="C43" s="14">
        <v>0.01</v>
      </c>
      <c r="D43" s="15" t="s">
        <v>485</v>
      </c>
      <c r="E43" s="14">
        <v>0.01</v>
      </c>
      <c r="F43" s="14">
        <v>0.01</v>
      </c>
      <c r="G43" s="14">
        <v>0.01</v>
      </c>
      <c r="H43" s="15" t="s">
        <v>485</v>
      </c>
      <c r="I43" s="15" t="s">
        <v>485</v>
      </c>
      <c r="J43" s="15" t="s">
        <v>485</v>
      </c>
      <c r="K43" s="14">
        <v>0.01</v>
      </c>
      <c r="L43" s="15" t="s">
        <v>485</v>
      </c>
      <c r="M43" s="15" t="s">
        <v>485</v>
      </c>
      <c r="N43" s="15" t="s">
        <v>485</v>
      </c>
      <c r="O43" s="14">
        <v>0.01</v>
      </c>
      <c r="P43" s="15" t="s">
        <v>485</v>
      </c>
      <c r="Q43" s="14">
        <v>0.01</v>
      </c>
      <c r="R43" s="15" t="s">
        <v>485</v>
      </c>
      <c r="S43" s="15" t="s">
        <v>485</v>
      </c>
      <c r="T43" s="15" t="s">
        <v>485</v>
      </c>
      <c r="U43" s="15" t="s">
        <v>485</v>
      </c>
      <c r="V43" s="15" t="s">
        <v>485</v>
      </c>
      <c r="W43" s="15" t="s">
        <v>485</v>
      </c>
      <c r="X43" s="14">
        <v>0.01</v>
      </c>
      <c r="Y43" s="14">
        <v>0.01</v>
      </c>
      <c r="Z43" s="14">
        <v>0.01</v>
      </c>
      <c r="AA43" s="15" t="s">
        <v>485</v>
      </c>
      <c r="AB43" s="15" t="s">
        <v>485</v>
      </c>
      <c r="AC43" s="15" t="s">
        <v>485</v>
      </c>
      <c r="AD43" s="15" t="s">
        <v>485</v>
      </c>
      <c r="AE43" s="15" t="s">
        <v>485</v>
      </c>
      <c r="AF43" s="15" t="s">
        <v>485</v>
      </c>
    </row>
    <row r="44" spans="1:32">
      <c r="A44" s="23"/>
      <c r="B44" s="11" t="s">
        <v>497</v>
      </c>
      <c r="C44" s="12">
        <v>339</v>
      </c>
      <c r="D44" s="12">
        <v>2</v>
      </c>
      <c r="E44" s="12">
        <v>23</v>
      </c>
      <c r="F44" s="12">
        <v>35</v>
      </c>
      <c r="G44" s="12">
        <v>8</v>
      </c>
      <c r="H44" s="12">
        <v>7</v>
      </c>
      <c r="I44" s="12">
        <v>8</v>
      </c>
      <c r="J44" s="12">
        <v>1</v>
      </c>
      <c r="K44" s="12">
        <v>21</v>
      </c>
      <c r="L44" s="12">
        <v>21</v>
      </c>
      <c r="M44" s="12">
        <v>4</v>
      </c>
      <c r="N44" s="12">
        <v>15</v>
      </c>
      <c r="O44" s="12">
        <v>15</v>
      </c>
      <c r="P44" s="12">
        <v>4</v>
      </c>
      <c r="Q44" s="12">
        <v>19</v>
      </c>
      <c r="R44" s="12">
        <v>5</v>
      </c>
      <c r="S44" s="12">
        <v>17</v>
      </c>
      <c r="T44" s="12">
        <v>20</v>
      </c>
      <c r="U44" s="12">
        <v>0</v>
      </c>
      <c r="V44" s="12">
        <v>12</v>
      </c>
      <c r="W44" s="12">
        <v>2</v>
      </c>
      <c r="X44" s="12">
        <v>1</v>
      </c>
      <c r="Y44" s="12">
        <v>2</v>
      </c>
      <c r="Z44" s="12">
        <v>15</v>
      </c>
      <c r="AA44" s="12">
        <v>48</v>
      </c>
      <c r="AB44" s="12">
        <v>18</v>
      </c>
      <c r="AC44" s="12">
        <v>8</v>
      </c>
      <c r="AD44" s="12">
        <v>3</v>
      </c>
      <c r="AE44" s="12">
        <v>14</v>
      </c>
      <c r="AF44" s="12">
        <v>2</v>
      </c>
    </row>
    <row r="45" spans="1:32">
      <c r="A45" s="23"/>
      <c r="B45" s="13" t="s">
        <v>498</v>
      </c>
      <c r="C45" s="14">
        <v>0.01</v>
      </c>
      <c r="D45" s="15" t="s">
        <v>485</v>
      </c>
      <c r="E45" s="14">
        <v>0.02</v>
      </c>
      <c r="F45" s="14">
        <v>0.04</v>
      </c>
      <c r="G45" s="14">
        <v>0.01</v>
      </c>
      <c r="H45" s="14">
        <v>0.01</v>
      </c>
      <c r="I45" s="14">
        <v>0.01</v>
      </c>
      <c r="J45" s="15" t="s">
        <v>485</v>
      </c>
      <c r="K45" s="14">
        <v>0.02</v>
      </c>
      <c r="L45" s="14">
        <v>0.02</v>
      </c>
      <c r="M45" s="15" t="s">
        <v>485</v>
      </c>
      <c r="N45" s="14">
        <v>0.02</v>
      </c>
      <c r="O45" s="14">
        <v>0.01</v>
      </c>
      <c r="P45" s="15" t="s">
        <v>485</v>
      </c>
      <c r="Q45" s="14">
        <v>0.02</v>
      </c>
      <c r="R45" s="14">
        <v>0.01</v>
      </c>
      <c r="S45" s="14">
        <v>0.02</v>
      </c>
      <c r="T45" s="14">
        <v>0.02</v>
      </c>
      <c r="U45" s="15" t="s">
        <v>485</v>
      </c>
      <c r="V45" s="14">
        <v>0.01</v>
      </c>
      <c r="W45" s="15" t="s">
        <v>485</v>
      </c>
      <c r="X45" s="15" t="s">
        <v>485</v>
      </c>
      <c r="Y45" s="15" t="s">
        <v>485</v>
      </c>
      <c r="Z45" s="14">
        <v>0.02</v>
      </c>
      <c r="AA45" s="14">
        <v>0.05</v>
      </c>
      <c r="AB45" s="14">
        <v>0.02</v>
      </c>
      <c r="AC45" s="14">
        <v>0.01</v>
      </c>
      <c r="AD45" s="15" t="s">
        <v>485</v>
      </c>
      <c r="AE45" s="14">
        <v>0.01</v>
      </c>
      <c r="AF45" s="15" t="s">
        <v>485</v>
      </c>
    </row>
  </sheetData>
  <mergeCells count="9">
    <mergeCell ref="B4:F4"/>
    <mergeCell ref="H3:L3"/>
    <mergeCell ref="C8:AF8"/>
    <mergeCell ref="A10:A45"/>
    <mergeCell ref="B3:F3"/>
    <mergeCell ref="B5:F5"/>
    <mergeCell ref="H5:L5"/>
    <mergeCell ref="B10:B11"/>
    <mergeCell ref="H4:L4"/>
  </mergeCell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F1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12" customHeight="1">
      <c r="B3" s="19" t="s">
        <v>692</v>
      </c>
      <c r="C3" s="19"/>
      <c r="D3" s="19"/>
      <c r="E3" s="19"/>
      <c r="F3" s="19"/>
      <c r="H3" s="19" t="s">
        <v>693</v>
      </c>
      <c r="I3" s="19"/>
      <c r="J3" s="19"/>
      <c r="K3" s="19"/>
      <c r="L3" s="19"/>
    </row>
    <row r="4" spans="1:32" ht="27" customHeight="1">
      <c r="B4" s="19" t="s">
        <v>694</v>
      </c>
      <c r="C4" s="19"/>
      <c r="D4" s="19"/>
      <c r="E4" s="19"/>
      <c r="F4" s="19"/>
      <c r="H4" s="19" t="s">
        <v>695</v>
      </c>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HYPERLINK("#Content!A29","&lt;&lt;Back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656</v>
      </c>
      <c r="C12" s="12">
        <v>13320</v>
      </c>
      <c r="D12" s="12">
        <v>489</v>
      </c>
      <c r="E12" s="12">
        <v>441</v>
      </c>
      <c r="F12" s="12">
        <v>235</v>
      </c>
      <c r="G12" s="12">
        <v>704</v>
      </c>
      <c r="H12" s="12">
        <v>840</v>
      </c>
      <c r="I12" s="12">
        <v>981</v>
      </c>
      <c r="J12" s="12">
        <v>141</v>
      </c>
      <c r="K12" s="12">
        <v>389</v>
      </c>
      <c r="L12" s="12">
        <v>748</v>
      </c>
      <c r="M12" s="12">
        <v>450</v>
      </c>
      <c r="N12" s="12">
        <v>477</v>
      </c>
      <c r="O12" s="12">
        <v>350</v>
      </c>
      <c r="P12" s="12">
        <v>509</v>
      </c>
      <c r="Q12" s="12">
        <v>512</v>
      </c>
      <c r="R12" s="12">
        <v>189</v>
      </c>
      <c r="S12" s="12">
        <v>364</v>
      </c>
      <c r="T12" s="12">
        <v>450</v>
      </c>
      <c r="U12" s="12">
        <v>282</v>
      </c>
      <c r="V12" s="12">
        <v>482</v>
      </c>
      <c r="W12" s="12">
        <v>234</v>
      </c>
      <c r="X12" s="12">
        <v>702</v>
      </c>
      <c r="Y12" s="12">
        <v>515</v>
      </c>
      <c r="Z12" s="12">
        <v>380</v>
      </c>
      <c r="AA12" s="12">
        <v>742</v>
      </c>
      <c r="AB12" s="12">
        <v>426</v>
      </c>
      <c r="AC12" s="12">
        <v>371</v>
      </c>
      <c r="AD12" s="12">
        <v>495</v>
      </c>
      <c r="AE12" s="12">
        <v>725</v>
      </c>
      <c r="AF12" s="12">
        <v>831</v>
      </c>
    </row>
    <row r="13" spans="1:32">
      <c r="A13" s="23"/>
      <c r="B13" s="13" t="s">
        <v>696</v>
      </c>
      <c r="C13" s="14">
        <v>0.5</v>
      </c>
      <c r="D13" s="14">
        <v>0.49</v>
      </c>
      <c r="E13" s="14">
        <v>0.42</v>
      </c>
      <c r="F13" s="14">
        <v>0.23</v>
      </c>
      <c r="G13" s="14">
        <v>0.70000000000000007</v>
      </c>
      <c r="H13" s="14">
        <v>0.70000000000000007</v>
      </c>
      <c r="I13" s="14">
        <v>0.65</v>
      </c>
      <c r="J13" s="14">
        <v>0.48</v>
      </c>
      <c r="K13" s="14">
        <v>0.39</v>
      </c>
      <c r="L13" s="14">
        <v>0.74</v>
      </c>
      <c r="M13" s="14">
        <v>0.45</v>
      </c>
      <c r="N13" s="14">
        <v>0.48</v>
      </c>
      <c r="O13" s="14">
        <v>0.35</v>
      </c>
      <c r="P13" s="14">
        <v>0.5</v>
      </c>
      <c r="Q13" s="14">
        <v>0.5</v>
      </c>
      <c r="R13" s="14">
        <v>0.38</v>
      </c>
      <c r="S13" s="14">
        <v>0.36</v>
      </c>
      <c r="T13" s="14">
        <v>0.45</v>
      </c>
      <c r="U13" s="14">
        <v>0.56000000000000005</v>
      </c>
      <c r="V13" s="14">
        <v>0.48</v>
      </c>
      <c r="W13" s="14">
        <v>0.47</v>
      </c>
      <c r="X13" s="14">
        <v>0.69000000000000006</v>
      </c>
      <c r="Y13" s="14">
        <v>0.51</v>
      </c>
      <c r="Z13" s="14">
        <v>0.37</v>
      </c>
      <c r="AA13" s="14">
        <v>0.71</v>
      </c>
      <c r="AB13" s="14">
        <v>0.41</v>
      </c>
      <c r="AC13" s="14">
        <v>0.37</v>
      </c>
      <c r="AD13" s="14">
        <v>0.49</v>
      </c>
      <c r="AE13" s="14">
        <v>0.72</v>
      </c>
      <c r="AF13" s="14">
        <v>0.77</v>
      </c>
    </row>
    <row r="14" spans="1:32">
      <c r="A14" s="23"/>
      <c r="B14" s="11" t="s">
        <v>657</v>
      </c>
      <c r="C14" s="12">
        <v>4244</v>
      </c>
      <c r="D14" s="12">
        <v>212</v>
      </c>
      <c r="E14" s="12">
        <v>188</v>
      </c>
      <c r="F14" s="12">
        <v>267</v>
      </c>
      <c r="G14" s="12">
        <v>68</v>
      </c>
      <c r="H14" s="12">
        <v>112</v>
      </c>
      <c r="I14" s="12">
        <v>174</v>
      </c>
      <c r="J14" s="12">
        <v>61</v>
      </c>
      <c r="K14" s="12">
        <v>193</v>
      </c>
      <c r="L14" s="12">
        <v>64</v>
      </c>
      <c r="M14" s="12">
        <v>245</v>
      </c>
      <c r="N14" s="12">
        <v>133</v>
      </c>
      <c r="O14" s="12">
        <v>184</v>
      </c>
      <c r="P14" s="12">
        <v>193</v>
      </c>
      <c r="Q14" s="12">
        <v>147</v>
      </c>
      <c r="R14" s="12">
        <v>95</v>
      </c>
      <c r="S14" s="12">
        <v>111</v>
      </c>
      <c r="T14" s="12">
        <v>158</v>
      </c>
      <c r="U14" s="12">
        <v>97</v>
      </c>
      <c r="V14" s="12">
        <v>279</v>
      </c>
      <c r="W14" s="12">
        <v>88</v>
      </c>
      <c r="X14" s="12">
        <v>84</v>
      </c>
      <c r="Y14" s="12">
        <v>195</v>
      </c>
      <c r="Z14" s="12">
        <v>249</v>
      </c>
      <c r="AA14" s="12">
        <v>43</v>
      </c>
      <c r="AB14" s="12">
        <v>301</v>
      </c>
      <c r="AC14" s="12">
        <v>262</v>
      </c>
      <c r="AD14" s="12">
        <v>219</v>
      </c>
      <c r="AE14" s="12">
        <v>63</v>
      </c>
      <c r="AF14" s="12">
        <v>54</v>
      </c>
    </row>
    <row r="15" spans="1:32">
      <c r="A15" s="23"/>
      <c r="B15" s="13" t="s">
        <v>697</v>
      </c>
      <c r="C15" s="14">
        <v>0.16</v>
      </c>
      <c r="D15" s="14">
        <v>0.21</v>
      </c>
      <c r="E15" s="14">
        <v>0.18</v>
      </c>
      <c r="F15" s="14">
        <v>0.27</v>
      </c>
      <c r="G15" s="14">
        <v>7.0000000000000007E-2</v>
      </c>
      <c r="H15" s="14">
        <v>0.09</v>
      </c>
      <c r="I15" s="14">
        <v>0.12</v>
      </c>
      <c r="J15" s="14">
        <v>0.21</v>
      </c>
      <c r="K15" s="14">
        <v>0.19</v>
      </c>
      <c r="L15" s="14">
        <v>0.06</v>
      </c>
      <c r="M15" s="14">
        <v>0.24</v>
      </c>
      <c r="N15" s="14">
        <v>0.13</v>
      </c>
      <c r="O15" s="14">
        <v>0.18</v>
      </c>
      <c r="P15" s="14">
        <v>0.19</v>
      </c>
      <c r="Q15" s="14">
        <v>0.14000000000000001</v>
      </c>
      <c r="R15" s="14">
        <v>0.19</v>
      </c>
      <c r="S15" s="14">
        <v>0.11</v>
      </c>
      <c r="T15" s="14">
        <v>0.16</v>
      </c>
      <c r="U15" s="14">
        <v>0.19</v>
      </c>
      <c r="V15" s="14">
        <v>0.27</v>
      </c>
      <c r="W15" s="14">
        <v>0.18</v>
      </c>
      <c r="X15" s="14">
        <v>0.08</v>
      </c>
      <c r="Y15" s="14">
        <v>0.2</v>
      </c>
      <c r="Z15" s="14">
        <v>0.25</v>
      </c>
      <c r="AA15" s="14">
        <v>0.04</v>
      </c>
      <c r="AB15" s="14">
        <v>0.28999999999999998</v>
      </c>
      <c r="AC15" s="14">
        <v>0.26</v>
      </c>
      <c r="AD15" s="14">
        <v>0.22</v>
      </c>
      <c r="AE15" s="14">
        <v>0.06</v>
      </c>
      <c r="AF15" s="14">
        <v>0.05</v>
      </c>
    </row>
    <row r="16" spans="1:32">
      <c r="A16" s="23"/>
      <c r="B16" s="11" t="s">
        <v>658</v>
      </c>
      <c r="C16" s="12">
        <v>8072</v>
      </c>
      <c r="D16" s="12">
        <v>297</v>
      </c>
      <c r="E16" s="12">
        <v>338</v>
      </c>
      <c r="F16" s="12">
        <v>478</v>
      </c>
      <c r="G16" s="12">
        <v>199</v>
      </c>
      <c r="H16" s="12">
        <v>242</v>
      </c>
      <c r="I16" s="12">
        <v>332</v>
      </c>
      <c r="J16" s="12">
        <v>90</v>
      </c>
      <c r="K16" s="12">
        <v>363</v>
      </c>
      <c r="L16" s="12">
        <v>168</v>
      </c>
      <c r="M16" s="12">
        <v>295</v>
      </c>
      <c r="N16" s="12">
        <v>362</v>
      </c>
      <c r="O16" s="12">
        <v>433</v>
      </c>
      <c r="P16" s="12">
        <v>305</v>
      </c>
      <c r="Q16" s="12">
        <v>320</v>
      </c>
      <c r="R16" s="12">
        <v>206</v>
      </c>
      <c r="S16" s="12">
        <v>435</v>
      </c>
      <c r="T16" s="12">
        <v>332</v>
      </c>
      <c r="U16" s="12">
        <v>113</v>
      </c>
      <c r="V16" s="12">
        <v>231</v>
      </c>
      <c r="W16" s="12">
        <v>173</v>
      </c>
      <c r="X16" s="12">
        <v>218</v>
      </c>
      <c r="Y16" s="12">
        <v>284</v>
      </c>
      <c r="Z16" s="12">
        <v>380</v>
      </c>
      <c r="AA16" s="12">
        <v>158</v>
      </c>
      <c r="AB16" s="12">
        <v>273</v>
      </c>
      <c r="AC16" s="12">
        <v>345</v>
      </c>
      <c r="AD16" s="12">
        <v>260</v>
      </c>
      <c r="AE16" s="12">
        <v>206</v>
      </c>
      <c r="AF16" s="12">
        <v>178</v>
      </c>
    </row>
    <row r="17" spans="1:32">
      <c r="A17" s="23"/>
      <c r="B17" s="13" t="s">
        <v>698</v>
      </c>
      <c r="C17" s="14">
        <v>0.31</v>
      </c>
      <c r="D17" s="14">
        <v>0.28999999999999998</v>
      </c>
      <c r="E17" s="14">
        <v>0.33</v>
      </c>
      <c r="F17" s="14">
        <v>0.47</v>
      </c>
      <c r="G17" s="14">
        <v>0.2</v>
      </c>
      <c r="H17" s="14">
        <v>0.2</v>
      </c>
      <c r="I17" s="14">
        <v>0.22</v>
      </c>
      <c r="J17" s="14">
        <v>0.31</v>
      </c>
      <c r="K17" s="14">
        <v>0.36</v>
      </c>
      <c r="L17" s="14">
        <v>0.17</v>
      </c>
      <c r="M17" s="14">
        <v>0.28999999999999998</v>
      </c>
      <c r="N17" s="14">
        <v>0.36</v>
      </c>
      <c r="O17" s="14">
        <v>0.43</v>
      </c>
      <c r="P17" s="14">
        <v>0.3</v>
      </c>
      <c r="Q17" s="14">
        <v>0.31</v>
      </c>
      <c r="R17" s="14">
        <v>0.41</v>
      </c>
      <c r="S17" s="14">
        <v>0.43</v>
      </c>
      <c r="T17" s="14">
        <v>0.33</v>
      </c>
      <c r="U17" s="14">
        <v>0.23</v>
      </c>
      <c r="V17" s="14">
        <v>0.23</v>
      </c>
      <c r="W17" s="14">
        <v>0.34</v>
      </c>
      <c r="X17" s="14">
        <v>0.22</v>
      </c>
      <c r="Y17" s="14">
        <v>0.28000000000000003</v>
      </c>
      <c r="Z17" s="14">
        <v>0.37</v>
      </c>
      <c r="AA17" s="14">
        <v>0.15</v>
      </c>
      <c r="AB17" s="14">
        <v>0.27</v>
      </c>
      <c r="AC17" s="14">
        <v>0.34</v>
      </c>
      <c r="AD17" s="14">
        <v>0.26</v>
      </c>
      <c r="AE17" s="14">
        <v>0.21</v>
      </c>
      <c r="AF17" s="14">
        <v>0.17</v>
      </c>
    </row>
    <row r="18" spans="1:32">
      <c r="A18" s="23"/>
      <c r="B18" s="11" t="s">
        <v>497</v>
      </c>
      <c r="C18" s="12">
        <v>718</v>
      </c>
      <c r="D18" s="12">
        <v>8</v>
      </c>
      <c r="E18" s="12">
        <v>77</v>
      </c>
      <c r="F18" s="12">
        <v>27</v>
      </c>
      <c r="G18" s="12">
        <v>32</v>
      </c>
      <c r="H18" s="12">
        <v>16</v>
      </c>
      <c r="I18" s="12">
        <v>17</v>
      </c>
      <c r="J18" s="12">
        <v>1</v>
      </c>
      <c r="K18" s="12">
        <v>58</v>
      </c>
      <c r="L18" s="12">
        <v>27</v>
      </c>
      <c r="M18" s="12">
        <v>21</v>
      </c>
      <c r="N18" s="12">
        <v>27</v>
      </c>
      <c r="O18" s="12">
        <v>38</v>
      </c>
      <c r="P18" s="12">
        <v>4</v>
      </c>
      <c r="Q18" s="12">
        <v>46</v>
      </c>
      <c r="R18" s="12">
        <v>12</v>
      </c>
      <c r="S18" s="12">
        <v>94</v>
      </c>
      <c r="T18" s="12">
        <v>64</v>
      </c>
      <c r="U18" s="12">
        <v>11</v>
      </c>
      <c r="V18" s="12">
        <v>19</v>
      </c>
      <c r="W18" s="12">
        <v>7</v>
      </c>
      <c r="X18" s="12">
        <v>12</v>
      </c>
      <c r="Y18" s="12">
        <v>13</v>
      </c>
      <c r="Z18" s="12">
        <v>9</v>
      </c>
      <c r="AA18" s="12">
        <v>97</v>
      </c>
      <c r="AB18" s="12">
        <v>31</v>
      </c>
      <c r="AC18" s="12">
        <v>27</v>
      </c>
      <c r="AD18" s="12">
        <v>27</v>
      </c>
      <c r="AE18" s="12">
        <v>14</v>
      </c>
      <c r="AF18" s="12">
        <v>10</v>
      </c>
    </row>
    <row r="19" spans="1:32">
      <c r="A19" s="23"/>
      <c r="B19" s="13" t="s">
        <v>498</v>
      </c>
      <c r="C19" s="14">
        <v>0.03</v>
      </c>
      <c r="D19" s="14">
        <v>0.01</v>
      </c>
      <c r="E19" s="14">
        <v>7.0000000000000007E-2</v>
      </c>
      <c r="F19" s="14">
        <v>0.03</v>
      </c>
      <c r="G19" s="14">
        <v>0.03</v>
      </c>
      <c r="H19" s="14">
        <v>0.01</v>
      </c>
      <c r="I19" s="14">
        <v>0.01</v>
      </c>
      <c r="J19" s="15" t="s">
        <v>485</v>
      </c>
      <c r="K19" s="14">
        <v>0.06</v>
      </c>
      <c r="L19" s="14">
        <v>0.03</v>
      </c>
      <c r="M19" s="14">
        <v>0.02</v>
      </c>
      <c r="N19" s="14">
        <v>0.03</v>
      </c>
      <c r="O19" s="14">
        <v>0.04</v>
      </c>
      <c r="P19" s="14">
        <v>0.01</v>
      </c>
      <c r="Q19" s="14">
        <v>0.05</v>
      </c>
      <c r="R19" s="14">
        <v>0.02</v>
      </c>
      <c r="S19" s="14">
        <v>0.1</v>
      </c>
      <c r="T19" s="14">
        <v>0.06</v>
      </c>
      <c r="U19" s="14">
        <v>0.02</v>
      </c>
      <c r="V19" s="14">
        <v>0.02</v>
      </c>
      <c r="W19" s="14">
        <v>0.01</v>
      </c>
      <c r="X19" s="14">
        <v>0.01</v>
      </c>
      <c r="Y19" s="14">
        <v>0.01</v>
      </c>
      <c r="Z19" s="14">
        <v>0.01</v>
      </c>
      <c r="AA19" s="14">
        <v>0.1</v>
      </c>
      <c r="AB19" s="14">
        <v>0.03</v>
      </c>
      <c r="AC19" s="14">
        <v>0.03</v>
      </c>
      <c r="AD19" s="14">
        <v>0.03</v>
      </c>
      <c r="AE19" s="14">
        <v>0.01</v>
      </c>
      <c r="AF19" s="14">
        <v>0.01</v>
      </c>
    </row>
  </sheetData>
  <mergeCells count="9">
    <mergeCell ref="H3:L3"/>
    <mergeCell ref="C8:AF8"/>
    <mergeCell ref="B3:F3"/>
    <mergeCell ref="B5:F5"/>
    <mergeCell ref="A10:A19"/>
    <mergeCell ref="H5:L5"/>
    <mergeCell ref="B10:B11"/>
    <mergeCell ref="H4:L4"/>
    <mergeCell ref="B4:F4"/>
  </mergeCell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F1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12" customHeight="1">
      <c r="B3" s="19" t="s">
        <v>699</v>
      </c>
      <c r="C3" s="19"/>
      <c r="D3" s="19"/>
      <c r="E3" s="19"/>
      <c r="F3" s="19"/>
      <c r="H3" s="19" t="s">
        <v>700</v>
      </c>
      <c r="I3" s="19"/>
      <c r="J3" s="19"/>
      <c r="K3" s="19"/>
      <c r="L3" s="19"/>
    </row>
    <row r="4" spans="1:32" ht="27" customHeight="1">
      <c r="B4" s="19" t="s">
        <v>701</v>
      </c>
      <c r="C4" s="19"/>
      <c r="D4" s="19"/>
      <c r="E4" s="19"/>
      <c r="F4" s="19"/>
      <c r="H4" s="19" t="s">
        <v>702</v>
      </c>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HYPERLINK("#Content!A30","&lt;&lt;Back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656</v>
      </c>
      <c r="C12" s="12">
        <v>17334</v>
      </c>
      <c r="D12" s="12">
        <v>661</v>
      </c>
      <c r="E12" s="12">
        <v>645</v>
      </c>
      <c r="F12" s="12">
        <v>501</v>
      </c>
      <c r="G12" s="12">
        <v>828</v>
      </c>
      <c r="H12" s="12">
        <v>901</v>
      </c>
      <c r="I12" s="12">
        <v>1093</v>
      </c>
      <c r="J12" s="12">
        <v>192</v>
      </c>
      <c r="K12" s="12">
        <v>584</v>
      </c>
      <c r="L12" s="12">
        <v>830</v>
      </c>
      <c r="M12" s="12">
        <v>757</v>
      </c>
      <c r="N12" s="12">
        <v>723</v>
      </c>
      <c r="O12" s="12">
        <v>611</v>
      </c>
      <c r="P12" s="12">
        <v>640</v>
      </c>
      <c r="Q12" s="12">
        <v>649</v>
      </c>
      <c r="R12" s="12">
        <v>418</v>
      </c>
      <c r="S12" s="12">
        <v>728</v>
      </c>
      <c r="T12" s="12">
        <v>715</v>
      </c>
      <c r="U12" s="12">
        <v>409</v>
      </c>
      <c r="V12" s="12">
        <v>633</v>
      </c>
      <c r="W12" s="12">
        <v>413</v>
      </c>
      <c r="X12" s="12">
        <v>853</v>
      </c>
      <c r="Y12" s="12">
        <v>564</v>
      </c>
      <c r="Z12" s="12">
        <v>443</v>
      </c>
      <c r="AA12" s="12">
        <v>793</v>
      </c>
      <c r="AB12" s="12">
        <v>482</v>
      </c>
      <c r="AC12" s="12">
        <v>701</v>
      </c>
      <c r="AD12" s="12">
        <v>631</v>
      </c>
      <c r="AE12" s="12">
        <v>841</v>
      </c>
      <c r="AF12" s="12">
        <v>935</v>
      </c>
    </row>
    <row r="13" spans="1:32">
      <c r="A13" s="23"/>
      <c r="B13" s="13" t="s">
        <v>696</v>
      </c>
      <c r="C13" s="14">
        <v>0.66</v>
      </c>
      <c r="D13" s="14">
        <v>0.66</v>
      </c>
      <c r="E13" s="14">
        <v>0.62</v>
      </c>
      <c r="F13" s="14">
        <v>0.5</v>
      </c>
      <c r="G13" s="14">
        <v>0.82000000000000006</v>
      </c>
      <c r="H13" s="14">
        <v>0.74</v>
      </c>
      <c r="I13" s="14">
        <v>0.73</v>
      </c>
      <c r="J13" s="14">
        <v>0.65</v>
      </c>
      <c r="K13" s="14">
        <v>0.57999999999999996</v>
      </c>
      <c r="L13" s="14">
        <v>0.82000000000000006</v>
      </c>
      <c r="M13" s="14">
        <v>0.75</v>
      </c>
      <c r="N13" s="14">
        <v>0.72</v>
      </c>
      <c r="O13" s="14">
        <v>0.61</v>
      </c>
      <c r="P13" s="14">
        <v>0.63</v>
      </c>
      <c r="Q13" s="14">
        <v>0.63</v>
      </c>
      <c r="R13" s="14">
        <v>0.83000000000000007</v>
      </c>
      <c r="S13" s="14">
        <v>0.73</v>
      </c>
      <c r="T13" s="14">
        <v>0.71</v>
      </c>
      <c r="U13" s="14">
        <v>0.81</v>
      </c>
      <c r="V13" s="14">
        <v>0.63</v>
      </c>
      <c r="W13" s="14">
        <v>0.82000000000000006</v>
      </c>
      <c r="X13" s="14">
        <v>0.84</v>
      </c>
      <c r="Y13" s="14">
        <v>0.56000000000000005</v>
      </c>
      <c r="Z13" s="14">
        <v>0.44</v>
      </c>
      <c r="AA13" s="14">
        <v>0.76</v>
      </c>
      <c r="AB13" s="14">
        <v>0.47</v>
      </c>
      <c r="AC13" s="14">
        <v>0.70000000000000007</v>
      </c>
      <c r="AD13" s="14">
        <v>0.63</v>
      </c>
      <c r="AE13" s="14">
        <v>0.84</v>
      </c>
      <c r="AF13" s="14">
        <v>0.87</v>
      </c>
    </row>
    <row r="14" spans="1:32">
      <c r="A14" s="23"/>
      <c r="B14" s="11" t="s">
        <v>657</v>
      </c>
      <c r="C14" s="12">
        <v>2751</v>
      </c>
      <c r="D14" s="12">
        <v>133</v>
      </c>
      <c r="E14" s="12">
        <v>133</v>
      </c>
      <c r="F14" s="12">
        <v>161</v>
      </c>
      <c r="G14" s="12">
        <v>50</v>
      </c>
      <c r="H14" s="12">
        <v>91</v>
      </c>
      <c r="I14" s="12">
        <v>127</v>
      </c>
      <c r="J14" s="12">
        <v>36</v>
      </c>
      <c r="K14" s="12">
        <v>138</v>
      </c>
      <c r="L14" s="12">
        <v>49</v>
      </c>
      <c r="M14" s="12">
        <v>85</v>
      </c>
      <c r="N14" s="12">
        <v>56</v>
      </c>
      <c r="O14" s="12">
        <v>112</v>
      </c>
      <c r="P14" s="12">
        <v>142</v>
      </c>
      <c r="Q14" s="12">
        <v>112</v>
      </c>
      <c r="R14" s="12">
        <v>40</v>
      </c>
      <c r="S14" s="12">
        <v>55</v>
      </c>
      <c r="T14" s="12">
        <v>84</v>
      </c>
      <c r="U14" s="12">
        <v>31</v>
      </c>
      <c r="V14" s="12">
        <v>138</v>
      </c>
      <c r="W14" s="12">
        <v>33</v>
      </c>
      <c r="X14" s="12">
        <v>37</v>
      </c>
      <c r="Y14" s="12">
        <v>179</v>
      </c>
      <c r="Z14" s="12">
        <v>166</v>
      </c>
      <c r="AA14" s="12">
        <v>23</v>
      </c>
      <c r="AB14" s="12">
        <v>274</v>
      </c>
      <c r="AC14" s="12">
        <v>103</v>
      </c>
      <c r="AD14" s="12">
        <v>124</v>
      </c>
      <c r="AE14" s="12">
        <v>32</v>
      </c>
      <c r="AF14" s="12">
        <v>43</v>
      </c>
    </row>
    <row r="15" spans="1:32">
      <c r="A15" s="23"/>
      <c r="B15" s="13" t="s">
        <v>697</v>
      </c>
      <c r="C15" s="14">
        <v>0.1</v>
      </c>
      <c r="D15" s="14">
        <v>0.13</v>
      </c>
      <c r="E15" s="14">
        <v>0.13</v>
      </c>
      <c r="F15" s="14">
        <v>0.16</v>
      </c>
      <c r="G15" s="14">
        <v>0.05</v>
      </c>
      <c r="H15" s="14">
        <v>0.08</v>
      </c>
      <c r="I15" s="14">
        <v>0.08</v>
      </c>
      <c r="J15" s="14">
        <v>0.12</v>
      </c>
      <c r="K15" s="14">
        <v>0.14000000000000001</v>
      </c>
      <c r="L15" s="14">
        <v>0.05</v>
      </c>
      <c r="M15" s="14">
        <v>0.08</v>
      </c>
      <c r="N15" s="14">
        <v>0.06</v>
      </c>
      <c r="O15" s="14">
        <v>0.11</v>
      </c>
      <c r="P15" s="14">
        <v>0.14000000000000001</v>
      </c>
      <c r="Q15" s="14">
        <v>0.11</v>
      </c>
      <c r="R15" s="14">
        <v>0.08</v>
      </c>
      <c r="S15" s="14">
        <v>0.05</v>
      </c>
      <c r="T15" s="14">
        <v>0.08</v>
      </c>
      <c r="U15" s="14">
        <v>0.06</v>
      </c>
      <c r="V15" s="14">
        <v>0.13</v>
      </c>
      <c r="W15" s="14">
        <v>7.0000000000000007E-2</v>
      </c>
      <c r="X15" s="14">
        <v>0.04</v>
      </c>
      <c r="Y15" s="14">
        <v>0.18</v>
      </c>
      <c r="Z15" s="14">
        <v>0.16</v>
      </c>
      <c r="AA15" s="14">
        <v>0.02</v>
      </c>
      <c r="AB15" s="14">
        <v>0.26</v>
      </c>
      <c r="AC15" s="14">
        <v>0.1</v>
      </c>
      <c r="AD15" s="14">
        <v>0.12</v>
      </c>
      <c r="AE15" s="14">
        <v>0.03</v>
      </c>
      <c r="AF15" s="14">
        <v>0.04</v>
      </c>
    </row>
    <row r="16" spans="1:32">
      <c r="A16" s="23"/>
      <c r="B16" s="11" t="s">
        <v>658</v>
      </c>
      <c r="C16" s="12">
        <v>5544</v>
      </c>
      <c r="D16" s="12">
        <v>195</v>
      </c>
      <c r="E16" s="12">
        <v>208</v>
      </c>
      <c r="F16" s="12">
        <v>315</v>
      </c>
      <c r="G16" s="12">
        <v>106</v>
      </c>
      <c r="H16" s="12">
        <v>201</v>
      </c>
      <c r="I16" s="12">
        <v>264</v>
      </c>
      <c r="J16" s="12">
        <v>63</v>
      </c>
      <c r="K16" s="12">
        <v>255</v>
      </c>
      <c r="L16" s="12">
        <v>96</v>
      </c>
      <c r="M16" s="12">
        <v>151</v>
      </c>
      <c r="N16" s="12">
        <v>190</v>
      </c>
      <c r="O16" s="12">
        <v>238</v>
      </c>
      <c r="P16" s="12">
        <v>222</v>
      </c>
      <c r="Q16" s="12">
        <v>228</v>
      </c>
      <c r="R16" s="12">
        <v>39</v>
      </c>
      <c r="S16" s="12">
        <v>175</v>
      </c>
      <c r="T16" s="12">
        <v>157</v>
      </c>
      <c r="U16" s="12">
        <v>53</v>
      </c>
      <c r="V16" s="12">
        <v>222</v>
      </c>
      <c r="W16" s="12">
        <v>49</v>
      </c>
      <c r="X16" s="12">
        <v>114</v>
      </c>
      <c r="Y16" s="12">
        <v>256</v>
      </c>
      <c r="Z16" s="12">
        <v>390</v>
      </c>
      <c r="AA16" s="12">
        <v>129</v>
      </c>
      <c r="AB16" s="12">
        <v>243</v>
      </c>
      <c r="AC16" s="12">
        <v>173</v>
      </c>
      <c r="AD16" s="12">
        <v>221</v>
      </c>
      <c r="AE16" s="12">
        <v>125</v>
      </c>
      <c r="AF16" s="12">
        <v>88</v>
      </c>
    </row>
    <row r="17" spans="1:32">
      <c r="A17" s="23"/>
      <c r="B17" s="13" t="s">
        <v>698</v>
      </c>
      <c r="C17" s="14">
        <v>0.21</v>
      </c>
      <c r="D17" s="14">
        <v>0.19</v>
      </c>
      <c r="E17" s="14">
        <v>0.2</v>
      </c>
      <c r="F17" s="14">
        <v>0.31</v>
      </c>
      <c r="G17" s="14">
        <v>0.11</v>
      </c>
      <c r="H17" s="14">
        <v>0.17</v>
      </c>
      <c r="I17" s="14">
        <v>0.18</v>
      </c>
      <c r="J17" s="14">
        <v>0.22</v>
      </c>
      <c r="K17" s="14">
        <v>0.25</v>
      </c>
      <c r="L17" s="14">
        <v>0.1</v>
      </c>
      <c r="M17" s="14">
        <v>0.15</v>
      </c>
      <c r="N17" s="14">
        <v>0.19</v>
      </c>
      <c r="O17" s="14">
        <v>0.24</v>
      </c>
      <c r="P17" s="14">
        <v>0.22</v>
      </c>
      <c r="Q17" s="14">
        <v>0.22</v>
      </c>
      <c r="R17" s="14">
        <v>0.08</v>
      </c>
      <c r="S17" s="14">
        <v>0.17</v>
      </c>
      <c r="T17" s="14">
        <v>0.16</v>
      </c>
      <c r="U17" s="14">
        <v>0.11</v>
      </c>
      <c r="V17" s="14">
        <v>0.22</v>
      </c>
      <c r="W17" s="14">
        <v>0.1</v>
      </c>
      <c r="X17" s="14">
        <v>0.11</v>
      </c>
      <c r="Y17" s="14">
        <v>0.25</v>
      </c>
      <c r="Z17" s="14">
        <v>0.38</v>
      </c>
      <c r="AA17" s="14">
        <v>0.13</v>
      </c>
      <c r="AB17" s="14">
        <v>0.24</v>
      </c>
      <c r="AC17" s="14">
        <v>0.17</v>
      </c>
      <c r="AD17" s="14">
        <v>0.22</v>
      </c>
      <c r="AE17" s="14">
        <v>0.12</v>
      </c>
      <c r="AF17" s="14">
        <v>0.08</v>
      </c>
    </row>
    <row r="18" spans="1:32">
      <c r="A18" s="23"/>
      <c r="B18" s="11" t="s">
        <v>497</v>
      </c>
      <c r="C18" s="12">
        <v>724</v>
      </c>
      <c r="D18" s="12">
        <v>17</v>
      </c>
      <c r="E18" s="12">
        <v>58</v>
      </c>
      <c r="F18" s="12">
        <v>30</v>
      </c>
      <c r="G18" s="12">
        <v>19</v>
      </c>
      <c r="H18" s="12">
        <v>18</v>
      </c>
      <c r="I18" s="12">
        <v>21</v>
      </c>
      <c r="J18" s="12">
        <v>3</v>
      </c>
      <c r="K18" s="12">
        <v>27</v>
      </c>
      <c r="L18" s="12">
        <v>32</v>
      </c>
      <c r="M18" s="12">
        <v>19</v>
      </c>
      <c r="N18" s="12">
        <v>30</v>
      </c>
      <c r="O18" s="12">
        <v>44</v>
      </c>
      <c r="P18" s="12">
        <v>7</v>
      </c>
      <c r="Q18" s="12">
        <v>36</v>
      </c>
      <c r="R18" s="12">
        <v>5</v>
      </c>
      <c r="S18" s="12">
        <v>47</v>
      </c>
      <c r="T18" s="12">
        <v>47</v>
      </c>
      <c r="U18" s="12">
        <v>9</v>
      </c>
      <c r="V18" s="12">
        <v>18</v>
      </c>
      <c r="W18" s="12">
        <v>8</v>
      </c>
      <c r="X18" s="12">
        <v>12</v>
      </c>
      <c r="Y18" s="12">
        <v>9</v>
      </c>
      <c r="Z18" s="12">
        <v>18</v>
      </c>
      <c r="AA18" s="12">
        <v>95</v>
      </c>
      <c r="AB18" s="12">
        <v>31</v>
      </c>
      <c r="AC18" s="12">
        <v>28</v>
      </c>
      <c r="AD18" s="12">
        <v>26</v>
      </c>
      <c r="AE18" s="12">
        <v>10</v>
      </c>
      <c r="AF18" s="12">
        <v>6</v>
      </c>
    </row>
    <row r="19" spans="1:32">
      <c r="A19" s="23"/>
      <c r="B19" s="13" t="s">
        <v>498</v>
      </c>
      <c r="C19" s="14">
        <v>0.03</v>
      </c>
      <c r="D19" s="14">
        <v>0.02</v>
      </c>
      <c r="E19" s="14">
        <v>0.05</v>
      </c>
      <c r="F19" s="14">
        <v>0.03</v>
      </c>
      <c r="G19" s="14">
        <v>0.02</v>
      </c>
      <c r="H19" s="14">
        <v>0.01</v>
      </c>
      <c r="I19" s="14">
        <v>0.01</v>
      </c>
      <c r="J19" s="14">
        <v>0.01</v>
      </c>
      <c r="K19" s="14">
        <v>0.03</v>
      </c>
      <c r="L19" s="14">
        <v>0.03</v>
      </c>
      <c r="M19" s="14">
        <v>0.02</v>
      </c>
      <c r="N19" s="14">
        <v>0.03</v>
      </c>
      <c r="O19" s="14">
        <v>0.04</v>
      </c>
      <c r="P19" s="14">
        <v>0.01</v>
      </c>
      <c r="Q19" s="14">
        <v>0.04</v>
      </c>
      <c r="R19" s="14">
        <v>0.01</v>
      </c>
      <c r="S19" s="14">
        <v>0.05</v>
      </c>
      <c r="T19" s="14">
        <v>0.05</v>
      </c>
      <c r="U19" s="14">
        <v>0.02</v>
      </c>
      <c r="V19" s="14">
        <v>0.02</v>
      </c>
      <c r="W19" s="14">
        <v>0.01</v>
      </c>
      <c r="X19" s="14">
        <v>0.01</v>
      </c>
      <c r="Y19" s="14">
        <v>0.01</v>
      </c>
      <c r="Z19" s="14">
        <v>0.02</v>
      </c>
      <c r="AA19" s="14">
        <v>0.09</v>
      </c>
      <c r="AB19" s="14">
        <v>0.03</v>
      </c>
      <c r="AC19" s="14">
        <v>0.03</v>
      </c>
      <c r="AD19" s="14">
        <v>0.03</v>
      </c>
      <c r="AE19" s="14">
        <v>0.01</v>
      </c>
      <c r="AF19" s="14">
        <v>0.01</v>
      </c>
    </row>
  </sheetData>
  <mergeCells count="9">
    <mergeCell ref="H3:L3"/>
    <mergeCell ref="C8:AF8"/>
    <mergeCell ref="B3:F3"/>
    <mergeCell ref="B5:F5"/>
    <mergeCell ref="A10:A19"/>
    <mergeCell ref="H5:L5"/>
    <mergeCell ref="B10:B11"/>
    <mergeCell ref="H4:L4"/>
    <mergeCell ref="B4:F4"/>
  </mergeCell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703</v>
      </c>
      <c r="C3" s="19"/>
      <c r="D3" s="19"/>
      <c r="E3" s="19"/>
      <c r="F3" s="19"/>
      <c r="H3" s="19" t="s">
        <v>704</v>
      </c>
      <c r="I3" s="19"/>
      <c r="J3" s="19"/>
      <c r="K3" s="19"/>
      <c r="L3" s="19"/>
    </row>
    <row r="4" spans="1:32" ht="27" customHeight="1">
      <c r="B4" s="19" t="s">
        <v>705</v>
      </c>
      <c r="C4" s="19"/>
      <c r="D4" s="19"/>
      <c r="E4" s="19"/>
      <c r="F4" s="19"/>
      <c r="H4" s="19" t="s">
        <v>706</v>
      </c>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HYPERLINK("#Content!A31","&lt;&lt;Back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707</v>
      </c>
      <c r="C12" s="12">
        <v>13402</v>
      </c>
      <c r="D12" s="12">
        <v>452</v>
      </c>
      <c r="E12" s="12">
        <v>515</v>
      </c>
      <c r="F12" s="12">
        <v>300</v>
      </c>
      <c r="G12" s="12">
        <v>830</v>
      </c>
      <c r="H12" s="12">
        <v>730</v>
      </c>
      <c r="I12" s="12">
        <v>874</v>
      </c>
      <c r="J12" s="12">
        <v>144</v>
      </c>
      <c r="K12" s="12">
        <v>421</v>
      </c>
      <c r="L12" s="12">
        <v>652</v>
      </c>
      <c r="M12" s="12">
        <v>608</v>
      </c>
      <c r="N12" s="12">
        <v>667</v>
      </c>
      <c r="O12" s="12">
        <v>535</v>
      </c>
      <c r="P12" s="12">
        <v>460</v>
      </c>
      <c r="Q12" s="12">
        <v>439</v>
      </c>
      <c r="R12" s="12">
        <v>408</v>
      </c>
      <c r="S12" s="12">
        <v>583</v>
      </c>
      <c r="T12" s="12">
        <v>570</v>
      </c>
      <c r="U12" s="12">
        <v>351</v>
      </c>
      <c r="V12" s="12">
        <v>393</v>
      </c>
      <c r="W12" s="12">
        <v>366</v>
      </c>
      <c r="X12" s="12">
        <v>634</v>
      </c>
      <c r="Y12" s="12">
        <v>424</v>
      </c>
      <c r="Z12" s="12">
        <v>252</v>
      </c>
      <c r="AA12" s="12">
        <v>408</v>
      </c>
      <c r="AB12" s="12">
        <v>378</v>
      </c>
      <c r="AC12" s="12">
        <v>525</v>
      </c>
      <c r="AD12" s="12">
        <v>400</v>
      </c>
      <c r="AE12" s="12">
        <v>592</v>
      </c>
      <c r="AF12" s="12">
        <v>736</v>
      </c>
    </row>
    <row r="13" spans="1:32">
      <c r="A13" s="23"/>
      <c r="B13" s="13" t="s">
        <v>708</v>
      </c>
      <c r="C13" s="14">
        <v>0.51</v>
      </c>
      <c r="D13" s="14">
        <v>0.45</v>
      </c>
      <c r="E13" s="14">
        <v>0.49</v>
      </c>
      <c r="F13" s="14">
        <v>0.3</v>
      </c>
      <c r="G13" s="14">
        <v>0.83000000000000007</v>
      </c>
      <c r="H13" s="14">
        <v>0.6</v>
      </c>
      <c r="I13" s="14">
        <v>0.57999999999999996</v>
      </c>
      <c r="J13" s="14">
        <v>0.49</v>
      </c>
      <c r="K13" s="14">
        <v>0.42</v>
      </c>
      <c r="L13" s="14">
        <v>0.65</v>
      </c>
      <c r="M13" s="14">
        <v>0.6</v>
      </c>
      <c r="N13" s="14">
        <v>0.67</v>
      </c>
      <c r="O13" s="14">
        <v>0.53</v>
      </c>
      <c r="P13" s="14">
        <v>0.45</v>
      </c>
      <c r="Q13" s="14">
        <v>0.43</v>
      </c>
      <c r="R13" s="14">
        <v>0.81</v>
      </c>
      <c r="S13" s="14">
        <v>0.57999999999999996</v>
      </c>
      <c r="T13" s="14">
        <v>0.57000000000000006</v>
      </c>
      <c r="U13" s="14">
        <v>0.70000000000000007</v>
      </c>
      <c r="V13" s="14">
        <v>0.39</v>
      </c>
      <c r="W13" s="14">
        <v>0.73</v>
      </c>
      <c r="X13" s="14">
        <v>0.62</v>
      </c>
      <c r="Y13" s="14">
        <v>0.42</v>
      </c>
      <c r="Z13" s="14">
        <v>0.25</v>
      </c>
      <c r="AA13" s="14">
        <v>0.39</v>
      </c>
      <c r="AB13" s="14">
        <v>0.37</v>
      </c>
      <c r="AC13" s="14">
        <v>0.52</v>
      </c>
      <c r="AD13" s="14">
        <v>0.4</v>
      </c>
      <c r="AE13" s="14">
        <v>0.59</v>
      </c>
      <c r="AF13" s="14">
        <v>0.69000000000000006</v>
      </c>
    </row>
    <row r="14" spans="1:32">
      <c r="A14" s="23"/>
      <c r="B14" s="11" t="s">
        <v>709</v>
      </c>
      <c r="C14" s="12">
        <v>10058</v>
      </c>
      <c r="D14" s="12">
        <v>438</v>
      </c>
      <c r="E14" s="12">
        <v>363</v>
      </c>
      <c r="F14" s="12">
        <v>485</v>
      </c>
      <c r="G14" s="12">
        <v>137</v>
      </c>
      <c r="H14" s="12">
        <v>397</v>
      </c>
      <c r="I14" s="12">
        <v>501</v>
      </c>
      <c r="J14" s="12">
        <v>103</v>
      </c>
      <c r="K14" s="12">
        <v>415</v>
      </c>
      <c r="L14" s="12">
        <v>280</v>
      </c>
      <c r="M14" s="12">
        <v>342</v>
      </c>
      <c r="N14" s="12">
        <v>258</v>
      </c>
      <c r="O14" s="12">
        <v>366</v>
      </c>
      <c r="P14" s="12">
        <v>453</v>
      </c>
      <c r="Q14" s="12">
        <v>460</v>
      </c>
      <c r="R14" s="12">
        <v>67</v>
      </c>
      <c r="S14" s="12">
        <v>311</v>
      </c>
      <c r="T14" s="12">
        <v>373</v>
      </c>
      <c r="U14" s="12">
        <v>135</v>
      </c>
      <c r="V14" s="12">
        <v>508</v>
      </c>
      <c r="W14" s="12">
        <v>125</v>
      </c>
      <c r="X14" s="12">
        <v>315</v>
      </c>
      <c r="Y14" s="12">
        <v>459</v>
      </c>
      <c r="Z14" s="12">
        <v>586</v>
      </c>
      <c r="AA14" s="12">
        <v>548</v>
      </c>
      <c r="AB14" s="12">
        <v>398</v>
      </c>
      <c r="AC14" s="12">
        <v>390</v>
      </c>
      <c r="AD14" s="12">
        <v>479</v>
      </c>
      <c r="AE14" s="12">
        <v>350</v>
      </c>
      <c r="AF14" s="12">
        <v>281</v>
      </c>
    </row>
    <row r="15" spans="1:32">
      <c r="A15" s="23"/>
      <c r="B15" s="13" t="s">
        <v>710</v>
      </c>
      <c r="C15" s="14">
        <v>0.38</v>
      </c>
      <c r="D15" s="14">
        <v>0.44</v>
      </c>
      <c r="E15" s="14">
        <v>0.35</v>
      </c>
      <c r="F15" s="14">
        <v>0.48</v>
      </c>
      <c r="G15" s="14">
        <v>0.14000000000000001</v>
      </c>
      <c r="H15" s="14">
        <v>0.33</v>
      </c>
      <c r="I15" s="14">
        <v>0.33</v>
      </c>
      <c r="J15" s="14">
        <v>0.35</v>
      </c>
      <c r="K15" s="14">
        <v>0.41</v>
      </c>
      <c r="L15" s="14">
        <v>0.28000000000000003</v>
      </c>
      <c r="M15" s="14">
        <v>0.34</v>
      </c>
      <c r="N15" s="14">
        <v>0.26</v>
      </c>
      <c r="O15" s="14">
        <v>0.36</v>
      </c>
      <c r="P15" s="14">
        <v>0.45</v>
      </c>
      <c r="Q15" s="14">
        <v>0.45</v>
      </c>
      <c r="R15" s="14">
        <v>0.14000000000000001</v>
      </c>
      <c r="S15" s="14">
        <v>0.31</v>
      </c>
      <c r="T15" s="14">
        <v>0.37</v>
      </c>
      <c r="U15" s="14">
        <v>0.27</v>
      </c>
      <c r="V15" s="14">
        <v>0.5</v>
      </c>
      <c r="W15" s="14">
        <v>0.25</v>
      </c>
      <c r="X15" s="14">
        <v>0.31</v>
      </c>
      <c r="Y15" s="14">
        <v>0.46</v>
      </c>
      <c r="Z15" s="14">
        <v>0.57999999999999996</v>
      </c>
      <c r="AA15" s="14">
        <v>0.53</v>
      </c>
      <c r="AB15" s="14">
        <v>0.38</v>
      </c>
      <c r="AC15" s="14">
        <v>0.39</v>
      </c>
      <c r="AD15" s="14">
        <v>0.48</v>
      </c>
      <c r="AE15" s="14">
        <v>0.34</v>
      </c>
      <c r="AF15" s="14">
        <v>0.26</v>
      </c>
    </row>
    <row r="16" spans="1:32">
      <c r="A16" s="23"/>
      <c r="B16" s="11" t="s">
        <v>711</v>
      </c>
      <c r="C16" s="12">
        <v>1825</v>
      </c>
      <c r="D16" s="12">
        <v>77</v>
      </c>
      <c r="E16" s="12">
        <v>73</v>
      </c>
      <c r="F16" s="12">
        <v>161</v>
      </c>
      <c r="G16" s="12">
        <v>12</v>
      </c>
      <c r="H16" s="12">
        <v>53</v>
      </c>
      <c r="I16" s="12">
        <v>87</v>
      </c>
      <c r="J16" s="12">
        <v>33</v>
      </c>
      <c r="K16" s="12">
        <v>81</v>
      </c>
      <c r="L16" s="12">
        <v>26</v>
      </c>
      <c r="M16" s="12">
        <v>41</v>
      </c>
      <c r="N16" s="12">
        <v>36</v>
      </c>
      <c r="O16" s="12">
        <v>46</v>
      </c>
      <c r="P16" s="12">
        <v>68</v>
      </c>
      <c r="Q16" s="12">
        <v>83</v>
      </c>
      <c r="R16" s="12">
        <v>20</v>
      </c>
      <c r="S16" s="12">
        <v>70</v>
      </c>
      <c r="T16" s="12">
        <v>25</v>
      </c>
      <c r="U16" s="12">
        <v>13</v>
      </c>
      <c r="V16" s="12">
        <v>88</v>
      </c>
      <c r="W16" s="12">
        <v>6</v>
      </c>
      <c r="X16" s="12">
        <v>46</v>
      </c>
      <c r="Y16" s="12">
        <v>59</v>
      </c>
      <c r="Z16" s="12">
        <v>138</v>
      </c>
      <c r="AA16" s="12">
        <v>10</v>
      </c>
      <c r="AB16" s="12">
        <v>209</v>
      </c>
      <c r="AC16" s="12">
        <v>64</v>
      </c>
      <c r="AD16" s="12">
        <v>68</v>
      </c>
      <c r="AE16" s="12">
        <v>48</v>
      </c>
      <c r="AF16" s="12">
        <v>36</v>
      </c>
    </row>
    <row r="17" spans="1:32">
      <c r="A17" s="23"/>
      <c r="B17" s="13" t="s">
        <v>712</v>
      </c>
      <c r="C17" s="14">
        <v>7.0000000000000007E-2</v>
      </c>
      <c r="D17" s="14">
        <v>0.08</v>
      </c>
      <c r="E17" s="14">
        <v>7.0000000000000007E-2</v>
      </c>
      <c r="F17" s="14">
        <v>0.16</v>
      </c>
      <c r="G17" s="14">
        <v>0.01</v>
      </c>
      <c r="H17" s="14">
        <v>0.05</v>
      </c>
      <c r="I17" s="14">
        <v>0.06</v>
      </c>
      <c r="J17" s="14">
        <v>0.11</v>
      </c>
      <c r="K17" s="14">
        <v>0.08</v>
      </c>
      <c r="L17" s="14">
        <v>0.03</v>
      </c>
      <c r="M17" s="14">
        <v>0.04</v>
      </c>
      <c r="N17" s="14">
        <v>0.03</v>
      </c>
      <c r="O17" s="14">
        <v>0.05</v>
      </c>
      <c r="P17" s="14">
        <v>7.0000000000000007E-2</v>
      </c>
      <c r="Q17" s="14">
        <v>0.08</v>
      </c>
      <c r="R17" s="14">
        <v>0.04</v>
      </c>
      <c r="S17" s="14">
        <v>7.0000000000000007E-2</v>
      </c>
      <c r="T17" s="14">
        <v>0.02</v>
      </c>
      <c r="U17" s="14">
        <v>0.03</v>
      </c>
      <c r="V17" s="14">
        <v>0.09</v>
      </c>
      <c r="W17" s="14">
        <v>0.01</v>
      </c>
      <c r="X17" s="14">
        <v>0.05</v>
      </c>
      <c r="Y17" s="14">
        <v>0.06</v>
      </c>
      <c r="Z17" s="14">
        <v>0.13</v>
      </c>
      <c r="AA17" s="14">
        <v>0.01</v>
      </c>
      <c r="AB17" s="14">
        <v>0.2</v>
      </c>
      <c r="AC17" s="14">
        <v>0.06</v>
      </c>
      <c r="AD17" s="14">
        <v>7.0000000000000007E-2</v>
      </c>
      <c r="AE17" s="14">
        <v>0.05</v>
      </c>
      <c r="AF17" s="14">
        <v>0.03</v>
      </c>
    </row>
    <row r="18" spans="1:32">
      <c r="A18" s="23"/>
      <c r="B18" s="11" t="s">
        <v>713</v>
      </c>
      <c r="C18" s="12">
        <v>498</v>
      </c>
      <c r="D18" s="12">
        <v>25</v>
      </c>
      <c r="E18" s="12">
        <v>30</v>
      </c>
      <c r="F18" s="12">
        <v>26</v>
      </c>
      <c r="G18" s="12">
        <v>11</v>
      </c>
      <c r="H18" s="12">
        <v>14</v>
      </c>
      <c r="I18" s="12">
        <v>25</v>
      </c>
      <c r="J18" s="12">
        <v>11</v>
      </c>
      <c r="K18" s="12">
        <v>51</v>
      </c>
      <c r="L18" s="12">
        <v>15</v>
      </c>
      <c r="M18" s="12">
        <v>10</v>
      </c>
      <c r="N18" s="12">
        <v>12</v>
      </c>
      <c r="O18" s="12">
        <v>29</v>
      </c>
      <c r="P18" s="12">
        <v>23</v>
      </c>
      <c r="Q18" s="12">
        <v>25</v>
      </c>
      <c r="R18" s="12">
        <v>6</v>
      </c>
      <c r="S18" s="12">
        <v>13</v>
      </c>
      <c r="T18" s="12">
        <v>5</v>
      </c>
      <c r="U18" s="12">
        <v>2</v>
      </c>
      <c r="V18" s="12">
        <v>10</v>
      </c>
      <c r="W18" s="12">
        <v>3</v>
      </c>
      <c r="X18" s="12">
        <v>19</v>
      </c>
      <c r="Y18" s="12">
        <v>32</v>
      </c>
      <c r="Z18" s="12">
        <v>11</v>
      </c>
      <c r="AA18" s="12">
        <v>7</v>
      </c>
      <c r="AB18" s="12">
        <v>28</v>
      </c>
      <c r="AC18" s="12">
        <v>17</v>
      </c>
      <c r="AD18" s="12">
        <v>10</v>
      </c>
      <c r="AE18" s="12">
        <v>9</v>
      </c>
      <c r="AF18" s="12">
        <v>13</v>
      </c>
    </row>
    <row r="19" spans="1:32">
      <c r="A19" s="23"/>
      <c r="B19" s="13" t="s">
        <v>714</v>
      </c>
      <c r="C19" s="14">
        <v>0.02</v>
      </c>
      <c r="D19" s="14">
        <v>0.02</v>
      </c>
      <c r="E19" s="14">
        <v>0.03</v>
      </c>
      <c r="F19" s="14">
        <v>0.03</v>
      </c>
      <c r="G19" s="14">
        <v>0.01</v>
      </c>
      <c r="H19" s="14">
        <v>0.01</v>
      </c>
      <c r="I19" s="14">
        <v>0.02</v>
      </c>
      <c r="J19" s="14">
        <v>0.04</v>
      </c>
      <c r="K19" s="14">
        <v>0.05</v>
      </c>
      <c r="L19" s="14">
        <v>0.01</v>
      </c>
      <c r="M19" s="14">
        <v>0.01</v>
      </c>
      <c r="N19" s="14">
        <v>0.01</v>
      </c>
      <c r="O19" s="14">
        <v>0.03</v>
      </c>
      <c r="P19" s="14">
        <v>0.02</v>
      </c>
      <c r="Q19" s="14">
        <v>0.02</v>
      </c>
      <c r="R19" s="14">
        <v>0.01</v>
      </c>
      <c r="S19" s="14">
        <v>0.01</v>
      </c>
      <c r="T19" s="14">
        <v>0.01</v>
      </c>
      <c r="U19" s="15" t="s">
        <v>485</v>
      </c>
      <c r="V19" s="14">
        <v>0.01</v>
      </c>
      <c r="W19" s="14">
        <v>0.01</v>
      </c>
      <c r="X19" s="14">
        <v>0.02</v>
      </c>
      <c r="Y19" s="14">
        <v>0.03</v>
      </c>
      <c r="Z19" s="14">
        <v>0.01</v>
      </c>
      <c r="AA19" s="14">
        <v>0.01</v>
      </c>
      <c r="AB19" s="14">
        <v>0.03</v>
      </c>
      <c r="AC19" s="14">
        <v>0.02</v>
      </c>
      <c r="AD19" s="14">
        <v>0.01</v>
      </c>
      <c r="AE19" s="14">
        <v>0.01</v>
      </c>
      <c r="AF19" s="14">
        <v>0.01</v>
      </c>
    </row>
    <row r="20" spans="1:32">
      <c r="A20" s="23"/>
      <c r="B20" s="11" t="s">
        <v>497</v>
      </c>
      <c r="C20" s="12">
        <v>572</v>
      </c>
      <c r="D20" s="12">
        <v>13</v>
      </c>
      <c r="E20" s="12">
        <v>64</v>
      </c>
      <c r="F20" s="12">
        <v>34</v>
      </c>
      <c r="G20" s="12">
        <v>12</v>
      </c>
      <c r="H20" s="12">
        <v>16</v>
      </c>
      <c r="I20" s="12">
        <v>18</v>
      </c>
      <c r="J20" s="12">
        <v>3</v>
      </c>
      <c r="K20" s="12">
        <v>36</v>
      </c>
      <c r="L20" s="12">
        <v>34</v>
      </c>
      <c r="M20" s="12">
        <v>10</v>
      </c>
      <c r="N20" s="12">
        <v>27</v>
      </c>
      <c r="O20" s="12">
        <v>30</v>
      </c>
      <c r="P20" s="12">
        <v>6</v>
      </c>
      <c r="Q20" s="12">
        <v>17</v>
      </c>
      <c r="R20" s="12">
        <v>1</v>
      </c>
      <c r="S20" s="12">
        <v>28</v>
      </c>
      <c r="T20" s="12">
        <v>32</v>
      </c>
      <c r="U20" s="12">
        <v>3</v>
      </c>
      <c r="V20" s="12">
        <v>12</v>
      </c>
      <c r="W20" s="12">
        <v>2</v>
      </c>
      <c r="X20" s="12">
        <v>2</v>
      </c>
      <c r="Y20" s="12">
        <v>34</v>
      </c>
      <c r="Z20" s="12">
        <v>30</v>
      </c>
      <c r="AA20" s="12">
        <v>68</v>
      </c>
      <c r="AB20" s="12">
        <v>19</v>
      </c>
      <c r="AC20" s="12">
        <v>9</v>
      </c>
      <c r="AD20" s="12">
        <v>45</v>
      </c>
      <c r="AE20" s="12">
        <v>9</v>
      </c>
      <c r="AF20" s="12">
        <v>7</v>
      </c>
    </row>
    <row r="21" spans="1:32">
      <c r="A21" s="23"/>
      <c r="B21" s="13" t="s">
        <v>498</v>
      </c>
      <c r="C21" s="14">
        <v>0.02</v>
      </c>
      <c r="D21" s="14">
        <v>0.01</v>
      </c>
      <c r="E21" s="14">
        <v>0.06</v>
      </c>
      <c r="F21" s="14">
        <v>0.03</v>
      </c>
      <c r="G21" s="14">
        <v>0.01</v>
      </c>
      <c r="H21" s="14">
        <v>0.01</v>
      </c>
      <c r="I21" s="14">
        <v>0.01</v>
      </c>
      <c r="J21" s="14">
        <v>0.01</v>
      </c>
      <c r="K21" s="14">
        <v>0.04</v>
      </c>
      <c r="L21" s="14">
        <v>0.03</v>
      </c>
      <c r="M21" s="14">
        <v>0.01</v>
      </c>
      <c r="N21" s="14">
        <v>0.03</v>
      </c>
      <c r="O21" s="14">
        <v>0.03</v>
      </c>
      <c r="P21" s="14">
        <v>0.01</v>
      </c>
      <c r="Q21" s="14">
        <v>0.02</v>
      </c>
      <c r="R21" s="15" t="s">
        <v>485</v>
      </c>
      <c r="S21" s="14">
        <v>0.03</v>
      </c>
      <c r="T21" s="14">
        <v>0.03</v>
      </c>
      <c r="U21" s="15" t="s">
        <v>485</v>
      </c>
      <c r="V21" s="14">
        <v>0.01</v>
      </c>
      <c r="W21" s="15" t="s">
        <v>485</v>
      </c>
      <c r="X21" s="15" t="s">
        <v>485</v>
      </c>
      <c r="Y21" s="14">
        <v>0.03</v>
      </c>
      <c r="Z21" s="14">
        <v>0.03</v>
      </c>
      <c r="AA21" s="14">
        <v>0.06</v>
      </c>
      <c r="AB21" s="14">
        <v>0.02</v>
      </c>
      <c r="AC21" s="14">
        <v>0.01</v>
      </c>
      <c r="AD21" s="14">
        <v>0.04</v>
      </c>
      <c r="AE21" s="14">
        <v>0.01</v>
      </c>
      <c r="AF21" s="14">
        <v>0.01</v>
      </c>
    </row>
    <row r="22" spans="1:32">
      <c r="A22" s="23"/>
      <c r="B22" s="11" t="s">
        <v>715</v>
      </c>
      <c r="C22" s="12">
        <v>23460</v>
      </c>
      <c r="D22" s="12">
        <v>890</v>
      </c>
      <c r="E22" s="12">
        <v>878</v>
      </c>
      <c r="F22" s="12">
        <v>785</v>
      </c>
      <c r="G22" s="12">
        <v>967</v>
      </c>
      <c r="H22" s="12">
        <v>1127</v>
      </c>
      <c r="I22" s="12">
        <v>1375</v>
      </c>
      <c r="J22" s="12">
        <v>247</v>
      </c>
      <c r="K22" s="12">
        <v>836</v>
      </c>
      <c r="L22" s="12">
        <v>932</v>
      </c>
      <c r="M22" s="12">
        <v>950</v>
      </c>
      <c r="N22" s="12">
        <v>925</v>
      </c>
      <c r="O22" s="12">
        <v>901</v>
      </c>
      <c r="P22" s="12">
        <v>913</v>
      </c>
      <c r="Q22" s="12">
        <v>899</v>
      </c>
      <c r="R22" s="12">
        <v>475</v>
      </c>
      <c r="S22" s="12">
        <v>894</v>
      </c>
      <c r="T22" s="12">
        <v>943</v>
      </c>
      <c r="U22" s="12">
        <v>486</v>
      </c>
      <c r="V22" s="12">
        <v>901</v>
      </c>
      <c r="W22" s="12">
        <v>491</v>
      </c>
      <c r="X22" s="12">
        <v>949</v>
      </c>
      <c r="Y22" s="12">
        <v>883</v>
      </c>
      <c r="Z22" s="12">
        <v>838</v>
      </c>
      <c r="AA22" s="12">
        <v>956</v>
      </c>
      <c r="AB22" s="12">
        <v>776</v>
      </c>
      <c r="AC22" s="12">
        <v>915</v>
      </c>
      <c r="AD22" s="12">
        <v>879</v>
      </c>
      <c r="AE22" s="12">
        <v>942</v>
      </c>
      <c r="AF22" s="12">
        <v>1017</v>
      </c>
    </row>
    <row r="23" spans="1:32">
      <c r="A23" s="23"/>
      <c r="B23" s="13" t="s">
        <v>716</v>
      </c>
      <c r="C23" s="14">
        <v>0.89</v>
      </c>
      <c r="D23" s="14">
        <v>0.89</v>
      </c>
      <c r="E23" s="14">
        <v>0.84</v>
      </c>
      <c r="F23" s="14">
        <v>0.78</v>
      </c>
      <c r="G23" s="14">
        <v>0.97</v>
      </c>
      <c r="H23" s="14">
        <v>0.93</v>
      </c>
      <c r="I23" s="14">
        <v>0.91</v>
      </c>
      <c r="J23" s="14">
        <v>0.84</v>
      </c>
      <c r="K23" s="14">
        <v>0.83000000000000007</v>
      </c>
      <c r="L23" s="14">
        <v>0.93</v>
      </c>
      <c r="M23" s="14">
        <v>0.94000000000000006</v>
      </c>
      <c r="N23" s="14">
        <v>0.93</v>
      </c>
      <c r="O23" s="14">
        <v>0.89</v>
      </c>
      <c r="P23" s="14">
        <v>0.9</v>
      </c>
      <c r="Q23" s="14">
        <v>0.88</v>
      </c>
      <c r="R23" s="14">
        <v>0.95000000000000007</v>
      </c>
      <c r="S23" s="14">
        <v>0.89</v>
      </c>
      <c r="T23" s="14">
        <v>0.94000000000000006</v>
      </c>
      <c r="U23" s="14">
        <v>0.97</v>
      </c>
      <c r="V23" s="14">
        <v>0.89</v>
      </c>
      <c r="W23" s="14">
        <v>0.98</v>
      </c>
      <c r="X23" s="14">
        <v>0.93</v>
      </c>
      <c r="Y23" s="14">
        <v>0.88</v>
      </c>
      <c r="Z23" s="14">
        <v>0.83000000000000007</v>
      </c>
      <c r="AA23" s="14">
        <v>0.92</v>
      </c>
      <c r="AB23" s="14">
        <v>0.75</v>
      </c>
      <c r="AC23" s="14">
        <v>0.91</v>
      </c>
      <c r="AD23" s="14">
        <v>0.88</v>
      </c>
      <c r="AE23" s="14">
        <v>0.93</v>
      </c>
      <c r="AF23" s="14">
        <v>0.95000000000000007</v>
      </c>
    </row>
    <row r="24" spans="1:32">
      <c r="A24" s="23"/>
      <c r="B24" s="11" t="s">
        <v>717</v>
      </c>
      <c r="C24" s="12">
        <v>2323</v>
      </c>
      <c r="D24" s="12">
        <v>102</v>
      </c>
      <c r="E24" s="12">
        <v>103</v>
      </c>
      <c r="F24" s="12">
        <v>187</v>
      </c>
      <c r="G24" s="12">
        <v>23</v>
      </c>
      <c r="H24" s="12">
        <v>67</v>
      </c>
      <c r="I24" s="12">
        <v>112</v>
      </c>
      <c r="J24" s="12">
        <v>44</v>
      </c>
      <c r="K24" s="12">
        <v>132</v>
      </c>
      <c r="L24" s="12">
        <v>41</v>
      </c>
      <c r="M24" s="12">
        <v>51</v>
      </c>
      <c r="N24" s="12">
        <v>48</v>
      </c>
      <c r="O24" s="12">
        <v>75</v>
      </c>
      <c r="P24" s="12">
        <v>91</v>
      </c>
      <c r="Q24" s="12">
        <v>108</v>
      </c>
      <c r="R24" s="12">
        <v>26</v>
      </c>
      <c r="S24" s="12">
        <v>83</v>
      </c>
      <c r="T24" s="12">
        <v>30</v>
      </c>
      <c r="U24" s="12">
        <v>15</v>
      </c>
      <c r="V24" s="12">
        <v>98</v>
      </c>
      <c r="W24" s="12">
        <v>9</v>
      </c>
      <c r="X24" s="12">
        <v>65</v>
      </c>
      <c r="Y24" s="12">
        <v>91</v>
      </c>
      <c r="Z24" s="12">
        <v>149</v>
      </c>
      <c r="AA24" s="12">
        <v>17</v>
      </c>
      <c r="AB24" s="12">
        <v>237</v>
      </c>
      <c r="AC24" s="12">
        <v>81</v>
      </c>
      <c r="AD24" s="12">
        <v>78</v>
      </c>
      <c r="AE24" s="12">
        <v>57</v>
      </c>
      <c r="AF24" s="12">
        <v>49</v>
      </c>
    </row>
    <row r="25" spans="1:32">
      <c r="A25" s="23"/>
      <c r="B25" s="13" t="s">
        <v>718</v>
      </c>
      <c r="C25" s="14">
        <v>0.09</v>
      </c>
      <c r="D25" s="14">
        <v>0.1</v>
      </c>
      <c r="E25" s="14">
        <v>0.1</v>
      </c>
      <c r="F25" s="14">
        <v>0.19</v>
      </c>
      <c r="G25" s="14">
        <v>0.02</v>
      </c>
      <c r="H25" s="14">
        <v>0.06</v>
      </c>
      <c r="I25" s="14">
        <v>0.08</v>
      </c>
      <c r="J25" s="14">
        <v>0.15</v>
      </c>
      <c r="K25" s="14">
        <v>0.13</v>
      </c>
      <c r="L25" s="14">
        <v>0.04</v>
      </c>
      <c r="M25" s="14">
        <v>0.05</v>
      </c>
      <c r="N25" s="14">
        <v>0.04</v>
      </c>
      <c r="O25" s="14">
        <v>0.08</v>
      </c>
      <c r="P25" s="14">
        <v>0.09</v>
      </c>
      <c r="Q25" s="14">
        <v>0.1</v>
      </c>
      <c r="R25" s="14">
        <v>0.05</v>
      </c>
      <c r="S25" s="14">
        <v>0.08</v>
      </c>
      <c r="T25" s="14">
        <v>0.03</v>
      </c>
      <c r="U25" s="14">
        <v>0.03</v>
      </c>
      <c r="V25" s="14">
        <v>0.1</v>
      </c>
      <c r="W25" s="14">
        <v>0.02</v>
      </c>
      <c r="X25" s="14">
        <v>7.0000000000000007E-2</v>
      </c>
      <c r="Y25" s="14">
        <v>0.09</v>
      </c>
      <c r="Z25" s="14">
        <v>0.14000000000000001</v>
      </c>
      <c r="AA25" s="14">
        <v>0.02</v>
      </c>
      <c r="AB25" s="14">
        <v>0.23</v>
      </c>
      <c r="AC25" s="14">
        <v>0.08</v>
      </c>
      <c r="AD25" s="14">
        <v>0.08</v>
      </c>
      <c r="AE25" s="14">
        <v>0.06</v>
      </c>
      <c r="AF25" s="14">
        <v>0.04</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719</v>
      </c>
      <c r="C3" s="19"/>
      <c r="D3" s="19"/>
      <c r="E3" s="19"/>
      <c r="F3" s="19"/>
      <c r="H3" s="19" t="s">
        <v>720</v>
      </c>
      <c r="I3" s="19"/>
      <c r="J3" s="19"/>
      <c r="K3" s="19"/>
      <c r="L3" s="19"/>
    </row>
    <row r="4" spans="1:32" ht="27" customHeight="1">
      <c r="B4" s="19" t="s">
        <v>721</v>
      </c>
      <c r="C4" s="19"/>
      <c r="D4" s="19"/>
      <c r="E4" s="19"/>
      <c r="F4" s="19"/>
      <c r="H4" s="19" t="s">
        <v>722</v>
      </c>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HYPERLINK("#Content!A32","&lt;&lt;Back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707</v>
      </c>
      <c r="C12" s="12">
        <v>8491</v>
      </c>
      <c r="D12" s="12">
        <v>281</v>
      </c>
      <c r="E12" s="12">
        <v>365</v>
      </c>
      <c r="F12" s="12">
        <v>186</v>
      </c>
      <c r="G12" s="12">
        <v>353</v>
      </c>
      <c r="H12" s="12">
        <v>319</v>
      </c>
      <c r="I12" s="12">
        <v>378</v>
      </c>
      <c r="J12" s="12">
        <v>59</v>
      </c>
      <c r="K12" s="12">
        <v>251</v>
      </c>
      <c r="L12" s="12">
        <v>496</v>
      </c>
      <c r="M12" s="12">
        <v>463</v>
      </c>
      <c r="N12" s="12">
        <v>503</v>
      </c>
      <c r="O12" s="12">
        <v>336</v>
      </c>
      <c r="P12" s="12">
        <v>365</v>
      </c>
      <c r="Q12" s="12">
        <v>340</v>
      </c>
      <c r="R12" s="12">
        <v>322</v>
      </c>
      <c r="S12" s="12">
        <v>354</v>
      </c>
      <c r="T12" s="12">
        <v>446</v>
      </c>
      <c r="U12" s="12">
        <v>191</v>
      </c>
      <c r="V12" s="12">
        <v>371</v>
      </c>
      <c r="W12" s="12">
        <v>283</v>
      </c>
      <c r="X12" s="12">
        <v>303</v>
      </c>
      <c r="Y12" s="12">
        <v>285</v>
      </c>
      <c r="Z12" s="12">
        <v>216</v>
      </c>
      <c r="AA12" s="12">
        <v>318</v>
      </c>
      <c r="AB12" s="12">
        <v>298</v>
      </c>
      <c r="AC12" s="12">
        <v>238</v>
      </c>
      <c r="AD12" s="12">
        <v>211</v>
      </c>
      <c r="AE12" s="12">
        <v>474</v>
      </c>
      <c r="AF12" s="12">
        <v>276</v>
      </c>
    </row>
    <row r="13" spans="1:32">
      <c r="A13" s="23"/>
      <c r="B13" s="13" t="s">
        <v>708</v>
      </c>
      <c r="C13" s="14">
        <v>0.32</v>
      </c>
      <c r="D13" s="14">
        <v>0.28000000000000003</v>
      </c>
      <c r="E13" s="14">
        <v>0.35</v>
      </c>
      <c r="F13" s="14">
        <v>0.19</v>
      </c>
      <c r="G13" s="14">
        <v>0.35</v>
      </c>
      <c r="H13" s="14">
        <v>0.26</v>
      </c>
      <c r="I13" s="14">
        <v>0.25</v>
      </c>
      <c r="J13" s="14">
        <v>0.2</v>
      </c>
      <c r="K13" s="14">
        <v>0.25</v>
      </c>
      <c r="L13" s="14">
        <v>0.49</v>
      </c>
      <c r="M13" s="14">
        <v>0.46</v>
      </c>
      <c r="N13" s="14">
        <v>0.5</v>
      </c>
      <c r="O13" s="14">
        <v>0.33</v>
      </c>
      <c r="P13" s="14">
        <v>0.36</v>
      </c>
      <c r="Q13" s="14">
        <v>0.33</v>
      </c>
      <c r="R13" s="14">
        <v>0.64</v>
      </c>
      <c r="S13" s="14">
        <v>0.35</v>
      </c>
      <c r="T13" s="14">
        <v>0.45</v>
      </c>
      <c r="U13" s="14">
        <v>0.38</v>
      </c>
      <c r="V13" s="14">
        <v>0.37</v>
      </c>
      <c r="W13" s="14">
        <v>0.56000000000000005</v>
      </c>
      <c r="X13" s="14">
        <v>0.3</v>
      </c>
      <c r="Y13" s="14">
        <v>0.28000000000000003</v>
      </c>
      <c r="Z13" s="14">
        <v>0.21</v>
      </c>
      <c r="AA13" s="14">
        <v>0.31</v>
      </c>
      <c r="AB13" s="14">
        <v>0.28999999999999998</v>
      </c>
      <c r="AC13" s="14">
        <v>0.24</v>
      </c>
      <c r="AD13" s="14">
        <v>0.21</v>
      </c>
      <c r="AE13" s="14">
        <v>0.47</v>
      </c>
      <c r="AF13" s="14">
        <v>0.25</v>
      </c>
    </row>
    <row r="14" spans="1:32">
      <c r="A14" s="23"/>
      <c r="B14" s="11" t="s">
        <v>709</v>
      </c>
      <c r="C14" s="12">
        <v>11666</v>
      </c>
      <c r="D14" s="12">
        <v>473</v>
      </c>
      <c r="E14" s="12">
        <v>394</v>
      </c>
      <c r="F14" s="12">
        <v>438</v>
      </c>
      <c r="G14" s="12">
        <v>403</v>
      </c>
      <c r="H14" s="12">
        <v>548</v>
      </c>
      <c r="I14" s="12">
        <v>672</v>
      </c>
      <c r="J14" s="12">
        <v>125</v>
      </c>
      <c r="K14" s="12">
        <v>396</v>
      </c>
      <c r="L14" s="12">
        <v>353</v>
      </c>
      <c r="M14" s="12">
        <v>400</v>
      </c>
      <c r="N14" s="12">
        <v>346</v>
      </c>
      <c r="O14" s="12">
        <v>426</v>
      </c>
      <c r="P14" s="12">
        <v>477</v>
      </c>
      <c r="Q14" s="12">
        <v>501</v>
      </c>
      <c r="R14" s="12">
        <v>135</v>
      </c>
      <c r="S14" s="12">
        <v>345</v>
      </c>
      <c r="T14" s="12">
        <v>396</v>
      </c>
      <c r="U14" s="12">
        <v>193</v>
      </c>
      <c r="V14" s="12">
        <v>496</v>
      </c>
      <c r="W14" s="12">
        <v>178</v>
      </c>
      <c r="X14" s="12">
        <v>456</v>
      </c>
      <c r="Y14" s="12">
        <v>380</v>
      </c>
      <c r="Z14" s="12">
        <v>565</v>
      </c>
      <c r="AA14" s="12">
        <v>560</v>
      </c>
      <c r="AB14" s="12">
        <v>439</v>
      </c>
      <c r="AC14" s="12">
        <v>375</v>
      </c>
      <c r="AD14" s="12">
        <v>421</v>
      </c>
      <c r="AE14" s="12">
        <v>448</v>
      </c>
      <c r="AF14" s="12">
        <v>491</v>
      </c>
    </row>
    <row r="15" spans="1:32">
      <c r="A15" s="23"/>
      <c r="B15" s="13" t="s">
        <v>710</v>
      </c>
      <c r="C15" s="14">
        <v>0.44</v>
      </c>
      <c r="D15" s="14">
        <v>0.47</v>
      </c>
      <c r="E15" s="14">
        <v>0.38</v>
      </c>
      <c r="F15" s="14">
        <v>0.44</v>
      </c>
      <c r="G15" s="14">
        <v>0.4</v>
      </c>
      <c r="H15" s="14">
        <v>0.45</v>
      </c>
      <c r="I15" s="14">
        <v>0.45</v>
      </c>
      <c r="J15" s="14">
        <v>0.42</v>
      </c>
      <c r="K15" s="14">
        <v>0.39</v>
      </c>
      <c r="L15" s="14">
        <v>0.35</v>
      </c>
      <c r="M15" s="14">
        <v>0.4</v>
      </c>
      <c r="N15" s="14">
        <v>0.35</v>
      </c>
      <c r="O15" s="14">
        <v>0.42</v>
      </c>
      <c r="P15" s="14">
        <v>0.47</v>
      </c>
      <c r="Q15" s="14">
        <v>0.49</v>
      </c>
      <c r="R15" s="14">
        <v>0.27</v>
      </c>
      <c r="S15" s="14">
        <v>0.34</v>
      </c>
      <c r="T15" s="14">
        <v>0.39</v>
      </c>
      <c r="U15" s="14">
        <v>0.38</v>
      </c>
      <c r="V15" s="14">
        <v>0.49</v>
      </c>
      <c r="W15" s="14">
        <v>0.35</v>
      </c>
      <c r="X15" s="14">
        <v>0.45</v>
      </c>
      <c r="Y15" s="14">
        <v>0.38</v>
      </c>
      <c r="Z15" s="14">
        <v>0.56000000000000005</v>
      </c>
      <c r="AA15" s="14">
        <v>0.54</v>
      </c>
      <c r="AB15" s="14">
        <v>0.42</v>
      </c>
      <c r="AC15" s="14">
        <v>0.37</v>
      </c>
      <c r="AD15" s="14">
        <v>0.42</v>
      </c>
      <c r="AE15" s="14">
        <v>0.45</v>
      </c>
      <c r="AF15" s="14">
        <v>0.46</v>
      </c>
    </row>
    <row r="16" spans="1:32">
      <c r="A16" s="23"/>
      <c r="B16" s="11" t="s">
        <v>711</v>
      </c>
      <c r="C16" s="12">
        <v>3608</v>
      </c>
      <c r="D16" s="12">
        <v>181</v>
      </c>
      <c r="E16" s="12">
        <v>135</v>
      </c>
      <c r="F16" s="12">
        <v>235</v>
      </c>
      <c r="G16" s="12">
        <v>91</v>
      </c>
      <c r="H16" s="12">
        <v>212</v>
      </c>
      <c r="I16" s="12">
        <v>285</v>
      </c>
      <c r="J16" s="12">
        <v>72</v>
      </c>
      <c r="K16" s="12">
        <v>168</v>
      </c>
      <c r="L16" s="12">
        <v>61</v>
      </c>
      <c r="M16" s="12">
        <v>92</v>
      </c>
      <c r="N16" s="12">
        <v>70</v>
      </c>
      <c r="O16" s="12">
        <v>127</v>
      </c>
      <c r="P16" s="12">
        <v>121</v>
      </c>
      <c r="Q16" s="12">
        <v>111</v>
      </c>
      <c r="R16" s="12">
        <v>27</v>
      </c>
      <c r="S16" s="12">
        <v>164</v>
      </c>
      <c r="T16" s="12">
        <v>78</v>
      </c>
      <c r="U16" s="12">
        <v>66</v>
      </c>
      <c r="V16" s="12">
        <v>94</v>
      </c>
      <c r="W16" s="12">
        <v>26</v>
      </c>
      <c r="X16" s="12">
        <v>164</v>
      </c>
      <c r="Y16" s="12">
        <v>158</v>
      </c>
      <c r="Z16" s="12">
        <v>154</v>
      </c>
      <c r="AA16" s="12">
        <v>55</v>
      </c>
      <c r="AB16" s="12">
        <v>216</v>
      </c>
      <c r="AC16" s="12">
        <v>245</v>
      </c>
      <c r="AD16" s="12">
        <v>186</v>
      </c>
      <c r="AE16" s="12">
        <v>45</v>
      </c>
      <c r="AF16" s="12">
        <v>148</v>
      </c>
    </row>
    <row r="17" spans="1:32">
      <c r="A17" s="23"/>
      <c r="B17" s="13" t="s">
        <v>712</v>
      </c>
      <c r="C17" s="14">
        <v>0.14000000000000001</v>
      </c>
      <c r="D17" s="14">
        <v>0.18</v>
      </c>
      <c r="E17" s="14">
        <v>0.13</v>
      </c>
      <c r="F17" s="14">
        <v>0.23</v>
      </c>
      <c r="G17" s="14">
        <v>0.09</v>
      </c>
      <c r="H17" s="14">
        <v>0.18</v>
      </c>
      <c r="I17" s="14">
        <v>0.19</v>
      </c>
      <c r="J17" s="14">
        <v>0.25</v>
      </c>
      <c r="K17" s="14">
        <v>0.17</v>
      </c>
      <c r="L17" s="14">
        <v>0.06</v>
      </c>
      <c r="M17" s="14">
        <v>0.09</v>
      </c>
      <c r="N17" s="14">
        <v>7.0000000000000007E-2</v>
      </c>
      <c r="O17" s="14">
        <v>0.13</v>
      </c>
      <c r="P17" s="14">
        <v>0.12</v>
      </c>
      <c r="Q17" s="14">
        <v>0.11</v>
      </c>
      <c r="R17" s="14">
        <v>0.05</v>
      </c>
      <c r="S17" s="14">
        <v>0.17</v>
      </c>
      <c r="T17" s="14">
        <v>0.08</v>
      </c>
      <c r="U17" s="14">
        <v>0.13</v>
      </c>
      <c r="V17" s="14">
        <v>0.09</v>
      </c>
      <c r="W17" s="14">
        <v>0.05</v>
      </c>
      <c r="X17" s="14">
        <v>0.16</v>
      </c>
      <c r="Y17" s="14">
        <v>0.16</v>
      </c>
      <c r="Z17" s="14">
        <v>0.15</v>
      </c>
      <c r="AA17" s="14">
        <v>0.05</v>
      </c>
      <c r="AB17" s="14">
        <v>0.21</v>
      </c>
      <c r="AC17" s="14">
        <v>0.24</v>
      </c>
      <c r="AD17" s="14">
        <v>0.19</v>
      </c>
      <c r="AE17" s="14">
        <v>0.04</v>
      </c>
      <c r="AF17" s="14">
        <v>0.14000000000000001</v>
      </c>
    </row>
    <row r="18" spans="1:32">
      <c r="A18" s="23"/>
      <c r="B18" s="11" t="s">
        <v>713</v>
      </c>
      <c r="C18" s="12">
        <v>1247</v>
      </c>
      <c r="D18" s="12">
        <v>40</v>
      </c>
      <c r="E18" s="12">
        <v>48</v>
      </c>
      <c r="F18" s="12">
        <v>74</v>
      </c>
      <c r="G18" s="12">
        <v>63</v>
      </c>
      <c r="H18" s="12">
        <v>79</v>
      </c>
      <c r="I18" s="12">
        <v>103</v>
      </c>
      <c r="J18" s="12">
        <v>24</v>
      </c>
      <c r="K18" s="12">
        <v>90</v>
      </c>
      <c r="L18" s="12">
        <v>22</v>
      </c>
      <c r="M18" s="12">
        <v>16</v>
      </c>
      <c r="N18" s="12">
        <v>30</v>
      </c>
      <c r="O18" s="12">
        <v>50</v>
      </c>
      <c r="P18" s="12">
        <v>25</v>
      </c>
      <c r="Q18" s="12">
        <v>29</v>
      </c>
      <c r="R18" s="12">
        <v>3</v>
      </c>
      <c r="S18" s="12">
        <v>69</v>
      </c>
      <c r="T18" s="12">
        <v>22</v>
      </c>
      <c r="U18" s="12">
        <v>34</v>
      </c>
      <c r="V18" s="12">
        <v>20</v>
      </c>
      <c r="W18" s="12">
        <v>7</v>
      </c>
      <c r="X18" s="12">
        <v>51</v>
      </c>
      <c r="Y18" s="12">
        <v>124</v>
      </c>
      <c r="Z18" s="12">
        <v>40</v>
      </c>
      <c r="AA18" s="12">
        <v>3</v>
      </c>
      <c r="AB18" s="12">
        <v>50</v>
      </c>
      <c r="AC18" s="12">
        <v>108</v>
      </c>
      <c r="AD18" s="12">
        <v>111</v>
      </c>
      <c r="AE18" s="12">
        <v>6</v>
      </c>
      <c r="AF18" s="12">
        <v>94</v>
      </c>
    </row>
    <row r="19" spans="1:32">
      <c r="A19" s="23"/>
      <c r="B19" s="13" t="s">
        <v>714</v>
      </c>
      <c r="C19" s="14">
        <v>0.05</v>
      </c>
      <c r="D19" s="14">
        <v>0.04</v>
      </c>
      <c r="E19" s="14">
        <v>0.04</v>
      </c>
      <c r="F19" s="14">
        <v>7.0000000000000007E-2</v>
      </c>
      <c r="G19" s="14">
        <v>0.06</v>
      </c>
      <c r="H19" s="14">
        <v>7.0000000000000007E-2</v>
      </c>
      <c r="I19" s="14">
        <v>7.0000000000000007E-2</v>
      </c>
      <c r="J19" s="14">
        <v>0.08</v>
      </c>
      <c r="K19" s="14">
        <v>0.09</v>
      </c>
      <c r="L19" s="14">
        <v>0.02</v>
      </c>
      <c r="M19" s="14">
        <v>0.01</v>
      </c>
      <c r="N19" s="14">
        <v>0.03</v>
      </c>
      <c r="O19" s="14">
        <v>0.05</v>
      </c>
      <c r="P19" s="14">
        <v>0.03</v>
      </c>
      <c r="Q19" s="14">
        <v>0.03</v>
      </c>
      <c r="R19" s="14">
        <v>0.01</v>
      </c>
      <c r="S19" s="14">
        <v>7.0000000000000007E-2</v>
      </c>
      <c r="T19" s="14">
        <v>0.02</v>
      </c>
      <c r="U19" s="14">
        <v>7.0000000000000007E-2</v>
      </c>
      <c r="V19" s="14">
        <v>0.02</v>
      </c>
      <c r="W19" s="14">
        <v>0.02</v>
      </c>
      <c r="X19" s="14">
        <v>0.05</v>
      </c>
      <c r="Y19" s="14">
        <v>0.12</v>
      </c>
      <c r="Z19" s="14">
        <v>0.04</v>
      </c>
      <c r="AA19" s="15" t="s">
        <v>485</v>
      </c>
      <c r="AB19" s="14">
        <v>0.05</v>
      </c>
      <c r="AC19" s="14">
        <v>0.11</v>
      </c>
      <c r="AD19" s="14">
        <v>0.11</v>
      </c>
      <c r="AE19" s="14">
        <v>0.01</v>
      </c>
      <c r="AF19" s="14">
        <v>0.09</v>
      </c>
    </row>
    <row r="20" spans="1:32">
      <c r="A20" s="23"/>
      <c r="B20" s="11" t="s">
        <v>497</v>
      </c>
      <c r="C20" s="12">
        <v>1342</v>
      </c>
      <c r="D20" s="12">
        <v>31</v>
      </c>
      <c r="E20" s="12">
        <v>102</v>
      </c>
      <c r="F20" s="12">
        <v>74</v>
      </c>
      <c r="G20" s="12">
        <v>93</v>
      </c>
      <c r="H20" s="12">
        <v>53</v>
      </c>
      <c r="I20" s="12">
        <v>66</v>
      </c>
      <c r="J20" s="12">
        <v>14</v>
      </c>
      <c r="K20" s="12">
        <v>100</v>
      </c>
      <c r="L20" s="12">
        <v>75</v>
      </c>
      <c r="M20" s="12">
        <v>40</v>
      </c>
      <c r="N20" s="12">
        <v>51</v>
      </c>
      <c r="O20" s="12">
        <v>67</v>
      </c>
      <c r="P20" s="12">
        <v>23</v>
      </c>
      <c r="Q20" s="12">
        <v>43</v>
      </c>
      <c r="R20" s="12">
        <v>14</v>
      </c>
      <c r="S20" s="12">
        <v>73</v>
      </c>
      <c r="T20" s="12">
        <v>63</v>
      </c>
      <c r="U20" s="12">
        <v>20</v>
      </c>
      <c r="V20" s="12">
        <v>30</v>
      </c>
      <c r="W20" s="12">
        <v>9</v>
      </c>
      <c r="X20" s="12">
        <v>42</v>
      </c>
      <c r="Y20" s="12">
        <v>60</v>
      </c>
      <c r="Z20" s="12">
        <v>42</v>
      </c>
      <c r="AA20" s="12">
        <v>104</v>
      </c>
      <c r="AB20" s="12">
        <v>28</v>
      </c>
      <c r="AC20" s="12">
        <v>38</v>
      </c>
      <c r="AD20" s="12">
        <v>74</v>
      </c>
      <c r="AE20" s="12">
        <v>35</v>
      </c>
      <c r="AF20" s="12">
        <v>63</v>
      </c>
    </row>
    <row r="21" spans="1:32">
      <c r="A21" s="23"/>
      <c r="B21" s="13" t="s">
        <v>498</v>
      </c>
      <c r="C21" s="14">
        <v>0.05</v>
      </c>
      <c r="D21" s="14">
        <v>0.03</v>
      </c>
      <c r="E21" s="14">
        <v>0.1</v>
      </c>
      <c r="F21" s="14">
        <v>7.0000000000000007E-2</v>
      </c>
      <c r="G21" s="14">
        <v>0.1</v>
      </c>
      <c r="H21" s="14">
        <v>0.04</v>
      </c>
      <c r="I21" s="14">
        <v>0.04</v>
      </c>
      <c r="J21" s="14">
        <v>0.05</v>
      </c>
      <c r="K21" s="14">
        <v>0.1</v>
      </c>
      <c r="L21" s="14">
        <v>0.08</v>
      </c>
      <c r="M21" s="14">
        <v>0.04</v>
      </c>
      <c r="N21" s="14">
        <v>0.05</v>
      </c>
      <c r="O21" s="14">
        <v>7.0000000000000007E-2</v>
      </c>
      <c r="P21" s="14">
        <v>0.02</v>
      </c>
      <c r="Q21" s="14">
        <v>0.04</v>
      </c>
      <c r="R21" s="14">
        <v>0.03</v>
      </c>
      <c r="S21" s="14">
        <v>7.0000000000000007E-2</v>
      </c>
      <c r="T21" s="14">
        <v>0.06</v>
      </c>
      <c r="U21" s="14">
        <v>0.04</v>
      </c>
      <c r="V21" s="14">
        <v>0.03</v>
      </c>
      <c r="W21" s="14">
        <v>0.02</v>
      </c>
      <c r="X21" s="14">
        <v>0.04</v>
      </c>
      <c r="Y21" s="14">
        <v>0.06</v>
      </c>
      <c r="Z21" s="14">
        <v>0.04</v>
      </c>
      <c r="AA21" s="14">
        <v>0.1</v>
      </c>
      <c r="AB21" s="14">
        <v>0.03</v>
      </c>
      <c r="AC21" s="14">
        <v>0.04</v>
      </c>
      <c r="AD21" s="14">
        <v>7.0000000000000007E-2</v>
      </c>
      <c r="AE21" s="14">
        <v>0.03</v>
      </c>
      <c r="AF21" s="14">
        <v>0.06</v>
      </c>
    </row>
    <row r="22" spans="1:32">
      <c r="A22" s="23"/>
      <c r="B22" s="11" t="s">
        <v>715</v>
      </c>
      <c r="C22" s="12">
        <v>20157</v>
      </c>
      <c r="D22" s="12">
        <v>754</v>
      </c>
      <c r="E22" s="12">
        <v>759</v>
      </c>
      <c r="F22" s="12">
        <v>624</v>
      </c>
      <c r="G22" s="12">
        <v>756</v>
      </c>
      <c r="H22" s="12">
        <v>867</v>
      </c>
      <c r="I22" s="12">
        <v>1050</v>
      </c>
      <c r="J22" s="12">
        <v>184</v>
      </c>
      <c r="K22" s="12">
        <v>647</v>
      </c>
      <c r="L22" s="12">
        <v>849</v>
      </c>
      <c r="M22" s="12">
        <v>863</v>
      </c>
      <c r="N22" s="12">
        <v>849</v>
      </c>
      <c r="O22" s="12">
        <v>762</v>
      </c>
      <c r="P22" s="12">
        <v>842</v>
      </c>
      <c r="Q22" s="12">
        <v>841</v>
      </c>
      <c r="R22" s="12">
        <v>457</v>
      </c>
      <c r="S22" s="12">
        <v>699</v>
      </c>
      <c r="T22" s="12">
        <v>842</v>
      </c>
      <c r="U22" s="12">
        <v>384</v>
      </c>
      <c r="V22" s="12">
        <v>867</v>
      </c>
      <c r="W22" s="12">
        <v>461</v>
      </c>
      <c r="X22" s="12">
        <v>759</v>
      </c>
      <c r="Y22" s="12">
        <v>665</v>
      </c>
      <c r="Z22" s="12">
        <v>781</v>
      </c>
      <c r="AA22" s="12">
        <v>878</v>
      </c>
      <c r="AB22" s="12">
        <v>737</v>
      </c>
      <c r="AC22" s="12">
        <v>613</v>
      </c>
      <c r="AD22" s="12">
        <v>632</v>
      </c>
      <c r="AE22" s="12">
        <v>922</v>
      </c>
      <c r="AF22" s="12">
        <v>767</v>
      </c>
    </row>
    <row r="23" spans="1:32">
      <c r="A23" s="23"/>
      <c r="B23" s="13" t="s">
        <v>716</v>
      </c>
      <c r="C23" s="14">
        <v>0.76</v>
      </c>
      <c r="D23" s="14">
        <v>0.75</v>
      </c>
      <c r="E23" s="14">
        <v>0.73</v>
      </c>
      <c r="F23" s="14">
        <v>0.63</v>
      </c>
      <c r="G23" s="14">
        <v>0.75</v>
      </c>
      <c r="H23" s="14">
        <v>0.71</v>
      </c>
      <c r="I23" s="14">
        <v>0.70000000000000007</v>
      </c>
      <c r="J23" s="14">
        <v>0.62</v>
      </c>
      <c r="K23" s="14">
        <v>0.64</v>
      </c>
      <c r="L23" s="14">
        <v>0.84</v>
      </c>
      <c r="M23" s="14">
        <v>0.86</v>
      </c>
      <c r="N23" s="14">
        <v>0.85</v>
      </c>
      <c r="O23" s="14">
        <v>0.75</v>
      </c>
      <c r="P23" s="14">
        <v>0.83000000000000007</v>
      </c>
      <c r="Q23" s="14">
        <v>0.82000000000000006</v>
      </c>
      <c r="R23" s="14">
        <v>0.91</v>
      </c>
      <c r="S23" s="14">
        <v>0.69000000000000006</v>
      </c>
      <c r="T23" s="14">
        <v>0.84</v>
      </c>
      <c r="U23" s="14">
        <v>0.76</v>
      </c>
      <c r="V23" s="14">
        <v>0.86</v>
      </c>
      <c r="W23" s="14">
        <v>0.91</v>
      </c>
      <c r="X23" s="14">
        <v>0.75</v>
      </c>
      <c r="Y23" s="14">
        <v>0.66</v>
      </c>
      <c r="Z23" s="14">
        <v>0.77</v>
      </c>
      <c r="AA23" s="14">
        <v>0.85</v>
      </c>
      <c r="AB23" s="14">
        <v>0.71</v>
      </c>
      <c r="AC23" s="14">
        <v>0.61</v>
      </c>
      <c r="AD23" s="14">
        <v>0.63</v>
      </c>
      <c r="AE23" s="14">
        <v>0.92</v>
      </c>
      <c r="AF23" s="14">
        <v>0.71</v>
      </c>
    </row>
    <row r="24" spans="1:32">
      <c r="A24" s="23"/>
      <c r="B24" s="11" t="s">
        <v>717</v>
      </c>
      <c r="C24" s="12">
        <v>4855</v>
      </c>
      <c r="D24" s="12">
        <v>221</v>
      </c>
      <c r="E24" s="12">
        <v>183</v>
      </c>
      <c r="F24" s="12">
        <v>309</v>
      </c>
      <c r="G24" s="12">
        <v>154</v>
      </c>
      <c r="H24" s="12">
        <v>291</v>
      </c>
      <c r="I24" s="12">
        <v>388</v>
      </c>
      <c r="J24" s="12">
        <v>96</v>
      </c>
      <c r="K24" s="12">
        <v>258</v>
      </c>
      <c r="L24" s="12">
        <v>83</v>
      </c>
      <c r="M24" s="12">
        <v>108</v>
      </c>
      <c r="N24" s="12">
        <v>100</v>
      </c>
      <c r="O24" s="12">
        <v>177</v>
      </c>
      <c r="P24" s="12">
        <v>146</v>
      </c>
      <c r="Q24" s="12">
        <v>140</v>
      </c>
      <c r="R24" s="12">
        <v>30</v>
      </c>
      <c r="S24" s="12">
        <v>233</v>
      </c>
      <c r="T24" s="12">
        <v>100</v>
      </c>
      <c r="U24" s="12">
        <v>100</v>
      </c>
      <c r="V24" s="12">
        <v>114</v>
      </c>
      <c r="W24" s="12">
        <v>33</v>
      </c>
      <c r="X24" s="12">
        <v>215</v>
      </c>
      <c r="Y24" s="12">
        <v>282</v>
      </c>
      <c r="Z24" s="12">
        <v>194</v>
      </c>
      <c r="AA24" s="12">
        <v>58</v>
      </c>
      <c r="AB24" s="12">
        <v>266</v>
      </c>
      <c r="AC24" s="12">
        <v>353</v>
      </c>
      <c r="AD24" s="12">
        <v>297</v>
      </c>
      <c r="AE24" s="12">
        <v>51</v>
      </c>
      <c r="AF24" s="12">
        <v>242</v>
      </c>
    </row>
    <row r="25" spans="1:32">
      <c r="A25" s="23"/>
      <c r="B25" s="13" t="s">
        <v>718</v>
      </c>
      <c r="C25" s="14">
        <v>0.19</v>
      </c>
      <c r="D25" s="14">
        <v>0.22</v>
      </c>
      <c r="E25" s="14">
        <v>0.17</v>
      </c>
      <c r="F25" s="14">
        <v>0.3</v>
      </c>
      <c r="G25" s="14">
        <v>0.15</v>
      </c>
      <c r="H25" s="14">
        <v>0.25</v>
      </c>
      <c r="I25" s="14">
        <v>0.26</v>
      </c>
      <c r="J25" s="14">
        <v>0.33</v>
      </c>
      <c r="K25" s="14">
        <v>0.26</v>
      </c>
      <c r="L25" s="14">
        <v>0.08</v>
      </c>
      <c r="M25" s="14">
        <v>0.1</v>
      </c>
      <c r="N25" s="14">
        <v>0.1</v>
      </c>
      <c r="O25" s="14">
        <v>0.18</v>
      </c>
      <c r="P25" s="14">
        <v>0.15</v>
      </c>
      <c r="Q25" s="14">
        <v>0.14000000000000001</v>
      </c>
      <c r="R25" s="14">
        <v>0.06</v>
      </c>
      <c r="S25" s="14">
        <v>0.24</v>
      </c>
      <c r="T25" s="14">
        <v>0.1</v>
      </c>
      <c r="U25" s="14">
        <v>0.2</v>
      </c>
      <c r="V25" s="14">
        <v>0.11</v>
      </c>
      <c r="W25" s="14">
        <v>7.0000000000000007E-2</v>
      </c>
      <c r="X25" s="14">
        <v>0.21</v>
      </c>
      <c r="Y25" s="14">
        <v>0.28000000000000003</v>
      </c>
      <c r="Z25" s="14">
        <v>0.19</v>
      </c>
      <c r="AA25" s="14">
        <v>0.05</v>
      </c>
      <c r="AB25" s="14">
        <v>0.26</v>
      </c>
      <c r="AC25" s="14">
        <v>0.35</v>
      </c>
      <c r="AD25" s="14">
        <v>0.3</v>
      </c>
      <c r="AE25" s="14">
        <v>0.05</v>
      </c>
      <c r="AF25" s="14">
        <v>0.23</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723</v>
      </c>
      <c r="C3" s="19"/>
      <c r="D3" s="19"/>
      <c r="E3" s="19"/>
      <c r="F3" s="19"/>
      <c r="H3" s="19" t="s">
        <v>724</v>
      </c>
      <c r="I3" s="19"/>
      <c r="J3" s="19"/>
      <c r="K3" s="19"/>
      <c r="L3" s="19"/>
    </row>
    <row r="4" spans="1:32" ht="27" customHeight="1">
      <c r="B4" s="19" t="s">
        <v>725</v>
      </c>
      <c r="C4" s="19"/>
      <c r="D4" s="19"/>
      <c r="E4" s="19"/>
      <c r="F4" s="19"/>
      <c r="H4" s="19" t="s">
        <v>726</v>
      </c>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HYPERLINK("#Content!A33","&lt;&lt;Back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707</v>
      </c>
      <c r="C12" s="12">
        <v>3090</v>
      </c>
      <c r="D12" s="12">
        <v>97</v>
      </c>
      <c r="E12" s="12">
        <v>177</v>
      </c>
      <c r="F12" s="12">
        <v>98</v>
      </c>
      <c r="G12" s="12">
        <v>39</v>
      </c>
      <c r="H12" s="12">
        <v>98</v>
      </c>
      <c r="I12" s="12">
        <v>120</v>
      </c>
      <c r="J12" s="12">
        <v>21</v>
      </c>
      <c r="K12" s="12">
        <v>94</v>
      </c>
      <c r="L12" s="12">
        <v>145</v>
      </c>
      <c r="M12" s="12">
        <v>108</v>
      </c>
      <c r="N12" s="12">
        <v>146</v>
      </c>
      <c r="O12" s="12">
        <v>109</v>
      </c>
      <c r="P12" s="12">
        <v>167</v>
      </c>
      <c r="Q12" s="12">
        <v>167</v>
      </c>
      <c r="R12" s="12">
        <v>25</v>
      </c>
      <c r="S12" s="12">
        <v>204</v>
      </c>
      <c r="T12" s="12">
        <v>92</v>
      </c>
      <c r="U12" s="12">
        <v>49</v>
      </c>
      <c r="V12" s="12">
        <v>106</v>
      </c>
      <c r="W12" s="12">
        <v>41</v>
      </c>
      <c r="X12" s="12">
        <v>47</v>
      </c>
      <c r="Y12" s="12">
        <v>195</v>
      </c>
      <c r="Z12" s="12">
        <v>159</v>
      </c>
      <c r="AA12" s="12">
        <v>138</v>
      </c>
      <c r="AB12" s="12">
        <v>141</v>
      </c>
      <c r="AC12" s="12">
        <v>118</v>
      </c>
      <c r="AD12" s="12">
        <v>92</v>
      </c>
      <c r="AE12" s="12">
        <v>40</v>
      </c>
      <c r="AF12" s="12">
        <v>50</v>
      </c>
    </row>
    <row r="13" spans="1:32">
      <c r="A13" s="23"/>
      <c r="B13" s="13" t="s">
        <v>708</v>
      </c>
      <c r="C13" s="14">
        <v>0.12</v>
      </c>
      <c r="D13" s="14">
        <v>0.09</v>
      </c>
      <c r="E13" s="14">
        <v>0.17</v>
      </c>
      <c r="F13" s="14">
        <v>0.1</v>
      </c>
      <c r="G13" s="14">
        <v>0.04</v>
      </c>
      <c r="H13" s="14">
        <v>0.08</v>
      </c>
      <c r="I13" s="14">
        <v>0.08</v>
      </c>
      <c r="J13" s="14">
        <v>7.0000000000000007E-2</v>
      </c>
      <c r="K13" s="14">
        <v>0.09</v>
      </c>
      <c r="L13" s="14">
        <v>0.15</v>
      </c>
      <c r="M13" s="14">
        <v>0.11</v>
      </c>
      <c r="N13" s="14">
        <v>0.15</v>
      </c>
      <c r="O13" s="14">
        <v>0.11</v>
      </c>
      <c r="P13" s="14">
        <v>0.16</v>
      </c>
      <c r="Q13" s="14">
        <v>0.16</v>
      </c>
      <c r="R13" s="14">
        <v>0.05</v>
      </c>
      <c r="S13" s="14">
        <v>0.2</v>
      </c>
      <c r="T13" s="14">
        <v>0.09</v>
      </c>
      <c r="U13" s="14">
        <v>0.1</v>
      </c>
      <c r="V13" s="14">
        <v>0.11</v>
      </c>
      <c r="W13" s="14">
        <v>0.08</v>
      </c>
      <c r="X13" s="14">
        <v>0.05</v>
      </c>
      <c r="Y13" s="14">
        <v>0.19</v>
      </c>
      <c r="Z13" s="14">
        <v>0.16</v>
      </c>
      <c r="AA13" s="14">
        <v>0.13</v>
      </c>
      <c r="AB13" s="14">
        <v>0.14000000000000001</v>
      </c>
      <c r="AC13" s="14">
        <v>0.12</v>
      </c>
      <c r="AD13" s="14">
        <v>0.09</v>
      </c>
      <c r="AE13" s="14">
        <v>0.04</v>
      </c>
      <c r="AF13" s="14">
        <v>0.05</v>
      </c>
    </row>
    <row r="14" spans="1:32">
      <c r="A14" s="23"/>
      <c r="B14" s="11" t="s">
        <v>709</v>
      </c>
      <c r="C14" s="12">
        <v>6199</v>
      </c>
      <c r="D14" s="12">
        <v>290</v>
      </c>
      <c r="E14" s="12">
        <v>214</v>
      </c>
      <c r="F14" s="12">
        <v>245</v>
      </c>
      <c r="G14" s="12">
        <v>93</v>
      </c>
      <c r="H14" s="12">
        <v>210</v>
      </c>
      <c r="I14" s="12">
        <v>268</v>
      </c>
      <c r="J14" s="12">
        <v>59</v>
      </c>
      <c r="K14" s="12">
        <v>163</v>
      </c>
      <c r="L14" s="12">
        <v>124</v>
      </c>
      <c r="M14" s="12">
        <v>173</v>
      </c>
      <c r="N14" s="12">
        <v>182</v>
      </c>
      <c r="O14" s="12">
        <v>207</v>
      </c>
      <c r="P14" s="12">
        <v>355</v>
      </c>
      <c r="Q14" s="12">
        <v>329</v>
      </c>
      <c r="R14" s="12">
        <v>64</v>
      </c>
      <c r="S14" s="12">
        <v>272</v>
      </c>
      <c r="T14" s="12">
        <v>211</v>
      </c>
      <c r="U14" s="12">
        <v>60</v>
      </c>
      <c r="V14" s="12">
        <v>284</v>
      </c>
      <c r="W14" s="12">
        <v>72</v>
      </c>
      <c r="X14" s="12">
        <v>130</v>
      </c>
      <c r="Y14" s="12">
        <v>246</v>
      </c>
      <c r="Z14" s="12">
        <v>430</v>
      </c>
      <c r="AA14" s="12">
        <v>233</v>
      </c>
      <c r="AB14" s="12">
        <v>340</v>
      </c>
      <c r="AC14" s="12">
        <v>266</v>
      </c>
      <c r="AD14" s="12">
        <v>242</v>
      </c>
      <c r="AE14" s="12">
        <v>68</v>
      </c>
      <c r="AF14" s="12">
        <v>178</v>
      </c>
    </row>
    <row r="15" spans="1:32">
      <c r="A15" s="23"/>
      <c r="B15" s="13" t="s">
        <v>710</v>
      </c>
      <c r="C15" s="14">
        <v>0.24</v>
      </c>
      <c r="D15" s="14">
        <v>0.28999999999999998</v>
      </c>
      <c r="E15" s="14">
        <v>0.2</v>
      </c>
      <c r="F15" s="14">
        <v>0.24</v>
      </c>
      <c r="G15" s="14">
        <v>0.09</v>
      </c>
      <c r="H15" s="14">
        <v>0.17</v>
      </c>
      <c r="I15" s="14">
        <v>0.18</v>
      </c>
      <c r="J15" s="14">
        <v>0.2</v>
      </c>
      <c r="K15" s="14">
        <v>0.16</v>
      </c>
      <c r="L15" s="14">
        <v>0.12</v>
      </c>
      <c r="M15" s="14">
        <v>0.17</v>
      </c>
      <c r="N15" s="14">
        <v>0.18</v>
      </c>
      <c r="O15" s="14">
        <v>0.21</v>
      </c>
      <c r="P15" s="14">
        <v>0.35</v>
      </c>
      <c r="Q15" s="14">
        <v>0.32</v>
      </c>
      <c r="R15" s="14">
        <v>0.13</v>
      </c>
      <c r="S15" s="14">
        <v>0.27</v>
      </c>
      <c r="T15" s="14">
        <v>0.21</v>
      </c>
      <c r="U15" s="14">
        <v>0.12</v>
      </c>
      <c r="V15" s="14">
        <v>0.28000000000000003</v>
      </c>
      <c r="W15" s="14">
        <v>0.14000000000000001</v>
      </c>
      <c r="X15" s="14">
        <v>0.13</v>
      </c>
      <c r="Y15" s="14">
        <v>0.25</v>
      </c>
      <c r="Z15" s="14">
        <v>0.42</v>
      </c>
      <c r="AA15" s="14">
        <v>0.22</v>
      </c>
      <c r="AB15" s="14">
        <v>0.33</v>
      </c>
      <c r="AC15" s="14">
        <v>0.26</v>
      </c>
      <c r="AD15" s="14">
        <v>0.24</v>
      </c>
      <c r="AE15" s="14">
        <v>7.0000000000000007E-2</v>
      </c>
      <c r="AF15" s="14">
        <v>0.16</v>
      </c>
    </row>
    <row r="16" spans="1:32">
      <c r="A16" s="23"/>
      <c r="B16" s="11" t="s">
        <v>711</v>
      </c>
      <c r="C16" s="12">
        <v>8266</v>
      </c>
      <c r="D16" s="12">
        <v>339</v>
      </c>
      <c r="E16" s="12">
        <v>324</v>
      </c>
      <c r="F16" s="12">
        <v>431</v>
      </c>
      <c r="G16" s="12">
        <v>260</v>
      </c>
      <c r="H16" s="12">
        <v>425</v>
      </c>
      <c r="I16" s="12">
        <v>558</v>
      </c>
      <c r="J16" s="12">
        <v>133</v>
      </c>
      <c r="K16" s="12">
        <v>363</v>
      </c>
      <c r="L16" s="12">
        <v>305</v>
      </c>
      <c r="M16" s="12">
        <v>371</v>
      </c>
      <c r="N16" s="12">
        <v>197</v>
      </c>
      <c r="O16" s="12">
        <v>319</v>
      </c>
      <c r="P16" s="12">
        <v>312</v>
      </c>
      <c r="Q16" s="12">
        <v>314</v>
      </c>
      <c r="R16" s="12">
        <v>160</v>
      </c>
      <c r="S16" s="12">
        <v>339</v>
      </c>
      <c r="T16" s="12">
        <v>359</v>
      </c>
      <c r="U16" s="12">
        <v>124</v>
      </c>
      <c r="V16" s="12">
        <v>329</v>
      </c>
      <c r="W16" s="12">
        <v>129</v>
      </c>
      <c r="X16" s="12">
        <v>289</v>
      </c>
      <c r="Y16" s="12">
        <v>261</v>
      </c>
      <c r="Z16" s="12">
        <v>271</v>
      </c>
      <c r="AA16" s="12">
        <v>390</v>
      </c>
      <c r="AB16" s="12">
        <v>351</v>
      </c>
      <c r="AC16" s="12">
        <v>407</v>
      </c>
      <c r="AD16" s="12">
        <v>324</v>
      </c>
      <c r="AE16" s="12">
        <v>323</v>
      </c>
      <c r="AF16" s="12">
        <v>376</v>
      </c>
    </row>
    <row r="17" spans="1:32">
      <c r="A17" s="23"/>
      <c r="B17" s="13" t="s">
        <v>712</v>
      </c>
      <c r="C17" s="14">
        <v>0.31</v>
      </c>
      <c r="D17" s="14">
        <v>0.34</v>
      </c>
      <c r="E17" s="14">
        <v>0.31</v>
      </c>
      <c r="F17" s="14">
        <v>0.43</v>
      </c>
      <c r="G17" s="14">
        <v>0.26</v>
      </c>
      <c r="H17" s="14">
        <v>0.35</v>
      </c>
      <c r="I17" s="14">
        <v>0.37</v>
      </c>
      <c r="J17" s="14">
        <v>0.45</v>
      </c>
      <c r="K17" s="14">
        <v>0.36</v>
      </c>
      <c r="L17" s="14">
        <v>0.3</v>
      </c>
      <c r="M17" s="14">
        <v>0.37</v>
      </c>
      <c r="N17" s="14">
        <v>0.2</v>
      </c>
      <c r="O17" s="14">
        <v>0.32</v>
      </c>
      <c r="P17" s="14">
        <v>0.31</v>
      </c>
      <c r="Q17" s="14">
        <v>0.31</v>
      </c>
      <c r="R17" s="14">
        <v>0.32</v>
      </c>
      <c r="S17" s="14">
        <v>0.34</v>
      </c>
      <c r="T17" s="14">
        <v>0.36</v>
      </c>
      <c r="U17" s="14">
        <v>0.25</v>
      </c>
      <c r="V17" s="14">
        <v>0.33</v>
      </c>
      <c r="W17" s="14">
        <v>0.26</v>
      </c>
      <c r="X17" s="14">
        <v>0.28000000000000003</v>
      </c>
      <c r="Y17" s="14">
        <v>0.26</v>
      </c>
      <c r="Z17" s="14">
        <v>0.27</v>
      </c>
      <c r="AA17" s="14">
        <v>0.38</v>
      </c>
      <c r="AB17" s="14">
        <v>0.34</v>
      </c>
      <c r="AC17" s="14">
        <v>0.4</v>
      </c>
      <c r="AD17" s="14">
        <v>0.32</v>
      </c>
      <c r="AE17" s="14">
        <v>0.32</v>
      </c>
      <c r="AF17" s="14">
        <v>0.35</v>
      </c>
    </row>
    <row r="18" spans="1:32">
      <c r="A18" s="23"/>
      <c r="B18" s="11" t="s">
        <v>713</v>
      </c>
      <c r="C18" s="12">
        <v>7613</v>
      </c>
      <c r="D18" s="12">
        <v>251</v>
      </c>
      <c r="E18" s="12">
        <v>194</v>
      </c>
      <c r="F18" s="12">
        <v>159</v>
      </c>
      <c r="G18" s="12">
        <v>590</v>
      </c>
      <c r="H18" s="12">
        <v>420</v>
      </c>
      <c r="I18" s="12">
        <v>495</v>
      </c>
      <c r="J18" s="12">
        <v>75</v>
      </c>
      <c r="K18" s="12">
        <v>318</v>
      </c>
      <c r="L18" s="12">
        <v>371</v>
      </c>
      <c r="M18" s="12">
        <v>318</v>
      </c>
      <c r="N18" s="12">
        <v>424</v>
      </c>
      <c r="O18" s="12">
        <v>317</v>
      </c>
      <c r="P18" s="12">
        <v>160</v>
      </c>
      <c r="Q18" s="12">
        <v>177</v>
      </c>
      <c r="R18" s="12">
        <v>243</v>
      </c>
      <c r="S18" s="12">
        <v>117</v>
      </c>
      <c r="T18" s="12">
        <v>268</v>
      </c>
      <c r="U18" s="12">
        <v>254</v>
      </c>
      <c r="V18" s="12">
        <v>257</v>
      </c>
      <c r="W18" s="12">
        <v>251</v>
      </c>
      <c r="X18" s="12">
        <v>536</v>
      </c>
      <c r="Y18" s="12">
        <v>244</v>
      </c>
      <c r="Z18" s="12">
        <v>111</v>
      </c>
      <c r="AA18" s="12">
        <v>193</v>
      </c>
      <c r="AB18" s="12">
        <v>149</v>
      </c>
      <c r="AC18" s="12">
        <v>188</v>
      </c>
      <c r="AD18" s="12">
        <v>286</v>
      </c>
      <c r="AE18" s="12">
        <v>558</v>
      </c>
      <c r="AF18" s="12">
        <v>457</v>
      </c>
    </row>
    <row r="19" spans="1:32">
      <c r="A19" s="23"/>
      <c r="B19" s="13" t="s">
        <v>714</v>
      </c>
      <c r="C19" s="14">
        <v>0.28999999999999998</v>
      </c>
      <c r="D19" s="14">
        <v>0.25</v>
      </c>
      <c r="E19" s="14">
        <v>0.19</v>
      </c>
      <c r="F19" s="14">
        <v>0.16</v>
      </c>
      <c r="G19" s="14">
        <v>0.59</v>
      </c>
      <c r="H19" s="14">
        <v>0.35</v>
      </c>
      <c r="I19" s="14">
        <v>0.33</v>
      </c>
      <c r="J19" s="14">
        <v>0.26</v>
      </c>
      <c r="K19" s="14">
        <v>0.32</v>
      </c>
      <c r="L19" s="14">
        <v>0.37</v>
      </c>
      <c r="M19" s="14">
        <v>0.31</v>
      </c>
      <c r="N19" s="14">
        <v>0.42</v>
      </c>
      <c r="O19" s="14">
        <v>0.31</v>
      </c>
      <c r="P19" s="14">
        <v>0.16</v>
      </c>
      <c r="Q19" s="14">
        <v>0.17</v>
      </c>
      <c r="R19" s="14">
        <v>0.48</v>
      </c>
      <c r="S19" s="14">
        <v>0.12</v>
      </c>
      <c r="T19" s="14">
        <v>0.27</v>
      </c>
      <c r="U19" s="14">
        <v>0.5</v>
      </c>
      <c r="V19" s="14">
        <v>0.25</v>
      </c>
      <c r="W19" s="14">
        <v>0.5</v>
      </c>
      <c r="X19" s="14">
        <v>0.53</v>
      </c>
      <c r="Y19" s="14">
        <v>0.24</v>
      </c>
      <c r="Z19" s="14">
        <v>0.11</v>
      </c>
      <c r="AA19" s="14">
        <v>0.19</v>
      </c>
      <c r="AB19" s="14">
        <v>0.14000000000000001</v>
      </c>
      <c r="AC19" s="14">
        <v>0.19</v>
      </c>
      <c r="AD19" s="14">
        <v>0.28999999999999998</v>
      </c>
      <c r="AE19" s="14">
        <v>0.55000000000000004</v>
      </c>
      <c r="AF19" s="14">
        <v>0.43</v>
      </c>
    </row>
    <row r="20" spans="1:32">
      <c r="A20" s="23"/>
      <c r="B20" s="11" t="s">
        <v>497</v>
      </c>
      <c r="C20" s="12">
        <v>1185</v>
      </c>
      <c r="D20" s="12">
        <v>30</v>
      </c>
      <c r="E20" s="12">
        <v>136</v>
      </c>
      <c r="F20" s="12">
        <v>74</v>
      </c>
      <c r="G20" s="12">
        <v>20</v>
      </c>
      <c r="H20" s="12">
        <v>57</v>
      </c>
      <c r="I20" s="12">
        <v>62</v>
      </c>
      <c r="J20" s="12">
        <v>5</v>
      </c>
      <c r="K20" s="12">
        <v>66</v>
      </c>
      <c r="L20" s="12">
        <v>63</v>
      </c>
      <c r="M20" s="12">
        <v>41</v>
      </c>
      <c r="N20" s="12">
        <v>51</v>
      </c>
      <c r="O20" s="12">
        <v>53</v>
      </c>
      <c r="P20" s="12">
        <v>18</v>
      </c>
      <c r="Q20" s="12">
        <v>36</v>
      </c>
      <c r="R20" s="12">
        <v>10</v>
      </c>
      <c r="S20" s="12">
        <v>72</v>
      </c>
      <c r="T20" s="12">
        <v>73</v>
      </c>
      <c r="U20" s="12">
        <v>15</v>
      </c>
      <c r="V20" s="12">
        <v>35</v>
      </c>
      <c r="W20" s="12">
        <v>10</v>
      </c>
      <c r="X20" s="12">
        <v>14</v>
      </c>
      <c r="Y20" s="12">
        <v>61</v>
      </c>
      <c r="Z20" s="12">
        <v>46</v>
      </c>
      <c r="AA20" s="12">
        <v>87</v>
      </c>
      <c r="AB20" s="12">
        <v>49</v>
      </c>
      <c r="AC20" s="12">
        <v>25</v>
      </c>
      <c r="AD20" s="12">
        <v>58</v>
      </c>
      <c r="AE20" s="12">
        <v>20</v>
      </c>
      <c r="AF20" s="12">
        <v>12</v>
      </c>
    </row>
    <row r="21" spans="1:32">
      <c r="A21" s="23"/>
      <c r="B21" s="13" t="s">
        <v>498</v>
      </c>
      <c r="C21" s="14">
        <v>0.04</v>
      </c>
      <c r="D21" s="14">
        <v>0.03</v>
      </c>
      <c r="E21" s="14">
        <v>0.13</v>
      </c>
      <c r="F21" s="14">
        <v>7.0000000000000007E-2</v>
      </c>
      <c r="G21" s="14">
        <v>0.02</v>
      </c>
      <c r="H21" s="14">
        <v>0.05</v>
      </c>
      <c r="I21" s="14">
        <v>0.04</v>
      </c>
      <c r="J21" s="14">
        <v>0.02</v>
      </c>
      <c r="K21" s="14">
        <v>7.0000000000000007E-2</v>
      </c>
      <c r="L21" s="14">
        <v>0.06</v>
      </c>
      <c r="M21" s="14">
        <v>0.04</v>
      </c>
      <c r="N21" s="14">
        <v>0.05</v>
      </c>
      <c r="O21" s="14">
        <v>0.05</v>
      </c>
      <c r="P21" s="14">
        <v>0.02</v>
      </c>
      <c r="Q21" s="14">
        <v>0.04</v>
      </c>
      <c r="R21" s="14">
        <v>0.02</v>
      </c>
      <c r="S21" s="14">
        <v>7.0000000000000007E-2</v>
      </c>
      <c r="T21" s="14">
        <v>7.0000000000000007E-2</v>
      </c>
      <c r="U21" s="14">
        <v>0.03</v>
      </c>
      <c r="V21" s="14">
        <v>0.03</v>
      </c>
      <c r="W21" s="14">
        <v>0.02</v>
      </c>
      <c r="X21" s="14">
        <v>0.01</v>
      </c>
      <c r="Y21" s="14">
        <v>0.06</v>
      </c>
      <c r="Z21" s="14">
        <v>0.04</v>
      </c>
      <c r="AA21" s="14">
        <v>0.08</v>
      </c>
      <c r="AB21" s="14">
        <v>0.05</v>
      </c>
      <c r="AC21" s="14">
        <v>0.03</v>
      </c>
      <c r="AD21" s="14">
        <v>0.06</v>
      </c>
      <c r="AE21" s="14">
        <v>0.02</v>
      </c>
      <c r="AF21" s="14">
        <v>0.01</v>
      </c>
    </row>
    <row r="22" spans="1:32">
      <c r="A22" s="23"/>
      <c r="B22" s="11" t="s">
        <v>715</v>
      </c>
      <c r="C22" s="12">
        <v>9289</v>
      </c>
      <c r="D22" s="12">
        <v>387</v>
      </c>
      <c r="E22" s="12">
        <v>391</v>
      </c>
      <c r="F22" s="12">
        <v>343</v>
      </c>
      <c r="G22" s="12">
        <v>132</v>
      </c>
      <c r="H22" s="12">
        <v>308</v>
      </c>
      <c r="I22" s="12">
        <v>388</v>
      </c>
      <c r="J22" s="12">
        <v>80</v>
      </c>
      <c r="K22" s="12">
        <v>257</v>
      </c>
      <c r="L22" s="12">
        <v>269</v>
      </c>
      <c r="M22" s="12">
        <v>281</v>
      </c>
      <c r="N22" s="12">
        <v>328</v>
      </c>
      <c r="O22" s="12">
        <v>316</v>
      </c>
      <c r="P22" s="12">
        <v>522</v>
      </c>
      <c r="Q22" s="12">
        <v>496</v>
      </c>
      <c r="R22" s="12">
        <v>89</v>
      </c>
      <c r="S22" s="12">
        <v>476</v>
      </c>
      <c r="T22" s="12">
        <v>303</v>
      </c>
      <c r="U22" s="12">
        <v>109</v>
      </c>
      <c r="V22" s="12">
        <v>390</v>
      </c>
      <c r="W22" s="12">
        <v>113</v>
      </c>
      <c r="X22" s="12">
        <v>177</v>
      </c>
      <c r="Y22" s="12">
        <v>441</v>
      </c>
      <c r="Z22" s="12">
        <v>589</v>
      </c>
      <c r="AA22" s="12">
        <v>371</v>
      </c>
      <c r="AB22" s="12">
        <v>481</v>
      </c>
      <c r="AC22" s="12">
        <v>384</v>
      </c>
      <c r="AD22" s="12">
        <v>334</v>
      </c>
      <c r="AE22" s="12">
        <v>108</v>
      </c>
      <c r="AF22" s="12">
        <v>228</v>
      </c>
    </row>
    <row r="23" spans="1:32">
      <c r="A23" s="23"/>
      <c r="B23" s="13" t="s">
        <v>716</v>
      </c>
      <c r="C23" s="14">
        <v>0.36</v>
      </c>
      <c r="D23" s="14">
        <v>0.38</v>
      </c>
      <c r="E23" s="14">
        <v>0.37</v>
      </c>
      <c r="F23" s="14">
        <v>0.34</v>
      </c>
      <c r="G23" s="14">
        <v>0.13</v>
      </c>
      <c r="H23" s="14">
        <v>0.25</v>
      </c>
      <c r="I23" s="14">
        <v>0.26</v>
      </c>
      <c r="J23" s="14">
        <v>0.27</v>
      </c>
      <c r="K23" s="14">
        <v>0.25</v>
      </c>
      <c r="L23" s="14">
        <v>0.27</v>
      </c>
      <c r="M23" s="14">
        <v>0.28000000000000003</v>
      </c>
      <c r="N23" s="14">
        <v>0.33</v>
      </c>
      <c r="O23" s="14">
        <v>0.32</v>
      </c>
      <c r="P23" s="14">
        <v>0.51</v>
      </c>
      <c r="Q23" s="14">
        <v>0.48</v>
      </c>
      <c r="R23" s="14">
        <v>0.18</v>
      </c>
      <c r="S23" s="14">
        <v>0.47</v>
      </c>
      <c r="T23" s="14">
        <v>0.3</v>
      </c>
      <c r="U23" s="14">
        <v>0.22</v>
      </c>
      <c r="V23" s="14">
        <v>0.39</v>
      </c>
      <c r="W23" s="14">
        <v>0.22</v>
      </c>
      <c r="X23" s="14">
        <v>0.18</v>
      </c>
      <c r="Y23" s="14">
        <v>0.44</v>
      </c>
      <c r="Z23" s="14">
        <v>0.57999999999999996</v>
      </c>
      <c r="AA23" s="14">
        <v>0.35</v>
      </c>
      <c r="AB23" s="14">
        <v>0.47</v>
      </c>
      <c r="AC23" s="14">
        <v>0.38</v>
      </c>
      <c r="AD23" s="14">
        <v>0.33</v>
      </c>
      <c r="AE23" s="14">
        <v>0.11</v>
      </c>
      <c r="AF23" s="14">
        <v>0.21</v>
      </c>
    </row>
    <row r="24" spans="1:32">
      <c r="A24" s="23"/>
      <c r="B24" s="11" t="s">
        <v>717</v>
      </c>
      <c r="C24" s="12">
        <v>15879</v>
      </c>
      <c r="D24" s="12">
        <v>590</v>
      </c>
      <c r="E24" s="12">
        <v>518</v>
      </c>
      <c r="F24" s="12">
        <v>590</v>
      </c>
      <c r="G24" s="12">
        <v>850</v>
      </c>
      <c r="H24" s="12">
        <v>845</v>
      </c>
      <c r="I24" s="12">
        <v>1053</v>
      </c>
      <c r="J24" s="12">
        <v>208</v>
      </c>
      <c r="K24" s="12">
        <v>681</v>
      </c>
      <c r="L24" s="12">
        <v>676</v>
      </c>
      <c r="M24" s="12">
        <v>689</v>
      </c>
      <c r="N24" s="12">
        <v>621</v>
      </c>
      <c r="O24" s="12">
        <v>636</v>
      </c>
      <c r="P24" s="12">
        <v>472</v>
      </c>
      <c r="Q24" s="12">
        <v>491</v>
      </c>
      <c r="R24" s="12">
        <v>403</v>
      </c>
      <c r="S24" s="12">
        <v>456</v>
      </c>
      <c r="T24" s="12">
        <v>627</v>
      </c>
      <c r="U24" s="12">
        <v>378</v>
      </c>
      <c r="V24" s="12">
        <v>586</v>
      </c>
      <c r="W24" s="12">
        <v>380</v>
      </c>
      <c r="X24" s="12">
        <v>825</v>
      </c>
      <c r="Y24" s="12">
        <v>505</v>
      </c>
      <c r="Z24" s="12">
        <v>382</v>
      </c>
      <c r="AA24" s="12">
        <v>583</v>
      </c>
      <c r="AB24" s="12">
        <v>500</v>
      </c>
      <c r="AC24" s="12">
        <v>595</v>
      </c>
      <c r="AD24" s="12">
        <v>610</v>
      </c>
      <c r="AE24" s="12">
        <v>881</v>
      </c>
      <c r="AF24" s="12">
        <v>833</v>
      </c>
    </row>
    <row r="25" spans="1:32">
      <c r="A25" s="23"/>
      <c r="B25" s="13" t="s">
        <v>718</v>
      </c>
      <c r="C25" s="14">
        <v>0.6</v>
      </c>
      <c r="D25" s="14">
        <v>0.59</v>
      </c>
      <c r="E25" s="14">
        <v>0.5</v>
      </c>
      <c r="F25" s="14">
        <v>0.59</v>
      </c>
      <c r="G25" s="14">
        <v>0.85</v>
      </c>
      <c r="H25" s="14">
        <v>0.70000000000000007</v>
      </c>
      <c r="I25" s="14">
        <v>0.70000000000000007</v>
      </c>
      <c r="J25" s="14">
        <v>0.71</v>
      </c>
      <c r="K25" s="14">
        <v>0.68</v>
      </c>
      <c r="L25" s="14">
        <v>0.67</v>
      </c>
      <c r="M25" s="14">
        <v>0.68</v>
      </c>
      <c r="N25" s="14">
        <v>0.62</v>
      </c>
      <c r="O25" s="14">
        <v>0.63</v>
      </c>
      <c r="P25" s="14">
        <v>0.47</v>
      </c>
      <c r="Q25" s="14">
        <v>0.48</v>
      </c>
      <c r="R25" s="14">
        <v>0.8</v>
      </c>
      <c r="S25" s="14">
        <v>0.46</v>
      </c>
      <c r="T25" s="14">
        <v>0.63</v>
      </c>
      <c r="U25" s="14">
        <v>0.75</v>
      </c>
      <c r="V25" s="14">
        <v>0.57999999999999996</v>
      </c>
      <c r="W25" s="14">
        <v>0.76</v>
      </c>
      <c r="X25" s="14">
        <v>0.81</v>
      </c>
      <c r="Y25" s="14">
        <v>0.5</v>
      </c>
      <c r="Z25" s="14">
        <v>0.38</v>
      </c>
      <c r="AA25" s="14">
        <v>0.57000000000000006</v>
      </c>
      <c r="AB25" s="14">
        <v>0.48</v>
      </c>
      <c r="AC25" s="14">
        <v>0.59</v>
      </c>
      <c r="AD25" s="14">
        <v>0.61</v>
      </c>
      <c r="AE25" s="14">
        <v>0.87</v>
      </c>
      <c r="AF25" s="14">
        <v>0.78</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F1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36" customHeight="1">
      <c r="B3" s="19" t="s">
        <v>65</v>
      </c>
      <c r="C3" s="19"/>
      <c r="D3" s="19"/>
      <c r="E3" s="19"/>
      <c r="F3" s="19"/>
      <c r="H3" s="19" t="s">
        <v>66</v>
      </c>
      <c r="I3" s="19"/>
      <c r="J3" s="19"/>
      <c r="K3" s="19"/>
      <c r="L3" s="19"/>
    </row>
    <row r="4" spans="1:32" ht="27" customHeight="1">
      <c r="B4" s="19"/>
      <c r="C4" s="19"/>
      <c r="D4" s="19"/>
      <c r="E4" s="19"/>
      <c r="F4" s="19"/>
      <c r="H4" s="19"/>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HYPERLINK("#Content!A34","&lt;&lt;Back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23.25">
      <c r="A12" s="23"/>
      <c r="B12" s="11" t="s">
        <v>727</v>
      </c>
      <c r="C12" s="12">
        <v>8596</v>
      </c>
      <c r="D12" s="12">
        <v>403</v>
      </c>
      <c r="E12" s="12">
        <v>263</v>
      </c>
      <c r="F12" s="12">
        <v>362</v>
      </c>
      <c r="G12" s="12">
        <v>193</v>
      </c>
      <c r="H12" s="12">
        <v>577</v>
      </c>
      <c r="I12" s="12">
        <v>702</v>
      </c>
      <c r="J12" s="12">
        <v>125</v>
      </c>
      <c r="K12" s="12">
        <v>407</v>
      </c>
      <c r="L12" s="12">
        <v>257</v>
      </c>
      <c r="M12" s="12">
        <v>389</v>
      </c>
      <c r="N12" s="12">
        <v>331</v>
      </c>
      <c r="O12" s="12">
        <v>533</v>
      </c>
      <c r="P12" s="12">
        <v>297</v>
      </c>
      <c r="Q12" s="12">
        <v>117</v>
      </c>
      <c r="R12" s="12">
        <v>161</v>
      </c>
      <c r="S12" s="12">
        <v>189</v>
      </c>
      <c r="T12" s="12">
        <v>218</v>
      </c>
      <c r="U12" s="12">
        <v>142</v>
      </c>
      <c r="V12" s="12">
        <v>214</v>
      </c>
      <c r="W12" s="12">
        <v>110</v>
      </c>
      <c r="X12" s="12">
        <v>288</v>
      </c>
      <c r="Y12" s="12">
        <v>398</v>
      </c>
      <c r="Z12" s="12">
        <v>118</v>
      </c>
      <c r="AA12" s="12">
        <v>358</v>
      </c>
      <c r="AB12" s="12">
        <v>247</v>
      </c>
      <c r="AC12" s="12">
        <v>365</v>
      </c>
      <c r="AD12" s="12">
        <v>325</v>
      </c>
      <c r="AE12" s="12">
        <v>226</v>
      </c>
      <c r="AF12" s="12">
        <v>184</v>
      </c>
    </row>
    <row r="13" spans="1:32" ht="23.25">
      <c r="A13" s="23"/>
      <c r="B13" s="13" t="s">
        <v>728</v>
      </c>
      <c r="C13" s="14">
        <v>0.33</v>
      </c>
      <c r="D13" s="14">
        <v>0.4</v>
      </c>
      <c r="E13" s="14">
        <v>0.25</v>
      </c>
      <c r="F13" s="14">
        <v>0.36</v>
      </c>
      <c r="G13" s="14">
        <v>0.19</v>
      </c>
      <c r="H13" s="14">
        <v>0.48</v>
      </c>
      <c r="I13" s="14">
        <v>0.47</v>
      </c>
      <c r="J13" s="14">
        <v>0.43</v>
      </c>
      <c r="K13" s="14">
        <v>0.4</v>
      </c>
      <c r="L13" s="14">
        <v>0.25</v>
      </c>
      <c r="M13" s="14">
        <v>0.39</v>
      </c>
      <c r="N13" s="14">
        <v>0.33</v>
      </c>
      <c r="O13" s="14">
        <v>0.53</v>
      </c>
      <c r="P13" s="14">
        <v>0.28999999999999998</v>
      </c>
      <c r="Q13" s="14">
        <v>0.11</v>
      </c>
      <c r="R13" s="14">
        <v>0.32</v>
      </c>
      <c r="S13" s="14">
        <v>0.19</v>
      </c>
      <c r="T13" s="14">
        <v>0.22</v>
      </c>
      <c r="U13" s="14">
        <v>0.28000000000000003</v>
      </c>
      <c r="V13" s="14">
        <v>0.21</v>
      </c>
      <c r="W13" s="14">
        <v>0.22</v>
      </c>
      <c r="X13" s="14">
        <v>0.28000000000000003</v>
      </c>
      <c r="Y13" s="14">
        <v>0.4</v>
      </c>
      <c r="Z13" s="14">
        <v>0.12</v>
      </c>
      <c r="AA13" s="14">
        <v>0.35</v>
      </c>
      <c r="AB13" s="14">
        <v>0.24</v>
      </c>
      <c r="AC13" s="14">
        <v>0.36</v>
      </c>
      <c r="AD13" s="14">
        <v>0.32</v>
      </c>
      <c r="AE13" s="14">
        <v>0.22</v>
      </c>
      <c r="AF13" s="14">
        <v>0.17</v>
      </c>
    </row>
    <row r="14" spans="1:32" ht="23.25">
      <c r="A14" s="23"/>
      <c r="B14" s="11" t="s">
        <v>729</v>
      </c>
      <c r="C14" s="12">
        <v>13565</v>
      </c>
      <c r="D14" s="12">
        <v>472</v>
      </c>
      <c r="E14" s="12">
        <v>479</v>
      </c>
      <c r="F14" s="12">
        <v>526</v>
      </c>
      <c r="G14" s="12">
        <v>614</v>
      </c>
      <c r="H14" s="12">
        <v>523</v>
      </c>
      <c r="I14" s="12">
        <v>646</v>
      </c>
      <c r="J14" s="12">
        <v>124</v>
      </c>
      <c r="K14" s="12">
        <v>383</v>
      </c>
      <c r="L14" s="12">
        <v>483</v>
      </c>
      <c r="M14" s="12">
        <v>475</v>
      </c>
      <c r="N14" s="12">
        <v>453</v>
      </c>
      <c r="O14" s="12">
        <v>352</v>
      </c>
      <c r="P14" s="12">
        <v>543</v>
      </c>
      <c r="Q14" s="12">
        <v>776</v>
      </c>
      <c r="R14" s="12">
        <v>211</v>
      </c>
      <c r="S14" s="12">
        <v>474</v>
      </c>
      <c r="T14" s="12">
        <v>483</v>
      </c>
      <c r="U14" s="12">
        <v>230</v>
      </c>
      <c r="V14" s="12">
        <v>636</v>
      </c>
      <c r="W14" s="12">
        <v>211</v>
      </c>
      <c r="X14" s="12">
        <v>492</v>
      </c>
      <c r="Y14" s="12">
        <v>488</v>
      </c>
      <c r="Z14" s="12">
        <v>755</v>
      </c>
      <c r="AA14" s="12">
        <v>441</v>
      </c>
      <c r="AB14" s="12">
        <v>501</v>
      </c>
      <c r="AC14" s="12">
        <v>454</v>
      </c>
      <c r="AD14" s="12">
        <v>527</v>
      </c>
      <c r="AE14" s="12">
        <v>527</v>
      </c>
      <c r="AF14" s="12">
        <v>627</v>
      </c>
    </row>
    <row r="15" spans="1:32" ht="23.25">
      <c r="A15" s="23"/>
      <c r="B15" s="13" t="s">
        <v>730</v>
      </c>
      <c r="C15" s="14">
        <v>0.51</v>
      </c>
      <c r="D15" s="14">
        <v>0.47</v>
      </c>
      <c r="E15" s="14">
        <v>0.46</v>
      </c>
      <c r="F15" s="14">
        <v>0.52</v>
      </c>
      <c r="G15" s="14">
        <v>0.61</v>
      </c>
      <c r="H15" s="14">
        <v>0.43</v>
      </c>
      <c r="I15" s="14">
        <v>0.43</v>
      </c>
      <c r="J15" s="14">
        <v>0.42</v>
      </c>
      <c r="K15" s="14">
        <v>0.38</v>
      </c>
      <c r="L15" s="14">
        <v>0.48</v>
      </c>
      <c r="M15" s="14">
        <v>0.47</v>
      </c>
      <c r="N15" s="14">
        <v>0.45</v>
      </c>
      <c r="O15" s="14">
        <v>0.35</v>
      </c>
      <c r="P15" s="14">
        <v>0.54</v>
      </c>
      <c r="Q15" s="14">
        <v>0.76</v>
      </c>
      <c r="R15" s="14">
        <v>0.42</v>
      </c>
      <c r="S15" s="14">
        <v>0.47</v>
      </c>
      <c r="T15" s="14">
        <v>0.48</v>
      </c>
      <c r="U15" s="14">
        <v>0.46</v>
      </c>
      <c r="V15" s="14">
        <v>0.63</v>
      </c>
      <c r="W15" s="14">
        <v>0.42</v>
      </c>
      <c r="X15" s="14">
        <v>0.48</v>
      </c>
      <c r="Y15" s="14">
        <v>0.48</v>
      </c>
      <c r="Z15" s="14">
        <v>0.74</v>
      </c>
      <c r="AA15" s="14">
        <v>0.42</v>
      </c>
      <c r="AB15" s="14">
        <v>0.49</v>
      </c>
      <c r="AC15" s="14">
        <v>0.45</v>
      </c>
      <c r="AD15" s="14">
        <v>0.53</v>
      </c>
      <c r="AE15" s="14">
        <v>0.52</v>
      </c>
      <c r="AF15" s="14">
        <v>0.59</v>
      </c>
    </row>
    <row r="16" spans="1:32" ht="23.25">
      <c r="A16" s="23"/>
      <c r="B16" s="11" t="s">
        <v>731</v>
      </c>
      <c r="C16" s="12">
        <v>3619</v>
      </c>
      <c r="D16" s="12">
        <v>111</v>
      </c>
      <c r="E16" s="12">
        <v>208</v>
      </c>
      <c r="F16" s="12">
        <v>85</v>
      </c>
      <c r="G16" s="12">
        <v>191</v>
      </c>
      <c r="H16" s="12">
        <v>98</v>
      </c>
      <c r="I16" s="12">
        <v>138</v>
      </c>
      <c r="J16" s="12">
        <v>40</v>
      </c>
      <c r="K16" s="12">
        <v>166</v>
      </c>
      <c r="L16" s="12">
        <v>240</v>
      </c>
      <c r="M16" s="12">
        <v>132</v>
      </c>
      <c r="N16" s="12">
        <v>191</v>
      </c>
      <c r="O16" s="12">
        <v>105</v>
      </c>
      <c r="P16" s="12">
        <v>167</v>
      </c>
      <c r="Q16" s="12">
        <v>109</v>
      </c>
      <c r="R16" s="12">
        <v>108</v>
      </c>
      <c r="S16" s="12">
        <v>307</v>
      </c>
      <c r="T16" s="12">
        <v>260</v>
      </c>
      <c r="U16" s="12">
        <v>109</v>
      </c>
      <c r="V16" s="12">
        <v>128</v>
      </c>
      <c r="W16" s="12">
        <v>167</v>
      </c>
      <c r="X16" s="12">
        <v>230</v>
      </c>
      <c r="Y16" s="12">
        <v>77</v>
      </c>
      <c r="Z16" s="12">
        <v>129</v>
      </c>
      <c r="AA16" s="12">
        <v>147</v>
      </c>
      <c r="AB16" s="12">
        <v>250</v>
      </c>
      <c r="AC16" s="12">
        <v>174</v>
      </c>
      <c r="AD16" s="12">
        <v>89</v>
      </c>
      <c r="AE16" s="12">
        <v>249</v>
      </c>
      <c r="AF16" s="12">
        <v>249</v>
      </c>
    </row>
    <row r="17" spans="1:32" ht="23.25">
      <c r="A17" s="23"/>
      <c r="B17" s="13" t="s">
        <v>732</v>
      </c>
      <c r="C17" s="14">
        <v>0.14000000000000001</v>
      </c>
      <c r="D17" s="14">
        <v>0.11</v>
      </c>
      <c r="E17" s="14">
        <v>0.2</v>
      </c>
      <c r="F17" s="14">
        <v>0.09</v>
      </c>
      <c r="G17" s="14">
        <v>0.19</v>
      </c>
      <c r="H17" s="14">
        <v>0.08</v>
      </c>
      <c r="I17" s="14">
        <v>0.09</v>
      </c>
      <c r="J17" s="14">
        <v>0.13</v>
      </c>
      <c r="K17" s="14">
        <v>0.17</v>
      </c>
      <c r="L17" s="14">
        <v>0.24</v>
      </c>
      <c r="M17" s="14">
        <v>0.13</v>
      </c>
      <c r="N17" s="14">
        <v>0.19</v>
      </c>
      <c r="O17" s="14">
        <v>0.1</v>
      </c>
      <c r="P17" s="14">
        <v>0.17</v>
      </c>
      <c r="Q17" s="14">
        <v>0.11</v>
      </c>
      <c r="R17" s="14">
        <v>0.22</v>
      </c>
      <c r="S17" s="14">
        <v>0.31</v>
      </c>
      <c r="T17" s="14">
        <v>0.26</v>
      </c>
      <c r="U17" s="14">
        <v>0.22</v>
      </c>
      <c r="V17" s="14">
        <v>0.13</v>
      </c>
      <c r="W17" s="14">
        <v>0.33</v>
      </c>
      <c r="X17" s="14">
        <v>0.23</v>
      </c>
      <c r="Y17" s="14">
        <v>0.08</v>
      </c>
      <c r="Z17" s="14">
        <v>0.13</v>
      </c>
      <c r="AA17" s="14">
        <v>0.14000000000000001</v>
      </c>
      <c r="AB17" s="14">
        <v>0.24</v>
      </c>
      <c r="AC17" s="14">
        <v>0.18</v>
      </c>
      <c r="AD17" s="14">
        <v>0.09</v>
      </c>
      <c r="AE17" s="14">
        <v>0.25</v>
      </c>
      <c r="AF17" s="14">
        <v>0.23</v>
      </c>
    </row>
    <row r="18" spans="1:32" ht="23.25">
      <c r="A18" s="23"/>
      <c r="B18" s="11" t="s">
        <v>733</v>
      </c>
      <c r="C18" s="12">
        <v>574</v>
      </c>
      <c r="D18" s="12">
        <v>20</v>
      </c>
      <c r="E18" s="12">
        <v>94</v>
      </c>
      <c r="F18" s="12">
        <v>34</v>
      </c>
      <c r="G18" s="12">
        <v>5</v>
      </c>
      <c r="H18" s="12">
        <v>13</v>
      </c>
      <c r="I18" s="12">
        <v>18</v>
      </c>
      <c r="J18" s="12">
        <v>5</v>
      </c>
      <c r="K18" s="12">
        <v>48</v>
      </c>
      <c r="L18" s="12">
        <v>26</v>
      </c>
      <c r="M18" s="12">
        <v>15</v>
      </c>
      <c r="N18" s="12">
        <v>25</v>
      </c>
      <c r="O18" s="12">
        <v>15</v>
      </c>
      <c r="P18" s="12">
        <v>5</v>
      </c>
      <c r="Q18" s="12">
        <v>22</v>
      </c>
      <c r="R18" s="12">
        <v>22</v>
      </c>
      <c r="S18" s="12">
        <v>36</v>
      </c>
      <c r="T18" s="12">
        <v>43</v>
      </c>
      <c r="U18" s="12">
        <v>21</v>
      </c>
      <c r="V18" s="12">
        <v>32</v>
      </c>
      <c r="W18" s="12">
        <v>15</v>
      </c>
      <c r="X18" s="12">
        <v>5</v>
      </c>
      <c r="Y18" s="12">
        <v>44</v>
      </c>
      <c r="Z18" s="12">
        <v>15</v>
      </c>
      <c r="AA18" s="12">
        <v>93</v>
      </c>
      <c r="AB18" s="12">
        <v>32</v>
      </c>
      <c r="AC18" s="12">
        <v>12</v>
      </c>
      <c r="AD18" s="12">
        <v>61</v>
      </c>
      <c r="AE18" s="12">
        <v>5</v>
      </c>
      <c r="AF18" s="12">
        <v>13</v>
      </c>
    </row>
    <row r="19" spans="1:32">
      <c r="A19" s="23"/>
      <c r="B19" s="13" t="s">
        <v>734</v>
      </c>
      <c r="C19" s="14">
        <v>0.02</v>
      </c>
      <c r="D19" s="14">
        <v>0.02</v>
      </c>
      <c r="E19" s="14">
        <v>0.09</v>
      </c>
      <c r="F19" s="14">
        <v>0.03</v>
      </c>
      <c r="G19" s="14">
        <v>0.01</v>
      </c>
      <c r="H19" s="14">
        <v>0.01</v>
      </c>
      <c r="I19" s="14">
        <v>0.01</v>
      </c>
      <c r="J19" s="14">
        <v>0.02</v>
      </c>
      <c r="K19" s="14">
        <v>0.05</v>
      </c>
      <c r="L19" s="14">
        <v>0.03</v>
      </c>
      <c r="M19" s="14">
        <v>0.01</v>
      </c>
      <c r="N19" s="14">
        <v>0.03</v>
      </c>
      <c r="O19" s="14">
        <v>0.02</v>
      </c>
      <c r="P19" s="15" t="s">
        <v>485</v>
      </c>
      <c r="Q19" s="14">
        <v>0.02</v>
      </c>
      <c r="R19" s="14">
        <v>0.04</v>
      </c>
      <c r="S19" s="14">
        <v>0.03</v>
      </c>
      <c r="T19" s="14">
        <v>0.04</v>
      </c>
      <c r="U19" s="14">
        <v>0.04</v>
      </c>
      <c r="V19" s="14">
        <v>0.03</v>
      </c>
      <c r="W19" s="14">
        <v>0.03</v>
      </c>
      <c r="X19" s="14">
        <v>0.01</v>
      </c>
      <c r="Y19" s="14">
        <v>0.04</v>
      </c>
      <c r="Z19" s="14">
        <v>0.01</v>
      </c>
      <c r="AA19" s="14">
        <v>0.09</v>
      </c>
      <c r="AB19" s="14">
        <v>0.03</v>
      </c>
      <c r="AC19" s="14">
        <v>0.01</v>
      </c>
      <c r="AD19" s="14">
        <v>0.06</v>
      </c>
      <c r="AE19" s="14">
        <v>0.01</v>
      </c>
      <c r="AF19" s="14">
        <v>0.01</v>
      </c>
    </row>
  </sheetData>
  <mergeCells count="9">
    <mergeCell ref="H3:L3"/>
    <mergeCell ref="C8:AF8"/>
    <mergeCell ref="B3:F3"/>
    <mergeCell ref="B5:F5"/>
    <mergeCell ref="A10:A19"/>
    <mergeCell ref="H5:L5"/>
    <mergeCell ref="B10:B11"/>
    <mergeCell ref="H4:L4"/>
    <mergeCell ref="B4:F4"/>
  </mergeCells>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33"/>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36" customHeight="1">
      <c r="B3" s="19" t="s">
        <v>67</v>
      </c>
      <c r="C3" s="19"/>
      <c r="D3" s="19"/>
      <c r="E3" s="19"/>
      <c r="F3" s="19"/>
      <c r="H3" s="19" t="s">
        <v>68</v>
      </c>
      <c r="I3" s="19"/>
      <c r="J3" s="19"/>
      <c r="K3" s="19"/>
      <c r="L3" s="19"/>
    </row>
    <row r="4" spans="1:32" ht="27" customHeight="1">
      <c r="B4" s="19"/>
      <c r="C4" s="19"/>
      <c r="D4" s="19"/>
      <c r="E4" s="19"/>
      <c r="F4" s="19"/>
      <c r="H4" s="19"/>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HYPERLINK("#Content!A35","&lt;&lt;Back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735</v>
      </c>
      <c r="C12" s="12">
        <v>1482</v>
      </c>
      <c r="D12" s="12">
        <v>85</v>
      </c>
      <c r="E12" s="12">
        <v>26</v>
      </c>
      <c r="F12" s="12">
        <v>44</v>
      </c>
      <c r="G12" s="12">
        <v>90</v>
      </c>
      <c r="H12" s="12">
        <v>77</v>
      </c>
      <c r="I12" s="12">
        <v>102</v>
      </c>
      <c r="J12" s="12">
        <v>25</v>
      </c>
      <c r="K12" s="12">
        <v>85</v>
      </c>
      <c r="L12" s="12">
        <v>71</v>
      </c>
      <c r="M12" s="12">
        <v>19</v>
      </c>
      <c r="N12" s="12">
        <v>75</v>
      </c>
      <c r="O12" s="12">
        <v>90</v>
      </c>
      <c r="P12" s="12">
        <v>52</v>
      </c>
      <c r="Q12" s="12">
        <v>17</v>
      </c>
      <c r="R12" s="12">
        <v>17</v>
      </c>
      <c r="S12" s="12">
        <v>48</v>
      </c>
      <c r="T12" s="12">
        <v>33</v>
      </c>
      <c r="U12" s="12">
        <v>54</v>
      </c>
      <c r="V12" s="12">
        <v>19</v>
      </c>
      <c r="W12" s="12">
        <v>9</v>
      </c>
      <c r="X12" s="12">
        <v>62</v>
      </c>
      <c r="Y12" s="12">
        <v>91</v>
      </c>
      <c r="Z12" s="12">
        <v>28</v>
      </c>
      <c r="AA12" s="12">
        <v>12</v>
      </c>
      <c r="AB12" s="12">
        <v>10</v>
      </c>
      <c r="AC12" s="12">
        <v>74</v>
      </c>
      <c r="AD12" s="12">
        <v>71</v>
      </c>
      <c r="AE12" s="12">
        <v>53</v>
      </c>
      <c r="AF12" s="12">
        <v>140</v>
      </c>
    </row>
    <row r="13" spans="1:32">
      <c r="A13" s="23"/>
      <c r="B13" s="13" t="s">
        <v>736</v>
      </c>
      <c r="C13" s="14">
        <v>0.06</v>
      </c>
      <c r="D13" s="14">
        <v>0.08</v>
      </c>
      <c r="E13" s="14">
        <v>0.03</v>
      </c>
      <c r="F13" s="14">
        <v>0.04</v>
      </c>
      <c r="G13" s="14">
        <v>0.09</v>
      </c>
      <c r="H13" s="14">
        <v>0.06</v>
      </c>
      <c r="I13" s="14">
        <v>7.0000000000000007E-2</v>
      </c>
      <c r="J13" s="14">
        <v>0.09</v>
      </c>
      <c r="K13" s="14">
        <v>0.08</v>
      </c>
      <c r="L13" s="14">
        <v>7.0000000000000007E-2</v>
      </c>
      <c r="M13" s="14">
        <v>0.02</v>
      </c>
      <c r="N13" s="14">
        <v>7.0000000000000007E-2</v>
      </c>
      <c r="O13" s="14">
        <v>0.09</v>
      </c>
      <c r="P13" s="14">
        <v>0.05</v>
      </c>
      <c r="Q13" s="14">
        <v>0.02</v>
      </c>
      <c r="R13" s="14">
        <v>0.03</v>
      </c>
      <c r="S13" s="14">
        <v>0.05</v>
      </c>
      <c r="T13" s="14">
        <v>0.03</v>
      </c>
      <c r="U13" s="14">
        <v>0.11</v>
      </c>
      <c r="V13" s="14">
        <v>0.02</v>
      </c>
      <c r="W13" s="14">
        <v>0.02</v>
      </c>
      <c r="X13" s="14">
        <v>0.06</v>
      </c>
      <c r="Y13" s="14">
        <v>0.09</v>
      </c>
      <c r="Z13" s="14">
        <v>0.03</v>
      </c>
      <c r="AA13" s="14">
        <v>0.01</v>
      </c>
      <c r="AB13" s="14">
        <v>0.01</v>
      </c>
      <c r="AC13" s="14">
        <v>7.0000000000000007E-2</v>
      </c>
      <c r="AD13" s="14">
        <v>7.0000000000000007E-2</v>
      </c>
      <c r="AE13" s="14">
        <v>0.05</v>
      </c>
      <c r="AF13" s="14">
        <v>0.13</v>
      </c>
    </row>
    <row r="14" spans="1:32">
      <c r="A14" s="23"/>
      <c r="B14" s="11" t="s">
        <v>737</v>
      </c>
      <c r="C14" s="12">
        <v>12518</v>
      </c>
      <c r="D14" s="12">
        <v>397</v>
      </c>
      <c r="E14" s="12">
        <v>609</v>
      </c>
      <c r="F14" s="12">
        <v>464</v>
      </c>
      <c r="G14" s="12">
        <v>341</v>
      </c>
      <c r="H14" s="12">
        <v>505</v>
      </c>
      <c r="I14" s="12">
        <v>642</v>
      </c>
      <c r="J14" s="12">
        <v>137</v>
      </c>
      <c r="K14" s="12">
        <v>306</v>
      </c>
      <c r="L14" s="12">
        <v>335</v>
      </c>
      <c r="M14" s="12">
        <v>460</v>
      </c>
      <c r="N14" s="12">
        <v>448</v>
      </c>
      <c r="O14" s="12">
        <v>486</v>
      </c>
      <c r="P14" s="12">
        <v>486</v>
      </c>
      <c r="Q14" s="12">
        <v>658</v>
      </c>
      <c r="R14" s="12">
        <v>178</v>
      </c>
      <c r="S14" s="12">
        <v>325</v>
      </c>
      <c r="T14" s="12">
        <v>435</v>
      </c>
      <c r="U14" s="12">
        <v>130</v>
      </c>
      <c r="V14" s="12">
        <v>417</v>
      </c>
      <c r="W14" s="12">
        <v>141</v>
      </c>
      <c r="X14" s="12">
        <v>236</v>
      </c>
      <c r="Y14" s="12">
        <v>388</v>
      </c>
      <c r="Z14" s="12">
        <v>515</v>
      </c>
      <c r="AA14" s="12">
        <v>795</v>
      </c>
      <c r="AB14" s="12">
        <v>614</v>
      </c>
      <c r="AC14" s="12">
        <v>386</v>
      </c>
      <c r="AD14" s="12">
        <v>494</v>
      </c>
      <c r="AE14" s="12">
        <v>292</v>
      </c>
      <c r="AF14" s="12">
        <v>311</v>
      </c>
    </row>
    <row r="15" spans="1:32">
      <c r="A15" s="23"/>
      <c r="B15" s="13" t="s">
        <v>738</v>
      </c>
      <c r="C15" s="14">
        <v>0.48</v>
      </c>
      <c r="D15" s="14">
        <v>0.39</v>
      </c>
      <c r="E15" s="14">
        <v>0.57999999999999996</v>
      </c>
      <c r="F15" s="14">
        <v>0.46</v>
      </c>
      <c r="G15" s="14">
        <v>0.34</v>
      </c>
      <c r="H15" s="14">
        <v>0.42</v>
      </c>
      <c r="I15" s="14">
        <v>0.43</v>
      </c>
      <c r="J15" s="14">
        <v>0.47</v>
      </c>
      <c r="K15" s="14">
        <v>0.31</v>
      </c>
      <c r="L15" s="14">
        <v>0.33</v>
      </c>
      <c r="M15" s="14">
        <v>0.45</v>
      </c>
      <c r="N15" s="14">
        <v>0.45</v>
      </c>
      <c r="O15" s="14">
        <v>0.48</v>
      </c>
      <c r="P15" s="14">
        <v>0.48</v>
      </c>
      <c r="Q15" s="14">
        <v>0.64</v>
      </c>
      <c r="R15" s="14">
        <v>0.35</v>
      </c>
      <c r="S15" s="14">
        <v>0.32</v>
      </c>
      <c r="T15" s="14">
        <v>0.43</v>
      </c>
      <c r="U15" s="14">
        <v>0.26</v>
      </c>
      <c r="V15" s="14">
        <v>0.41</v>
      </c>
      <c r="W15" s="14">
        <v>0.28000000000000003</v>
      </c>
      <c r="X15" s="14">
        <v>0.23</v>
      </c>
      <c r="Y15" s="14">
        <v>0.38</v>
      </c>
      <c r="Z15" s="14">
        <v>0.51</v>
      </c>
      <c r="AA15" s="14">
        <v>0.76</v>
      </c>
      <c r="AB15" s="14">
        <v>0.59</v>
      </c>
      <c r="AC15" s="14">
        <v>0.38</v>
      </c>
      <c r="AD15" s="14">
        <v>0.49</v>
      </c>
      <c r="AE15" s="14">
        <v>0.28999999999999998</v>
      </c>
      <c r="AF15" s="14">
        <v>0.28999999999999998</v>
      </c>
    </row>
    <row r="16" spans="1:32" ht="57">
      <c r="A16" s="23"/>
      <c r="B16" s="11" t="s">
        <v>739</v>
      </c>
      <c r="C16" s="12">
        <v>1366</v>
      </c>
      <c r="D16" s="12">
        <v>86</v>
      </c>
      <c r="E16" s="12">
        <v>17</v>
      </c>
      <c r="F16" s="12">
        <v>24</v>
      </c>
      <c r="G16" s="12">
        <v>69</v>
      </c>
      <c r="H16" s="12">
        <v>100</v>
      </c>
      <c r="I16" s="12">
        <v>114</v>
      </c>
      <c r="J16" s="12">
        <v>14</v>
      </c>
      <c r="K16" s="12">
        <v>49</v>
      </c>
      <c r="L16" s="12">
        <v>42</v>
      </c>
      <c r="M16" s="12">
        <v>21</v>
      </c>
      <c r="N16" s="12">
        <v>17</v>
      </c>
      <c r="O16" s="12">
        <v>49</v>
      </c>
      <c r="P16" s="12">
        <v>31</v>
      </c>
      <c r="Q16" s="12">
        <v>41</v>
      </c>
      <c r="R16" s="12">
        <v>9</v>
      </c>
      <c r="S16" s="12">
        <v>15</v>
      </c>
      <c r="T16" s="12">
        <v>11</v>
      </c>
      <c r="U16" s="12">
        <v>51</v>
      </c>
      <c r="V16" s="12">
        <v>28</v>
      </c>
      <c r="W16" s="12">
        <v>8</v>
      </c>
      <c r="X16" s="12">
        <v>189</v>
      </c>
      <c r="Y16" s="12">
        <v>108</v>
      </c>
      <c r="Z16" s="12">
        <v>22</v>
      </c>
      <c r="AA16" s="12">
        <v>38</v>
      </c>
      <c r="AB16" s="12">
        <v>31</v>
      </c>
      <c r="AC16" s="12">
        <v>36</v>
      </c>
      <c r="AD16" s="12">
        <v>20</v>
      </c>
      <c r="AE16" s="12">
        <v>82</v>
      </c>
      <c r="AF16" s="12">
        <v>96</v>
      </c>
    </row>
    <row r="17" spans="1:32" ht="34.5">
      <c r="A17" s="23"/>
      <c r="B17" s="13" t="s">
        <v>740</v>
      </c>
      <c r="C17" s="14">
        <v>0.05</v>
      </c>
      <c r="D17" s="14">
        <v>0.09</v>
      </c>
      <c r="E17" s="14">
        <v>0.02</v>
      </c>
      <c r="F17" s="14">
        <v>0.02</v>
      </c>
      <c r="G17" s="14">
        <v>7.0000000000000007E-2</v>
      </c>
      <c r="H17" s="14">
        <v>0.08</v>
      </c>
      <c r="I17" s="14">
        <v>0.08</v>
      </c>
      <c r="J17" s="14">
        <v>0.05</v>
      </c>
      <c r="K17" s="14">
        <v>0.05</v>
      </c>
      <c r="L17" s="14">
        <v>0.04</v>
      </c>
      <c r="M17" s="14">
        <v>0.02</v>
      </c>
      <c r="N17" s="14">
        <v>0.02</v>
      </c>
      <c r="O17" s="14">
        <v>0.05</v>
      </c>
      <c r="P17" s="14">
        <v>0.03</v>
      </c>
      <c r="Q17" s="14">
        <v>0.04</v>
      </c>
      <c r="R17" s="14">
        <v>0.02</v>
      </c>
      <c r="S17" s="14">
        <v>0.02</v>
      </c>
      <c r="T17" s="14">
        <v>0.01</v>
      </c>
      <c r="U17" s="14">
        <v>0.1</v>
      </c>
      <c r="V17" s="14">
        <v>0.03</v>
      </c>
      <c r="W17" s="14">
        <v>0.02</v>
      </c>
      <c r="X17" s="14">
        <v>0.19</v>
      </c>
      <c r="Y17" s="14">
        <v>0.11</v>
      </c>
      <c r="Z17" s="14">
        <v>0.02</v>
      </c>
      <c r="AA17" s="14">
        <v>0.04</v>
      </c>
      <c r="AB17" s="14">
        <v>0.03</v>
      </c>
      <c r="AC17" s="14">
        <v>0.03</v>
      </c>
      <c r="AD17" s="14">
        <v>0.02</v>
      </c>
      <c r="AE17" s="14">
        <v>0.08</v>
      </c>
      <c r="AF17" s="14">
        <v>0.09</v>
      </c>
    </row>
    <row r="18" spans="1:32" ht="45.75">
      <c r="A18" s="23"/>
      <c r="B18" s="11" t="s">
        <v>741</v>
      </c>
      <c r="C18" s="12">
        <v>4517</v>
      </c>
      <c r="D18" s="12">
        <v>192</v>
      </c>
      <c r="E18" s="12">
        <v>116</v>
      </c>
      <c r="F18" s="12">
        <v>197</v>
      </c>
      <c r="G18" s="12">
        <v>294</v>
      </c>
      <c r="H18" s="12">
        <v>219</v>
      </c>
      <c r="I18" s="12">
        <v>258</v>
      </c>
      <c r="J18" s="12">
        <v>39</v>
      </c>
      <c r="K18" s="12">
        <v>295</v>
      </c>
      <c r="L18" s="12">
        <v>157</v>
      </c>
      <c r="M18" s="12">
        <v>243</v>
      </c>
      <c r="N18" s="12">
        <v>175</v>
      </c>
      <c r="O18" s="12">
        <v>137</v>
      </c>
      <c r="P18" s="12">
        <v>232</v>
      </c>
      <c r="Q18" s="12">
        <v>115</v>
      </c>
      <c r="R18" s="12">
        <v>139</v>
      </c>
      <c r="S18" s="12">
        <v>218</v>
      </c>
      <c r="T18" s="12">
        <v>189</v>
      </c>
      <c r="U18" s="12">
        <v>139</v>
      </c>
      <c r="V18" s="12">
        <v>263</v>
      </c>
      <c r="W18" s="12">
        <v>156</v>
      </c>
      <c r="X18" s="12">
        <v>318</v>
      </c>
      <c r="Y18" s="12">
        <v>145</v>
      </c>
      <c r="Z18" s="12">
        <v>178</v>
      </c>
      <c r="AA18" s="12">
        <v>53</v>
      </c>
      <c r="AB18" s="12">
        <v>68</v>
      </c>
      <c r="AC18" s="12">
        <v>270</v>
      </c>
      <c r="AD18" s="12">
        <v>162</v>
      </c>
      <c r="AE18" s="12">
        <v>412</v>
      </c>
      <c r="AF18" s="12">
        <v>397</v>
      </c>
    </row>
    <row r="19" spans="1:32" ht="34.5">
      <c r="A19" s="23"/>
      <c r="B19" s="13" t="s">
        <v>742</v>
      </c>
      <c r="C19" s="14">
        <v>0.17</v>
      </c>
      <c r="D19" s="14">
        <v>0.19</v>
      </c>
      <c r="E19" s="14">
        <v>0.11</v>
      </c>
      <c r="F19" s="14">
        <v>0.2</v>
      </c>
      <c r="G19" s="14">
        <v>0.28999999999999998</v>
      </c>
      <c r="H19" s="14">
        <v>0.18</v>
      </c>
      <c r="I19" s="14">
        <v>0.17</v>
      </c>
      <c r="J19" s="14">
        <v>0.13</v>
      </c>
      <c r="K19" s="14">
        <v>0.28999999999999998</v>
      </c>
      <c r="L19" s="14">
        <v>0.16</v>
      </c>
      <c r="M19" s="14">
        <v>0.24</v>
      </c>
      <c r="N19" s="14">
        <v>0.18</v>
      </c>
      <c r="O19" s="14">
        <v>0.14000000000000001</v>
      </c>
      <c r="P19" s="14">
        <v>0.23</v>
      </c>
      <c r="Q19" s="14">
        <v>0.11</v>
      </c>
      <c r="R19" s="14">
        <v>0.28000000000000003</v>
      </c>
      <c r="S19" s="14">
        <v>0.22</v>
      </c>
      <c r="T19" s="14">
        <v>0.19</v>
      </c>
      <c r="U19" s="14">
        <v>0.28000000000000003</v>
      </c>
      <c r="V19" s="14">
        <v>0.26</v>
      </c>
      <c r="W19" s="14">
        <v>0.31</v>
      </c>
      <c r="X19" s="14">
        <v>0.31</v>
      </c>
      <c r="Y19" s="14">
        <v>0.14000000000000001</v>
      </c>
      <c r="Z19" s="14">
        <v>0.17</v>
      </c>
      <c r="AA19" s="14">
        <v>0.05</v>
      </c>
      <c r="AB19" s="14">
        <v>7.0000000000000007E-2</v>
      </c>
      <c r="AC19" s="14">
        <v>0.27</v>
      </c>
      <c r="AD19" s="14">
        <v>0.16</v>
      </c>
      <c r="AE19" s="14">
        <v>0.41</v>
      </c>
      <c r="AF19" s="14">
        <v>0.37</v>
      </c>
    </row>
    <row r="20" spans="1:32" ht="34.5">
      <c r="A20" s="23"/>
      <c r="B20" s="11" t="s">
        <v>743</v>
      </c>
      <c r="C20" s="12">
        <v>960</v>
      </c>
      <c r="D20" s="12">
        <v>32</v>
      </c>
      <c r="E20" s="12">
        <v>22</v>
      </c>
      <c r="F20" s="12">
        <v>29</v>
      </c>
      <c r="G20" s="12">
        <v>11</v>
      </c>
      <c r="H20" s="12">
        <v>45</v>
      </c>
      <c r="I20" s="12">
        <v>61</v>
      </c>
      <c r="J20" s="12">
        <v>16</v>
      </c>
      <c r="K20" s="12">
        <v>41</v>
      </c>
      <c r="L20" s="12">
        <v>29</v>
      </c>
      <c r="M20" s="12">
        <v>19</v>
      </c>
      <c r="N20" s="12">
        <v>50</v>
      </c>
      <c r="O20" s="12">
        <v>35</v>
      </c>
      <c r="P20" s="12">
        <v>23</v>
      </c>
      <c r="Q20" s="12">
        <v>34</v>
      </c>
      <c r="R20" s="12">
        <v>19</v>
      </c>
      <c r="S20" s="12">
        <v>96</v>
      </c>
      <c r="T20" s="12">
        <v>74</v>
      </c>
      <c r="U20" s="12">
        <v>23</v>
      </c>
      <c r="V20" s="12">
        <v>28</v>
      </c>
      <c r="W20" s="12">
        <v>10</v>
      </c>
      <c r="X20" s="12">
        <v>36</v>
      </c>
      <c r="Y20" s="12">
        <v>26</v>
      </c>
      <c r="Z20" s="12">
        <v>30</v>
      </c>
      <c r="AA20" s="12">
        <v>15</v>
      </c>
      <c r="AB20" s="12">
        <v>57</v>
      </c>
      <c r="AC20" s="12">
        <v>46</v>
      </c>
      <c r="AD20" s="12">
        <v>47</v>
      </c>
      <c r="AE20" s="12">
        <v>31</v>
      </c>
      <c r="AF20" s="12">
        <v>40</v>
      </c>
    </row>
    <row r="21" spans="1:32" ht="23.25">
      <c r="A21" s="23"/>
      <c r="B21" s="13" t="s">
        <v>744</v>
      </c>
      <c r="C21" s="14">
        <v>0.04</v>
      </c>
      <c r="D21" s="14">
        <v>0.03</v>
      </c>
      <c r="E21" s="14">
        <v>0.02</v>
      </c>
      <c r="F21" s="14">
        <v>0.03</v>
      </c>
      <c r="G21" s="14">
        <v>0.01</v>
      </c>
      <c r="H21" s="14">
        <v>0.04</v>
      </c>
      <c r="I21" s="14">
        <v>0.04</v>
      </c>
      <c r="J21" s="14">
        <v>0.05</v>
      </c>
      <c r="K21" s="14">
        <v>0.04</v>
      </c>
      <c r="L21" s="14">
        <v>0.03</v>
      </c>
      <c r="M21" s="14">
        <v>0.02</v>
      </c>
      <c r="N21" s="14">
        <v>0.05</v>
      </c>
      <c r="O21" s="14">
        <v>0.04</v>
      </c>
      <c r="P21" s="14">
        <v>0.02</v>
      </c>
      <c r="Q21" s="14">
        <v>0.03</v>
      </c>
      <c r="R21" s="14">
        <v>0.04</v>
      </c>
      <c r="S21" s="14">
        <v>0.09</v>
      </c>
      <c r="T21" s="14">
        <v>7.0000000000000007E-2</v>
      </c>
      <c r="U21" s="14">
        <v>0.05</v>
      </c>
      <c r="V21" s="14">
        <v>0.03</v>
      </c>
      <c r="W21" s="14">
        <v>0.02</v>
      </c>
      <c r="X21" s="14">
        <v>0.04</v>
      </c>
      <c r="Y21" s="14">
        <v>0.03</v>
      </c>
      <c r="Z21" s="14">
        <v>0.03</v>
      </c>
      <c r="AA21" s="14">
        <v>0.02</v>
      </c>
      <c r="AB21" s="14">
        <v>0.06</v>
      </c>
      <c r="AC21" s="14">
        <v>0.05</v>
      </c>
      <c r="AD21" s="14">
        <v>0.05</v>
      </c>
      <c r="AE21" s="14">
        <v>0.03</v>
      </c>
      <c r="AF21" s="14">
        <v>0.04</v>
      </c>
    </row>
    <row r="22" spans="1:32">
      <c r="A22" s="23"/>
      <c r="B22" s="11" t="s">
        <v>745</v>
      </c>
      <c r="C22" s="12">
        <v>395</v>
      </c>
      <c r="D22" s="12">
        <v>8</v>
      </c>
      <c r="E22" s="12">
        <v>14</v>
      </c>
      <c r="F22" s="12">
        <v>27</v>
      </c>
      <c r="G22" s="12">
        <v>36</v>
      </c>
      <c r="H22" s="12">
        <v>19</v>
      </c>
      <c r="I22" s="12">
        <v>22</v>
      </c>
      <c r="J22" s="12">
        <v>3</v>
      </c>
      <c r="K22" s="12">
        <v>10</v>
      </c>
      <c r="L22" s="12">
        <v>26</v>
      </c>
      <c r="M22" s="12">
        <v>17</v>
      </c>
      <c r="N22" s="12">
        <v>14</v>
      </c>
      <c r="O22" s="12">
        <v>5</v>
      </c>
      <c r="P22" s="12">
        <v>13</v>
      </c>
      <c r="Q22" s="12">
        <v>14</v>
      </c>
      <c r="R22" s="12">
        <v>4</v>
      </c>
      <c r="S22" s="12">
        <v>2</v>
      </c>
      <c r="T22" s="12">
        <v>8</v>
      </c>
      <c r="U22" s="12">
        <v>9</v>
      </c>
      <c r="V22" s="12">
        <v>30</v>
      </c>
      <c r="W22" s="12">
        <v>7</v>
      </c>
      <c r="X22" s="12">
        <v>20</v>
      </c>
      <c r="Y22" s="12">
        <v>17</v>
      </c>
      <c r="Z22" s="12">
        <v>18</v>
      </c>
      <c r="AA22" s="12">
        <v>1</v>
      </c>
      <c r="AB22" s="12">
        <v>40</v>
      </c>
      <c r="AC22" s="12">
        <v>19</v>
      </c>
      <c r="AD22" s="12">
        <v>25</v>
      </c>
      <c r="AE22" s="12">
        <v>17</v>
      </c>
      <c r="AF22" s="12">
        <v>15</v>
      </c>
    </row>
    <row r="23" spans="1:32">
      <c r="A23" s="23"/>
      <c r="B23" s="13" t="s">
        <v>746</v>
      </c>
      <c r="C23" s="14">
        <v>0.01</v>
      </c>
      <c r="D23" s="14">
        <v>0.01</v>
      </c>
      <c r="E23" s="14">
        <v>0.01</v>
      </c>
      <c r="F23" s="14">
        <v>0.03</v>
      </c>
      <c r="G23" s="14">
        <v>0.04</v>
      </c>
      <c r="H23" s="14">
        <v>0.01</v>
      </c>
      <c r="I23" s="14">
        <v>0.01</v>
      </c>
      <c r="J23" s="14">
        <v>0.01</v>
      </c>
      <c r="K23" s="14">
        <v>0.01</v>
      </c>
      <c r="L23" s="14">
        <v>0.03</v>
      </c>
      <c r="M23" s="14">
        <v>0.02</v>
      </c>
      <c r="N23" s="14">
        <v>0.01</v>
      </c>
      <c r="O23" s="15" t="s">
        <v>485</v>
      </c>
      <c r="P23" s="14">
        <v>0.01</v>
      </c>
      <c r="Q23" s="14">
        <v>0.02</v>
      </c>
      <c r="R23" s="14">
        <v>0.01</v>
      </c>
      <c r="S23" s="15" t="s">
        <v>485</v>
      </c>
      <c r="T23" s="14">
        <v>0.01</v>
      </c>
      <c r="U23" s="14">
        <v>0.02</v>
      </c>
      <c r="V23" s="14">
        <v>0.03</v>
      </c>
      <c r="W23" s="14">
        <v>0.01</v>
      </c>
      <c r="X23" s="14">
        <v>0.02</v>
      </c>
      <c r="Y23" s="14">
        <v>0.02</v>
      </c>
      <c r="Z23" s="14">
        <v>0.02</v>
      </c>
      <c r="AA23" s="15" t="s">
        <v>485</v>
      </c>
      <c r="AB23" s="14">
        <v>0.04</v>
      </c>
      <c r="AC23" s="14">
        <v>0.02</v>
      </c>
      <c r="AD23" s="14">
        <v>0.03</v>
      </c>
      <c r="AE23" s="14">
        <v>0.02</v>
      </c>
      <c r="AF23" s="14">
        <v>0.01</v>
      </c>
    </row>
    <row r="24" spans="1:32" ht="45.75">
      <c r="A24" s="23"/>
      <c r="B24" s="11" t="s">
        <v>747</v>
      </c>
      <c r="C24" s="12">
        <v>3511</v>
      </c>
      <c r="D24" s="12">
        <v>157</v>
      </c>
      <c r="E24" s="12">
        <v>170</v>
      </c>
      <c r="F24" s="12">
        <v>121</v>
      </c>
      <c r="G24" s="12">
        <v>149</v>
      </c>
      <c r="H24" s="12">
        <v>154</v>
      </c>
      <c r="I24" s="12">
        <v>192</v>
      </c>
      <c r="J24" s="12">
        <v>38</v>
      </c>
      <c r="K24" s="12">
        <v>156</v>
      </c>
      <c r="L24" s="12">
        <v>277</v>
      </c>
      <c r="M24" s="12">
        <v>158</v>
      </c>
      <c r="N24" s="12">
        <v>137</v>
      </c>
      <c r="O24" s="12">
        <v>148</v>
      </c>
      <c r="P24" s="12">
        <v>125</v>
      </c>
      <c r="Q24" s="12">
        <v>89</v>
      </c>
      <c r="R24" s="12">
        <v>91</v>
      </c>
      <c r="S24" s="12">
        <v>221</v>
      </c>
      <c r="T24" s="12">
        <v>220</v>
      </c>
      <c r="U24" s="12">
        <v>81</v>
      </c>
      <c r="V24" s="12">
        <v>182</v>
      </c>
      <c r="W24" s="12">
        <v>125</v>
      </c>
      <c r="X24" s="12">
        <v>127</v>
      </c>
      <c r="Y24" s="12">
        <v>129</v>
      </c>
      <c r="Z24" s="12">
        <v>171</v>
      </c>
      <c r="AA24" s="12">
        <v>76</v>
      </c>
      <c r="AB24" s="12">
        <v>147</v>
      </c>
      <c r="AC24" s="12">
        <v>126</v>
      </c>
      <c r="AD24" s="12">
        <v>135</v>
      </c>
      <c r="AE24" s="12">
        <v>115</v>
      </c>
      <c r="AF24" s="12">
        <v>69</v>
      </c>
    </row>
    <row r="25" spans="1:32" ht="34.5">
      <c r="A25" s="23"/>
      <c r="B25" s="13" t="s">
        <v>748</v>
      </c>
      <c r="C25" s="14">
        <v>0.13</v>
      </c>
      <c r="D25" s="14">
        <v>0.16</v>
      </c>
      <c r="E25" s="14">
        <v>0.16</v>
      </c>
      <c r="F25" s="14">
        <v>0.12</v>
      </c>
      <c r="G25" s="14">
        <v>0.15</v>
      </c>
      <c r="H25" s="14">
        <v>0.13</v>
      </c>
      <c r="I25" s="14">
        <v>0.13</v>
      </c>
      <c r="J25" s="14">
        <v>0.13</v>
      </c>
      <c r="K25" s="14">
        <v>0.16</v>
      </c>
      <c r="L25" s="14">
        <v>0.27</v>
      </c>
      <c r="M25" s="14">
        <v>0.16</v>
      </c>
      <c r="N25" s="14">
        <v>0.14000000000000001</v>
      </c>
      <c r="O25" s="14">
        <v>0.15</v>
      </c>
      <c r="P25" s="14">
        <v>0.13</v>
      </c>
      <c r="Q25" s="14">
        <v>0.09</v>
      </c>
      <c r="R25" s="14">
        <v>0.18</v>
      </c>
      <c r="S25" s="14">
        <v>0.22</v>
      </c>
      <c r="T25" s="14">
        <v>0.22</v>
      </c>
      <c r="U25" s="14">
        <v>0.16</v>
      </c>
      <c r="V25" s="14">
        <v>0.18</v>
      </c>
      <c r="W25" s="14">
        <v>0.25</v>
      </c>
      <c r="X25" s="14">
        <v>0.12</v>
      </c>
      <c r="Y25" s="14">
        <v>0.13</v>
      </c>
      <c r="Z25" s="14">
        <v>0.17</v>
      </c>
      <c r="AA25" s="14">
        <v>7.0000000000000007E-2</v>
      </c>
      <c r="AB25" s="14">
        <v>0.14000000000000001</v>
      </c>
      <c r="AC25" s="14">
        <v>0.13</v>
      </c>
      <c r="AD25" s="14">
        <v>0.13</v>
      </c>
      <c r="AE25" s="14">
        <v>0.12</v>
      </c>
      <c r="AF25" s="14">
        <v>7.0000000000000007E-2</v>
      </c>
    </row>
    <row r="26" spans="1:32" ht="45.75">
      <c r="A26" s="23"/>
      <c r="B26" s="11" t="s">
        <v>749</v>
      </c>
      <c r="C26" s="12">
        <v>804</v>
      </c>
      <c r="D26" s="12">
        <v>40</v>
      </c>
      <c r="E26" s="12">
        <v>21</v>
      </c>
      <c r="F26" s="12">
        <v>29</v>
      </c>
      <c r="G26" s="12">
        <v>0</v>
      </c>
      <c r="H26" s="12">
        <v>58</v>
      </c>
      <c r="I26" s="12">
        <v>76</v>
      </c>
      <c r="J26" s="12">
        <v>18</v>
      </c>
      <c r="K26" s="12">
        <v>15</v>
      </c>
      <c r="L26" s="12">
        <v>46</v>
      </c>
      <c r="M26" s="12">
        <v>14</v>
      </c>
      <c r="N26" s="12">
        <v>27</v>
      </c>
      <c r="O26" s="12">
        <v>27</v>
      </c>
      <c r="P26" s="12">
        <v>30</v>
      </c>
      <c r="Q26" s="12">
        <v>23</v>
      </c>
      <c r="R26" s="12">
        <v>6</v>
      </c>
      <c r="S26" s="12">
        <v>37</v>
      </c>
      <c r="T26" s="12">
        <v>10</v>
      </c>
      <c r="U26" s="12">
        <v>9</v>
      </c>
      <c r="V26" s="12">
        <v>10</v>
      </c>
      <c r="W26" s="12">
        <v>22</v>
      </c>
      <c r="X26" s="12">
        <v>20</v>
      </c>
      <c r="Y26" s="12">
        <v>34</v>
      </c>
      <c r="Z26" s="12">
        <v>39</v>
      </c>
      <c r="AA26" s="12">
        <v>15</v>
      </c>
      <c r="AB26" s="12">
        <v>45</v>
      </c>
      <c r="AC26" s="12">
        <v>19</v>
      </c>
      <c r="AD26" s="12">
        <v>30</v>
      </c>
      <c r="AE26" s="12">
        <v>4</v>
      </c>
      <c r="AF26" s="12">
        <v>1</v>
      </c>
    </row>
    <row r="27" spans="1:32" ht="34.5">
      <c r="A27" s="23"/>
      <c r="B27" s="13" t="s">
        <v>750</v>
      </c>
      <c r="C27" s="14">
        <v>0.03</v>
      </c>
      <c r="D27" s="14">
        <v>0.04</v>
      </c>
      <c r="E27" s="14">
        <v>0.02</v>
      </c>
      <c r="F27" s="14">
        <v>0.03</v>
      </c>
      <c r="G27" s="15" t="s">
        <v>485</v>
      </c>
      <c r="H27" s="14">
        <v>0.05</v>
      </c>
      <c r="I27" s="14">
        <v>0.05</v>
      </c>
      <c r="J27" s="14">
        <v>0.06</v>
      </c>
      <c r="K27" s="14">
        <v>0.01</v>
      </c>
      <c r="L27" s="14">
        <v>0.05</v>
      </c>
      <c r="M27" s="14">
        <v>0.01</v>
      </c>
      <c r="N27" s="14">
        <v>0.03</v>
      </c>
      <c r="O27" s="14">
        <v>0.03</v>
      </c>
      <c r="P27" s="14">
        <v>0.03</v>
      </c>
      <c r="Q27" s="14">
        <v>0.02</v>
      </c>
      <c r="R27" s="14">
        <v>0.01</v>
      </c>
      <c r="S27" s="14">
        <v>0.04</v>
      </c>
      <c r="T27" s="14">
        <v>0.01</v>
      </c>
      <c r="U27" s="14">
        <v>0.02</v>
      </c>
      <c r="V27" s="14">
        <v>0.01</v>
      </c>
      <c r="W27" s="14">
        <v>0.04</v>
      </c>
      <c r="X27" s="14">
        <v>0.02</v>
      </c>
      <c r="Y27" s="14">
        <v>0.03</v>
      </c>
      <c r="Z27" s="14">
        <v>0.04</v>
      </c>
      <c r="AA27" s="14">
        <v>0.02</v>
      </c>
      <c r="AB27" s="14">
        <v>0.04</v>
      </c>
      <c r="AC27" s="14">
        <v>0.02</v>
      </c>
      <c r="AD27" s="14">
        <v>0.03</v>
      </c>
      <c r="AE27" s="15" t="s">
        <v>485</v>
      </c>
      <c r="AF27" s="15" t="s">
        <v>485</v>
      </c>
    </row>
    <row r="28" spans="1:32">
      <c r="A28" s="23"/>
      <c r="B28" s="11" t="s">
        <v>751</v>
      </c>
      <c r="C28" s="12">
        <v>164</v>
      </c>
      <c r="D28" s="12">
        <v>0</v>
      </c>
      <c r="E28" s="12">
        <v>8</v>
      </c>
      <c r="F28" s="12">
        <v>9</v>
      </c>
      <c r="G28" s="12">
        <v>2</v>
      </c>
      <c r="H28" s="12">
        <v>7</v>
      </c>
      <c r="I28" s="12">
        <v>8</v>
      </c>
      <c r="J28" s="12">
        <v>0</v>
      </c>
      <c r="K28" s="12">
        <v>16</v>
      </c>
      <c r="L28" s="12">
        <v>3</v>
      </c>
      <c r="M28" s="12">
        <v>41</v>
      </c>
      <c r="N28" s="12">
        <v>4</v>
      </c>
      <c r="O28" s="12">
        <v>3</v>
      </c>
      <c r="P28" s="12">
        <v>5</v>
      </c>
      <c r="Q28" s="12">
        <v>11</v>
      </c>
      <c r="R28" s="12">
        <v>15</v>
      </c>
      <c r="S28" s="12">
        <v>13</v>
      </c>
      <c r="T28" s="12">
        <v>9</v>
      </c>
      <c r="U28" s="12">
        <v>2</v>
      </c>
      <c r="V28" s="12">
        <v>6</v>
      </c>
      <c r="W28" s="12">
        <v>5</v>
      </c>
      <c r="X28" s="12">
        <v>3</v>
      </c>
      <c r="Y28" s="12">
        <v>11</v>
      </c>
      <c r="Z28" s="12">
        <v>6</v>
      </c>
      <c r="AA28" s="12">
        <v>3</v>
      </c>
      <c r="AB28" s="12">
        <v>6</v>
      </c>
      <c r="AC28" s="12">
        <v>13</v>
      </c>
      <c r="AD28" s="12">
        <v>7</v>
      </c>
      <c r="AE28" s="12">
        <v>0</v>
      </c>
      <c r="AF28" s="12">
        <v>1</v>
      </c>
    </row>
    <row r="29" spans="1:32">
      <c r="A29" s="23"/>
      <c r="B29" s="13" t="s">
        <v>752</v>
      </c>
      <c r="C29" s="14">
        <v>0.01</v>
      </c>
      <c r="D29" s="15" t="s">
        <v>485</v>
      </c>
      <c r="E29" s="14">
        <v>0.01</v>
      </c>
      <c r="F29" s="14">
        <v>0.01</v>
      </c>
      <c r="G29" s="15" t="s">
        <v>485</v>
      </c>
      <c r="H29" s="14">
        <v>0.01</v>
      </c>
      <c r="I29" s="15" t="s">
        <v>485</v>
      </c>
      <c r="J29" s="15" t="s">
        <v>485</v>
      </c>
      <c r="K29" s="14">
        <v>0.02</v>
      </c>
      <c r="L29" s="15" t="s">
        <v>485</v>
      </c>
      <c r="M29" s="14">
        <v>0.04</v>
      </c>
      <c r="N29" s="15" t="s">
        <v>485</v>
      </c>
      <c r="O29" s="15" t="s">
        <v>485</v>
      </c>
      <c r="P29" s="14">
        <v>0.01</v>
      </c>
      <c r="Q29" s="14">
        <v>0.01</v>
      </c>
      <c r="R29" s="14">
        <v>0.03</v>
      </c>
      <c r="S29" s="14">
        <v>0.01</v>
      </c>
      <c r="T29" s="14">
        <v>0.01</v>
      </c>
      <c r="U29" s="15" t="s">
        <v>485</v>
      </c>
      <c r="V29" s="15" t="s">
        <v>485</v>
      </c>
      <c r="W29" s="14">
        <v>0.01</v>
      </c>
      <c r="X29" s="15" t="s">
        <v>485</v>
      </c>
      <c r="Y29" s="14">
        <v>0.01</v>
      </c>
      <c r="Z29" s="14">
        <v>0.01</v>
      </c>
      <c r="AA29" s="15" t="s">
        <v>485</v>
      </c>
      <c r="AB29" s="14">
        <v>0.01</v>
      </c>
      <c r="AC29" s="14">
        <v>0.01</v>
      </c>
      <c r="AD29" s="14">
        <v>0.01</v>
      </c>
      <c r="AE29" s="15" t="s">
        <v>485</v>
      </c>
      <c r="AF29" s="15" t="s">
        <v>485</v>
      </c>
    </row>
    <row r="30" spans="1:32" ht="79.5">
      <c r="A30" s="23"/>
      <c r="B30" s="11" t="s">
        <v>753</v>
      </c>
      <c r="C30" s="12">
        <v>589</v>
      </c>
      <c r="D30" s="12">
        <v>8</v>
      </c>
      <c r="E30" s="12">
        <v>40</v>
      </c>
      <c r="F30" s="12">
        <v>39</v>
      </c>
      <c r="G30" s="12">
        <v>5</v>
      </c>
      <c r="H30" s="12">
        <v>27</v>
      </c>
      <c r="I30" s="12">
        <v>29</v>
      </c>
      <c r="J30" s="12">
        <v>2</v>
      </c>
      <c r="K30" s="12">
        <v>26</v>
      </c>
      <c r="L30" s="12">
        <v>19</v>
      </c>
      <c r="M30" s="12">
        <v>16</v>
      </c>
      <c r="N30" s="12">
        <v>51</v>
      </c>
      <c r="O30" s="12">
        <v>24</v>
      </c>
      <c r="P30" s="12">
        <v>13</v>
      </c>
      <c r="Q30" s="12">
        <v>22</v>
      </c>
      <c r="R30" s="12">
        <v>20</v>
      </c>
      <c r="S30" s="12">
        <v>28</v>
      </c>
      <c r="T30" s="12">
        <v>15</v>
      </c>
      <c r="U30" s="12">
        <v>3</v>
      </c>
      <c r="V30" s="12">
        <v>27</v>
      </c>
      <c r="W30" s="12">
        <v>15</v>
      </c>
      <c r="X30" s="12">
        <v>6</v>
      </c>
      <c r="Y30" s="12">
        <v>58</v>
      </c>
      <c r="Z30" s="12">
        <v>5</v>
      </c>
      <c r="AA30" s="12">
        <v>30</v>
      </c>
      <c r="AB30" s="12">
        <v>13</v>
      </c>
      <c r="AC30" s="12">
        <v>16</v>
      </c>
      <c r="AD30" s="12">
        <v>3</v>
      </c>
      <c r="AE30" s="12">
        <v>2</v>
      </c>
      <c r="AF30" s="12">
        <v>2</v>
      </c>
    </row>
    <row r="31" spans="1:32" ht="57">
      <c r="A31" s="23"/>
      <c r="B31" s="13" t="s">
        <v>754</v>
      </c>
      <c r="C31" s="14">
        <v>0.02</v>
      </c>
      <c r="D31" s="14">
        <v>0.01</v>
      </c>
      <c r="E31" s="14">
        <v>0.04</v>
      </c>
      <c r="F31" s="14">
        <v>0.04</v>
      </c>
      <c r="G31" s="15" t="s">
        <v>485</v>
      </c>
      <c r="H31" s="14">
        <v>0.02</v>
      </c>
      <c r="I31" s="14">
        <v>0.02</v>
      </c>
      <c r="J31" s="14">
        <v>0.01</v>
      </c>
      <c r="K31" s="14">
        <v>0.03</v>
      </c>
      <c r="L31" s="14">
        <v>0.02</v>
      </c>
      <c r="M31" s="14">
        <v>0.02</v>
      </c>
      <c r="N31" s="14">
        <v>0.05</v>
      </c>
      <c r="O31" s="14">
        <v>0.02</v>
      </c>
      <c r="P31" s="14">
        <v>0.01</v>
      </c>
      <c r="Q31" s="14">
        <v>0.02</v>
      </c>
      <c r="R31" s="14">
        <v>0.04</v>
      </c>
      <c r="S31" s="14">
        <v>0.03</v>
      </c>
      <c r="T31" s="14">
        <v>0.02</v>
      </c>
      <c r="U31" s="15" t="s">
        <v>485</v>
      </c>
      <c r="V31" s="14">
        <v>0.03</v>
      </c>
      <c r="W31" s="14">
        <v>0.03</v>
      </c>
      <c r="X31" s="14">
        <v>0.01</v>
      </c>
      <c r="Y31" s="14">
        <v>0.06</v>
      </c>
      <c r="Z31" s="15" t="s">
        <v>485</v>
      </c>
      <c r="AA31" s="14">
        <v>0.03</v>
      </c>
      <c r="AB31" s="14">
        <v>0.01</v>
      </c>
      <c r="AC31" s="14">
        <v>0.02</v>
      </c>
      <c r="AD31" s="15" t="s">
        <v>485</v>
      </c>
      <c r="AE31" s="15" t="s">
        <v>485</v>
      </c>
      <c r="AF31" s="15" t="s">
        <v>485</v>
      </c>
    </row>
    <row r="32" spans="1:32">
      <c r="A32" s="23"/>
      <c r="B32" s="11" t="s">
        <v>497</v>
      </c>
      <c r="C32" s="12">
        <v>48</v>
      </c>
      <c r="D32" s="12">
        <v>3</v>
      </c>
      <c r="E32" s="12">
        <v>0</v>
      </c>
      <c r="F32" s="12">
        <v>24</v>
      </c>
      <c r="G32" s="12">
        <v>6</v>
      </c>
      <c r="H32" s="12">
        <v>0</v>
      </c>
      <c r="I32" s="12">
        <v>0</v>
      </c>
      <c r="J32" s="12">
        <v>0</v>
      </c>
      <c r="K32" s="12">
        <v>5</v>
      </c>
      <c r="L32" s="12">
        <v>3</v>
      </c>
      <c r="M32" s="12">
        <v>3</v>
      </c>
      <c r="N32" s="12">
        <v>1</v>
      </c>
      <c r="O32" s="12">
        <v>3</v>
      </c>
      <c r="P32" s="12">
        <v>0</v>
      </c>
      <c r="Q32" s="12">
        <v>0</v>
      </c>
      <c r="R32" s="12">
        <v>5</v>
      </c>
      <c r="S32" s="12">
        <v>3</v>
      </c>
      <c r="T32" s="12">
        <v>0</v>
      </c>
      <c r="U32" s="12">
        <v>1</v>
      </c>
      <c r="V32" s="12">
        <v>1</v>
      </c>
      <c r="W32" s="12">
        <v>5</v>
      </c>
      <c r="X32" s="12">
        <v>0</v>
      </c>
      <c r="Y32" s="12">
        <v>0</v>
      </c>
      <c r="Z32" s="12">
        <v>4</v>
      </c>
      <c r="AA32" s="12">
        <v>1</v>
      </c>
      <c r="AB32" s="12">
        <v>0</v>
      </c>
      <c r="AC32" s="12">
        <v>0</v>
      </c>
      <c r="AD32" s="12">
        <v>9</v>
      </c>
      <c r="AE32" s="12">
        <v>0</v>
      </c>
      <c r="AF32" s="12">
        <v>1</v>
      </c>
    </row>
    <row r="33" spans="1:32">
      <c r="A33" s="23"/>
      <c r="B33" s="13" t="s">
        <v>498</v>
      </c>
      <c r="C33" s="15" t="s">
        <v>485</v>
      </c>
      <c r="D33" s="15" t="s">
        <v>485</v>
      </c>
      <c r="E33" s="15" t="s">
        <v>485</v>
      </c>
      <c r="F33" s="14">
        <v>0.02</v>
      </c>
      <c r="G33" s="14">
        <v>0.01</v>
      </c>
      <c r="H33" s="15" t="s">
        <v>485</v>
      </c>
      <c r="I33" s="15" t="s">
        <v>485</v>
      </c>
      <c r="J33" s="15" t="s">
        <v>485</v>
      </c>
      <c r="K33" s="15" t="s">
        <v>485</v>
      </c>
      <c r="L33" s="15" t="s">
        <v>485</v>
      </c>
      <c r="M33" s="15" t="s">
        <v>485</v>
      </c>
      <c r="N33" s="15" t="s">
        <v>485</v>
      </c>
      <c r="O33" s="15" t="s">
        <v>485</v>
      </c>
      <c r="P33" s="15" t="s">
        <v>485</v>
      </c>
      <c r="Q33" s="15" t="s">
        <v>485</v>
      </c>
      <c r="R33" s="14">
        <v>0.01</v>
      </c>
      <c r="S33" s="15" t="s">
        <v>485</v>
      </c>
      <c r="T33" s="15" t="s">
        <v>485</v>
      </c>
      <c r="U33" s="15" t="s">
        <v>485</v>
      </c>
      <c r="V33" s="15" t="s">
        <v>485</v>
      </c>
      <c r="W33" s="14">
        <v>0.01</v>
      </c>
      <c r="X33" s="15" t="s">
        <v>485</v>
      </c>
      <c r="Y33" s="15" t="s">
        <v>485</v>
      </c>
      <c r="Z33" s="15" t="s">
        <v>485</v>
      </c>
      <c r="AA33" s="15" t="s">
        <v>485</v>
      </c>
      <c r="AB33" s="15" t="s">
        <v>485</v>
      </c>
      <c r="AC33" s="15" t="s">
        <v>485</v>
      </c>
      <c r="AD33" s="14">
        <v>0.01</v>
      </c>
      <c r="AE33" s="15" t="s">
        <v>485</v>
      </c>
      <c r="AF33" s="15" t="s">
        <v>485</v>
      </c>
    </row>
  </sheetData>
  <mergeCells count="9">
    <mergeCell ref="B4:F4"/>
    <mergeCell ref="H3:L3"/>
    <mergeCell ref="C8:AF8"/>
    <mergeCell ref="A10:A33"/>
    <mergeCell ref="B3:F3"/>
    <mergeCell ref="B5:F5"/>
    <mergeCell ref="H5:L5"/>
    <mergeCell ref="B10:B11"/>
    <mergeCell ref="H4:L4"/>
  </mergeCells>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F33"/>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12" customHeight="1">
      <c r="B3" s="19" t="s">
        <v>69</v>
      </c>
      <c r="C3" s="19"/>
      <c r="D3" s="19"/>
      <c r="E3" s="19"/>
      <c r="F3" s="19"/>
      <c r="H3" s="19" t="s">
        <v>70</v>
      </c>
      <c r="I3" s="19"/>
      <c r="J3" s="19"/>
      <c r="K3" s="19"/>
      <c r="L3" s="19"/>
    </row>
    <row r="4" spans="1:32" ht="27" customHeight="1">
      <c r="B4" s="19"/>
      <c r="C4" s="19"/>
      <c r="D4" s="19"/>
      <c r="E4" s="19"/>
      <c r="F4" s="19"/>
      <c r="H4" s="19"/>
      <c r="I4" s="19"/>
      <c r="J4" s="19"/>
      <c r="K4" s="19"/>
      <c r="L4" s="19"/>
    </row>
    <row r="5" spans="1:32" ht="36" customHeight="1">
      <c r="B5" s="19" t="s">
        <v>755</v>
      </c>
      <c r="C5" s="19"/>
      <c r="D5" s="19"/>
      <c r="E5" s="19"/>
      <c r="F5" s="19"/>
      <c r="H5" s="19" t="s">
        <v>756</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HYPERLINK("#Content!A36","&lt;&lt;Back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25716</v>
      </c>
      <c r="D10" s="10">
        <v>995</v>
      </c>
      <c r="E10" s="10">
        <v>1004</v>
      </c>
      <c r="F10" s="10">
        <v>944</v>
      </c>
      <c r="G10" s="10">
        <v>991</v>
      </c>
      <c r="H10" s="10">
        <v>1184</v>
      </c>
      <c r="I10" s="10">
        <v>1475</v>
      </c>
      <c r="J10" s="10">
        <v>291</v>
      </c>
      <c r="K10" s="10">
        <v>973</v>
      </c>
      <c r="L10" s="10">
        <v>985</v>
      </c>
      <c r="M10" s="10">
        <v>992</v>
      </c>
      <c r="N10" s="10">
        <v>948</v>
      </c>
      <c r="O10" s="10">
        <v>979</v>
      </c>
      <c r="P10" s="10">
        <v>998</v>
      </c>
      <c r="Q10" s="10">
        <v>1002</v>
      </c>
      <c r="R10" s="10">
        <v>477</v>
      </c>
      <c r="S10" s="10">
        <v>974</v>
      </c>
      <c r="T10" s="10">
        <v>989</v>
      </c>
      <c r="U10" s="10">
        <v>499</v>
      </c>
      <c r="V10" s="10">
        <v>983</v>
      </c>
      <c r="W10" s="10">
        <v>483</v>
      </c>
      <c r="X10" s="10">
        <v>1010</v>
      </c>
      <c r="Y10" s="10">
        <v>949</v>
      </c>
      <c r="Z10" s="10">
        <v>1008</v>
      </c>
      <c r="AA10" s="10">
        <v>1009</v>
      </c>
      <c r="AB10" s="10">
        <v>1018</v>
      </c>
      <c r="AC10" s="10">
        <v>989</v>
      </c>
      <c r="AD10" s="10">
        <v>990</v>
      </c>
      <c r="AE10" s="10">
        <v>1006</v>
      </c>
      <c r="AF10" s="10">
        <v>1070</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735</v>
      </c>
      <c r="C12" s="12">
        <v>7976</v>
      </c>
      <c r="D12" s="12">
        <v>363</v>
      </c>
      <c r="E12" s="12">
        <v>279</v>
      </c>
      <c r="F12" s="12">
        <v>269</v>
      </c>
      <c r="G12" s="12">
        <v>378</v>
      </c>
      <c r="H12" s="12">
        <v>498</v>
      </c>
      <c r="I12" s="12">
        <v>616</v>
      </c>
      <c r="J12" s="12">
        <v>118</v>
      </c>
      <c r="K12" s="12">
        <v>349</v>
      </c>
      <c r="L12" s="12">
        <v>329</v>
      </c>
      <c r="M12" s="12">
        <v>254</v>
      </c>
      <c r="N12" s="12">
        <v>191</v>
      </c>
      <c r="O12" s="12">
        <v>313</v>
      </c>
      <c r="P12" s="12">
        <v>324</v>
      </c>
      <c r="Q12" s="12">
        <v>270</v>
      </c>
      <c r="R12" s="12">
        <v>121</v>
      </c>
      <c r="S12" s="12">
        <v>230</v>
      </c>
      <c r="T12" s="12">
        <v>292</v>
      </c>
      <c r="U12" s="12">
        <v>181</v>
      </c>
      <c r="V12" s="12">
        <v>253</v>
      </c>
      <c r="W12" s="12">
        <v>118</v>
      </c>
      <c r="X12" s="12">
        <v>334</v>
      </c>
      <c r="Y12" s="12">
        <v>381</v>
      </c>
      <c r="Z12" s="12">
        <v>285</v>
      </c>
      <c r="AA12" s="12">
        <v>233</v>
      </c>
      <c r="AB12" s="12">
        <v>204</v>
      </c>
      <c r="AC12" s="12">
        <v>282</v>
      </c>
      <c r="AD12" s="12">
        <v>414</v>
      </c>
      <c r="AE12" s="12">
        <v>264</v>
      </c>
      <c r="AF12" s="12">
        <v>415</v>
      </c>
    </row>
    <row r="13" spans="1:32">
      <c r="A13" s="23"/>
      <c r="B13" s="13" t="s">
        <v>736</v>
      </c>
      <c r="C13" s="14">
        <v>0.33</v>
      </c>
      <c r="D13" s="14">
        <v>0.4</v>
      </c>
      <c r="E13" s="14">
        <v>0.28999999999999998</v>
      </c>
      <c r="F13" s="14">
        <v>0.3</v>
      </c>
      <c r="G13" s="14">
        <v>0.42</v>
      </c>
      <c r="H13" s="14">
        <v>0.45</v>
      </c>
      <c r="I13" s="14">
        <v>0.45</v>
      </c>
      <c r="J13" s="14">
        <v>0.44</v>
      </c>
      <c r="K13" s="14">
        <v>0.39</v>
      </c>
      <c r="L13" s="14">
        <v>0.36</v>
      </c>
      <c r="M13" s="14">
        <v>0.26</v>
      </c>
      <c r="N13" s="14">
        <v>0.22</v>
      </c>
      <c r="O13" s="14">
        <v>0.35</v>
      </c>
      <c r="P13" s="14">
        <v>0.34</v>
      </c>
      <c r="Q13" s="14">
        <v>0.27</v>
      </c>
      <c r="R13" s="14">
        <v>0.26</v>
      </c>
      <c r="S13" s="14">
        <v>0.25</v>
      </c>
      <c r="T13" s="14">
        <v>0.31</v>
      </c>
      <c r="U13" s="14">
        <v>0.41</v>
      </c>
      <c r="V13" s="14">
        <v>0.26</v>
      </c>
      <c r="W13" s="14">
        <v>0.25</v>
      </c>
      <c r="X13" s="14">
        <v>0.35</v>
      </c>
      <c r="Y13" s="14">
        <v>0.44</v>
      </c>
      <c r="Z13" s="14">
        <v>0.28999999999999998</v>
      </c>
      <c r="AA13" s="14">
        <v>0.23</v>
      </c>
      <c r="AB13" s="14">
        <v>0.2</v>
      </c>
      <c r="AC13" s="14">
        <v>0.31</v>
      </c>
      <c r="AD13" s="14">
        <v>0.45</v>
      </c>
      <c r="AE13" s="14">
        <v>0.28000000000000003</v>
      </c>
      <c r="AF13" s="14">
        <v>0.45</v>
      </c>
    </row>
    <row r="14" spans="1:32">
      <c r="A14" s="23"/>
      <c r="B14" s="11" t="s">
        <v>737</v>
      </c>
      <c r="C14" s="12">
        <v>6533</v>
      </c>
      <c r="D14" s="12">
        <v>309</v>
      </c>
      <c r="E14" s="12">
        <v>250</v>
      </c>
      <c r="F14" s="12">
        <v>253</v>
      </c>
      <c r="G14" s="12">
        <v>364</v>
      </c>
      <c r="H14" s="12">
        <v>336</v>
      </c>
      <c r="I14" s="12">
        <v>426</v>
      </c>
      <c r="J14" s="12">
        <v>90</v>
      </c>
      <c r="K14" s="12">
        <v>293</v>
      </c>
      <c r="L14" s="12">
        <v>266</v>
      </c>
      <c r="M14" s="12">
        <v>297</v>
      </c>
      <c r="N14" s="12">
        <v>232</v>
      </c>
      <c r="O14" s="12">
        <v>232</v>
      </c>
      <c r="P14" s="12">
        <v>274</v>
      </c>
      <c r="Q14" s="12">
        <v>178</v>
      </c>
      <c r="R14" s="12">
        <v>139</v>
      </c>
      <c r="S14" s="12">
        <v>241</v>
      </c>
      <c r="T14" s="12">
        <v>302</v>
      </c>
      <c r="U14" s="12">
        <v>168</v>
      </c>
      <c r="V14" s="12">
        <v>282</v>
      </c>
      <c r="W14" s="12">
        <v>97</v>
      </c>
      <c r="X14" s="12">
        <v>411</v>
      </c>
      <c r="Y14" s="12">
        <v>338</v>
      </c>
      <c r="Z14" s="12">
        <v>203</v>
      </c>
      <c r="AA14" s="12">
        <v>125</v>
      </c>
      <c r="AB14" s="12">
        <v>151</v>
      </c>
      <c r="AC14" s="12">
        <v>278</v>
      </c>
      <c r="AD14" s="12">
        <v>311</v>
      </c>
      <c r="AE14" s="12">
        <v>367</v>
      </c>
      <c r="AF14" s="12">
        <v>398</v>
      </c>
    </row>
    <row r="15" spans="1:32">
      <c r="A15" s="23"/>
      <c r="B15" s="13" t="s">
        <v>738</v>
      </c>
      <c r="C15" s="14">
        <v>0.49</v>
      </c>
      <c r="D15" s="14">
        <v>0.52</v>
      </c>
      <c r="E15" s="14">
        <v>0.63</v>
      </c>
      <c r="F15" s="14">
        <v>0.53</v>
      </c>
      <c r="G15" s="14">
        <v>0.56000000000000005</v>
      </c>
      <c r="H15" s="14">
        <v>0.49</v>
      </c>
      <c r="I15" s="14">
        <v>0.51</v>
      </c>
      <c r="J15" s="14">
        <v>0.59</v>
      </c>
      <c r="K15" s="14">
        <v>0.44</v>
      </c>
      <c r="L15" s="14">
        <v>0.41</v>
      </c>
      <c r="M15" s="14">
        <v>0.56000000000000005</v>
      </c>
      <c r="N15" s="14">
        <v>0.46</v>
      </c>
      <c r="O15" s="14">
        <v>0.47</v>
      </c>
      <c r="P15" s="14">
        <v>0.54</v>
      </c>
      <c r="Q15" s="14">
        <v>0.52</v>
      </c>
      <c r="R15" s="14">
        <v>0.46</v>
      </c>
      <c r="S15" s="14">
        <v>0.37</v>
      </c>
      <c r="T15" s="14">
        <v>0.55000000000000004</v>
      </c>
      <c r="U15" s="14">
        <v>0.45</v>
      </c>
      <c r="V15" s="14">
        <v>0.5</v>
      </c>
      <c r="W15" s="14">
        <v>0.28000000000000003</v>
      </c>
      <c r="X15" s="14">
        <v>0.53</v>
      </c>
      <c r="Y15" s="14">
        <v>0.6</v>
      </c>
      <c r="Z15" s="14">
        <v>0.41</v>
      </c>
      <c r="AA15" s="14">
        <v>0.57999999999999996</v>
      </c>
      <c r="AB15" s="14">
        <v>0.37</v>
      </c>
      <c r="AC15" s="14">
        <v>0.46</v>
      </c>
      <c r="AD15" s="14">
        <v>0.63</v>
      </c>
      <c r="AE15" s="14">
        <v>0.51</v>
      </c>
      <c r="AF15" s="14">
        <v>0.52</v>
      </c>
    </row>
    <row r="16" spans="1:32" ht="57">
      <c r="A16" s="23"/>
      <c r="B16" s="11" t="s">
        <v>739</v>
      </c>
      <c r="C16" s="12">
        <v>5030</v>
      </c>
      <c r="D16" s="12">
        <v>203</v>
      </c>
      <c r="E16" s="12">
        <v>166</v>
      </c>
      <c r="F16" s="12">
        <v>172</v>
      </c>
      <c r="G16" s="12">
        <v>197</v>
      </c>
      <c r="H16" s="12">
        <v>338</v>
      </c>
      <c r="I16" s="12">
        <v>400</v>
      </c>
      <c r="J16" s="12">
        <v>61</v>
      </c>
      <c r="K16" s="12">
        <v>179</v>
      </c>
      <c r="L16" s="12">
        <v>145</v>
      </c>
      <c r="M16" s="12">
        <v>141</v>
      </c>
      <c r="N16" s="12">
        <v>111</v>
      </c>
      <c r="O16" s="12">
        <v>171</v>
      </c>
      <c r="P16" s="12">
        <v>210</v>
      </c>
      <c r="Q16" s="12">
        <v>238</v>
      </c>
      <c r="R16" s="12">
        <v>41</v>
      </c>
      <c r="S16" s="12">
        <v>102</v>
      </c>
      <c r="T16" s="12">
        <v>115</v>
      </c>
      <c r="U16" s="12">
        <v>130</v>
      </c>
      <c r="V16" s="12">
        <v>152</v>
      </c>
      <c r="W16" s="12">
        <v>29</v>
      </c>
      <c r="X16" s="12">
        <v>216</v>
      </c>
      <c r="Y16" s="12">
        <v>376</v>
      </c>
      <c r="Z16" s="12">
        <v>85</v>
      </c>
      <c r="AA16" s="12">
        <v>247</v>
      </c>
      <c r="AB16" s="12">
        <v>143</v>
      </c>
      <c r="AC16" s="12">
        <v>151</v>
      </c>
      <c r="AD16" s="12">
        <v>187</v>
      </c>
      <c r="AE16" s="12">
        <v>268</v>
      </c>
      <c r="AF16" s="12">
        <v>245</v>
      </c>
    </row>
    <row r="17" spans="1:32" ht="34.5">
      <c r="A17" s="23"/>
      <c r="B17" s="13" t="s">
        <v>740</v>
      </c>
      <c r="C17" s="14">
        <v>0.21</v>
      </c>
      <c r="D17" s="14">
        <v>0.22</v>
      </c>
      <c r="E17" s="14">
        <v>0.17</v>
      </c>
      <c r="F17" s="14">
        <v>0.19</v>
      </c>
      <c r="G17" s="14">
        <v>0.21</v>
      </c>
      <c r="H17" s="14">
        <v>0.31</v>
      </c>
      <c r="I17" s="14">
        <v>0.28999999999999998</v>
      </c>
      <c r="J17" s="14">
        <v>0.22</v>
      </c>
      <c r="K17" s="14">
        <v>0.19</v>
      </c>
      <c r="L17" s="14">
        <v>0.15</v>
      </c>
      <c r="M17" s="14">
        <v>0.15</v>
      </c>
      <c r="N17" s="14">
        <v>0.12</v>
      </c>
      <c r="O17" s="14">
        <v>0.18</v>
      </c>
      <c r="P17" s="14">
        <v>0.22</v>
      </c>
      <c r="Q17" s="14">
        <v>0.25</v>
      </c>
      <c r="R17" s="14">
        <v>0.09</v>
      </c>
      <c r="S17" s="14">
        <v>0.11</v>
      </c>
      <c r="T17" s="14">
        <v>0.12</v>
      </c>
      <c r="U17" s="14">
        <v>0.28999999999999998</v>
      </c>
      <c r="V17" s="14">
        <v>0.16</v>
      </c>
      <c r="W17" s="14">
        <v>0.06</v>
      </c>
      <c r="X17" s="14">
        <v>0.26</v>
      </c>
      <c r="Y17" s="14">
        <v>0.45</v>
      </c>
      <c r="Z17" s="14">
        <v>0.09</v>
      </c>
      <c r="AA17" s="14">
        <v>0.25</v>
      </c>
      <c r="AB17" s="14">
        <v>0.14000000000000001</v>
      </c>
      <c r="AC17" s="14">
        <v>0.16</v>
      </c>
      <c r="AD17" s="14">
        <v>0.19</v>
      </c>
      <c r="AE17" s="14">
        <v>0.28999999999999998</v>
      </c>
      <c r="AF17" s="14">
        <v>0.25</v>
      </c>
    </row>
    <row r="18" spans="1:32" ht="45.75">
      <c r="A18" s="23"/>
      <c r="B18" s="11" t="s">
        <v>741</v>
      </c>
      <c r="C18" s="12">
        <v>6289</v>
      </c>
      <c r="D18" s="12">
        <v>302</v>
      </c>
      <c r="E18" s="12">
        <v>209</v>
      </c>
      <c r="F18" s="12">
        <v>213</v>
      </c>
      <c r="G18" s="12">
        <v>310</v>
      </c>
      <c r="H18" s="12">
        <v>283</v>
      </c>
      <c r="I18" s="12">
        <v>337</v>
      </c>
      <c r="J18" s="12">
        <v>54</v>
      </c>
      <c r="K18" s="12">
        <v>241</v>
      </c>
      <c r="L18" s="12">
        <v>255</v>
      </c>
      <c r="M18" s="12">
        <v>310</v>
      </c>
      <c r="N18" s="12">
        <v>227</v>
      </c>
      <c r="O18" s="12">
        <v>208</v>
      </c>
      <c r="P18" s="12">
        <v>274</v>
      </c>
      <c r="Q18" s="12">
        <v>293</v>
      </c>
      <c r="R18" s="12">
        <v>120</v>
      </c>
      <c r="S18" s="12">
        <v>232</v>
      </c>
      <c r="T18" s="12">
        <v>327</v>
      </c>
      <c r="U18" s="12">
        <v>134</v>
      </c>
      <c r="V18" s="12">
        <v>246</v>
      </c>
      <c r="W18" s="12">
        <v>94</v>
      </c>
      <c r="X18" s="12">
        <v>244</v>
      </c>
      <c r="Y18" s="12">
        <v>264</v>
      </c>
      <c r="Z18" s="12">
        <v>217</v>
      </c>
      <c r="AA18" s="12">
        <v>195</v>
      </c>
      <c r="AB18" s="12">
        <v>215</v>
      </c>
      <c r="AC18" s="12">
        <v>282</v>
      </c>
      <c r="AD18" s="12">
        <v>240</v>
      </c>
      <c r="AE18" s="12">
        <v>296</v>
      </c>
      <c r="AF18" s="12">
        <v>323</v>
      </c>
    </row>
    <row r="19" spans="1:32" ht="34.5">
      <c r="A19" s="23"/>
      <c r="B19" s="13" t="s">
        <v>742</v>
      </c>
      <c r="C19" s="14">
        <v>0.3</v>
      </c>
      <c r="D19" s="14">
        <v>0.38</v>
      </c>
      <c r="E19" s="14">
        <v>0.24</v>
      </c>
      <c r="F19" s="14">
        <v>0.28000000000000003</v>
      </c>
      <c r="G19" s="14">
        <v>0.44</v>
      </c>
      <c r="H19" s="14">
        <v>0.28999999999999998</v>
      </c>
      <c r="I19" s="14">
        <v>0.28000000000000003</v>
      </c>
      <c r="J19" s="14">
        <v>0.21</v>
      </c>
      <c r="K19" s="14">
        <v>0.36</v>
      </c>
      <c r="L19" s="14">
        <v>0.31</v>
      </c>
      <c r="M19" s="14">
        <v>0.41</v>
      </c>
      <c r="N19" s="14">
        <v>0.28999999999999998</v>
      </c>
      <c r="O19" s="14">
        <v>0.25</v>
      </c>
      <c r="P19" s="14">
        <v>0.36</v>
      </c>
      <c r="Q19" s="14">
        <v>0.33</v>
      </c>
      <c r="R19" s="14">
        <v>0.36</v>
      </c>
      <c r="S19" s="14">
        <v>0.31</v>
      </c>
      <c r="T19" s="14">
        <v>0.41</v>
      </c>
      <c r="U19" s="14">
        <v>0.37</v>
      </c>
      <c r="V19" s="14">
        <v>0.34</v>
      </c>
      <c r="W19" s="14">
        <v>0.28999999999999998</v>
      </c>
      <c r="X19" s="14">
        <v>0.35</v>
      </c>
      <c r="Y19" s="14">
        <v>0.33</v>
      </c>
      <c r="Z19" s="14">
        <v>0.26</v>
      </c>
      <c r="AA19" s="14">
        <v>0.2</v>
      </c>
      <c r="AB19" s="14">
        <v>0.23</v>
      </c>
      <c r="AC19" s="14">
        <v>0.39</v>
      </c>
      <c r="AD19" s="14">
        <v>0.28999999999999998</v>
      </c>
      <c r="AE19" s="14">
        <v>0.5</v>
      </c>
      <c r="AF19" s="14">
        <v>0.48</v>
      </c>
    </row>
    <row r="20" spans="1:32" ht="34.5">
      <c r="A20" s="23"/>
      <c r="B20" s="11" t="s">
        <v>743</v>
      </c>
      <c r="C20" s="12">
        <v>3381</v>
      </c>
      <c r="D20" s="12">
        <v>125</v>
      </c>
      <c r="E20" s="12">
        <v>136</v>
      </c>
      <c r="F20" s="12">
        <v>133</v>
      </c>
      <c r="G20" s="12">
        <v>115</v>
      </c>
      <c r="H20" s="12">
        <v>159</v>
      </c>
      <c r="I20" s="12">
        <v>200</v>
      </c>
      <c r="J20" s="12">
        <v>41</v>
      </c>
      <c r="K20" s="12">
        <v>205</v>
      </c>
      <c r="L20" s="12">
        <v>117</v>
      </c>
      <c r="M20" s="12">
        <v>239</v>
      </c>
      <c r="N20" s="12">
        <v>113</v>
      </c>
      <c r="O20" s="12">
        <v>145</v>
      </c>
      <c r="P20" s="12">
        <v>134</v>
      </c>
      <c r="Q20" s="12">
        <v>116</v>
      </c>
      <c r="R20" s="12">
        <v>77</v>
      </c>
      <c r="S20" s="12">
        <v>189</v>
      </c>
      <c r="T20" s="12">
        <v>221</v>
      </c>
      <c r="U20" s="12">
        <v>85</v>
      </c>
      <c r="V20" s="12">
        <v>201</v>
      </c>
      <c r="W20" s="12">
        <v>101</v>
      </c>
      <c r="X20" s="12">
        <v>95</v>
      </c>
      <c r="Y20" s="12">
        <v>158</v>
      </c>
      <c r="Z20" s="12">
        <v>70</v>
      </c>
      <c r="AA20" s="12">
        <v>59</v>
      </c>
      <c r="AB20" s="12">
        <v>207</v>
      </c>
      <c r="AC20" s="12">
        <v>124</v>
      </c>
      <c r="AD20" s="12">
        <v>198</v>
      </c>
      <c r="AE20" s="12">
        <v>93</v>
      </c>
      <c r="AF20" s="12">
        <v>103</v>
      </c>
    </row>
    <row r="21" spans="1:32" ht="23.25">
      <c r="A21" s="23"/>
      <c r="B21" s="13" t="s">
        <v>744</v>
      </c>
      <c r="C21" s="14">
        <v>0.14000000000000001</v>
      </c>
      <c r="D21" s="14">
        <v>0.13</v>
      </c>
      <c r="E21" s="14">
        <v>0.14000000000000001</v>
      </c>
      <c r="F21" s="14">
        <v>0.15</v>
      </c>
      <c r="G21" s="14">
        <v>0.12</v>
      </c>
      <c r="H21" s="14">
        <v>0.14000000000000001</v>
      </c>
      <c r="I21" s="14">
        <v>0.14000000000000001</v>
      </c>
      <c r="J21" s="14">
        <v>0.15</v>
      </c>
      <c r="K21" s="14">
        <v>0.22</v>
      </c>
      <c r="L21" s="14">
        <v>0.12</v>
      </c>
      <c r="M21" s="14">
        <v>0.25</v>
      </c>
      <c r="N21" s="14">
        <v>0.13</v>
      </c>
      <c r="O21" s="14">
        <v>0.15</v>
      </c>
      <c r="P21" s="14">
        <v>0.14000000000000001</v>
      </c>
      <c r="Q21" s="14">
        <v>0.12</v>
      </c>
      <c r="R21" s="14">
        <v>0.17</v>
      </c>
      <c r="S21" s="14">
        <v>0.22</v>
      </c>
      <c r="T21" s="14">
        <v>0.24</v>
      </c>
      <c r="U21" s="14">
        <v>0.18</v>
      </c>
      <c r="V21" s="14">
        <v>0.21</v>
      </c>
      <c r="W21" s="14">
        <v>0.21</v>
      </c>
      <c r="X21" s="14">
        <v>0.1</v>
      </c>
      <c r="Y21" s="14">
        <v>0.17</v>
      </c>
      <c r="Z21" s="14">
        <v>7.0000000000000007E-2</v>
      </c>
      <c r="AA21" s="14">
        <v>0.06</v>
      </c>
      <c r="AB21" s="14">
        <v>0.22</v>
      </c>
      <c r="AC21" s="14">
        <v>0.13</v>
      </c>
      <c r="AD21" s="14">
        <v>0.21</v>
      </c>
      <c r="AE21" s="14">
        <v>0.1</v>
      </c>
      <c r="AF21" s="14">
        <v>0.1</v>
      </c>
    </row>
    <row r="22" spans="1:32">
      <c r="A22" s="23"/>
      <c r="B22" s="11" t="s">
        <v>745</v>
      </c>
      <c r="C22" s="12">
        <v>1730</v>
      </c>
      <c r="D22" s="12">
        <v>42</v>
      </c>
      <c r="E22" s="12">
        <v>51</v>
      </c>
      <c r="F22" s="12">
        <v>88</v>
      </c>
      <c r="G22" s="12">
        <v>159</v>
      </c>
      <c r="H22" s="12">
        <v>116</v>
      </c>
      <c r="I22" s="12">
        <v>134</v>
      </c>
      <c r="J22" s="12">
        <v>18</v>
      </c>
      <c r="K22" s="12">
        <v>84</v>
      </c>
      <c r="L22" s="12">
        <v>91</v>
      </c>
      <c r="M22" s="12">
        <v>76</v>
      </c>
      <c r="N22" s="12">
        <v>50</v>
      </c>
      <c r="O22" s="12">
        <v>31</v>
      </c>
      <c r="P22" s="12">
        <v>91</v>
      </c>
      <c r="Q22" s="12">
        <v>42</v>
      </c>
      <c r="R22" s="12">
        <v>44</v>
      </c>
      <c r="S22" s="12">
        <v>18</v>
      </c>
      <c r="T22" s="12">
        <v>93</v>
      </c>
      <c r="U22" s="12">
        <v>39</v>
      </c>
      <c r="V22" s="12">
        <v>127</v>
      </c>
      <c r="W22" s="12">
        <v>54</v>
      </c>
      <c r="X22" s="12">
        <v>99</v>
      </c>
      <c r="Y22" s="12">
        <v>74</v>
      </c>
      <c r="Z22" s="12">
        <v>40</v>
      </c>
      <c r="AA22" s="12">
        <v>23</v>
      </c>
      <c r="AB22" s="12">
        <v>110</v>
      </c>
      <c r="AC22" s="12">
        <v>83</v>
      </c>
      <c r="AD22" s="12">
        <v>150</v>
      </c>
      <c r="AE22" s="12">
        <v>80</v>
      </c>
      <c r="AF22" s="12">
        <v>150</v>
      </c>
    </row>
    <row r="23" spans="1:32">
      <c r="A23" s="23"/>
      <c r="B23" s="13" t="s">
        <v>746</v>
      </c>
      <c r="C23" s="14">
        <v>7.0000000000000007E-2</v>
      </c>
      <c r="D23" s="14">
        <v>0.04</v>
      </c>
      <c r="E23" s="14">
        <v>0.05</v>
      </c>
      <c r="F23" s="14">
        <v>0.1</v>
      </c>
      <c r="G23" s="14">
        <v>0.17</v>
      </c>
      <c r="H23" s="14">
        <v>0.1</v>
      </c>
      <c r="I23" s="14">
        <v>0.09</v>
      </c>
      <c r="J23" s="14">
        <v>0.06</v>
      </c>
      <c r="K23" s="14">
        <v>0.09</v>
      </c>
      <c r="L23" s="14">
        <v>0.09</v>
      </c>
      <c r="M23" s="14">
        <v>0.08</v>
      </c>
      <c r="N23" s="14">
        <v>0.05</v>
      </c>
      <c r="O23" s="14">
        <v>0.03</v>
      </c>
      <c r="P23" s="14">
        <v>0.09</v>
      </c>
      <c r="Q23" s="14">
        <v>0.04</v>
      </c>
      <c r="R23" s="14">
        <v>0.09</v>
      </c>
      <c r="S23" s="14">
        <v>0.02</v>
      </c>
      <c r="T23" s="14">
        <v>0.09</v>
      </c>
      <c r="U23" s="14">
        <v>0.08</v>
      </c>
      <c r="V23" s="14">
        <v>0.13</v>
      </c>
      <c r="W23" s="14">
        <v>0.11</v>
      </c>
      <c r="X23" s="14">
        <v>0.1</v>
      </c>
      <c r="Y23" s="14">
        <v>0.08</v>
      </c>
      <c r="Z23" s="14">
        <v>0.04</v>
      </c>
      <c r="AA23" s="14">
        <v>0.02</v>
      </c>
      <c r="AB23" s="14">
        <v>0.11</v>
      </c>
      <c r="AC23" s="14">
        <v>0.09</v>
      </c>
      <c r="AD23" s="14">
        <v>0.16</v>
      </c>
      <c r="AE23" s="14">
        <v>0.08</v>
      </c>
      <c r="AF23" s="14">
        <v>0.14000000000000001</v>
      </c>
    </row>
    <row r="24" spans="1:32" ht="45.75">
      <c r="A24" s="23"/>
      <c r="B24" s="11" t="s">
        <v>747</v>
      </c>
      <c r="C24" s="12">
        <v>5940</v>
      </c>
      <c r="D24" s="12">
        <v>235</v>
      </c>
      <c r="E24" s="12">
        <v>317</v>
      </c>
      <c r="F24" s="12">
        <v>185</v>
      </c>
      <c r="G24" s="12">
        <v>316</v>
      </c>
      <c r="H24" s="12">
        <v>250</v>
      </c>
      <c r="I24" s="12">
        <v>307</v>
      </c>
      <c r="J24" s="12">
        <v>57</v>
      </c>
      <c r="K24" s="12">
        <v>282</v>
      </c>
      <c r="L24" s="12">
        <v>214</v>
      </c>
      <c r="M24" s="12">
        <v>313</v>
      </c>
      <c r="N24" s="12">
        <v>199</v>
      </c>
      <c r="O24" s="12">
        <v>207</v>
      </c>
      <c r="P24" s="12">
        <v>261</v>
      </c>
      <c r="Q24" s="12">
        <v>215</v>
      </c>
      <c r="R24" s="12">
        <v>139</v>
      </c>
      <c r="S24" s="12">
        <v>280</v>
      </c>
      <c r="T24" s="12">
        <v>265</v>
      </c>
      <c r="U24" s="12">
        <v>102</v>
      </c>
      <c r="V24" s="12">
        <v>322</v>
      </c>
      <c r="W24" s="12">
        <v>151</v>
      </c>
      <c r="X24" s="12">
        <v>180</v>
      </c>
      <c r="Y24" s="12">
        <v>249</v>
      </c>
      <c r="Z24" s="12">
        <v>228</v>
      </c>
      <c r="AA24" s="12">
        <v>292</v>
      </c>
      <c r="AB24" s="12">
        <v>307</v>
      </c>
      <c r="AC24" s="12">
        <v>190</v>
      </c>
      <c r="AD24" s="12">
        <v>305</v>
      </c>
      <c r="AE24" s="12">
        <v>256</v>
      </c>
      <c r="AF24" s="12">
        <v>306</v>
      </c>
    </row>
    <row r="25" spans="1:32" ht="34.5">
      <c r="A25" s="23"/>
      <c r="B25" s="13" t="s">
        <v>748</v>
      </c>
      <c r="C25" s="14">
        <v>0.27</v>
      </c>
      <c r="D25" s="14">
        <v>0.28000000000000003</v>
      </c>
      <c r="E25" s="14">
        <v>0.38</v>
      </c>
      <c r="F25" s="14">
        <v>0.22</v>
      </c>
      <c r="G25" s="14">
        <v>0.38</v>
      </c>
      <c r="H25" s="14">
        <v>0.24</v>
      </c>
      <c r="I25" s="14">
        <v>0.24</v>
      </c>
      <c r="J25" s="14">
        <v>0.23</v>
      </c>
      <c r="K25" s="14">
        <v>0.35</v>
      </c>
      <c r="L25" s="14">
        <v>0.3</v>
      </c>
      <c r="M25" s="14">
        <v>0.38</v>
      </c>
      <c r="N25" s="14">
        <v>0.25</v>
      </c>
      <c r="O25" s="14">
        <v>0.25</v>
      </c>
      <c r="P25" s="14">
        <v>0.3</v>
      </c>
      <c r="Q25" s="14">
        <v>0.24</v>
      </c>
      <c r="R25" s="14">
        <v>0.36</v>
      </c>
      <c r="S25" s="14">
        <v>0.37</v>
      </c>
      <c r="T25" s="14">
        <v>0.34</v>
      </c>
      <c r="U25" s="14">
        <v>0.24</v>
      </c>
      <c r="V25" s="14">
        <v>0.4</v>
      </c>
      <c r="W25" s="14">
        <v>0.42</v>
      </c>
      <c r="X25" s="14">
        <v>0.2</v>
      </c>
      <c r="Y25" s="14">
        <v>0.3</v>
      </c>
      <c r="Z25" s="14">
        <v>0.27</v>
      </c>
      <c r="AA25" s="14">
        <v>0.31</v>
      </c>
      <c r="AB25" s="14">
        <v>0.35</v>
      </c>
      <c r="AC25" s="14">
        <v>0.22</v>
      </c>
      <c r="AD25" s="14">
        <v>0.36</v>
      </c>
      <c r="AE25" s="14">
        <v>0.28999999999999998</v>
      </c>
      <c r="AF25" s="14">
        <v>0.31</v>
      </c>
    </row>
    <row r="26" spans="1:32" ht="45.75">
      <c r="A26" s="23"/>
      <c r="B26" s="11" t="s">
        <v>749</v>
      </c>
      <c r="C26" s="12">
        <v>2995</v>
      </c>
      <c r="D26" s="12">
        <v>123</v>
      </c>
      <c r="E26" s="12">
        <v>112</v>
      </c>
      <c r="F26" s="12">
        <v>158</v>
      </c>
      <c r="G26" s="12">
        <v>60</v>
      </c>
      <c r="H26" s="12">
        <v>174</v>
      </c>
      <c r="I26" s="12">
        <v>219</v>
      </c>
      <c r="J26" s="12">
        <v>45</v>
      </c>
      <c r="K26" s="12">
        <v>150</v>
      </c>
      <c r="L26" s="12">
        <v>135</v>
      </c>
      <c r="M26" s="12">
        <v>118</v>
      </c>
      <c r="N26" s="12">
        <v>84</v>
      </c>
      <c r="O26" s="12">
        <v>97</v>
      </c>
      <c r="P26" s="12">
        <v>176</v>
      </c>
      <c r="Q26" s="12">
        <v>115</v>
      </c>
      <c r="R26" s="12">
        <v>61</v>
      </c>
      <c r="S26" s="12">
        <v>165</v>
      </c>
      <c r="T26" s="12">
        <v>132</v>
      </c>
      <c r="U26" s="12">
        <v>42</v>
      </c>
      <c r="V26" s="12">
        <v>126</v>
      </c>
      <c r="W26" s="12">
        <v>63</v>
      </c>
      <c r="X26" s="12">
        <v>80</v>
      </c>
      <c r="Y26" s="12">
        <v>215</v>
      </c>
      <c r="Z26" s="12">
        <v>93</v>
      </c>
      <c r="AA26" s="12">
        <v>113</v>
      </c>
      <c r="AB26" s="12">
        <v>141</v>
      </c>
      <c r="AC26" s="12">
        <v>78</v>
      </c>
      <c r="AD26" s="12">
        <v>183</v>
      </c>
      <c r="AE26" s="12">
        <v>60</v>
      </c>
      <c r="AF26" s="12">
        <v>43</v>
      </c>
    </row>
    <row r="27" spans="1:32" ht="34.5">
      <c r="A27" s="23"/>
      <c r="B27" s="13" t="s">
        <v>750</v>
      </c>
      <c r="C27" s="14">
        <v>0.12</v>
      </c>
      <c r="D27" s="14">
        <v>0.13</v>
      </c>
      <c r="E27" s="14">
        <v>0.11</v>
      </c>
      <c r="F27" s="14">
        <v>0.17</v>
      </c>
      <c r="G27" s="14">
        <v>0.06</v>
      </c>
      <c r="H27" s="14">
        <v>0.16</v>
      </c>
      <c r="I27" s="14">
        <v>0.16</v>
      </c>
      <c r="J27" s="14">
        <v>0.16</v>
      </c>
      <c r="K27" s="14">
        <v>0.16</v>
      </c>
      <c r="L27" s="14">
        <v>0.14000000000000001</v>
      </c>
      <c r="M27" s="14">
        <v>0.12</v>
      </c>
      <c r="N27" s="14">
        <v>0.09</v>
      </c>
      <c r="O27" s="14">
        <v>0.1</v>
      </c>
      <c r="P27" s="14">
        <v>0.18</v>
      </c>
      <c r="Q27" s="14">
        <v>0.12</v>
      </c>
      <c r="R27" s="14">
        <v>0.13</v>
      </c>
      <c r="S27" s="14">
        <v>0.18</v>
      </c>
      <c r="T27" s="14">
        <v>0.13</v>
      </c>
      <c r="U27" s="14">
        <v>0.09</v>
      </c>
      <c r="V27" s="14">
        <v>0.13</v>
      </c>
      <c r="W27" s="14">
        <v>0.14000000000000001</v>
      </c>
      <c r="X27" s="14">
        <v>0.08</v>
      </c>
      <c r="Y27" s="14">
        <v>0.23</v>
      </c>
      <c r="Z27" s="14">
        <v>0.1</v>
      </c>
      <c r="AA27" s="14">
        <v>0.11</v>
      </c>
      <c r="AB27" s="14">
        <v>0.14000000000000001</v>
      </c>
      <c r="AC27" s="14">
        <v>0.08</v>
      </c>
      <c r="AD27" s="14">
        <v>0.19</v>
      </c>
      <c r="AE27" s="14">
        <v>0.06</v>
      </c>
      <c r="AF27" s="14">
        <v>0.04</v>
      </c>
    </row>
    <row r="28" spans="1:32">
      <c r="A28" s="23"/>
      <c r="B28" s="11" t="s">
        <v>751</v>
      </c>
      <c r="C28" s="12">
        <v>907</v>
      </c>
      <c r="D28" s="12">
        <v>25</v>
      </c>
      <c r="E28" s="12">
        <v>49</v>
      </c>
      <c r="F28" s="12">
        <v>25</v>
      </c>
      <c r="G28" s="12">
        <v>13</v>
      </c>
      <c r="H28" s="12">
        <v>58</v>
      </c>
      <c r="I28" s="12">
        <v>64</v>
      </c>
      <c r="J28" s="12">
        <v>6</v>
      </c>
      <c r="K28" s="12">
        <v>74</v>
      </c>
      <c r="L28" s="12">
        <v>39</v>
      </c>
      <c r="M28" s="12">
        <v>172</v>
      </c>
      <c r="N28" s="12">
        <v>16</v>
      </c>
      <c r="O28" s="12">
        <v>25</v>
      </c>
      <c r="P28" s="12">
        <v>39</v>
      </c>
      <c r="Q28" s="12">
        <v>32</v>
      </c>
      <c r="R28" s="12">
        <v>23</v>
      </c>
      <c r="S28" s="12">
        <v>37</v>
      </c>
      <c r="T28" s="12">
        <v>96</v>
      </c>
      <c r="U28" s="12">
        <v>14</v>
      </c>
      <c r="V28" s="12">
        <v>66</v>
      </c>
      <c r="W28" s="12">
        <v>17</v>
      </c>
      <c r="X28" s="12">
        <v>21</v>
      </c>
      <c r="Y28" s="12">
        <v>64</v>
      </c>
      <c r="Z28" s="12">
        <v>20</v>
      </c>
      <c r="AA28" s="12">
        <v>6</v>
      </c>
      <c r="AB28" s="12">
        <v>42</v>
      </c>
      <c r="AC28" s="12">
        <v>38</v>
      </c>
      <c r="AD28" s="12">
        <v>66</v>
      </c>
      <c r="AE28" s="12">
        <v>20</v>
      </c>
      <c r="AF28" s="12">
        <v>24</v>
      </c>
    </row>
    <row r="29" spans="1:32">
      <c r="A29" s="23"/>
      <c r="B29" s="13" t="s">
        <v>752</v>
      </c>
      <c r="C29" s="14">
        <v>0.04</v>
      </c>
      <c r="D29" s="14">
        <v>0.02</v>
      </c>
      <c r="E29" s="14">
        <v>0.05</v>
      </c>
      <c r="F29" s="14">
        <v>0.03</v>
      </c>
      <c r="G29" s="14">
        <v>0.01</v>
      </c>
      <c r="H29" s="14">
        <v>0.05</v>
      </c>
      <c r="I29" s="14">
        <v>0.04</v>
      </c>
      <c r="J29" s="14">
        <v>0.02</v>
      </c>
      <c r="K29" s="14">
        <v>0.08</v>
      </c>
      <c r="L29" s="14">
        <v>0.04</v>
      </c>
      <c r="M29" s="14">
        <v>0.18</v>
      </c>
      <c r="N29" s="14">
        <v>0.02</v>
      </c>
      <c r="O29" s="14">
        <v>0.03</v>
      </c>
      <c r="P29" s="14">
        <v>0.04</v>
      </c>
      <c r="Q29" s="14">
        <v>0.03</v>
      </c>
      <c r="R29" s="14">
        <v>0.05</v>
      </c>
      <c r="S29" s="14">
        <v>0.04</v>
      </c>
      <c r="T29" s="14">
        <v>0.1</v>
      </c>
      <c r="U29" s="14">
        <v>0.03</v>
      </c>
      <c r="V29" s="14">
        <v>7.0000000000000007E-2</v>
      </c>
      <c r="W29" s="14">
        <v>0.04</v>
      </c>
      <c r="X29" s="14">
        <v>0.02</v>
      </c>
      <c r="Y29" s="14">
        <v>7.0000000000000007E-2</v>
      </c>
      <c r="Z29" s="14">
        <v>0.02</v>
      </c>
      <c r="AA29" s="14">
        <v>0.01</v>
      </c>
      <c r="AB29" s="14">
        <v>0.04</v>
      </c>
      <c r="AC29" s="14">
        <v>0.04</v>
      </c>
      <c r="AD29" s="14">
        <v>7.0000000000000007E-2</v>
      </c>
      <c r="AE29" s="14">
        <v>0.02</v>
      </c>
      <c r="AF29" s="14">
        <v>0.02</v>
      </c>
    </row>
    <row r="30" spans="1:32" ht="79.5">
      <c r="A30" s="23"/>
      <c r="B30" s="11" t="s">
        <v>753</v>
      </c>
      <c r="C30" s="12">
        <v>782</v>
      </c>
      <c r="D30" s="12">
        <v>17</v>
      </c>
      <c r="E30" s="12">
        <v>26</v>
      </c>
      <c r="F30" s="12">
        <v>17</v>
      </c>
      <c r="G30" s="12">
        <v>13</v>
      </c>
      <c r="H30" s="12">
        <v>6</v>
      </c>
      <c r="I30" s="12">
        <v>11</v>
      </c>
      <c r="J30" s="12">
        <v>6</v>
      </c>
      <c r="K30" s="12">
        <v>11</v>
      </c>
      <c r="L30" s="12">
        <v>9</v>
      </c>
      <c r="M30" s="12">
        <v>13</v>
      </c>
      <c r="N30" s="12">
        <v>73</v>
      </c>
      <c r="O30" s="12">
        <v>26</v>
      </c>
      <c r="P30" s="12">
        <v>10</v>
      </c>
      <c r="Q30" s="12">
        <v>49</v>
      </c>
      <c r="R30" s="12">
        <v>6</v>
      </c>
      <c r="S30" s="12">
        <v>21</v>
      </c>
      <c r="T30" s="12">
        <v>21</v>
      </c>
      <c r="U30" s="12">
        <v>6</v>
      </c>
      <c r="V30" s="12">
        <v>21</v>
      </c>
      <c r="W30" s="12">
        <v>12</v>
      </c>
      <c r="X30" s="12">
        <v>26</v>
      </c>
      <c r="Y30" s="12">
        <v>16</v>
      </c>
      <c r="Z30" s="12">
        <v>23</v>
      </c>
      <c r="AA30" s="12">
        <v>35</v>
      </c>
      <c r="AB30" s="12">
        <v>77</v>
      </c>
      <c r="AC30" s="12">
        <v>18</v>
      </c>
      <c r="AD30" s="12">
        <v>5</v>
      </c>
      <c r="AE30" s="12">
        <v>6</v>
      </c>
      <c r="AF30" s="12">
        <v>6</v>
      </c>
    </row>
    <row r="31" spans="1:32" ht="57">
      <c r="A31" s="23"/>
      <c r="B31" s="13" t="s">
        <v>754</v>
      </c>
      <c r="C31" s="14">
        <v>0.03</v>
      </c>
      <c r="D31" s="14">
        <v>0.02</v>
      </c>
      <c r="E31" s="14">
        <v>0.03</v>
      </c>
      <c r="F31" s="14">
        <v>0.02</v>
      </c>
      <c r="G31" s="14">
        <v>0.01</v>
      </c>
      <c r="H31" s="15" t="s">
        <v>485</v>
      </c>
      <c r="I31" s="14">
        <v>0.01</v>
      </c>
      <c r="J31" s="14">
        <v>0.02</v>
      </c>
      <c r="K31" s="14">
        <v>0.01</v>
      </c>
      <c r="L31" s="14">
        <v>0.01</v>
      </c>
      <c r="M31" s="14">
        <v>0.01</v>
      </c>
      <c r="N31" s="14">
        <v>0.08</v>
      </c>
      <c r="O31" s="14">
        <v>0.03</v>
      </c>
      <c r="P31" s="14">
        <v>0.01</v>
      </c>
      <c r="Q31" s="14">
        <v>0.05</v>
      </c>
      <c r="R31" s="14">
        <v>0.01</v>
      </c>
      <c r="S31" s="14">
        <v>0.02</v>
      </c>
      <c r="T31" s="14">
        <v>0.02</v>
      </c>
      <c r="U31" s="14">
        <v>0.01</v>
      </c>
      <c r="V31" s="14">
        <v>0.02</v>
      </c>
      <c r="W31" s="14">
        <v>0.02</v>
      </c>
      <c r="X31" s="14">
        <v>0.03</v>
      </c>
      <c r="Y31" s="14">
        <v>0.02</v>
      </c>
      <c r="Z31" s="14">
        <v>0.02</v>
      </c>
      <c r="AA31" s="14">
        <v>0.03</v>
      </c>
      <c r="AB31" s="14">
        <v>0.08</v>
      </c>
      <c r="AC31" s="14">
        <v>0.02</v>
      </c>
      <c r="AD31" s="14">
        <v>0.01</v>
      </c>
      <c r="AE31" s="14">
        <v>0.01</v>
      </c>
      <c r="AF31" s="14">
        <v>0.01</v>
      </c>
    </row>
    <row r="32" spans="1:32">
      <c r="A32" s="23"/>
      <c r="B32" s="11" t="s">
        <v>497</v>
      </c>
      <c r="C32" s="12">
        <v>908</v>
      </c>
      <c r="D32" s="12">
        <v>7</v>
      </c>
      <c r="E32" s="12">
        <v>55</v>
      </c>
      <c r="F32" s="12">
        <v>20</v>
      </c>
      <c r="G32" s="12">
        <v>20</v>
      </c>
      <c r="H32" s="12">
        <v>18</v>
      </c>
      <c r="I32" s="12">
        <v>21</v>
      </c>
      <c r="J32" s="12">
        <v>4</v>
      </c>
      <c r="K32" s="12">
        <v>24</v>
      </c>
      <c r="L32" s="12">
        <v>17</v>
      </c>
      <c r="M32" s="12">
        <v>72</v>
      </c>
      <c r="N32" s="12">
        <v>48</v>
      </c>
      <c r="O32" s="12">
        <v>67</v>
      </c>
      <c r="P32" s="12">
        <v>3</v>
      </c>
      <c r="Q32" s="12">
        <v>33</v>
      </c>
      <c r="R32" s="12">
        <v>42</v>
      </c>
      <c r="S32" s="12">
        <v>65</v>
      </c>
      <c r="T32" s="12">
        <v>24</v>
      </c>
      <c r="U32" s="12">
        <v>13</v>
      </c>
      <c r="V32" s="12">
        <v>36</v>
      </c>
      <c r="W32" s="12">
        <v>25</v>
      </c>
      <c r="X32" s="12">
        <v>16</v>
      </c>
      <c r="Y32" s="12">
        <v>11</v>
      </c>
      <c r="Z32" s="12">
        <v>9</v>
      </c>
      <c r="AA32" s="12">
        <v>114</v>
      </c>
      <c r="AB32" s="12">
        <v>40</v>
      </c>
      <c r="AC32" s="12">
        <v>26</v>
      </c>
      <c r="AD32" s="12">
        <v>28</v>
      </c>
      <c r="AE32" s="12">
        <v>50</v>
      </c>
      <c r="AF32" s="12">
        <v>26</v>
      </c>
    </row>
    <row r="33" spans="1:32">
      <c r="A33" s="23"/>
      <c r="B33" s="13" t="s">
        <v>498</v>
      </c>
      <c r="C33" s="14">
        <v>0.04</v>
      </c>
      <c r="D33" s="14">
        <v>0.01</v>
      </c>
      <c r="E33" s="14">
        <v>0.06</v>
      </c>
      <c r="F33" s="14">
        <v>0.02</v>
      </c>
      <c r="G33" s="14">
        <v>0.02</v>
      </c>
      <c r="H33" s="14">
        <v>0.01</v>
      </c>
      <c r="I33" s="14">
        <v>0.01</v>
      </c>
      <c r="J33" s="14">
        <v>0.01</v>
      </c>
      <c r="K33" s="14">
        <v>0.02</v>
      </c>
      <c r="L33" s="14">
        <v>0.02</v>
      </c>
      <c r="M33" s="14">
        <v>7.0000000000000007E-2</v>
      </c>
      <c r="N33" s="14">
        <v>0.05</v>
      </c>
      <c r="O33" s="14">
        <v>7.0000000000000007E-2</v>
      </c>
      <c r="P33" s="15" t="s">
        <v>485</v>
      </c>
      <c r="Q33" s="14">
        <v>0.03</v>
      </c>
      <c r="R33" s="14">
        <v>0.09</v>
      </c>
      <c r="S33" s="14">
        <v>7.0000000000000007E-2</v>
      </c>
      <c r="T33" s="14">
        <v>0.02</v>
      </c>
      <c r="U33" s="14">
        <v>0.03</v>
      </c>
      <c r="V33" s="14">
        <v>0.04</v>
      </c>
      <c r="W33" s="14">
        <v>0.05</v>
      </c>
      <c r="X33" s="14">
        <v>0.02</v>
      </c>
      <c r="Y33" s="14">
        <v>0.01</v>
      </c>
      <c r="Z33" s="14">
        <v>0.01</v>
      </c>
      <c r="AA33" s="14">
        <v>0.11</v>
      </c>
      <c r="AB33" s="14">
        <v>0.04</v>
      </c>
      <c r="AC33" s="14">
        <v>0.03</v>
      </c>
      <c r="AD33" s="14">
        <v>0.03</v>
      </c>
      <c r="AE33" s="14">
        <v>0.05</v>
      </c>
      <c r="AF33" s="14">
        <v>0.02</v>
      </c>
    </row>
  </sheetData>
  <mergeCells count="9">
    <mergeCell ref="B4:F4"/>
    <mergeCell ref="H3:L3"/>
    <mergeCell ref="C8:AF8"/>
    <mergeCell ref="A10:A33"/>
    <mergeCell ref="B3:F3"/>
    <mergeCell ref="B5:F5"/>
    <mergeCell ref="H5:L5"/>
    <mergeCell ref="B10:B11"/>
    <mergeCell ref="H4:L4"/>
  </mergeCells>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F33"/>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36" customHeight="1">
      <c r="B3" s="19" t="s">
        <v>71</v>
      </c>
      <c r="C3" s="19"/>
      <c r="D3" s="19"/>
      <c r="E3" s="19"/>
      <c r="F3" s="19"/>
      <c r="H3" s="19" t="s">
        <v>72</v>
      </c>
      <c r="I3" s="19"/>
      <c r="J3" s="19"/>
      <c r="K3" s="19"/>
      <c r="L3" s="19"/>
    </row>
    <row r="4" spans="1:32" ht="27" customHeight="1">
      <c r="B4" s="19"/>
      <c r="C4" s="19"/>
      <c r="D4" s="19"/>
      <c r="E4" s="19"/>
      <c r="F4" s="19"/>
      <c r="H4" s="19"/>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HYPERLINK("#Content!A37","&lt;&lt;Back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735</v>
      </c>
      <c r="C12" s="12">
        <v>9458</v>
      </c>
      <c r="D12" s="12">
        <v>448</v>
      </c>
      <c r="E12" s="12">
        <v>305</v>
      </c>
      <c r="F12" s="12">
        <v>313</v>
      </c>
      <c r="G12" s="12">
        <v>468</v>
      </c>
      <c r="H12" s="12">
        <v>575</v>
      </c>
      <c r="I12" s="12">
        <v>717</v>
      </c>
      <c r="J12" s="12">
        <v>143</v>
      </c>
      <c r="K12" s="12">
        <v>433</v>
      </c>
      <c r="L12" s="12">
        <v>400</v>
      </c>
      <c r="M12" s="12">
        <v>273</v>
      </c>
      <c r="N12" s="12">
        <v>266</v>
      </c>
      <c r="O12" s="12">
        <v>403</v>
      </c>
      <c r="P12" s="12">
        <v>377</v>
      </c>
      <c r="Q12" s="12">
        <v>287</v>
      </c>
      <c r="R12" s="12">
        <v>138</v>
      </c>
      <c r="S12" s="12">
        <v>278</v>
      </c>
      <c r="T12" s="12">
        <v>325</v>
      </c>
      <c r="U12" s="12">
        <v>235</v>
      </c>
      <c r="V12" s="12">
        <v>272</v>
      </c>
      <c r="W12" s="12">
        <v>127</v>
      </c>
      <c r="X12" s="12">
        <v>395</v>
      </c>
      <c r="Y12" s="12">
        <v>472</v>
      </c>
      <c r="Z12" s="12">
        <v>313</v>
      </c>
      <c r="AA12" s="12">
        <v>246</v>
      </c>
      <c r="AB12" s="12">
        <v>214</v>
      </c>
      <c r="AC12" s="12">
        <v>356</v>
      </c>
      <c r="AD12" s="12">
        <v>485</v>
      </c>
      <c r="AE12" s="12">
        <v>316</v>
      </c>
      <c r="AF12" s="12">
        <v>555</v>
      </c>
    </row>
    <row r="13" spans="1:32">
      <c r="A13" s="23"/>
      <c r="B13" s="13" t="s">
        <v>736</v>
      </c>
      <c r="C13" s="14">
        <v>0.36</v>
      </c>
      <c r="D13" s="14">
        <v>0.45</v>
      </c>
      <c r="E13" s="14">
        <v>0.28999999999999998</v>
      </c>
      <c r="F13" s="14">
        <v>0.31</v>
      </c>
      <c r="G13" s="14">
        <v>0.47</v>
      </c>
      <c r="H13" s="14">
        <v>0.47</v>
      </c>
      <c r="I13" s="14">
        <v>0.48</v>
      </c>
      <c r="J13" s="14">
        <v>0.49</v>
      </c>
      <c r="K13" s="14">
        <v>0.43</v>
      </c>
      <c r="L13" s="14">
        <v>0.4</v>
      </c>
      <c r="M13" s="14">
        <v>0.27</v>
      </c>
      <c r="N13" s="14">
        <v>0.27</v>
      </c>
      <c r="O13" s="14">
        <v>0.4</v>
      </c>
      <c r="P13" s="14">
        <v>0.37</v>
      </c>
      <c r="Q13" s="14">
        <v>0.28000000000000003</v>
      </c>
      <c r="R13" s="14">
        <v>0.27</v>
      </c>
      <c r="S13" s="14">
        <v>0.28000000000000003</v>
      </c>
      <c r="T13" s="14">
        <v>0.32</v>
      </c>
      <c r="U13" s="14">
        <v>0.47</v>
      </c>
      <c r="V13" s="14">
        <v>0.27</v>
      </c>
      <c r="W13" s="14">
        <v>0.25</v>
      </c>
      <c r="X13" s="14">
        <v>0.39</v>
      </c>
      <c r="Y13" s="14">
        <v>0.47</v>
      </c>
      <c r="Z13" s="14">
        <v>0.31</v>
      </c>
      <c r="AA13" s="14">
        <v>0.24</v>
      </c>
      <c r="AB13" s="14">
        <v>0.21</v>
      </c>
      <c r="AC13" s="14">
        <v>0.35</v>
      </c>
      <c r="AD13" s="14">
        <v>0.48</v>
      </c>
      <c r="AE13" s="14">
        <v>0.31</v>
      </c>
      <c r="AF13" s="14">
        <v>0.52</v>
      </c>
    </row>
    <row r="14" spans="1:32">
      <c r="A14" s="23"/>
      <c r="B14" s="11" t="s">
        <v>737</v>
      </c>
      <c r="C14" s="12">
        <v>19051</v>
      </c>
      <c r="D14" s="12">
        <v>707</v>
      </c>
      <c r="E14" s="12">
        <v>859</v>
      </c>
      <c r="F14" s="12">
        <v>716</v>
      </c>
      <c r="G14" s="12">
        <v>705</v>
      </c>
      <c r="H14" s="12">
        <v>841</v>
      </c>
      <c r="I14" s="12">
        <v>1068</v>
      </c>
      <c r="J14" s="12">
        <v>227</v>
      </c>
      <c r="K14" s="12">
        <v>599</v>
      </c>
      <c r="L14" s="12">
        <v>601</v>
      </c>
      <c r="M14" s="12">
        <v>758</v>
      </c>
      <c r="N14" s="12">
        <v>680</v>
      </c>
      <c r="O14" s="12">
        <v>718</v>
      </c>
      <c r="P14" s="12">
        <v>760</v>
      </c>
      <c r="Q14" s="12">
        <v>836</v>
      </c>
      <c r="R14" s="12">
        <v>317</v>
      </c>
      <c r="S14" s="12">
        <v>565</v>
      </c>
      <c r="T14" s="12">
        <v>737</v>
      </c>
      <c r="U14" s="12">
        <v>298</v>
      </c>
      <c r="V14" s="12">
        <v>699</v>
      </c>
      <c r="W14" s="12">
        <v>237</v>
      </c>
      <c r="X14" s="12">
        <v>647</v>
      </c>
      <c r="Y14" s="12">
        <v>726</v>
      </c>
      <c r="Z14" s="12">
        <v>718</v>
      </c>
      <c r="AA14" s="12">
        <v>919</v>
      </c>
      <c r="AB14" s="12">
        <v>765</v>
      </c>
      <c r="AC14" s="12">
        <v>664</v>
      </c>
      <c r="AD14" s="12">
        <v>805</v>
      </c>
      <c r="AE14" s="12">
        <v>659</v>
      </c>
      <c r="AF14" s="12">
        <v>709</v>
      </c>
    </row>
    <row r="15" spans="1:32">
      <c r="A15" s="23"/>
      <c r="B15" s="13" t="s">
        <v>738</v>
      </c>
      <c r="C15" s="14">
        <v>0.72</v>
      </c>
      <c r="D15" s="14">
        <v>0.70000000000000007</v>
      </c>
      <c r="E15" s="14">
        <v>0.82000000000000006</v>
      </c>
      <c r="F15" s="14">
        <v>0.71</v>
      </c>
      <c r="G15" s="14">
        <v>0.70000000000000007</v>
      </c>
      <c r="H15" s="14">
        <v>0.69000000000000006</v>
      </c>
      <c r="I15" s="14">
        <v>0.71</v>
      </c>
      <c r="J15" s="14">
        <v>0.77</v>
      </c>
      <c r="K15" s="14">
        <v>0.6</v>
      </c>
      <c r="L15" s="14">
        <v>0.6</v>
      </c>
      <c r="M15" s="14">
        <v>0.75</v>
      </c>
      <c r="N15" s="14">
        <v>0.68</v>
      </c>
      <c r="O15" s="14">
        <v>0.71</v>
      </c>
      <c r="P15" s="14">
        <v>0.75</v>
      </c>
      <c r="Q15" s="14">
        <v>0.82000000000000006</v>
      </c>
      <c r="R15" s="14">
        <v>0.63</v>
      </c>
      <c r="S15" s="14">
        <v>0.56000000000000005</v>
      </c>
      <c r="T15" s="14">
        <v>0.73</v>
      </c>
      <c r="U15" s="14">
        <v>0.59</v>
      </c>
      <c r="V15" s="14">
        <v>0.69000000000000006</v>
      </c>
      <c r="W15" s="14">
        <v>0.47</v>
      </c>
      <c r="X15" s="14">
        <v>0.64</v>
      </c>
      <c r="Y15" s="14">
        <v>0.72</v>
      </c>
      <c r="Z15" s="14">
        <v>0.71</v>
      </c>
      <c r="AA15" s="14">
        <v>0.88</v>
      </c>
      <c r="AB15" s="14">
        <v>0.74</v>
      </c>
      <c r="AC15" s="14">
        <v>0.66</v>
      </c>
      <c r="AD15" s="14">
        <v>0.8</v>
      </c>
      <c r="AE15" s="14">
        <v>0.65</v>
      </c>
      <c r="AF15" s="14">
        <v>0.66</v>
      </c>
    </row>
    <row r="16" spans="1:32" ht="57">
      <c r="A16" s="23"/>
      <c r="B16" s="11" t="s">
        <v>739</v>
      </c>
      <c r="C16" s="12">
        <v>6395</v>
      </c>
      <c r="D16" s="12">
        <v>289</v>
      </c>
      <c r="E16" s="12">
        <v>183</v>
      </c>
      <c r="F16" s="12">
        <v>196</v>
      </c>
      <c r="G16" s="12">
        <v>266</v>
      </c>
      <c r="H16" s="12">
        <v>438</v>
      </c>
      <c r="I16" s="12">
        <v>514</v>
      </c>
      <c r="J16" s="12">
        <v>75</v>
      </c>
      <c r="K16" s="12">
        <v>227</v>
      </c>
      <c r="L16" s="12">
        <v>187</v>
      </c>
      <c r="M16" s="12">
        <v>162</v>
      </c>
      <c r="N16" s="12">
        <v>128</v>
      </c>
      <c r="O16" s="12">
        <v>220</v>
      </c>
      <c r="P16" s="12">
        <v>242</v>
      </c>
      <c r="Q16" s="12">
        <v>279</v>
      </c>
      <c r="R16" s="12">
        <v>50</v>
      </c>
      <c r="S16" s="12">
        <v>117</v>
      </c>
      <c r="T16" s="12">
        <v>126</v>
      </c>
      <c r="U16" s="12">
        <v>182</v>
      </c>
      <c r="V16" s="12">
        <v>180</v>
      </c>
      <c r="W16" s="12">
        <v>37</v>
      </c>
      <c r="X16" s="12">
        <v>405</v>
      </c>
      <c r="Y16" s="12">
        <v>484</v>
      </c>
      <c r="Z16" s="12">
        <v>106</v>
      </c>
      <c r="AA16" s="12">
        <v>285</v>
      </c>
      <c r="AB16" s="12">
        <v>173</v>
      </c>
      <c r="AC16" s="12">
        <v>187</v>
      </c>
      <c r="AD16" s="12">
        <v>208</v>
      </c>
      <c r="AE16" s="12">
        <v>350</v>
      </c>
      <c r="AF16" s="12">
        <v>340</v>
      </c>
    </row>
    <row r="17" spans="1:32" ht="34.5">
      <c r="A17" s="23"/>
      <c r="B17" s="13" t="s">
        <v>740</v>
      </c>
      <c r="C17" s="14">
        <v>0.24</v>
      </c>
      <c r="D17" s="14">
        <v>0.28999999999999998</v>
      </c>
      <c r="E17" s="14">
        <v>0.18</v>
      </c>
      <c r="F17" s="14">
        <v>0.19</v>
      </c>
      <c r="G17" s="14">
        <v>0.27</v>
      </c>
      <c r="H17" s="14">
        <v>0.36</v>
      </c>
      <c r="I17" s="14">
        <v>0.34</v>
      </c>
      <c r="J17" s="14">
        <v>0.26</v>
      </c>
      <c r="K17" s="14">
        <v>0.23</v>
      </c>
      <c r="L17" s="14">
        <v>0.19</v>
      </c>
      <c r="M17" s="14">
        <v>0.16</v>
      </c>
      <c r="N17" s="14">
        <v>0.13</v>
      </c>
      <c r="O17" s="14">
        <v>0.22</v>
      </c>
      <c r="P17" s="14">
        <v>0.24</v>
      </c>
      <c r="Q17" s="14">
        <v>0.27</v>
      </c>
      <c r="R17" s="14">
        <v>0.1</v>
      </c>
      <c r="S17" s="14">
        <v>0.12</v>
      </c>
      <c r="T17" s="14">
        <v>0.13</v>
      </c>
      <c r="U17" s="14">
        <v>0.36</v>
      </c>
      <c r="V17" s="14">
        <v>0.18</v>
      </c>
      <c r="W17" s="14">
        <v>7.0000000000000007E-2</v>
      </c>
      <c r="X17" s="14">
        <v>0.4</v>
      </c>
      <c r="Y17" s="14">
        <v>0.48</v>
      </c>
      <c r="Z17" s="14">
        <v>0.1</v>
      </c>
      <c r="AA17" s="14">
        <v>0.27</v>
      </c>
      <c r="AB17" s="14">
        <v>0.17</v>
      </c>
      <c r="AC17" s="14">
        <v>0.19</v>
      </c>
      <c r="AD17" s="14">
        <v>0.21</v>
      </c>
      <c r="AE17" s="14">
        <v>0.35</v>
      </c>
      <c r="AF17" s="14">
        <v>0.32</v>
      </c>
    </row>
    <row r="18" spans="1:32" ht="45.75">
      <c r="A18" s="23"/>
      <c r="B18" s="11" t="s">
        <v>741</v>
      </c>
      <c r="C18" s="12">
        <v>10806</v>
      </c>
      <c r="D18" s="12">
        <v>494</v>
      </c>
      <c r="E18" s="12">
        <v>326</v>
      </c>
      <c r="F18" s="12">
        <v>410</v>
      </c>
      <c r="G18" s="12">
        <v>603</v>
      </c>
      <c r="H18" s="12">
        <v>502</v>
      </c>
      <c r="I18" s="12">
        <v>595</v>
      </c>
      <c r="J18" s="12">
        <v>93</v>
      </c>
      <c r="K18" s="12">
        <v>536</v>
      </c>
      <c r="L18" s="12">
        <v>413</v>
      </c>
      <c r="M18" s="12">
        <v>554</v>
      </c>
      <c r="N18" s="12">
        <v>402</v>
      </c>
      <c r="O18" s="12">
        <v>344</v>
      </c>
      <c r="P18" s="12">
        <v>506</v>
      </c>
      <c r="Q18" s="12">
        <v>409</v>
      </c>
      <c r="R18" s="12">
        <v>259</v>
      </c>
      <c r="S18" s="12">
        <v>450</v>
      </c>
      <c r="T18" s="12">
        <v>516</v>
      </c>
      <c r="U18" s="12">
        <v>274</v>
      </c>
      <c r="V18" s="12">
        <v>508</v>
      </c>
      <c r="W18" s="12">
        <v>249</v>
      </c>
      <c r="X18" s="12">
        <v>562</v>
      </c>
      <c r="Y18" s="12">
        <v>409</v>
      </c>
      <c r="Z18" s="12">
        <v>395</v>
      </c>
      <c r="AA18" s="12">
        <v>249</v>
      </c>
      <c r="AB18" s="12">
        <v>283</v>
      </c>
      <c r="AC18" s="12">
        <v>552</v>
      </c>
      <c r="AD18" s="12">
        <v>402</v>
      </c>
      <c r="AE18" s="12">
        <v>708</v>
      </c>
      <c r="AF18" s="12">
        <v>720</v>
      </c>
    </row>
    <row r="19" spans="1:32" ht="34.5">
      <c r="A19" s="23"/>
      <c r="B19" s="13" t="s">
        <v>742</v>
      </c>
      <c r="C19" s="14">
        <v>0.41</v>
      </c>
      <c r="D19" s="14">
        <v>0.49</v>
      </c>
      <c r="E19" s="14">
        <v>0.31</v>
      </c>
      <c r="F19" s="14">
        <v>0.41</v>
      </c>
      <c r="G19" s="14">
        <v>0.6</v>
      </c>
      <c r="H19" s="14">
        <v>0.41</v>
      </c>
      <c r="I19" s="14">
        <v>0.4</v>
      </c>
      <c r="J19" s="14">
        <v>0.32</v>
      </c>
      <c r="K19" s="14">
        <v>0.53</v>
      </c>
      <c r="L19" s="14">
        <v>0.41</v>
      </c>
      <c r="M19" s="14">
        <v>0.55000000000000004</v>
      </c>
      <c r="N19" s="14">
        <v>0.4</v>
      </c>
      <c r="O19" s="14">
        <v>0.34</v>
      </c>
      <c r="P19" s="14">
        <v>0.5</v>
      </c>
      <c r="Q19" s="14">
        <v>0.4</v>
      </c>
      <c r="R19" s="14">
        <v>0.52</v>
      </c>
      <c r="S19" s="14">
        <v>0.45</v>
      </c>
      <c r="T19" s="14">
        <v>0.51</v>
      </c>
      <c r="U19" s="14">
        <v>0.54</v>
      </c>
      <c r="V19" s="14">
        <v>0.5</v>
      </c>
      <c r="W19" s="14">
        <v>0.5</v>
      </c>
      <c r="X19" s="14">
        <v>0.55000000000000004</v>
      </c>
      <c r="Y19" s="14">
        <v>0.41</v>
      </c>
      <c r="Z19" s="14">
        <v>0.39</v>
      </c>
      <c r="AA19" s="14">
        <v>0.24</v>
      </c>
      <c r="AB19" s="14">
        <v>0.27</v>
      </c>
      <c r="AC19" s="14">
        <v>0.55000000000000004</v>
      </c>
      <c r="AD19" s="14">
        <v>0.4</v>
      </c>
      <c r="AE19" s="14">
        <v>0.70000000000000007</v>
      </c>
      <c r="AF19" s="14">
        <v>0.67</v>
      </c>
    </row>
    <row r="20" spans="1:32" ht="34.5">
      <c r="A20" s="23"/>
      <c r="B20" s="11" t="s">
        <v>743</v>
      </c>
      <c r="C20" s="12">
        <v>4342</v>
      </c>
      <c r="D20" s="12">
        <v>156</v>
      </c>
      <c r="E20" s="12">
        <v>158</v>
      </c>
      <c r="F20" s="12">
        <v>162</v>
      </c>
      <c r="G20" s="12">
        <v>126</v>
      </c>
      <c r="H20" s="12">
        <v>204</v>
      </c>
      <c r="I20" s="12">
        <v>261</v>
      </c>
      <c r="J20" s="12">
        <v>57</v>
      </c>
      <c r="K20" s="12">
        <v>246</v>
      </c>
      <c r="L20" s="12">
        <v>146</v>
      </c>
      <c r="M20" s="12">
        <v>258</v>
      </c>
      <c r="N20" s="12">
        <v>164</v>
      </c>
      <c r="O20" s="12">
        <v>180</v>
      </c>
      <c r="P20" s="12">
        <v>157</v>
      </c>
      <c r="Q20" s="12">
        <v>150</v>
      </c>
      <c r="R20" s="12">
        <v>96</v>
      </c>
      <c r="S20" s="12">
        <v>285</v>
      </c>
      <c r="T20" s="12">
        <v>296</v>
      </c>
      <c r="U20" s="12">
        <v>108</v>
      </c>
      <c r="V20" s="12">
        <v>228</v>
      </c>
      <c r="W20" s="12">
        <v>111</v>
      </c>
      <c r="X20" s="12">
        <v>131</v>
      </c>
      <c r="Y20" s="12">
        <v>184</v>
      </c>
      <c r="Z20" s="12">
        <v>100</v>
      </c>
      <c r="AA20" s="12">
        <v>74</v>
      </c>
      <c r="AB20" s="12">
        <v>264</v>
      </c>
      <c r="AC20" s="12">
        <v>171</v>
      </c>
      <c r="AD20" s="12">
        <v>245</v>
      </c>
      <c r="AE20" s="12">
        <v>124</v>
      </c>
      <c r="AF20" s="12">
        <v>144</v>
      </c>
    </row>
    <row r="21" spans="1:32" ht="23.25">
      <c r="A21" s="23"/>
      <c r="B21" s="13" t="s">
        <v>744</v>
      </c>
      <c r="C21" s="14">
        <v>0.16</v>
      </c>
      <c r="D21" s="14">
        <v>0.16</v>
      </c>
      <c r="E21" s="14">
        <v>0.15</v>
      </c>
      <c r="F21" s="14">
        <v>0.16</v>
      </c>
      <c r="G21" s="14">
        <v>0.13</v>
      </c>
      <c r="H21" s="14">
        <v>0.17</v>
      </c>
      <c r="I21" s="14">
        <v>0.17</v>
      </c>
      <c r="J21" s="14">
        <v>0.2</v>
      </c>
      <c r="K21" s="14">
        <v>0.24</v>
      </c>
      <c r="L21" s="14">
        <v>0.14000000000000001</v>
      </c>
      <c r="M21" s="14">
        <v>0.26</v>
      </c>
      <c r="N21" s="14">
        <v>0.16</v>
      </c>
      <c r="O21" s="14">
        <v>0.18</v>
      </c>
      <c r="P21" s="14">
        <v>0.16</v>
      </c>
      <c r="Q21" s="14">
        <v>0.15</v>
      </c>
      <c r="R21" s="14">
        <v>0.19</v>
      </c>
      <c r="S21" s="14">
        <v>0.28000000000000003</v>
      </c>
      <c r="T21" s="14">
        <v>0.28999999999999998</v>
      </c>
      <c r="U21" s="14">
        <v>0.21</v>
      </c>
      <c r="V21" s="14">
        <v>0.23</v>
      </c>
      <c r="W21" s="14">
        <v>0.22</v>
      </c>
      <c r="X21" s="14">
        <v>0.13</v>
      </c>
      <c r="Y21" s="14">
        <v>0.18</v>
      </c>
      <c r="Z21" s="14">
        <v>0.1</v>
      </c>
      <c r="AA21" s="14">
        <v>7.0000000000000007E-2</v>
      </c>
      <c r="AB21" s="14">
        <v>0.26</v>
      </c>
      <c r="AC21" s="14">
        <v>0.17</v>
      </c>
      <c r="AD21" s="14">
        <v>0.24</v>
      </c>
      <c r="AE21" s="14">
        <v>0.12</v>
      </c>
      <c r="AF21" s="14">
        <v>0.13</v>
      </c>
    </row>
    <row r="22" spans="1:32">
      <c r="A22" s="23"/>
      <c r="B22" s="11" t="s">
        <v>745</v>
      </c>
      <c r="C22" s="12">
        <v>2125</v>
      </c>
      <c r="D22" s="12">
        <v>49</v>
      </c>
      <c r="E22" s="12">
        <v>64</v>
      </c>
      <c r="F22" s="12">
        <v>114</v>
      </c>
      <c r="G22" s="12">
        <v>195</v>
      </c>
      <c r="H22" s="12">
        <v>135</v>
      </c>
      <c r="I22" s="12">
        <v>156</v>
      </c>
      <c r="J22" s="12">
        <v>21</v>
      </c>
      <c r="K22" s="12">
        <v>94</v>
      </c>
      <c r="L22" s="12">
        <v>117</v>
      </c>
      <c r="M22" s="12">
        <v>93</v>
      </c>
      <c r="N22" s="12">
        <v>63</v>
      </c>
      <c r="O22" s="12">
        <v>36</v>
      </c>
      <c r="P22" s="12">
        <v>104</v>
      </c>
      <c r="Q22" s="12">
        <v>55</v>
      </c>
      <c r="R22" s="12">
        <v>47</v>
      </c>
      <c r="S22" s="12">
        <v>20</v>
      </c>
      <c r="T22" s="12">
        <v>101</v>
      </c>
      <c r="U22" s="12">
        <v>48</v>
      </c>
      <c r="V22" s="12">
        <v>157</v>
      </c>
      <c r="W22" s="12">
        <v>61</v>
      </c>
      <c r="X22" s="12">
        <v>119</v>
      </c>
      <c r="Y22" s="12">
        <v>91</v>
      </c>
      <c r="Z22" s="12">
        <v>58</v>
      </c>
      <c r="AA22" s="12">
        <v>24</v>
      </c>
      <c r="AB22" s="12">
        <v>150</v>
      </c>
      <c r="AC22" s="12">
        <v>102</v>
      </c>
      <c r="AD22" s="12">
        <v>175</v>
      </c>
      <c r="AE22" s="12">
        <v>97</v>
      </c>
      <c r="AF22" s="12">
        <v>165</v>
      </c>
    </row>
    <row r="23" spans="1:32">
      <c r="A23" s="23"/>
      <c r="B23" s="13" t="s">
        <v>746</v>
      </c>
      <c r="C23" s="14">
        <v>0.08</v>
      </c>
      <c r="D23" s="14">
        <v>0.05</v>
      </c>
      <c r="E23" s="14">
        <v>0.06</v>
      </c>
      <c r="F23" s="14">
        <v>0.11</v>
      </c>
      <c r="G23" s="14">
        <v>0.19</v>
      </c>
      <c r="H23" s="14">
        <v>0.11</v>
      </c>
      <c r="I23" s="14">
        <v>0.1</v>
      </c>
      <c r="J23" s="14">
        <v>7.0000000000000007E-2</v>
      </c>
      <c r="K23" s="14">
        <v>0.09</v>
      </c>
      <c r="L23" s="14">
        <v>0.12</v>
      </c>
      <c r="M23" s="14">
        <v>0.09</v>
      </c>
      <c r="N23" s="14">
        <v>0.06</v>
      </c>
      <c r="O23" s="14">
        <v>0.04</v>
      </c>
      <c r="P23" s="14">
        <v>0.1</v>
      </c>
      <c r="Q23" s="14">
        <v>0.05</v>
      </c>
      <c r="R23" s="14">
        <v>0.09</v>
      </c>
      <c r="S23" s="14">
        <v>0.02</v>
      </c>
      <c r="T23" s="14">
        <v>0.1</v>
      </c>
      <c r="U23" s="14">
        <v>0.1</v>
      </c>
      <c r="V23" s="14">
        <v>0.15</v>
      </c>
      <c r="W23" s="14">
        <v>0.12</v>
      </c>
      <c r="X23" s="14">
        <v>0.12</v>
      </c>
      <c r="Y23" s="14">
        <v>0.09</v>
      </c>
      <c r="Z23" s="14">
        <v>0.06</v>
      </c>
      <c r="AA23" s="14">
        <v>0.02</v>
      </c>
      <c r="AB23" s="14">
        <v>0.15</v>
      </c>
      <c r="AC23" s="14">
        <v>0.1</v>
      </c>
      <c r="AD23" s="14">
        <v>0.17</v>
      </c>
      <c r="AE23" s="14">
        <v>0.1</v>
      </c>
      <c r="AF23" s="14">
        <v>0.15</v>
      </c>
    </row>
    <row r="24" spans="1:32" ht="45.75">
      <c r="A24" s="23"/>
      <c r="B24" s="11" t="s">
        <v>747</v>
      </c>
      <c r="C24" s="12">
        <v>9451</v>
      </c>
      <c r="D24" s="12">
        <v>392</v>
      </c>
      <c r="E24" s="12">
        <v>487</v>
      </c>
      <c r="F24" s="12">
        <v>306</v>
      </c>
      <c r="G24" s="12">
        <v>465</v>
      </c>
      <c r="H24" s="12">
        <v>404</v>
      </c>
      <c r="I24" s="12">
        <v>499</v>
      </c>
      <c r="J24" s="12">
        <v>96</v>
      </c>
      <c r="K24" s="12">
        <v>438</v>
      </c>
      <c r="L24" s="12">
        <v>490</v>
      </c>
      <c r="M24" s="12">
        <v>471</v>
      </c>
      <c r="N24" s="12">
        <v>336</v>
      </c>
      <c r="O24" s="12">
        <v>355</v>
      </c>
      <c r="P24" s="12">
        <v>386</v>
      </c>
      <c r="Q24" s="12">
        <v>305</v>
      </c>
      <c r="R24" s="12">
        <v>230</v>
      </c>
      <c r="S24" s="12">
        <v>501</v>
      </c>
      <c r="T24" s="12">
        <v>485</v>
      </c>
      <c r="U24" s="12">
        <v>184</v>
      </c>
      <c r="V24" s="12">
        <v>505</v>
      </c>
      <c r="W24" s="12">
        <v>275</v>
      </c>
      <c r="X24" s="12">
        <v>308</v>
      </c>
      <c r="Y24" s="12">
        <v>378</v>
      </c>
      <c r="Z24" s="12">
        <v>400</v>
      </c>
      <c r="AA24" s="12">
        <v>369</v>
      </c>
      <c r="AB24" s="12">
        <v>453</v>
      </c>
      <c r="AC24" s="12">
        <v>316</v>
      </c>
      <c r="AD24" s="12">
        <v>440</v>
      </c>
      <c r="AE24" s="12">
        <v>372</v>
      </c>
      <c r="AF24" s="12">
        <v>375</v>
      </c>
    </row>
    <row r="25" spans="1:32" ht="34.5">
      <c r="A25" s="23"/>
      <c r="B25" s="13" t="s">
        <v>748</v>
      </c>
      <c r="C25" s="14">
        <v>0.36</v>
      </c>
      <c r="D25" s="14">
        <v>0.39</v>
      </c>
      <c r="E25" s="14">
        <v>0.47</v>
      </c>
      <c r="F25" s="14">
        <v>0.3</v>
      </c>
      <c r="G25" s="14">
        <v>0.46</v>
      </c>
      <c r="H25" s="14">
        <v>0.33</v>
      </c>
      <c r="I25" s="14">
        <v>0.33</v>
      </c>
      <c r="J25" s="14">
        <v>0.33</v>
      </c>
      <c r="K25" s="14">
        <v>0.44</v>
      </c>
      <c r="L25" s="14">
        <v>0.49</v>
      </c>
      <c r="M25" s="14">
        <v>0.47</v>
      </c>
      <c r="N25" s="14">
        <v>0.34</v>
      </c>
      <c r="O25" s="14">
        <v>0.35</v>
      </c>
      <c r="P25" s="14">
        <v>0.38</v>
      </c>
      <c r="Q25" s="14">
        <v>0.3</v>
      </c>
      <c r="R25" s="14">
        <v>0.46</v>
      </c>
      <c r="S25" s="14">
        <v>0.5</v>
      </c>
      <c r="T25" s="14">
        <v>0.48</v>
      </c>
      <c r="U25" s="14">
        <v>0.37</v>
      </c>
      <c r="V25" s="14">
        <v>0.5</v>
      </c>
      <c r="W25" s="14">
        <v>0.55000000000000004</v>
      </c>
      <c r="X25" s="14">
        <v>0.3</v>
      </c>
      <c r="Y25" s="14">
        <v>0.38</v>
      </c>
      <c r="Z25" s="14">
        <v>0.39</v>
      </c>
      <c r="AA25" s="14">
        <v>0.35</v>
      </c>
      <c r="AB25" s="14">
        <v>0.44</v>
      </c>
      <c r="AC25" s="14">
        <v>0.31</v>
      </c>
      <c r="AD25" s="14">
        <v>0.44</v>
      </c>
      <c r="AE25" s="14">
        <v>0.37</v>
      </c>
      <c r="AF25" s="14">
        <v>0.35</v>
      </c>
    </row>
    <row r="26" spans="1:32" ht="45.75">
      <c r="A26" s="23"/>
      <c r="B26" s="11" t="s">
        <v>749</v>
      </c>
      <c r="C26" s="12">
        <v>3799</v>
      </c>
      <c r="D26" s="12">
        <v>163</v>
      </c>
      <c r="E26" s="12">
        <v>133</v>
      </c>
      <c r="F26" s="12">
        <v>188</v>
      </c>
      <c r="G26" s="12">
        <v>60</v>
      </c>
      <c r="H26" s="12">
        <v>232</v>
      </c>
      <c r="I26" s="12">
        <v>295</v>
      </c>
      <c r="J26" s="12">
        <v>63</v>
      </c>
      <c r="K26" s="12">
        <v>165</v>
      </c>
      <c r="L26" s="12">
        <v>181</v>
      </c>
      <c r="M26" s="12">
        <v>132</v>
      </c>
      <c r="N26" s="12">
        <v>112</v>
      </c>
      <c r="O26" s="12">
        <v>123</v>
      </c>
      <c r="P26" s="12">
        <v>206</v>
      </c>
      <c r="Q26" s="12">
        <v>138</v>
      </c>
      <c r="R26" s="12">
        <v>67</v>
      </c>
      <c r="S26" s="12">
        <v>202</v>
      </c>
      <c r="T26" s="12">
        <v>142</v>
      </c>
      <c r="U26" s="12">
        <v>52</v>
      </c>
      <c r="V26" s="12">
        <v>137</v>
      </c>
      <c r="W26" s="12">
        <v>85</v>
      </c>
      <c r="X26" s="12">
        <v>100</v>
      </c>
      <c r="Y26" s="12">
        <v>249</v>
      </c>
      <c r="Z26" s="12">
        <v>132</v>
      </c>
      <c r="AA26" s="12">
        <v>127</v>
      </c>
      <c r="AB26" s="12">
        <v>186</v>
      </c>
      <c r="AC26" s="12">
        <v>96</v>
      </c>
      <c r="AD26" s="12">
        <v>212</v>
      </c>
      <c r="AE26" s="12">
        <v>64</v>
      </c>
      <c r="AF26" s="12">
        <v>44</v>
      </c>
    </row>
    <row r="27" spans="1:32" ht="34.5">
      <c r="A27" s="23"/>
      <c r="B27" s="13" t="s">
        <v>750</v>
      </c>
      <c r="C27" s="14">
        <v>0.14000000000000001</v>
      </c>
      <c r="D27" s="14">
        <v>0.16</v>
      </c>
      <c r="E27" s="14">
        <v>0.13</v>
      </c>
      <c r="F27" s="14">
        <v>0.19</v>
      </c>
      <c r="G27" s="14">
        <v>0.06</v>
      </c>
      <c r="H27" s="14">
        <v>0.19</v>
      </c>
      <c r="I27" s="14">
        <v>0.2</v>
      </c>
      <c r="J27" s="14">
        <v>0.21</v>
      </c>
      <c r="K27" s="14">
        <v>0.16</v>
      </c>
      <c r="L27" s="14">
        <v>0.18</v>
      </c>
      <c r="M27" s="14">
        <v>0.13</v>
      </c>
      <c r="N27" s="14">
        <v>0.11</v>
      </c>
      <c r="O27" s="14">
        <v>0.12</v>
      </c>
      <c r="P27" s="14">
        <v>0.2</v>
      </c>
      <c r="Q27" s="14">
        <v>0.13</v>
      </c>
      <c r="R27" s="14">
        <v>0.13</v>
      </c>
      <c r="S27" s="14">
        <v>0.2</v>
      </c>
      <c r="T27" s="14">
        <v>0.14000000000000001</v>
      </c>
      <c r="U27" s="14">
        <v>0.1</v>
      </c>
      <c r="V27" s="14">
        <v>0.14000000000000001</v>
      </c>
      <c r="W27" s="14">
        <v>0.17</v>
      </c>
      <c r="X27" s="14">
        <v>0.1</v>
      </c>
      <c r="Y27" s="14">
        <v>0.25</v>
      </c>
      <c r="Z27" s="14">
        <v>0.13</v>
      </c>
      <c r="AA27" s="14">
        <v>0.12</v>
      </c>
      <c r="AB27" s="14">
        <v>0.18</v>
      </c>
      <c r="AC27" s="14">
        <v>0.1</v>
      </c>
      <c r="AD27" s="14">
        <v>0.21</v>
      </c>
      <c r="AE27" s="14">
        <v>0.06</v>
      </c>
      <c r="AF27" s="14">
        <v>0.04</v>
      </c>
    </row>
    <row r="28" spans="1:32">
      <c r="A28" s="23"/>
      <c r="B28" s="11" t="s">
        <v>751</v>
      </c>
      <c r="C28" s="12">
        <v>1071</v>
      </c>
      <c r="D28" s="12">
        <v>25</v>
      </c>
      <c r="E28" s="12">
        <v>57</v>
      </c>
      <c r="F28" s="12">
        <v>33</v>
      </c>
      <c r="G28" s="12">
        <v>15</v>
      </c>
      <c r="H28" s="12">
        <v>66</v>
      </c>
      <c r="I28" s="12">
        <v>72</v>
      </c>
      <c r="J28" s="12">
        <v>6</v>
      </c>
      <c r="K28" s="12">
        <v>90</v>
      </c>
      <c r="L28" s="12">
        <v>43</v>
      </c>
      <c r="M28" s="12">
        <v>214</v>
      </c>
      <c r="N28" s="12">
        <v>20</v>
      </c>
      <c r="O28" s="12">
        <v>27</v>
      </c>
      <c r="P28" s="12">
        <v>44</v>
      </c>
      <c r="Q28" s="12">
        <v>42</v>
      </c>
      <c r="R28" s="12">
        <v>39</v>
      </c>
      <c r="S28" s="12">
        <v>50</v>
      </c>
      <c r="T28" s="12">
        <v>105</v>
      </c>
      <c r="U28" s="12">
        <v>16</v>
      </c>
      <c r="V28" s="12">
        <v>71</v>
      </c>
      <c r="W28" s="12">
        <v>23</v>
      </c>
      <c r="X28" s="12">
        <v>24</v>
      </c>
      <c r="Y28" s="12">
        <v>74</v>
      </c>
      <c r="Z28" s="12">
        <v>27</v>
      </c>
      <c r="AA28" s="12">
        <v>8</v>
      </c>
      <c r="AB28" s="12">
        <v>48</v>
      </c>
      <c r="AC28" s="12">
        <v>52</v>
      </c>
      <c r="AD28" s="12">
        <v>73</v>
      </c>
      <c r="AE28" s="12">
        <v>20</v>
      </c>
      <c r="AF28" s="12">
        <v>25</v>
      </c>
    </row>
    <row r="29" spans="1:32">
      <c r="A29" s="23"/>
      <c r="B29" s="13" t="s">
        <v>752</v>
      </c>
      <c r="C29" s="14">
        <v>0.04</v>
      </c>
      <c r="D29" s="14">
        <v>0.02</v>
      </c>
      <c r="E29" s="14">
        <v>0.05</v>
      </c>
      <c r="F29" s="14">
        <v>0.03</v>
      </c>
      <c r="G29" s="14">
        <v>0.02</v>
      </c>
      <c r="H29" s="14">
        <v>0.05</v>
      </c>
      <c r="I29" s="14">
        <v>0.05</v>
      </c>
      <c r="J29" s="14">
        <v>0.02</v>
      </c>
      <c r="K29" s="14">
        <v>0.09</v>
      </c>
      <c r="L29" s="14">
        <v>0.04</v>
      </c>
      <c r="M29" s="14">
        <v>0.21</v>
      </c>
      <c r="N29" s="14">
        <v>0.02</v>
      </c>
      <c r="O29" s="14">
        <v>0.03</v>
      </c>
      <c r="P29" s="14">
        <v>0.04</v>
      </c>
      <c r="Q29" s="14">
        <v>0.04</v>
      </c>
      <c r="R29" s="14">
        <v>0.08</v>
      </c>
      <c r="S29" s="14">
        <v>0.05</v>
      </c>
      <c r="T29" s="14">
        <v>0.1</v>
      </c>
      <c r="U29" s="14">
        <v>0.03</v>
      </c>
      <c r="V29" s="14">
        <v>7.0000000000000007E-2</v>
      </c>
      <c r="W29" s="14">
        <v>0.05</v>
      </c>
      <c r="X29" s="14">
        <v>0.02</v>
      </c>
      <c r="Y29" s="14">
        <v>7.0000000000000007E-2</v>
      </c>
      <c r="Z29" s="14">
        <v>0.03</v>
      </c>
      <c r="AA29" s="14">
        <v>0.01</v>
      </c>
      <c r="AB29" s="14">
        <v>0.05</v>
      </c>
      <c r="AC29" s="14">
        <v>0.05</v>
      </c>
      <c r="AD29" s="14">
        <v>7.0000000000000007E-2</v>
      </c>
      <c r="AE29" s="14">
        <v>0.02</v>
      </c>
      <c r="AF29" s="14">
        <v>0.02</v>
      </c>
    </row>
    <row r="30" spans="1:32" ht="79.5">
      <c r="A30" s="23"/>
      <c r="B30" s="11" t="s">
        <v>753</v>
      </c>
      <c r="C30" s="12">
        <v>589</v>
      </c>
      <c r="D30" s="12">
        <v>8</v>
      </c>
      <c r="E30" s="12">
        <v>40</v>
      </c>
      <c r="F30" s="12">
        <v>39</v>
      </c>
      <c r="G30" s="12">
        <v>5</v>
      </c>
      <c r="H30" s="12">
        <v>27</v>
      </c>
      <c r="I30" s="12">
        <v>29</v>
      </c>
      <c r="J30" s="12">
        <v>2</v>
      </c>
      <c r="K30" s="12">
        <v>26</v>
      </c>
      <c r="L30" s="12">
        <v>19</v>
      </c>
      <c r="M30" s="12">
        <v>16</v>
      </c>
      <c r="N30" s="12">
        <v>51</v>
      </c>
      <c r="O30" s="12">
        <v>24</v>
      </c>
      <c r="P30" s="12">
        <v>13</v>
      </c>
      <c r="Q30" s="12">
        <v>22</v>
      </c>
      <c r="R30" s="12">
        <v>20</v>
      </c>
      <c r="S30" s="12">
        <v>28</v>
      </c>
      <c r="T30" s="12">
        <v>15</v>
      </c>
      <c r="U30" s="12">
        <v>3</v>
      </c>
      <c r="V30" s="12">
        <v>27</v>
      </c>
      <c r="W30" s="12">
        <v>15</v>
      </c>
      <c r="X30" s="12">
        <v>6</v>
      </c>
      <c r="Y30" s="12">
        <v>58</v>
      </c>
      <c r="Z30" s="12">
        <v>5</v>
      </c>
      <c r="AA30" s="12">
        <v>30</v>
      </c>
      <c r="AB30" s="12">
        <v>13</v>
      </c>
      <c r="AC30" s="12">
        <v>16</v>
      </c>
      <c r="AD30" s="12">
        <v>3</v>
      </c>
      <c r="AE30" s="12">
        <v>2</v>
      </c>
      <c r="AF30" s="12">
        <v>2</v>
      </c>
    </row>
    <row r="31" spans="1:32" ht="57">
      <c r="A31" s="23"/>
      <c r="B31" s="13" t="s">
        <v>754</v>
      </c>
      <c r="C31" s="14">
        <v>0.02</v>
      </c>
      <c r="D31" s="14">
        <v>0.01</v>
      </c>
      <c r="E31" s="14">
        <v>0.04</v>
      </c>
      <c r="F31" s="14">
        <v>0.04</v>
      </c>
      <c r="G31" s="14">
        <v>0.01</v>
      </c>
      <c r="H31" s="14">
        <v>0.02</v>
      </c>
      <c r="I31" s="14">
        <v>0.02</v>
      </c>
      <c r="J31" s="14">
        <v>0.01</v>
      </c>
      <c r="K31" s="14">
        <v>0.03</v>
      </c>
      <c r="L31" s="14">
        <v>0.02</v>
      </c>
      <c r="M31" s="14">
        <v>0.02</v>
      </c>
      <c r="N31" s="14">
        <v>0.05</v>
      </c>
      <c r="O31" s="14">
        <v>0.02</v>
      </c>
      <c r="P31" s="14">
        <v>0.01</v>
      </c>
      <c r="Q31" s="14">
        <v>0.02</v>
      </c>
      <c r="R31" s="14">
        <v>0.04</v>
      </c>
      <c r="S31" s="14">
        <v>0.03</v>
      </c>
      <c r="T31" s="14">
        <v>0.01</v>
      </c>
      <c r="U31" s="14">
        <v>0.01</v>
      </c>
      <c r="V31" s="14">
        <v>0.03</v>
      </c>
      <c r="W31" s="14">
        <v>0.03</v>
      </c>
      <c r="X31" s="14">
        <v>0.01</v>
      </c>
      <c r="Y31" s="14">
        <v>0.06</v>
      </c>
      <c r="Z31" s="14">
        <v>0.01</v>
      </c>
      <c r="AA31" s="14">
        <v>0.03</v>
      </c>
      <c r="AB31" s="14">
        <v>0.01</v>
      </c>
      <c r="AC31" s="14">
        <v>0.02</v>
      </c>
      <c r="AD31" s="15" t="s">
        <v>485</v>
      </c>
      <c r="AE31" s="15" t="s">
        <v>485</v>
      </c>
      <c r="AF31" s="15" t="s">
        <v>485</v>
      </c>
    </row>
    <row r="32" spans="1:32">
      <c r="A32" s="23"/>
      <c r="B32" s="11" t="s">
        <v>497</v>
      </c>
      <c r="C32" s="12">
        <v>48</v>
      </c>
      <c r="D32" s="12">
        <v>3</v>
      </c>
      <c r="E32" s="12">
        <v>0</v>
      </c>
      <c r="F32" s="12">
        <v>24</v>
      </c>
      <c r="G32" s="12">
        <v>6</v>
      </c>
      <c r="H32" s="12">
        <v>0</v>
      </c>
      <c r="I32" s="12">
        <v>0</v>
      </c>
      <c r="J32" s="12">
        <v>0</v>
      </c>
      <c r="K32" s="12">
        <v>5</v>
      </c>
      <c r="L32" s="12">
        <v>3</v>
      </c>
      <c r="M32" s="12">
        <v>3</v>
      </c>
      <c r="N32" s="12">
        <v>1</v>
      </c>
      <c r="O32" s="12">
        <v>3</v>
      </c>
      <c r="P32" s="12">
        <v>0</v>
      </c>
      <c r="Q32" s="12">
        <v>0</v>
      </c>
      <c r="R32" s="12">
        <v>5</v>
      </c>
      <c r="S32" s="12">
        <v>3</v>
      </c>
      <c r="T32" s="12">
        <v>0</v>
      </c>
      <c r="U32" s="12">
        <v>1</v>
      </c>
      <c r="V32" s="12">
        <v>1</v>
      </c>
      <c r="W32" s="12">
        <v>5</v>
      </c>
      <c r="X32" s="12">
        <v>0</v>
      </c>
      <c r="Y32" s="12">
        <v>0</v>
      </c>
      <c r="Z32" s="12">
        <v>4</v>
      </c>
      <c r="AA32" s="12">
        <v>1</v>
      </c>
      <c r="AB32" s="12">
        <v>0</v>
      </c>
      <c r="AC32" s="12">
        <v>0</v>
      </c>
      <c r="AD32" s="12">
        <v>9</v>
      </c>
      <c r="AE32" s="12">
        <v>0</v>
      </c>
      <c r="AF32" s="12">
        <v>1</v>
      </c>
    </row>
    <row r="33" spans="1:32">
      <c r="A33" s="23"/>
      <c r="B33" s="13" t="s">
        <v>498</v>
      </c>
      <c r="C33" s="15" t="s">
        <v>485</v>
      </c>
      <c r="D33" s="15" t="s">
        <v>485</v>
      </c>
      <c r="E33" s="15" t="s">
        <v>485</v>
      </c>
      <c r="F33" s="14">
        <v>0.02</v>
      </c>
      <c r="G33" s="14">
        <v>0.01</v>
      </c>
      <c r="H33" s="15" t="s">
        <v>485</v>
      </c>
      <c r="I33" s="15" t="s">
        <v>485</v>
      </c>
      <c r="J33" s="15" t="s">
        <v>485</v>
      </c>
      <c r="K33" s="15" t="s">
        <v>485</v>
      </c>
      <c r="L33" s="15" t="s">
        <v>485</v>
      </c>
      <c r="M33" s="15" t="s">
        <v>485</v>
      </c>
      <c r="N33" s="15" t="s">
        <v>485</v>
      </c>
      <c r="O33" s="15" t="s">
        <v>485</v>
      </c>
      <c r="P33" s="15" t="s">
        <v>485</v>
      </c>
      <c r="Q33" s="15" t="s">
        <v>485</v>
      </c>
      <c r="R33" s="14">
        <v>0.01</v>
      </c>
      <c r="S33" s="15" t="s">
        <v>485</v>
      </c>
      <c r="T33" s="15" t="s">
        <v>485</v>
      </c>
      <c r="U33" s="15" t="s">
        <v>485</v>
      </c>
      <c r="V33" s="15" t="s">
        <v>485</v>
      </c>
      <c r="W33" s="14">
        <v>0.01</v>
      </c>
      <c r="X33" s="15" t="s">
        <v>485</v>
      </c>
      <c r="Y33" s="15" t="s">
        <v>485</v>
      </c>
      <c r="Z33" s="15" t="s">
        <v>485</v>
      </c>
      <c r="AA33" s="15" t="s">
        <v>485</v>
      </c>
      <c r="AB33" s="15" t="s">
        <v>485</v>
      </c>
      <c r="AC33" s="15" t="s">
        <v>485</v>
      </c>
      <c r="AD33" s="14">
        <v>0.01</v>
      </c>
      <c r="AE33" s="15" t="s">
        <v>485</v>
      </c>
      <c r="AF33" s="15" t="s">
        <v>485</v>
      </c>
    </row>
  </sheetData>
  <mergeCells count="9">
    <mergeCell ref="B4:F4"/>
    <mergeCell ref="H3:L3"/>
    <mergeCell ref="C8:AF8"/>
    <mergeCell ref="A10:A33"/>
    <mergeCell ref="B3:F3"/>
    <mergeCell ref="B5:F5"/>
    <mergeCell ref="H5:L5"/>
    <mergeCell ref="B10:B11"/>
    <mergeCell ref="H4:L4"/>
  </mergeCells>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757</v>
      </c>
      <c r="C3" s="19"/>
      <c r="D3" s="19"/>
      <c r="E3" s="19"/>
      <c r="F3" s="19"/>
      <c r="H3" s="19" t="s">
        <v>758</v>
      </c>
      <c r="I3" s="19"/>
      <c r="J3" s="19"/>
      <c r="K3" s="19"/>
      <c r="L3" s="19"/>
    </row>
    <row r="4" spans="1:32" ht="27" customHeight="1">
      <c r="B4" s="19" t="s">
        <v>759</v>
      </c>
      <c r="C4" s="19"/>
      <c r="D4" s="19"/>
      <c r="E4" s="19"/>
      <c r="F4" s="19"/>
      <c r="H4" s="19" t="s">
        <v>760</v>
      </c>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HYPERLINK("#Content!A38","&lt;&lt;Back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761</v>
      </c>
      <c r="C12" s="12">
        <v>5203</v>
      </c>
      <c r="D12" s="12">
        <v>207</v>
      </c>
      <c r="E12" s="12">
        <v>247</v>
      </c>
      <c r="F12" s="12">
        <v>176</v>
      </c>
      <c r="G12" s="12">
        <v>61</v>
      </c>
      <c r="H12" s="12">
        <v>190</v>
      </c>
      <c r="I12" s="12">
        <v>221</v>
      </c>
      <c r="J12" s="12">
        <v>31</v>
      </c>
      <c r="K12" s="12">
        <v>196</v>
      </c>
      <c r="L12" s="12">
        <v>268</v>
      </c>
      <c r="M12" s="12">
        <v>304</v>
      </c>
      <c r="N12" s="12">
        <v>317</v>
      </c>
      <c r="O12" s="12">
        <v>192</v>
      </c>
      <c r="P12" s="12">
        <v>298</v>
      </c>
      <c r="Q12" s="12">
        <v>278</v>
      </c>
      <c r="R12" s="12">
        <v>171</v>
      </c>
      <c r="S12" s="12">
        <v>219</v>
      </c>
      <c r="T12" s="12">
        <v>144</v>
      </c>
      <c r="U12" s="12">
        <v>134</v>
      </c>
      <c r="V12" s="12">
        <v>196</v>
      </c>
      <c r="W12" s="12">
        <v>92</v>
      </c>
      <c r="X12" s="12">
        <v>75</v>
      </c>
      <c r="Y12" s="12">
        <v>260</v>
      </c>
      <c r="Z12" s="12">
        <v>117</v>
      </c>
      <c r="AA12" s="12">
        <v>270</v>
      </c>
      <c r="AB12" s="12">
        <v>201</v>
      </c>
      <c r="AC12" s="12">
        <v>194</v>
      </c>
      <c r="AD12" s="12">
        <v>89</v>
      </c>
      <c r="AE12" s="12">
        <v>104</v>
      </c>
      <c r="AF12" s="12">
        <v>42</v>
      </c>
    </row>
    <row r="13" spans="1:32">
      <c r="A13" s="23"/>
      <c r="B13" s="13" t="s">
        <v>762</v>
      </c>
      <c r="C13" s="14">
        <v>0.2</v>
      </c>
      <c r="D13" s="14">
        <v>0.21</v>
      </c>
      <c r="E13" s="14">
        <v>0.24</v>
      </c>
      <c r="F13" s="14">
        <v>0.18</v>
      </c>
      <c r="G13" s="14">
        <v>0.06</v>
      </c>
      <c r="H13" s="14">
        <v>0.16</v>
      </c>
      <c r="I13" s="14">
        <v>0.15</v>
      </c>
      <c r="J13" s="14">
        <v>0.11</v>
      </c>
      <c r="K13" s="14">
        <v>0.2</v>
      </c>
      <c r="L13" s="14">
        <v>0.27</v>
      </c>
      <c r="M13" s="14">
        <v>0.3</v>
      </c>
      <c r="N13" s="14">
        <v>0.32</v>
      </c>
      <c r="O13" s="14">
        <v>0.19</v>
      </c>
      <c r="P13" s="14">
        <v>0.3</v>
      </c>
      <c r="Q13" s="14">
        <v>0.27</v>
      </c>
      <c r="R13" s="14">
        <v>0.34</v>
      </c>
      <c r="S13" s="14">
        <v>0.22</v>
      </c>
      <c r="T13" s="14">
        <v>0.14000000000000001</v>
      </c>
      <c r="U13" s="14">
        <v>0.27</v>
      </c>
      <c r="V13" s="14">
        <v>0.19</v>
      </c>
      <c r="W13" s="14">
        <v>0.18</v>
      </c>
      <c r="X13" s="14">
        <v>7.0000000000000007E-2</v>
      </c>
      <c r="Y13" s="14">
        <v>0.26</v>
      </c>
      <c r="Z13" s="14">
        <v>0.11</v>
      </c>
      <c r="AA13" s="14">
        <v>0.26</v>
      </c>
      <c r="AB13" s="14">
        <v>0.2</v>
      </c>
      <c r="AC13" s="14">
        <v>0.19</v>
      </c>
      <c r="AD13" s="14">
        <v>0.09</v>
      </c>
      <c r="AE13" s="14">
        <v>0.1</v>
      </c>
      <c r="AF13" s="14">
        <v>0.04</v>
      </c>
    </row>
    <row r="14" spans="1:32">
      <c r="A14" s="23"/>
      <c r="B14" s="11" t="s">
        <v>763</v>
      </c>
      <c r="C14" s="12">
        <v>10442</v>
      </c>
      <c r="D14" s="12">
        <v>475</v>
      </c>
      <c r="E14" s="12">
        <v>396</v>
      </c>
      <c r="F14" s="12">
        <v>455</v>
      </c>
      <c r="G14" s="12">
        <v>145</v>
      </c>
      <c r="H14" s="12">
        <v>449</v>
      </c>
      <c r="I14" s="12">
        <v>546</v>
      </c>
      <c r="J14" s="12">
        <v>97</v>
      </c>
      <c r="K14" s="12">
        <v>321</v>
      </c>
      <c r="L14" s="12">
        <v>390</v>
      </c>
      <c r="M14" s="12">
        <v>399</v>
      </c>
      <c r="N14" s="12">
        <v>365</v>
      </c>
      <c r="O14" s="12">
        <v>361</v>
      </c>
      <c r="P14" s="12">
        <v>496</v>
      </c>
      <c r="Q14" s="12">
        <v>513</v>
      </c>
      <c r="R14" s="12">
        <v>160</v>
      </c>
      <c r="S14" s="12">
        <v>289</v>
      </c>
      <c r="T14" s="12">
        <v>319</v>
      </c>
      <c r="U14" s="12">
        <v>168</v>
      </c>
      <c r="V14" s="12">
        <v>495</v>
      </c>
      <c r="W14" s="12">
        <v>174</v>
      </c>
      <c r="X14" s="12">
        <v>310</v>
      </c>
      <c r="Y14" s="12">
        <v>332</v>
      </c>
      <c r="Z14" s="12">
        <v>463</v>
      </c>
      <c r="AA14" s="12">
        <v>553</v>
      </c>
      <c r="AB14" s="12">
        <v>465</v>
      </c>
      <c r="AC14" s="12">
        <v>398</v>
      </c>
      <c r="AD14" s="12">
        <v>519</v>
      </c>
      <c r="AE14" s="12">
        <v>292</v>
      </c>
      <c r="AF14" s="12">
        <v>171</v>
      </c>
    </row>
    <row r="15" spans="1:32">
      <c r="A15" s="23"/>
      <c r="B15" s="13" t="s">
        <v>764</v>
      </c>
      <c r="C15" s="14">
        <v>0.39</v>
      </c>
      <c r="D15" s="14">
        <v>0.47</v>
      </c>
      <c r="E15" s="14">
        <v>0.38</v>
      </c>
      <c r="F15" s="14">
        <v>0.45</v>
      </c>
      <c r="G15" s="14">
        <v>0.15</v>
      </c>
      <c r="H15" s="14">
        <v>0.37</v>
      </c>
      <c r="I15" s="14">
        <v>0.36</v>
      </c>
      <c r="J15" s="14">
        <v>0.33</v>
      </c>
      <c r="K15" s="14">
        <v>0.32</v>
      </c>
      <c r="L15" s="14">
        <v>0.39</v>
      </c>
      <c r="M15" s="14">
        <v>0.39</v>
      </c>
      <c r="N15" s="14">
        <v>0.37</v>
      </c>
      <c r="O15" s="14">
        <v>0.36</v>
      </c>
      <c r="P15" s="14">
        <v>0.49</v>
      </c>
      <c r="Q15" s="14">
        <v>0.5</v>
      </c>
      <c r="R15" s="14">
        <v>0.32</v>
      </c>
      <c r="S15" s="14">
        <v>0.28999999999999998</v>
      </c>
      <c r="T15" s="14">
        <v>0.32</v>
      </c>
      <c r="U15" s="14">
        <v>0.33</v>
      </c>
      <c r="V15" s="14">
        <v>0.49</v>
      </c>
      <c r="W15" s="14">
        <v>0.35</v>
      </c>
      <c r="X15" s="14">
        <v>0.31</v>
      </c>
      <c r="Y15" s="14">
        <v>0.33</v>
      </c>
      <c r="Z15" s="14">
        <v>0.46</v>
      </c>
      <c r="AA15" s="14">
        <v>0.53</v>
      </c>
      <c r="AB15" s="14">
        <v>0.45</v>
      </c>
      <c r="AC15" s="14">
        <v>0.4</v>
      </c>
      <c r="AD15" s="14">
        <v>0.52</v>
      </c>
      <c r="AE15" s="14">
        <v>0.28999999999999998</v>
      </c>
      <c r="AF15" s="14">
        <v>0.16</v>
      </c>
    </row>
    <row r="16" spans="1:32" ht="23.25">
      <c r="A16" s="23"/>
      <c r="B16" s="11" t="s">
        <v>765</v>
      </c>
      <c r="C16" s="12">
        <v>7149</v>
      </c>
      <c r="D16" s="12">
        <v>279</v>
      </c>
      <c r="E16" s="12">
        <v>263</v>
      </c>
      <c r="F16" s="12">
        <v>256</v>
      </c>
      <c r="G16" s="12">
        <v>414</v>
      </c>
      <c r="H16" s="12">
        <v>405</v>
      </c>
      <c r="I16" s="12">
        <v>514</v>
      </c>
      <c r="J16" s="12">
        <v>109</v>
      </c>
      <c r="K16" s="12">
        <v>345</v>
      </c>
      <c r="L16" s="12">
        <v>213</v>
      </c>
      <c r="M16" s="12">
        <v>209</v>
      </c>
      <c r="N16" s="12">
        <v>195</v>
      </c>
      <c r="O16" s="12">
        <v>289</v>
      </c>
      <c r="P16" s="12">
        <v>170</v>
      </c>
      <c r="Q16" s="12">
        <v>158</v>
      </c>
      <c r="R16" s="12">
        <v>100</v>
      </c>
      <c r="S16" s="12">
        <v>241</v>
      </c>
      <c r="T16" s="12">
        <v>317</v>
      </c>
      <c r="U16" s="12">
        <v>114</v>
      </c>
      <c r="V16" s="12">
        <v>231</v>
      </c>
      <c r="W16" s="12">
        <v>166</v>
      </c>
      <c r="X16" s="12">
        <v>439</v>
      </c>
      <c r="Y16" s="12">
        <v>229</v>
      </c>
      <c r="Z16" s="12">
        <v>323</v>
      </c>
      <c r="AA16" s="12">
        <v>140</v>
      </c>
      <c r="AB16" s="12">
        <v>256</v>
      </c>
      <c r="AC16" s="12">
        <v>258</v>
      </c>
      <c r="AD16" s="12">
        <v>266</v>
      </c>
      <c r="AE16" s="12">
        <v>373</v>
      </c>
      <c r="AF16" s="12">
        <v>518</v>
      </c>
    </row>
    <row r="17" spans="1:32">
      <c r="A17" s="23"/>
      <c r="B17" s="13" t="s">
        <v>766</v>
      </c>
      <c r="C17" s="14">
        <v>0.27</v>
      </c>
      <c r="D17" s="14">
        <v>0.28000000000000003</v>
      </c>
      <c r="E17" s="14">
        <v>0.25</v>
      </c>
      <c r="F17" s="14">
        <v>0.25</v>
      </c>
      <c r="G17" s="14">
        <v>0.41</v>
      </c>
      <c r="H17" s="14">
        <v>0.33</v>
      </c>
      <c r="I17" s="14">
        <v>0.34</v>
      </c>
      <c r="J17" s="14">
        <v>0.37</v>
      </c>
      <c r="K17" s="14">
        <v>0.34</v>
      </c>
      <c r="L17" s="14">
        <v>0.21</v>
      </c>
      <c r="M17" s="14">
        <v>0.21</v>
      </c>
      <c r="N17" s="14">
        <v>0.19</v>
      </c>
      <c r="O17" s="14">
        <v>0.28999999999999998</v>
      </c>
      <c r="P17" s="14">
        <v>0.17</v>
      </c>
      <c r="Q17" s="14">
        <v>0.16</v>
      </c>
      <c r="R17" s="14">
        <v>0.2</v>
      </c>
      <c r="S17" s="14">
        <v>0.24</v>
      </c>
      <c r="T17" s="14">
        <v>0.32</v>
      </c>
      <c r="U17" s="14">
        <v>0.23</v>
      </c>
      <c r="V17" s="14">
        <v>0.23</v>
      </c>
      <c r="W17" s="14">
        <v>0.33</v>
      </c>
      <c r="X17" s="14">
        <v>0.43</v>
      </c>
      <c r="Y17" s="14">
        <v>0.23</v>
      </c>
      <c r="Z17" s="14">
        <v>0.32</v>
      </c>
      <c r="AA17" s="14">
        <v>0.13</v>
      </c>
      <c r="AB17" s="14">
        <v>0.25</v>
      </c>
      <c r="AC17" s="14">
        <v>0.26</v>
      </c>
      <c r="AD17" s="14">
        <v>0.26</v>
      </c>
      <c r="AE17" s="14">
        <v>0.37</v>
      </c>
      <c r="AF17" s="14">
        <v>0.48</v>
      </c>
    </row>
    <row r="18" spans="1:32" ht="23.25">
      <c r="A18" s="23"/>
      <c r="B18" s="11" t="s">
        <v>767</v>
      </c>
      <c r="C18" s="12">
        <v>3092</v>
      </c>
      <c r="D18" s="12">
        <v>40</v>
      </c>
      <c r="E18" s="12">
        <v>107</v>
      </c>
      <c r="F18" s="12">
        <v>81</v>
      </c>
      <c r="G18" s="12">
        <v>359</v>
      </c>
      <c r="H18" s="12">
        <v>152</v>
      </c>
      <c r="I18" s="12">
        <v>207</v>
      </c>
      <c r="J18" s="12">
        <v>55</v>
      </c>
      <c r="K18" s="12">
        <v>122</v>
      </c>
      <c r="L18" s="12">
        <v>121</v>
      </c>
      <c r="M18" s="12">
        <v>87</v>
      </c>
      <c r="N18" s="12">
        <v>90</v>
      </c>
      <c r="O18" s="12">
        <v>143</v>
      </c>
      <c r="P18" s="12">
        <v>44</v>
      </c>
      <c r="Q18" s="12">
        <v>55</v>
      </c>
      <c r="R18" s="12">
        <v>62</v>
      </c>
      <c r="S18" s="12">
        <v>242</v>
      </c>
      <c r="T18" s="12">
        <v>200</v>
      </c>
      <c r="U18" s="12">
        <v>80</v>
      </c>
      <c r="V18" s="12">
        <v>81</v>
      </c>
      <c r="W18" s="12">
        <v>63</v>
      </c>
      <c r="X18" s="12">
        <v>189</v>
      </c>
      <c r="Y18" s="12">
        <v>177</v>
      </c>
      <c r="Z18" s="12">
        <v>95</v>
      </c>
      <c r="AA18" s="12">
        <v>59</v>
      </c>
      <c r="AB18" s="12">
        <v>96</v>
      </c>
      <c r="AC18" s="12">
        <v>149</v>
      </c>
      <c r="AD18" s="12">
        <v>102</v>
      </c>
      <c r="AE18" s="12">
        <v>226</v>
      </c>
      <c r="AF18" s="12">
        <v>334</v>
      </c>
    </row>
    <row r="19" spans="1:32">
      <c r="A19" s="23"/>
      <c r="B19" s="13" t="s">
        <v>768</v>
      </c>
      <c r="C19" s="14">
        <v>0.12</v>
      </c>
      <c r="D19" s="14">
        <v>0.04</v>
      </c>
      <c r="E19" s="14">
        <v>0.1</v>
      </c>
      <c r="F19" s="14">
        <v>0.08</v>
      </c>
      <c r="G19" s="14">
        <v>0.36</v>
      </c>
      <c r="H19" s="14">
        <v>0.13</v>
      </c>
      <c r="I19" s="14">
        <v>0.14000000000000001</v>
      </c>
      <c r="J19" s="14">
        <v>0.19</v>
      </c>
      <c r="K19" s="14">
        <v>0.12</v>
      </c>
      <c r="L19" s="14">
        <v>0.12</v>
      </c>
      <c r="M19" s="14">
        <v>0.09</v>
      </c>
      <c r="N19" s="14">
        <v>0.09</v>
      </c>
      <c r="O19" s="14">
        <v>0.14000000000000001</v>
      </c>
      <c r="P19" s="14">
        <v>0.04</v>
      </c>
      <c r="Q19" s="14">
        <v>0.05</v>
      </c>
      <c r="R19" s="14">
        <v>0.12</v>
      </c>
      <c r="S19" s="14">
        <v>0.24</v>
      </c>
      <c r="T19" s="14">
        <v>0.2</v>
      </c>
      <c r="U19" s="14">
        <v>0.16</v>
      </c>
      <c r="V19" s="14">
        <v>0.08</v>
      </c>
      <c r="W19" s="14">
        <v>0.12</v>
      </c>
      <c r="X19" s="14">
        <v>0.19</v>
      </c>
      <c r="Y19" s="14">
        <v>0.17</v>
      </c>
      <c r="Z19" s="14">
        <v>0.09</v>
      </c>
      <c r="AA19" s="14">
        <v>0.06</v>
      </c>
      <c r="AB19" s="14">
        <v>0.09</v>
      </c>
      <c r="AC19" s="14">
        <v>0.15</v>
      </c>
      <c r="AD19" s="14">
        <v>0.1</v>
      </c>
      <c r="AE19" s="14">
        <v>0.23</v>
      </c>
      <c r="AF19" s="14">
        <v>0.31</v>
      </c>
    </row>
    <row r="20" spans="1:32">
      <c r="A20" s="23"/>
      <c r="B20" s="11" t="s">
        <v>497</v>
      </c>
      <c r="C20" s="12">
        <v>468</v>
      </c>
      <c r="D20" s="12">
        <v>4</v>
      </c>
      <c r="E20" s="12">
        <v>31</v>
      </c>
      <c r="F20" s="12">
        <v>39</v>
      </c>
      <c r="G20" s="12">
        <v>24</v>
      </c>
      <c r="H20" s="12">
        <v>15</v>
      </c>
      <c r="I20" s="12">
        <v>16</v>
      </c>
      <c r="J20" s="12">
        <v>1</v>
      </c>
      <c r="K20" s="12">
        <v>20</v>
      </c>
      <c r="L20" s="12">
        <v>15</v>
      </c>
      <c r="M20" s="12">
        <v>12</v>
      </c>
      <c r="N20" s="12">
        <v>34</v>
      </c>
      <c r="O20" s="12">
        <v>22</v>
      </c>
      <c r="P20" s="12">
        <v>2</v>
      </c>
      <c r="Q20" s="12">
        <v>20</v>
      </c>
      <c r="R20" s="12">
        <v>9</v>
      </c>
      <c r="S20" s="12">
        <v>14</v>
      </c>
      <c r="T20" s="12">
        <v>23</v>
      </c>
      <c r="U20" s="12">
        <v>7</v>
      </c>
      <c r="V20" s="12">
        <v>9</v>
      </c>
      <c r="W20" s="12">
        <v>8</v>
      </c>
      <c r="X20" s="12">
        <v>3</v>
      </c>
      <c r="Y20" s="12">
        <v>9</v>
      </c>
      <c r="Z20" s="12">
        <v>19</v>
      </c>
      <c r="AA20" s="12">
        <v>18</v>
      </c>
      <c r="AB20" s="12">
        <v>14</v>
      </c>
      <c r="AC20" s="12">
        <v>6</v>
      </c>
      <c r="AD20" s="12">
        <v>26</v>
      </c>
      <c r="AE20" s="12">
        <v>13</v>
      </c>
      <c r="AF20" s="12">
        <v>7</v>
      </c>
    </row>
    <row r="21" spans="1:32">
      <c r="A21" s="23"/>
      <c r="B21" s="13" t="s">
        <v>498</v>
      </c>
      <c r="C21" s="14">
        <v>0.02</v>
      </c>
      <c r="D21" s="15" t="s">
        <v>485</v>
      </c>
      <c r="E21" s="14">
        <v>0.03</v>
      </c>
      <c r="F21" s="14">
        <v>0.04</v>
      </c>
      <c r="G21" s="14">
        <v>0.02</v>
      </c>
      <c r="H21" s="14">
        <v>0.01</v>
      </c>
      <c r="I21" s="14">
        <v>0.01</v>
      </c>
      <c r="J21" s="15" t="s">
        <v>485</v>
      </c>
      <c r="K21" s="14">
        <v>0.02</v>
      </c>
      <c r="L21" s="14">
        <v>0.01</v>
      </c>
      <c r="M21" s="14">
        <v>0.01</v>
      </c>
      <c r="N21" s="14">
        <v>0.03</v>
      </c>
      <c r="O21" s="14">
        <v>0.02</v>
      </c>
      <c r="P21" s="15" t="s">
        <v>485</v>
      </c>
      <c r="Q21" s="14">
        <v>0.02</v>
      </c>
      <c r="R21" s="14">
        <v>0.02</v>
      </c>
      <c r="S21" s="14">
        <v>0.01</v>
      </c>
      <c r="T21" s="14">
        <v>0.02</v>
      </c>
      <c r="U21" s="14">
        <v>0.01</v>
      </c>
      <c r="V21" s="14">
        <v>0.01</v>
      </c>
      <c r="W21" s="14">
        <v>0.02</v>
      </c>
      <c r="X21" s="15" t="s">
        <v>485</v>
      </c>
      <c r="Y21" s="14">
        <v>0.01</v>
      </c>
      <c r="Z21" s="14">
        <v>0.02</v>
      </c>
      <c r="AA21" s="14">
        <v>0.02</v>
      </c>
      <c r="AB21" s="14">
        <v>0.01</v>
      </c>
      <c r="AC21" s="15" t="s">
        <v>485</v>
      </c>
      <c r="AD21" s="14">
        <v>0.03</v>
      </c>
      <c r="AE21" s="14">
        <v>0.01</v>
      </c>
      <c r="AF21" s="14">
        <v>0.01</v>
      </c>
    </row>
    <row r="22" spans="1:32">
      <c r="A22" s="23"/>
      <c r="B22" s="11" t="s">
        <v>769</v>
      </c>
      <c r="C22" s="12">
        <v>15645</v>
      </c>
      <c r="D22" s="12">
        <v>682</v>
      </c>
      <c r="E22" s="12">
        <v>643</v>
      </c>
      <c r="F22" s="12">
        <v>631</v>
      </c>
      <c r="G22" s="12">
        <v>206</v>
      </c>
      <c r="H22" s="12">
        <v>639</v>
      </c>
      <c r="I22" s="12">
        <v>767</v>
      </c>
      <c r="J22" s="12">
        <v>128</v>
      </c>
      <c r="K22" s="12">
        <v>517</v>
      </c>
      <c r="L22" s="12">
        <v>658</v>
      </c>
      <c r="M22" s="12">
        <v>703</v>
      </c>
      <c r="N22" s="12">
        <v>682</v>
      </c>
      <c r="O22" s="12">
        <v>553</v>
      </c>
      <c r="P22" s="12">
        <v>794</v>
      </c>
      <c r="Q22" s="12">
        <v>791</v>
      </c>
      <c r="R22" s="12">
        <v>331</v>
      </c>
      <c r="S22" s="12">
        <v>508</v>
      </c>
      <c r="T22" s="12">
        <v>463</v>
      </c>
      <c r="U22" s="12">
        <v>302</v>
      </c>
      <c r="V22" s="12">
        <v>691</v>
      </c>
      <c r="W22" s="12">
        <v>266</v>
      </c>
      <c r="X22" s="12">
        <v>385</v>
      </c>
      <c r="Y22" s="12">
        <v>592</v>
      </c>
      <c r="Z22" s="12">
        <v>580</v>
      </c>
      <c r="AA22" s="12">
        <v>823</v>
      </c>
      <c r="AB22" s="12">
        <v>666</v>
      </c>
      <c r="AC22" s="12">
        <v>592</v>
      </c>
      <c r="AD22" s="12">
        <v>608</v>
      </c>
      <c r="AE22" s="12">
        <v>396</v>
      </c>
      <c r="AF22" s="12">
        <v>213</v>
      </c>
    </row>
    <row r="23" spans="1:32">
      <c r="A23" s="23"/>
      <c r="B23" s="13" t="s">
        <v>770</v>
      </c>
      <c r="C23" s="14">
        <v>0.59</v>
      </c>
      <c r="D23" s="14">
        <v>0.68</v>
      </c>
      <c r="E23" s="14">
        <v>0.62</v>
      </c>
      <c r="F23" s="14">
        <v>0.63</v>
      </c>
      <c r="G23" s="14">
        <v>0.21</v>
      </c>
      <c r="H23" s="14">
        <v>0.53</v>
      </c>
      <c r="I23" s="14">
        <v>0.51</v>
      </c>
      <c r="J23" s="14">
        <v>0.44</v>
      </c>
      <c r="K23" s="14">
        <v>0.52</v>
      </c>
      <c r="L23" s="14">
        <v>0.66</v>
      </c>
      <c r="M23" s="14">
        <v>0.69000000000000006</v>
      </c>
      <c r="N23" s="14">
        <v>0.69000000000000006</v>
      </c>
      <c r="O23" s="14">
        <v>0.55000000000000004</v>
      </c>
      <c r="P23" s="14">
        <v>0.79</v>
      </c>
      <c r="Q23" s="14">
        <v>0.77</v>
      </c>
      <c r="R23" s="14">
        <v>0.66</v>
      </c>
      <c r="S23" s="14">
        <v>0.51</v>
      </c>
      <c r="T23" s="14">
        <v>0.46</v>
      </c>
      <c r="U23" s="14">
        <v>0.6</v>
      </c>
      <c r="V23" s="14">
        <v>0.68</v>
      </c>
      <c r="W23" s="14">
        <v>0.53</v>
      </c>
      <c r="X23" s="14">
        <v>0.38</v>
      </c>
      <c r="Y23" s="14">
        <v>0.59</v>
      </c>
      <c r="Z23" s="14">
        <v>0.57000000000000006</v>
      </c>
      <c r="AA23" s="14">
        <v>0.79</v>
      </c>
      <c r="AB23" s="14">
        <v>0.65</v>
      </c>
      <c r="AC23" s="14">
        <v>0.59</v>
      </c>
      <c r="AD23" s="14">
        <v>0.61</v>
      </c>
      <c r="AE23" s="14">
        <v>0.39</v>
      </c>
      <c r="AF23" s="14">
        <v>0.2</v>
      </c>
    </row>
    <row r="24" spans="1:32">
      <c r="A24" s="23"/>
      <c r="B24" s="11" t="s">
        <v>771</v>
      </c>
      <c r="C24" s="12">
        <v>10241</v>
      </c>
      <c r="D24" s="12">
        <v>319</v>
      </c>
      <c r="E24" s="12">
        <v>370</v>
      </c>
      <c r="F24" s="12">
        <v>337</v>
      </c>
      <c r="G24" s="12">
        <v>773</v>
      </c>
      <c r="H24" s="12">
        <v>557</v>
      </c>
      <c r="I24" s="12">
        <v>721</v>
      </c>
      <c r="J24" s="12">
        <v>164</v>
      </c>
      <c r="K24" s="12">
        <v>467</v>
      </c>
      <c r="L24" s="12">
        <v>334</v>
      </c>
      <c r="M24" s="12">
        <v>296</v>
      </c>
      <c r="N24" s="12">
        <v>285</v>
      </c>
      <c r="O24" s="12">
        <v>432</v>
      </c>
      <c r="P24" s="12">
        <v>214</v>
      </c>
      <c r="Q24" s="12">
        <v>213</v>
      </c>
      <c r="R24" s="12">
        <v>162</v>
      </c>
      <c r="S24" s="12">
        <v>483</v>
      </c>
      <c r="T24" s="12">
        <v>517</v>
      </c>
      <c r="U24" s="12">
        <v>194</v>
      </c>
      <c r="V24" s="12">
        <v>312</v>
      </c>
      <c r="W24" s="12">
        <v>229</v>
      </c>
      <c r="X24" s="12">
        <v>628</v>
      </c>
      <c r="Y24" s="12">
        <v>406</v>
      </c>
      <c r="Z24" s="12">
        <v>418</v>
      </c>
      <c r="AA24" s="12">
        <v>199</v>
      </c>
      <c r="AB24" s="12">
        <v>352</v>
      </c>
      <c r="AC24" s="12">
        <v>407</v>
      </c>
      <c r="AD24" s="12">
        <v>368</v>
      </c>
      <c r="AE24" s="12">
        <v>599</v>
      </c>
      <c r="AF24" s="12">
        <v>852</v>
      </c>
    </row>
    <row r="25" spans="1:32">
      <c r="A25" s="23"/>
      <c r="B25" s="13" t="s">
        <v>772</v>
      </c>
      <c r="C25" s="14">
        <v>0.39</v>
      </c>
      <c r="D25" s="14">
        <v>0.32</v>
      </c>
      <c r="E25" s="14">
        <v>0.35</v>
      </c>
      <c r="F25" s="14">
        <v>0.33</v>
      </c>
      <c r="G25" s="14">
        <v>0.77</v>
      </c>
      <c r="H25" s="14">
        <v>0.46</v>
      </c>
      <c r="I25" s="14">
        <v>0.48</v>
      </c>
      <c r="J25" s="14">
        <v>0.56000000000000005</v>
      </c>
      <c r="K25" s="14">
        <v>0.46</v>
      </c>
      <c r="L25" s="14">
        <v>0.33</v>
      </c>
      <c r="M25" s="14">
        <v>0.3</v>
      </c>
      <c r="N25" s="14">
        <v>0.28000000000000003</v>
      </c>
      <c r="O25" s="14">
        <v>0.43</v>
      </c>
      <c r="P25" s="14">
        <v>0.21</v>
      </c>
      <c r="Q25" s="14">
        <v>0.21</v>
      </c>
      <c r="R25" s="14">
        <v>0.32</v>
      </c>
      <c r="S25" s="14">
        <v>0.48</v>
      </c>
      <c r="T25" s="14">
        <v>0.52</v>
      </c>
      <c r="U25" s="14">
        <v>0.39</v>
      </c>
      <c r="V25" s="14">
        <v>0.31</v>
      </c>
      <c r="W25" s="14">
        <v>0.45</v>
      </c>
      <c r="X25" s="14">
        <v>0.62</v>
      </c>
      <c r="Y25" s="14">
        <v>0.4</v>
      </c>
      <c r="Z25" s="14">
        <v>0.41</v>
      </c>
      <c r="AA25" s="14">
        <v>0.19</v>
      </c>
      <c r="AB25" s="14">
        <v>0.34</v>
      </c>
      <c r="AC25" s="14">
        <v>0.41</v>
      </c>
      <c r="AD25" s="14">
        <v>0.36</v>
      </c>
      <c r="AE25" s="14">
        <v>0.6</v>
      </c>
      <c r="AF25" s="14">
        <v>0.79</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773</v>
      </c>
      <c r="C3" s="19"/>
      <c r="D3" s="19"/>
      <c r="E3" s="19"/>
      <c r="F3" s="19"/>
      <c r="H3" s="19" t="s">
        <v>774</v>
      </c>
      <c r="I3" s="19"/>
      <c r="J3" s="19"/>
      <c r="K3" s="19"/>
      <c r="L3" s="19"/>
    </row>
    <row r="4" spans="1:32" ht="27" customHeight="1">
      <c r="B4" s="19" t="s">
        <v>775</v>
      </c>
      <c r="C4" s="19"/>
      <c r="D4" s="19"/>
      <c r="E4" s="19"/>
      <c r="F4" s="19"/>
      <c r="H4" s="19" t="s">
        <v>776</v>
      </c>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HYPERLINK("#Content!A39","&lt;&lt;Back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761</v>
      </c>
      <c r="C12" s="12">
        <v>6992</v>
      </c>
      <c r="D12" s="12">
        <v>248</v>
      </c>
      <c r="E12" s="12">
        <v>306</v>
      </c>
      <c r="F12" s="12">
        <v>225</v>
      </c>
      <c r="G12" s="12">
        <v>44</v>
      </c>
      <c r="H12" s="12">
        <v>214</v>
      </c>
      <c r="I12" s="12">
        <v>247</v>
      </c>
      <c r="J12" s="12">
        <v>32</v>
      </c>
      <c r="K12" s="12">
        <v>253</v>
      </c>
      <c r="L12" s="12">
        <v>255</v>
      </c>
      <c r="M12" s="12">
        <v>416</v>
      </c>
      <c r="N12" s="12">
        <v>492</v>
      </c>
      <c r="O12" s="12">
        <v>277</v>
      </c>
      <c r="P12" s="12">
        <v>279</v>
      </c>
      <c r="Q12" s="12">
        <v>399</v>
      </c>
      <c r="R12" s="12">
        <v>211</v>
      </c>
      <c r="S12" s="12">
        <v>325</v>
      </c>
      <c r="T12" s="12">
        <v>198</v>
      </c>
      <c r="U12" s="12">
        <v>150</v>
      </c>
      <c r="V12" s="12">
        <v>250</v>
      </c>
      <c r="W12" s="12">
        <v>102</v>
      </c>
      <c r="X12" s="12">
        <v>64</v>
      </c>
      <c r="Y12" s="12">
        <v>270</v>
      </c>
      <c r="Z12" s="12">
        <v>151</v>
      </c>
      <c r="AA12" s="12">
        <v>510</v>
      </c>
      <c r="AB12" s="12">
        <v>207</v>
      </c>
      <c r="AC12" s="12">
        <v>161</v>
      </c>
      <c r="AD12" s="12">
        <v>139</v>
      </c>
      <c r="AE12" s="12">
        <v>141</v>
      </c>
      <c r="AF12" s="12">
        <v>72</v>
      </c>
    </row>
    <row r="13" spans="1:32">
      <c r="A13" s="23"/>
      <c r="B13" s="13" t="s">
        <v>762</v>
      </c>
      <c r="C13" s="14">
        <v>0.27</v>
      </c>
      <c r="D13" s="14">
        <v>0.25</v>
      </c>
      <c r="E13" s="14">
        <v>0.28999999999999998</v>
      </c>
      <c r="F13" s="14">
        <v>0.22</v>
      </c>
      <c r="G13" s="14">
        <v>0.04</v>
      </c>
      <c r="H13" s="14">
        <v>0.18</v>
      </c>
      <c r="I13" s="14">
        <v>0.16</v>
      </c>
      <c r="J13" s="14">
        <v>0.11</v>
      </c>
      <c r="K13" s="14">
        <v>0.25</v>
      </c>
      <c r="L13" s="14">
        <v>0.25</v>
      </c>
      <c r="M13" s="14">
        <v>0.41</v>
      </c>
      <c r="N13" s="14">
        <v>0.49</v>
      </c>
      <c r="O13" s="14">
        <v>0.27</v>
      </c>
      <c r="P13" s="14">
        <v>0.28000000000000003</v>
      </c>
      <c r="Q13" s="14">
        <v>0.39</v>
      </c>
      <c r="R13" s="14">
        <v>0.42</v>
      </c>
      <c r="S13" s="14">
        <v>0.32</v>
      </c>
      <c r="T13" s="14">
        <v>0.2</v>
      </c>
      <c r="U13" s="14">
        <v>0.3</v>
      </c>
      <c r="V13" s="14">
        <v>0.25</v>
      </c>
      <c r="W13" s="14">
        <v>0.2</v>
      </c>
      <c r="X13" s="14">
        <v>0.06</v>
      </c>
      <c r="Y13" s="14">
        <v>0.27</v>
      </c>
      <c r="Z13" s="14">
        <v>0.15</v>
      </c>
      <c r="AA13" s="14">
        <v>0.49</v>
      </c>
      <c r="AB13" s="14">
        <v>0.2</v>
      </c>
      <c r="AC13" s="14">
        <v>0.16</v>
      </c>
      <c r="AD13" s="14">
        <v>0.14000000000000001</v>
      </c>
      <c r="AE13" s="14">
        <v>0.14000000000000001</v>
      </c>
      <c r="AF13" s="14">
        <v>7.0000000000000007E-2</v>
      </c>
    </row>
    <row r="14" spans="1:32">
      <c r="A14" s="23"/>
      <c r="B14" s="11" t="s">
        <v>763</v>
      </c>
      <c r="C14" s="12">
        <v>9678</v>
      </c>
      <c r="D14" s="12">
        <v>446</v>
      </c>
      <c r="E14" s="12">
        <v>381</v>
      </c>
      <c r="F14" s="12">
        <v>379</v>
      </c>
      <c r="G14" s="12">
        <v>119</v>
      </c>
      <c r="H14" s="12">
        <v>426</v>
      </c>
      <c r="I14" s="12">
        <v>524</v>
      </c>
      <c r="J14" s="12">
        <v>98</v>
      </c>
      <c r="K14" s="12">
        <v>343</v>
      </c>
      <c r="L14" s="12">
        <v>392</v>
      </c>
      <c r="M14" s="12">
        <v>387</v>
      </c>
      <c r="N14" s="12">
        <v>309</v>
      </c>
      <c r="O14" s="12">
        <v>396</v>
      </c>
      <c r="P14" s="12">
        <v>451</v>
      </c>
      <c r="Q14" s="12">
        <v>451</v>
      </c>
      <c r="R14" s="12">
        <v>170</v>
      </c>
      <c r="S14" s="12">
        <v>241</v>
      </c>
      <c r="T14" s="12">
        <v>270</v>
      </c>
      <c r="U14" s="12">
        <v>179</v>
      </c>
      <c r="V14" s="12">
        <v>454</v>
      </c>
      <c r="W14" s="12">
        <v>181</v>
      </c>
      <c r="X14" s="12">
        <v>193</v>
      </c>
      <c r="Y14" s="12">
        <v>320</v>
      </c>
      <c r="Z14" s="12">
        <v>437</v>
      </c>
      <c r="AA14" s="12">
        <v>382</v>
      </c>
      <c r="AB14" s="12">
        <v>417</v>
      </c>
      <c r="AC14" s="12">
        <v>319</v>
      </c>
      <c r="AD14" s="12">
        <v>447</v>
      </c>
      <c r="AE14" s="12">
        <v>308</v>
      </c>
      <c r="AF14" s="12">
        <v>248</v>
      </c>
    </row>
    <row r="15" spans="1:32">
      <c r="A15" s="23"/>
      <c r="B15" s="13" t="s">
        <v>764</v>
      </c>
      <c r="C15" s="14">
        <v>0.37</v>
      </c>
      <c r="D15" s="14">
        <v>0.44</v>
      </c>
      <c r="E15" s="14">
        <v>0.36</v>
      </c>
      <c r="F15" s="14">
        <v>0.38</v>
      </c>
      <c r="G15" s="14">
        <v>0.12</v>
      </c>
      <c r="H15" s="14">
        <v>0.35</v>
      </c>
      <c r="I15" s="14">
        <v>0.35</v>
      </c>
      <c r="J15" s="14">
        <v>0.33</v>
      </c>
      <c r="K15" s="14">
        <v>0.34</v>
      </c>
      <c r="L15" s="14">
        <v>0.39</v>
      </c>
      <c r="M15" s="14">
        <v>0.38</v>
      </c>
      <c r="N15" s="14">
        <v>0.31</v>
      </c>
      <c r="O15" s="14">
        <v>0.39</v>
      </c>
      <c r="P15" s="14">
        <v>0.44</v>
      </c>
      <c r="Q15" s="14">
        <v>0.44</v>
      </c>
      <c r="R15" s="14">
        <v>0.34</v>
      </c>
      <c r="S15" s="14">
        <v>0.24</v>
      </c>
      <c r="T15" s="14">
        <v>0.27</v>
      </c>
      <c r="U15" s="14">
        <v>0.36</v>
      </c>
      <c r="V15" s="14">
        <v>0.45</v>
      </c>
      <c r="W15" s="14">
        <v>0.36</v>
      </c>
      <c r="X15" s="14">
        <v>0.19</v>
      </c>
      <c r="Y15" s="14">
        <v>0.32</v>
      </c>
      <c r="Z15" s="14">
        <v>0.43</v>
      </c>
      <c r="AA15" s="14">
        <v>0.37</v>
      </c>
      <c r="AB15" s="14">
        <v>0.41</v>
      </c>
      <c r="AC15" s="14">
        <v>0.32</v>
      </c>
      <c r="AD15" s="14">
        <v>0.45</v>
      </c>
      <c r="AE15" s="14">
        <v>0.3</v>
      </c>
      <c r="AF15" s="14">
        <v>0.23</v>
      </c>
    </row>
    <row r="16" spans="1:32" ht="23.25">
      <c r="A16" s="23"/>
      <c r="B16" s="11" t="s">
        <v>765</v>
      </c>
      <c r="C16" s="12">
        <v>6354</v>
      </c>
      <c r="D16" s="12">
        <v>259</v>
      </c>
      <c r="E16" s="12">
        <v>258</v>
      </c>
      <c r="F16" s="12">
        <v>256</v>
      </c>
      <c r="G16" s="12">
        <v>372</v>
      </c>
      <c r="H16" s="12">
        <v>389</v>
      </c>
      <c r="I16" s="12">
        <v>483</v>
      </c>
      <c r="J16" s="12">
        <v>94</v>
      </c>
      <c r="K16" s="12">
        <v>270</v>
      </c>
      <c r="L16" s="12">
        <v>223</v>
      </c>
      <c r="M16" s="12">
        <v>133</v>
      </c>
      <c r="N16" s="12">
        <v>127</v>
      </c>
      <c r="O16" s="12">
        <v>209</v>
      </c>
      <c r="P16" s="12">
        <v>219</v>
      </c>
      <c r="Q16" s="12">
        <v>128</v>
      </c>
      <c r="R16" s="12">
        <v>71</v>
      </c>
      <c r="S16" s="12">
        <v>216</v>
      </c>
      <c r="T16" s="12">
        <v>315</v>
      </c>
      <c r="U16" s="12">
        <v>98</v>
      </c>
      <c r="V16" s="12">
        <v>238</v>
      </c>
      <c r="W16" s="12">
        <v>138</v>
      </c>
      <c r="X16" s="12">
        <v>488</v>
      </c>
      <c r="Y16" s="12">
        <v>214</v>
      </c>
      <c r="Z16" s="12">
        <v>329</v>
      </c>
      <c r="AA16" s="12">
        <v>92</v>
      </c>
      <c r="AB16" s="12">
        <v>265</v>
      </c>
      <c r="AC16" s="12">
        <v>333</v>
      </c>
      <c r="AD16" s="12">
        <v>301</v>
      </c>
      <c r="AE16" s="12">
        <v>308</v>
      </c>
      <c r="AF16" s="12">
        <v>431</v>
      </c>
    </row>
    <row r="17" spans="1:32">
      <c r="A17" s="23"/>
      <c r="B17" s="13" t="s">
        <v>766</v>
      </c>
      <c r="C17" s="14">
        <v>0.24</v>
      </c>
      <c r="D17" s="14">
        <v>0.26</v>
      </c>
      <c r="E17" s="14">
        <v>0.25</v>
      </c>
      <c r="F17" s="14">
        <v>0.25</v>
      </c>
      <c r="G17" s="14">
        <v>0.37</v>
      </c>
      <c r="H17" s="14">
        <v>0.32</v>
      </c>
      <c r="I17" s="14">
        <v>0.32</v>
      </c>
      <c r="J17" s="14">
        <v>0.32</v>
      </c>
      <c r="K17" s="14">
        <v>0.27</v>
      </c>
      <c r="L17" s="14">
        <v>0.22</v>
      </c>
      <c r="M17" s="14">
        <v>0.13</v>
      </c>
      <c r="N17" s="14">
        <v>0.13</v>
      </c>
      <c r="O17" s="14">
        <v>0.21</v>
      </c>
      <c r="P17" s="14">
        <v>0.22</v>
      </c>
      <c r="Q17" s="14">
        <v>0.13</v>
      </c>
      <c r="R17" s="14">
        <v>0.14000000000000001</v>
      </c>
      <c r="S17" s="14">
        <v>0.22</v>
      </c>
      <c r="T17" s="14">
        <v>0.31</v>
      </c>
      <c r="U17" s="14">
        <v>0.19</v>
      </c>
      <c r="V17" s="14">
        <v>0.24</v>
      </c>
      <c r="W17" s="14">
        <v>0.27</v>
      </c>
      <c r="X17" s="14">
        <v>0.48</v>
      </c>
      <c r="Y17" s="14">
        <v>0.21</v>
      </c>
      <c r="Z17" s="14">
        <v>0.32</v>
      </c>
      <c r="AA17" s="14">
        <v>0.09</v>
      </c>
      <c r="AB17" s="14">
        <v>0.26</v>
      </c>
      <c r="AC17" s="14">
        <v>0.33</v>
      </c>
      <c r="AD17" s="14">
        <v>0.3</v>
      </c>
      <c r="AE17" s="14">
        <v>0.31</v>
      </c>
      <c r="AF17" s="14">
        <v>0.4</v>
      </c>
    </row>
    <row r="18" spans="1:32" ht="23.25">
      <c r="A18" s="23"/>
      <c r="B18" s="11" t="s">
        <v>767</v>
      </c>
      <c r="C18" s="12">
        <v>3029</v>
      </c>
      <c r="D18" s="12">
        <v>50</v>
      </c>
      <c r="E18" s="12">
        <v>89</v>
      </c>
      <c r="F18" s="12">
        <v>111</v>
      </c>
      <c r="G18" s="12">
        <v>442</v>
      </c>
      <c r="H18" s="12">
        <v>164</v>
      </c>
      <c r="I18" s="12">
        <v>233</v>
      </c>
      <c r="J18" s="12">
        <v>69</v>
      </c>
      <c r="K18" s="12">
        <v>124</v>
      </c>
      <c r="L18" s="12">
        <v>126</v>
      </c>
      <c r="M18" s="12">
        <v>73</v>
      </c>
      <c r="N18" s="12">
        <v>64</v>
      </c>
      <c r="O18" s="12">
        <v>107</v>
      </c>
      <c r="P18" s="12">
        <v>61</v>
      </c>
      <c r="Q18" s="12">
        <v>36</v>
      </c>
      <c r="R18" s="12">
        <v>44</v>
      </c>
      <c r="S18" s="12">
        <v>212</v>
      </c>
      <c r="T18" s="12">
        <v>202</v>
      </c>
      <c r="U18" s="12">
        <v>71</v>
      </c>
      <c r="V18" s="12">
        <v>65</v>
      </c>
      <c r="W18" s="12">
        <v>78</v>
      </c>
      <c r="X18" s="12">
        <v>263</v>
      </c>
      <c r="Y18" s="12">
        <v>198</v>
      </c>
      <c r="Z18" s="12">
        <v>89</v>
      </c>
      <c r="AA18" s="12">
        <v>49</v>
      </c>
      <c r="AB18" s="12">
        <v>128</v>
      </c>
      <c r="AC18" s="12">
        <v>186</v>
      </c>
      <c r="AD18" s="12">
        <v>94</v>
      </c>
      <c r="AE18" s="12">
        <v>230</v>
      </c>
      <c r="AF18" s="12">
        <v>312</v>
      </c>
    </row>
    <row r="19" spans="1:32">
      <c r="A19" s="23"/>
      <c r="B19" s="13" t="s">
        <v>768</v>
      </c>
      <c r="C19" s="14">
        <v>0.11</v>
      </c>
      <c r="D19" s="14">
        <v>0.05</v>
      </c>
      <c r="E19" s="14">
        <v>0.09</v>
      </c>
      <c r="F19" s="14">
        <v>0.11</v>
      </c>
      <c r="G19" s="14">
        <v>0.44</v>
      </c>
      <c r="H19" s="14">
        <v>0.14000000000000001</v>
      </c>
      <c r="I19" s="14">
        <v>0.16</v>
      </c>
      <c r="J19" s="14">
        <v>0.24</v>
      </c>
      <c r="K19" s="14">
        <v>0.12</v>
      </c>
      <c r="L19" s="14">
        <v>0.13</v>
      </c>
      <c r="M19" s="14">
        <v>0.08</v>
      </c>
      <c r="N19" s="14">
        <v>0.06</v>
      </c>
      <c r="O19" s="14">
        <v>0.11</v>
      </c>
      <c r="P19" s="14">
        <v>0.06</v>
      </c>
      <c r="Q19" s="14">
        <v>0.03</v>
      </c>
      <c r="R19" s="14">
        <v>0.09</v>
      </c>
      <c r="S19" s="14">
        <v>0.21</v>
      </c>
      <c r="T19" s="14">
        <v>0.2</v>
      </c>
      <c r="U19" s="14">
        <v>0.14000000000000001</v>
      </c>
      <c r="V19" s="14">
        <v>0.06</v>
      </c>
      <c r="W19" s="14">
        <v>0.16</v>
      </c>
      <c r="X19" s="14">
        <v>0.26</v>
      </c>
      <c r="Y19" s="14">
        <v>0.2</v>
      </c>
      <c r="Z19" s="14">
        <v>0.09</v>
      </c>
      <c r="AA19" s="14">
        <v>0.05</v>
      </c>
      <c r="AB19" s="14">
        <v>0.12</v>
      </c>
      <c r="AC19" s="14">
        <v>0.18</v>
      </c>
      <c r="AD19" s="14">
        <v>0.09</v>
      </c>
      <c r="AE19" s="14">
        <v>0.23</v>
      </c>
      <c r="AF19" s="14">
        <v>0.28999999999999998</v>
      </c>
    </row>
    <row r="20" spans="1:32">
      <c r="A20" s="23"/>
      <c r="B20" s="11" t="s">
        <v>497</v>
      </c>
      <c r="C20" s="12">
        <v>300</v>
      </c>
      <c r="D20" s="12">
        <v>2</v>
      </c>
      <c r="E20" s="12">
        <v>10</v>
      </c>
      <c r="F20" s="12">
        <v>35</v>
      </c>
      <c r="G20" s="12">
        <v>26</v>
      </c>
      <c r="H20" s="12">
        <v>18</v>
      </c>
      <c r="I20" s="12">
        <v>18</v>
      </c>
      <c r="J20" s="12">
        <v>0</v>
      </c>
      <c r="K20" s="12">
        <v>14</v>
      </c>
      <c r="L20" s="12">
        <v>11</v>
      </c>
      <c r="M20" s="12">
        <v>2</v>
      </c>
      <c r="N20" s="12">
        <v>7</v>
      </c>
      <c r="O20" s="12">
        <v>17</v>
      </c>
      <c r="P20" s="12">
        <v>1</v>
      </c>
      <c r="Q20" s="12">
        <v>10</v>
      </c>
      <c r="R20" s="12">
        <v>5</v>
      </c>
      <c r="S20" s="12">
        <v>11</v>
      </c>
      <c r="T20" s="12">
        <v>19</v>
      </c>
      <c r="U20" s="12">
        <v>6</v>
      </c>
      <c r="V20" s="12">
        <v>5</v>
      </c>
      <c r="W20" s="12">
        <v>5</v>
      </c>
      <c r="X20" s="12">
        <v>8</v>
      </c>
      <c r="Y20" s="12">
        <v>4</v>
      </c>
      <c r="Z20" s="12">
        <v>10</v>
      </c>
      <c r="AA20" s="12">
        <v>7</v>
      </c>
      <c r="AB20" s="12">
        <v>14</v>
      </c>
      <c r="AC20" s="12">
        <v>5</v>
      </c>
      <c r="AD20" s="12">
        <v>20</v>
      </c>
      <c r="AE20" s="12">
        <v>22</v>
      </c>
      <c r="AF20" s="12">
        <v>10</v>
      </c>
    </row>
    <row r="21" spans="1:32">
      <c r="A21" s="23"/>
      <c r="B21" s="13" t="s">
        <v>498</v>
      </c>
      <c r="C21" s="14">
        <v>0.01</v>
      </c>
      <c r="D21" s="15" t="s">
        <v>485</v>
      </c>
      <c r="E21" s="14">
        <v>0.01</v>
      </c>
      <c r="F21" s="14">
        <v>0.04</v>
      </c>
      <c r="G21" s="14">
        <v>0.03</v>
      </c>
      <c r="H21" s="14">
        <v>0.01</v>
      </c>
      <c r="I21" s="14">
        <v>0.01</v>
      </c>
      <c r="J21" s="15" t="s">
        <v>485</v>
      </c>
      <c r="K21" s="14">
        <v>0.02</v>
      </c>
      <c r="L21" s="14">
        <v>0.01</v>
      </c>
      <c r="M21" s="15" t="s">
        <v>485</v>
      </c>
      <c r="N21" s="14">
        <v>0.01</v>
      </c>
      <c r="O21" s="14">
        <v>0.02</v>
      </c>
      <c r="P21" s="15" t="s">
        <v>485</v>
      </c>
      <c r="Q21" s="14">
        <v>0.01</v>
      </c>
      <c r="R21" s="14">
        <v>0.01</v>
      </c>
      <c r="S21" s="14">
        <v>0.01</v>
      </c>
      <c r="T21" s="14">
        <v>0.02</v>
      </c>
      <c r="U21" s="14">
        <v>0.01</v>
      </c>
      <c r="V21" s="15" t="s">
        <v>485</v>
      </c>
      <c r="W21" s="14">
        <v>0.01</v>
      </c>
      <c r="X21" s="14">
        <v>0.01</v>
      </c>
      <c r="Y21" s="15" t="s">
        <v>485</v>
      </c>
      <c r="Z21" s="14">
        <v>0.01</v>
      </c>
      <c r="AA21" s="15" t="s">
        <v>485</v>
      </c>
      <c r="AB21" s="14">
        <v>0.01</v>
      </c>
      <c r="AC21" s="14">
        <v>0.01</v>
      </c>
      <c r="AD21" s="14">
        <v>0.02</v>
      </c>
      <c r="AE21" s="14">
        <v>0.02</v>
      </c>
      <c r="AF21" s="14">
        <v>0.01</v>
      </c>
    </row>
    <row r="22" spans="1:32">
      <c r="A22" s="23"/>
      <c r="B22" s="11" t="s">
        <v>769</v>
      </c>
      <c r="C22" s="12">
        <v>16670</v>
      </c>
      <c r="D22" s="12">
        <v>694</v>
      </c>
      <c r="E22" s="12">
        <v>687</v>
      </c>
      <c r="F22" s="12">
        <v>604</v>
      </c>
      <c r="G22" s="12">
        <v>163</v>
      </c>
      <c r="H22" s="12">
        <v>640</v>
      </c>
      <c r="I22" s="12">
        <v>771</v>
      </c>
      <c r="J22" s="12">
        <v>130</v>
      </c>
      <c r="K22" s="12">
        <v>596</v>
      </c>
      <c r="L22" s="12">
        <v>647</v>
      </c>
      <c r="M22" s="12">
        <v>803</v>
      </c>
      <c r="N22" s="12">
        <v>801</v>
      </c>
      <c r="O22" s="12">
        <v>673</v>
      </c>
      <c r="P22" s="12">
        <v>730</v>
      </c>
      <c r="Q22" s="12">
        <v>850</v>
      </c>
      <c r="R22" s="12">
        <v>381</v>
      </c>
      <c r="S22" s="12">
        <v>566</v>
      </c>
      <c r="T22" s="12">
        <v>468</v>
      </c>
      <c r="U22" s="12">
        <v>329</v>
      </c>
      <c r="V22" s="12">
        <v>704</v>
      </c>
      <c r="W22" s="12">
        <v>283</v>
      </c>
      <c r="X22" s="12">
        <v>257</v>
      </c>
      <c r="Y22" s="12">
        <v>590</v>
      </c>
      <c r="Z22" s="12">
        <v>588</v>
      </c>
      <c r="AA22" s="12">
        <v>892</v>
      </c>
      <c r="AB22" s="12">
        <v>624</v>
      </c>
      <c r="AC22" s="12">
        <v>480</v>
      </c>
      <c r="AD22" s="12">
        <v>586</v>
      </c>
      <c r="AE22" s="12">
        <v>449</v>
      </c>
      <c r="AF22" s="12">
        <v>320</v>
      </c>
    </row>
    <row r="23" spans="1:32">
      <c r="A23" s="23"/>
      <c r="B23" s="13" t="s">
        <v>770</v>
      </c>
      <c r="C23" s="14">
        <v>0.64</v>
      </c>
      <c r="D23" s="14">
        <v>0.69000000000000006</v>
      </c>
      <c r="E23" s="14">
        <v>0.65</v>
      </c>
      <c r="F23" s="14">
        <v>0.6</v>
      </c>
      <c r="G23" s="14">
        <v>0.16</v>
      </c>
      <c r="H23" s="14">
        <v>0.53</v>
      </c>
      <c r="I23" s="14">
        <v>0.51</v>
      </c>
      <c r="J23" s="14">
        <v>0.44</v>
      </c>
      <c r="K23" s="14">
        <v>0.59</v>
      </c>
      <c r="L23" s="14">
        <v>0.64</v>
      </c>
      <c r="M23" s="14">
        <v>0.79</v>
      </c>
      <c r="N23" s="14">
        <v>0.8</v>
      </c>
      <c r="O23" s="14">
        <v>0.66</v>
      </c>
      <c r="P23" s="14">
        <v>0.72</v>
      </c>
      <c r="Q23" s="14">
        <v>0.83000000000000007</v>
      </c>
      <c r="R23" s="14">
        <v>0.76</v>
      </c>
      <c r="S23" s="14">
        <v>0.56000000000000005</v>
      </c>
      <c r="T23" s="14">
        <v>0.47</v>
      </c>
      <c r="U23" s="14">
        <v>0.66</v>
      </c>
      <c r="V23" s="14">
        <v>0.70000000000000007</v>
      </c>
      <c r="W23" s="14">
        <v>0.56000000000000005</v>
      </c>
      <c r="X23" s="14">
        <v>0.25</v>
      </c>
      <c r="Y23" s="14">
        <v>0.59</v>
      </c>
      <c r="Z23" s="14">
        <v>0.57999999999999996</v>
      </c>
      <c r="AA23" s="14">
        <v>0.86</v>
      </c>
      <c r="AB23" s="14">
        <v>0.61</v>
      </c>
      <c r="AC23" s="14">
        <v>0.48</v>
      </c>
      <c r="AD23" s="14">
        <v>0.59</v>
      </c>
      <c r="AE23" s="14">
        <v>0.44</v>
      </c>
      <c r="AF23" s="14">
        <v>0.3</v>
      </c>
    </row>
    <row r="24" spans="1:32">
      <c r="A24" s="23"/>
      <c r="B24" s="11" t="s">
        <v>771</v>
      </c>
      <c r="C24" s="12">
        <v>9383</v>
      </c>
      <c r="D24" s="12">
        <v>309</v>
      </c>
      <c r="E24" s="12">
        <v>347</v>
      </c>
      <c r="F24" s="12">
        <v>367</v>
      </c>
      <c r="G24" s="12">
        <v>814</v>
      </c>
      <c r="H24" s="12">
        <v>553</v>
      </c>
      <c r="I24" s="12">
        <v>716</v>
      </c>
      <c r="J24" s="12">
        <v>163</v>
      </c>
      <c r="K24" s="12">
        <v>394</v>
      </c>
      <c r="L24" s="12">
        <v>349</v>
      </c>
      <c r="M24" s="12">
        <v>206</v>
      </c>
      <c r="N24" s="12">
        <v>191</v>
      </c>
      <c r="O24" s="12">
        <v>316</v>
      </c>
      <c r="P24" s="12">
        <v>280</v>
      </c>
      <c r="Q24" s="12">
        <v>164</v>
      </c>
      <c r="R24" s="12">
        <v>115</v>
      </c>
      <c r="S24" s="12">
        <v>428</v>
      </c>
      <c r="T24" s="12">
        <v>517</v>
      </c>
      <c r="U24" s="12">
        <v>169</v>
      </c>
      <c r="V24" s="12">
        <v>303</v>
      </c>
      <c r="W24" s="12">
        <v>216</v>
      </c>
      <c r="X24" s="12">
        <v>751</v>
      </c>
      <c r="Y24" s="12">
        <v>412</v>
      </c>
      <c r="Z24" s="12">
        <v>418</v>
      </c>
      <c r="AA24" s="12">
        <v>141</v>
      </c>
      <c r="AB24" s="12">
        <v>393</v>
      </c>
      <c r="AC24" s="12">
        <v>519</v>
      </c>
      <c r="AD24" s="12">
        <v>395</v>
      </c>
      <c r="AE24" s="12">
        <v>538</v>
      </c>
      <c r="AF24" s="12">
        <v>743</v>
      </c>
    </row>
    <row r="25" spans="1:32">
      <c r="A25" s="23"/>
      <c r="B25" s="13" t="s">
        <v>772</v>
      </c>
      <c r="C25" s="14">
        <v>0.35</v>
      </c>
      <c r="D25" s="14">
        <v>0.31</v>
      </c>
      <c r="E25" s="14">
        <v>0.34</v>
      </c>
      <c r="F25" s="14">
        <v>0.36</v>
      </c>
      <c r="G25" s="14">
        <v>0.81</v>
      </c>
      <c r="H25" s="14">
        <v>0.46</v>
      </c>
      <c r="I25" s="14">
        <v>0.48</v>
      </c>
      <c r="J25" s="14">
        <v>0.56000000000000005</v>
      </c>
      <c r="K25" s="14">
        <v>0.39</v>
      </c>
      <c r="L25" s="14">
        <v>0.35</v>
      </c>
      <c r="M25" s="14">
        <v>0.21</v>
      </c>
      <c r="N25" s="14">
        <v>0.19</v>
      </c>
      <c r="O25" s="14">
        <v>0.32</v>
      </c>
      <c r="P25" s="14">
        <v>0.28000000000000003</v>
      </c>
      <c r="Q25" s="14">
        <v>0.16</v>
      </c>
      <c r="R25" s="14">
        <v>0.23</v>
      </c>
      <c r="S25" s="14">
        <v>0.43</v>
      </c>
      <c r="T25" s="14">
        <v>0.51</v>
      </c>
      <c r="U25" s="14">
        <v>0.33</v>
      </c>
      <c r="V25" s="14">
        <v>0.3</v>
      </c>
      <c r="W25" s="14">
        <v>0.43</v>
      </c>
      <c r="X25" s="14">
        <v>0.74</v>
      </c>
      <c r="Y25" s="14">
        <v>0.41</v>
      </c>
      <c r="Z25" s="14">
        <v>0.41</v>
      </c>
      <c r="AA25" s="14">
        <v>0.14000000000000001</v>
      </c>
      <c r="AB25" s="14">
        <v>0.38</v>
      </c>
      <c r="AC25" s="14">
        <v>0.51</v>
      </c>
      <c r="AD25" s="14">
        <v>0.39</v>
      </c>
      <c r="AE25" s="14">
        <v>0.54</v>
      </c>
      <c r="AF25" s="14">
        <v>0.69000000000000006</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777</v>
      </c>
      <c r="C3" s="19"/>
      <c r="D3" s="19"/>
      <c r="E3" s="19"/>
      <c r="F3" s="19"/>
      <c r="H3" s="19" t="s">
        <v>778</v>
      </c>
      <c r="I3" s="19"/>
      <c r="J3" s="19"/>
      <c r="K3" s="19"/>
      <c r="L3" s="19"/>
    </row>
    <row r="4" spans="1:32" ht="27" customHeight="1">
      <c r="B4" s="19" t="s">
        <v>779</v>
      </c>
      <c r="C4" s="19"/>
      <c r="D4" s="19"/>
      <c r="E4" s="19"/>
      <c r="F4" s="19"/>
      <c r="H4" s="19" t="s">
        <v>780</v>
      </c>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HYPERLINK("#Content!A40","&lt;&lt;Back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761</v>
      </c>
      <c r="C12" s="12">
        <v>14245</v>
      </c>
      <c r="D12" s="12">
        <v>532</v>
      </c>
      <c r="E12" s="12">
        <v>620</v>
      </c>
      <c r="F12" s="12">
        <v>465</v>
      </c>
      <c r="G12" s="12">
        <v>183</v>
      </c>
      <c r="H12" s="12">
        <v>579</v>
      </c>
      <c r="I12" s="12">
        <v>725</v>
      </c>
      <c r="J12" s="12">
        <v>146</v>
      </c>
      <c r="K12" s="12">
        <v>596</v>
      </c>
      <c r="L12" s="12">
        <v>617</v>
      </c>
      <c r="M12" s="12">
        <v>676</v>
      </c>
      <c r="N12" s="12">
        <v>751</v>
      </c>
      <c r="O12" s="12">
        <v>676</v>
      </c>
      <c r="P12" s="12">
        <v>601</v>
      </c>
      <c r="Q12" s="12">
        <v>606</v>
      </c>
      <c r="R12" s="12">
        <v>369</v>
      </c>
      <c r="S12" s="12">
        <v>686</v>
      </c>
      <c r="T12" s="12">
        <v>413</v>
      </c>
      <c r="U12" s="12">
        <v>318</v>
      </c>
      <c r="V12" s="12">
        <v>453</v>
      </c>
      <c r="W12" s="12">
        <v>290</v>
      </c>
      <c r="X12" s="12">
        <v>265</v>
      </c>
      <c r="Y12" s="12">
        <v>519</v>
      </c>
      <c r="Z12" s="12">
        <v>425</v>
      </c>
      <c r="AA12" s="12">
        <v>762</v>
      </c>
      <c r="AB12" s="12">
        <v>464</v>
      </c>
      <c r="AC12" s="12">
        <v>481</v>
      </c>
      <c r="AD12" s="12">
        <v>415</v>
      </c>
      <c r="AE12" s="12">
        <v>276</v>
      </c>
      <c r="AF12" s="12">
        <v>159</v>
      </c>
    </row>
    <row r="13" spans="1:32">
      <c r="A13" s="23"/>
      <c r="B13" s="13" t="s">
        <v>762</v>
      </c>
      <c r="C13" s="14">
        <v>0.54</v>
      </c>
      <c r="D13" s="14">
        <v>0.53</v>
      </c>
      <c r="E13" s="14">
        <v>0.59</v>
      </c>
      <c r="F13" s="14">
        <v>0.46</v>
      </c>
      <c r="G13" s="14">
        <v>0.18</v>
      </c>
      <c r="H13" s="14">
        <v>0.48</v>
      </c>
      <c r="I13" s="14">
        <v>0.48</v>
      </c>
      <c r="J13" s="14">
        <v>0.5</v>
      </c>
      <c r="K13" s="14">
        <v>0.59</v>
      </c>
      <c r="L13" s="14">
        <v>0.61</v>
      </c>
      <c r="M13" s="14">
        <v>0.67</v>
      </c>
      <c r="N13" s="14">
        <v>0.75</v>
      </c>
      <c r="O13" s="14">
        <v>0.67</v>
      </c>
      <c r="P13" s="14">
        <v>0.6</v>
      </c>
      <c r="Q13" s="14">
        <v>0.59</v>
      </c>
      <c r="R13" s="14">
        <v>0.73</v>
      </c>
      <c r="S13" s="14">
        <v>0.68</v>
      </c>
      <c r="T13" s="14">
        <v>0.41</v>
      </c>
      <c r="U13" s="14">
        <v>0.63</v>
      </c>
      <c r="V13" s="14">
        <v>0.45</v>
      </c>
      <c r="W13" s="14">
        <v>0.57999999999999996</v>
      </c>
      <c r="X13" s="14">
        <v>0.26</v>
      </c>
      <c r="Y13" s="14">
        <v>0.52</v>
      </c>
      <c r="Z13" s="14">
        <v>0.42</v>
      </c>
      <c r="AA13" s="14">
        <v>0.73</v>
      </c>
      <c r="AB13" s="14">
        <v>0.45</v>
      </c>
      <c r="AC13" s="14">
        <v>0.48</v>
      </c>
      <c r="AD13" s="14">
        <v>0.41</v>
      </c>
      <c r="AE13" s="14">
        <v>0.28000000000000003</v>
      </c>
      <c r="AF13" s="14">
        <v>0.15</v>
      </c>
    </row>
    <row r="14" spans="1:32">
      <c r="A14" s="23"/>
      <c r="B14" s="11" t="s">
        <v>763</v>
      </c>
      <c r="C14" s="12">
        <v>8845</v>
      </c>
      <c r="D14" s="12">
        <v>382</v>
      </c>
      <c r="E14" s="12">
        <v>329</v>
      </c>
      <c r="F14" s="12">
        <v>392</v>
      </c>
      <c r="G14" s="12">
        <v>293</v>
      </c>
      <c r="H14" s="12">
        <v>459</v>
      </c>
      <c r="I14" s="12">
        <v>572</v>
      </c>
      <c r="J14" s="12">
        <v>113</v>
      </c>
      <c r="K14" s="12">
        <v>282</v>
      </c>
      <c r="L14" s="12">
        <v>296</v>
      </c>
      <c r="M14" s="12">
        <v>293</v>
      </c>
      <c r="N14" s="12">
        <v>203</v>
      </c>
      <c r="O14" s="12">
        <v>277</v>
      </c>
      <c r="P14" s="12">
        <v>345</v>
      </c>
      <c r="Q14" s="12">
        <v>366</v>
      </c>
      <c r="R14" s="12">
        <v>98</v>
      </c>
      <c r="S14" s="12">
        <v>235</v>
      </c>
      <c r="T14" s="12">
        <v>390</v>
      </c>
      <c r="U14" s="12">
        <v>128</v>
      </c>
      <c r="V14" s="12">
        <v>399</v>
      </c>
      <c r="W14" s="12">
        <v>156</v>
      </c>
      <c r="X14" s="12">
        <v>404</v>
      </c>
      <c r="Y14" s="12">
        <v>345</v>
      </c>
      <c r="Z14" s="12">
        <v>410</v>
      </c>
      <c r="AA14" s="12">
        <v>251</v>
      </c>
      <c r="AB14" s="12">
        <v>372</v>
      </c>
      <c r="AC14" s="12">
        <v>406</v>
      </c>
      <c r="AD14" s="12">
        <v>487</v>
      </c>
      <c r="AE14" s="12">
        <v>436</v>
      </c>
      <c r="AF14" s="12">
        <v>412</v>
      </c>
    </row>
    <row r="15" spans="1:32">
      <c r="A15" s="23"/>
      <c r="B15" s="13" t="s">
        <v>764</v>
      </c>
      <c r="C15" s="14">
        <v>0.34</v>
      </c>
      <c r="D15" s="14">
        <v>0.38</v>
      </c>
      <c r="E15" s="14">
        <v>0.32</v>
      </c>
      <c r="F15" s="14">
        <v>0.39</v>
      </c>
      <c r="G15" s="14">
        <v>0.28999999999999998</v>
      </c>
      <c r="H15" s="14">
        <v>0.38</v>
      </c>
      <c r="I15" s="14">
        <v>0.38</v>
      </c>
      <c r="J15" s="14">
        <v>0.38</v>
      </c>
      <c r="K15" s="14">
        <v>0.28000000000000003</v>
      </c>
      <c r="L15" s="14">
        <v>0.3</v>
      </c>
      <c r="M15" s="14">
        <v>0.28999999999999998</v>
      </c>
      <c r="N15" s="14">
        <v>0.2</v>
      </c>
      <c r="O15" s="14">
        <v>0.27</v>
      </c>
      <c r="P15" s="14">
        <v>0.34</v>
      </c>
      <c r="Q15" s="14">
        <v>0.36</v>
      </c>
      <c r="R15" s="14">
        <v>0.2</v>
      </c>
      <c r="S15" s="14">
        <v>0.24</v>
      </c>
      <c r="T15" s="14">
        <v>0.39</v>
      </c>
      <c r="U15" s="14">
        <v>0.26</v>
      </c>
      <c r="V15" s="14">
        <v>0.4</v>
      </c>
      <c r="W15" s="14">
        <v>0.31</v>
      </c>
      <c r="X15" s="14">
        <v>0.4</v>
      </c>
      <c r="Y15" s="14">
        <v>0.34</v>
      </c>
      <c r="Z15" s="14">
        <v>0.4</v>
      </c>
      <c r="AA15" s="14">
        <v>0.24</v>
      </c>
      <c r="AB15" s="14">
        <v>0.36</v>
      </c>
      <c r="AC15" s="14">
        <v>0.41</v>
      </c>
      <c r="AD15" s="14">
        <v>0.49</v>
      </c>
      <c r="AE15" s="14">
        <v>0.43</v>
      </c>
      <c r="AF15" s="14">
        <v>0.39</v>
      </c>
    </row>
    <row r="16" spans="1:32" ht="23.25">
      <c r="A16" s="23"/>
      <c r="B16" s="11" t="s">
        <v>765</v>
      </c>
      <c r="C16" s="12">
        <v>2553</v>
      </c>
      <c r="D16" s="12">
        <v>79</v>
      </c>
      <c r="E16" s="12">
        <v>70</v>
      </c>
      <c r="F16" s="12">
        <v>102</v>
      </c>
      <c r="G16" s="12">
        <v>379</v>
      </c>
      <c r="H16" s="12">
        <v>150</v>
      </c>
      <c r="I16" s="12">
        <v>178</v>
      </c>
      <c r="J16" s="12">
        <v>28</v>
      </c>
      <c r="K16" s="12">
        <v>93</v>
      </c>
      <c r="L16" s="12">
        <v>61</v>
      </c>
      <c r="M16" s="12">
        <v>35</v>
      </c>
      <c r="N16" s="12">
        <v>38</v>
      </c>
      <c r="O16" s="12">
        <v>41</v>
      </c>
      <c r="P16" s="12">
        <v>54</v>
      </c>
      <c r="Q16" s="12">
        <v>38</v>
      </c>
      <c r="R16" s="12">
        <v>19</v>
      </c>
      <c r="S16" s="12">
        <v>71</v>
      </c>
      <c r="T16" s="12">
        <v>143</v>
      </c>
      <c r="U16" s="12">
        <v>47</v>
      </c>
      <c r="V16" s="12">
        <v>126</v>
      </c>
      <c r="W16" s="12">
        <v>45</v>
      </c>
      <c r="X16" s="12">
        <v>266</v>
      </c>
      <c r="Y16" s="12">
        <v>80</v>
      </c>
      <c r="Z16" s="12">
        <v>137</v>
      </c>
      <c r="AA16" s="12">
        <v>16</v>
      </c>
      <c r="AB16" s="12">
        <v>157</v>
      </c>
      <c r="AC16" s="12">
        <v>94</v>
      </c>
      <c r="AD16" s="12">
        <v>79</v>
      </c>
      <c r="AE16" s="12">
        <v>234</v>
      </c>
      <c r="AF16" s="12">
        <v>399</v>
      </c>
    </row>
    <row r="17" spans="1:32">
      <c r="A17" s="23"/>
      <c r="B17" s="13" t="s">
        <v>766</v>
      </c>
      <c r="C17" s="14">
        <v>0.1</v>
      </c>
      <c r="D17" s="14">
        <v>0.08</v>
      </c>
      <c r="E17" s="14">
        <v>7.0000000000000007E-2</v>
      </c>
      <c r="F17" s="14">
        <v>0.1</v>
      </c>
      <c r="G17" s="14">
        <v>0.38</v>
      </c>
      <c r="H17" s="14">
        <v>0.12</v>
      </c>
      <c r="I17" s="14">
        <v>0.12</v>
      </c>
      <c r="J17" s="14">
        <v>0.1</v>
      </c>
      <c r="K17" s="14">
        <v>0.09</v>
      </c>
      <c r="L17" s="14">
        <v>0.06</v>
      </c>
      <c r="M17" s="14">
        <v>0.03</v>
      </c>
      <c r="N17" s="14">
        <v>0.04</v>
      </c>
      <c r="O17" s="14">
        <v>0.04</v>
      </c>
      <c r="P17" s="14">
        <v>0.05</v>
      </c>
      <c r="Q17" s="14">
        <v>0.04</v>
      </c>
      <c r="R17" s="14">
        <v>0.04</v>
      </c>
      <c r="S17" s="14">
        <v>7.0000000000000007E-2</v>
      </c>
      <c r="T17" s="14">
        <v>0.14000000000000001</v>
      </c>
      <c r="U17" s="14">
        <v>0.09</v>
      </c>
      <c r="V17" s="14">
        <v>0.12</v>
      </c>
      <c r="W17" s="14">
        <v>0.09</v>
      </c>
      <c r="X17" s="14">
        <v>0.26</v>
      </c>
      <c r="Y17" s="14">
        <v>0.08</v>
      </c>
      <c r="Z17" s="14">
        <v>0.13</v>
      </c>
      <c r="AA17" s="14">
        <v>0.02</v>
      </c>
      <c r="AB17" s="14">
        <v>0.15</v>
      </c>
      <c r="AC17" s="14">
        <v>0.09</v>
      </c>
      <c r="AD17" s="14">
        <v>0.08</v>
      </c>
      <c r="AE17" s="14">
        <v>0.23</v>
      </c>
      <c r="AF17" s="14">
        <v>0.37</v>
      </c>
    </row>
    <row r="18" spans="1:32" ht="23.25">
      <c r="A18" s="23"/>
      <c r="B18" s="11" t="s">
        <v>767</v>
      </c>
      <c r="C18" s="12">
        <v>582</v>
      </c>
      <c r="D18" s="12">
        <v>10</v>
      </c>
      <c r="E18" s="12">
        <v>21</v>
      </c>
      <c r="F18" s="12">
        <v>24</v>
      </c>
      <c r="G18" s="12">
        <v>137</v>
      </c>
      <c r="H18" s="12">
        <v>20</v>
      </c>
      <c r="I18" s="12">
        <v>26</v>
      </c>
      <c r="J18" s="12">
        <v>6</v>
      </c>
      <c r="K18" s="12">
        <v>27</v>
      </c>
      <c r="L18" s="12">
        <v>30</v>
      </c>
      <c r="M18" s="12">
        <v>6</v>
      </c>
      <c r="N18" s="12">
        <v>5</v>
      </c>
      <c r="O18" s="12">
        <v>7</v>
      </c>
      <c r="P18" s="12">
        <v>11</v>
      </c>
      <c r="Q18" s="12">
        <v>6</v>
      </c>
      <c r="R18" s="12">
        <v>12</v>
      </c>
      <c r="S18" s="12">
        <v>11</v>
      </c>
      <c r="T18" s="12">
        <v>54</v>
      </c>
      <c r="U18" s="12">
        <v>10</v>
      </c>
      <c r="V18" s="12">
        <v>30</v>
      </c>
      <c r="W18" s="12">
        <v>12</v>
      </c>
      <c r="X18" s="12">
        <v>79</v>
      </c>
      <c r="Y18" s="12">
        <v>63</v>
      </c>
      <c r="Z18" s="12">
        <v>37</v>
      </c>
      <c r="AA18" s="12">
        <v>7</v>
      </c>
      <c r="AB18" s="12">
        <v>32</v>
      </c>
      <c r="AC18" s="12">
        <v>22</v>
      </c>
      <c r="AD18" s="12">
        <v>8</v>
      </c>
      <c r="AE18" s="12">
        <v>58</v>
      </c>
      <c r="AF18" s="12">
        <v>99</v>
      </c>
    </row>
    <row r="19" spans="1:32">
      <c r="A19" s="23"/>
      <c r="B19" s="13" t="s">
        <v>768</v>
      </c>
      <c r="C19" s="14">
        <v>0.02</v>
      </c>
      <c r="D19" s="14">
        <v>0.01</v>
      </c>
      <c r="E19" s="14">
        <v>0.02</v>
      </c>
      <c r="F19" s="14">
        <v>0.02</v>
      </c>
      <c r="G19" s="14">
        <v>0.14000000000000001</v>
      </c>
      <c r="H19" s="14">
        <v>0.02</v>
      </c>
      <c r="I19" s="14">
        <v>0.02</v>
      </c>
      <c r="J19" s="14">
        <v>0.02</v>
      </c>
      <c r="K19" s="14">
        <v>0.03</v>
      </c>
      <c r="L19" s="14">
        <v>0.03</v>
      </c>
      <c r="M19" s="14">
        <v>0.01</v>
      </c>
      <c r="N19" s="14">
        <v>0.01</v>
      </c>
      <c r="O19" s="14">
        <v>0.01</v>
      </c>
      <c r="P19" s="14">
        <v>0.01</v>
      </c>
      <c r="Q19" s="15" t="s">
        <v>485</v>
      </c>
      <c r="R19" s="14">
        <v>0.02</v>
      </c>
      <c r="S19" s="14">
        <v>0.01</v>
      </c>
      <c r="T19" s="14">
        <v>0.06</v>
      </c>
      <c r="U19" s="14">
        <v>0.02</v>
      </c>
      <c r="V19" s="14">
        <v>0.03</v>
      </c>
      <c r="W19" s="14">
        <v>0.02</v>
      </c>
      <c r="X19" s="14">
        <v>0.08</v>
      </c>
      <c r="Y19" s="14">
        <v>0.06</v>
      </c>
      <c r="Z19" s="14">
        <v>0.04</v>
      </c>
      <c r="AA19" s="14">
        <v>0.01</v>
      </c>
      <c r="AB19" s="14">
        <v>0.03</v>
      </c>
      <c r="AC19" s="14">
        <v>0.02</v>
      </c>
      <c r="AD19" s="14">
        <v>0.01</v>
      </c>
      <c r="AE19" s="14">
        <v>0.06</v>
      </c>
      <c r="AF19" s="14">
        <v>0.09</v>
      </c>
    </row>
    <row r="20" spans="1:32">
      <c r="A20" s="23"/>
      <c r="B20" s="11" t="s">
        <v>497</v>
      </c>
      <c r="C20" s="12">
        <v>129</v>
      </c>
      <c r="D20" s="12">
        <v>2</v>
      </c>
      <c r="E20" s="12">
        <v>4</v>
      </c>
      <c r="F20" s="12">
        <v>24</v>
      </c>
      <c r="G20" s="12">
        <v>11</v>
      </c>
      <c r="H20" s="12">
        <v>3</v>
      </c>
      <c r="I20" s="12">
        <v>3</v>
      </c>
      <c r="J20" s="12">
        <v>0</v>
      </c>
      <c r="K20" s="12">
        <v>6</v>
      </c>
      <c r="L20" s="12">
        <v>3</v>
      </c>
      <c r="M20" s="12">
        <v>1</v>
      </c>
      <c r="N20" s="12">
        <v>3</v>
      </c>
      <c r="O20" s="12">
        <v>5</v>
      </c>
      <c r="P20" s="12">
        <v>0</v>
      </c>
      <c r="Q20" s="12">
        <v>8</v>
      </c>
      <c r="R20" s="12">
        <v>3</v>
      </c>
      <c r="S20" s="12">
        <v>2</v>
      </c>
      <c r="T20" s="12">
        <v>4</v>
      </c>
      <c r="U20" s="12">
        <v>0</v>
      </c>
      <c r="V20" s="12">
        <v>3</v>
      </c>
      <c r="W20" s="12">
        <v>0</v>
      </c>
      <c r="X20" s="12">
        <v>2</v>
      </c>
      <c r="Y20" s="12">
        <v>0</v>
      </c>
      <c r="Z20" s="12">
        <v>8</v>
      </c>
      <c r="AA20" s="12">
        <v>4</v>
      </c>
      <c r="AB20" s="12">
        <v>6</v>
      </c>
      <c r="AC20" s="12">
        <v>2</v>
      </c>
      <c r="AD20" s="12">
        <v>12</v>
      </c>
      <c r="AE20" s="12">
        <v>4</v>
      </c>
      <c r="AF20" s="12">
        <v>4</v>
      </c>
    </row>
    <row r="21" spans="1:32">
      <c r="A21" s="23"/>
      <c r="B21" s="13" t="s">
        <v>498</v>
      </c>
      <c r="C21" s="15" t="s">
        <v>485</v>
      </c>
      <c r="D21" s="15" t="s">
        <v>485</v>
      </c>
      <c r="E21" s="15" t="s">
        <v>485</v>
      </c>
      <c r="F21" s="14">
        <v>0.03</v>
      </c>
      <c r="G21" s="14">
        <v>0.01</v>
      </c>
      <c r="H21" s="15" t="s">
        <v>485</v>
      </c>
      <c r="I21" s="15" t="s">
        <v>485</v>
      </c>
      <c r="J21" s="15" t="s">
        <v>485</v>
      </c>
      <c r="K21" s="14">
        <v>0.01</v>
      </c>
      <c r="L21" s="15" t="s">
        <v>485</v>
      </c>
      <c r="M21" s="15" t="s">
        <v>485</v>
      </c>
      <c r="N21" s="15" t="s">
        <v>485</v>
      </c>
      <c r="O21" s="14">
        <v>0.01</v>
      </c>
      <c r="P21" s="15" t="s">
        <v>485</v>
      </c>
      <c r="Q21" s="14">
        <v>0.01</v>
      </c>
      <c r="R21" s="14">
        <v>0.01</v>
      </c>
      <c r="S21" s="15" t="s">
        <v>485</v>
      </c>
      <c r="T21" s="15" t="s">
        <v>485</v>
      </c>
      <c r="U21" s="15" t="s">
        <v>485</v>
      </c>
      <c r="V21" s="15" t="s">
        <v>485</v>
      </c>
      <c r="W21" s="15" t="s">
        <v>485</v>
      </c>
      <c r="X21" s="15" t="s">
        <v>485</v>
      </c>
      <c r="Y21" s="15" t="s">
        <v>485</v>
      </c>
      <c r="Z21" s="14">
        <v>0.01</v>
      </c>
      <c r="AA21" s="15" t="s">
        <v>485</v>
      </c>
      <c r="AB21" s="14">
        <v>0.01</v>
      </c>
      <c r="AC21" s="15" t="s">
        <v>485</v>
      </c>
      <c r="AD21" s="14">
        <v>0.01</v>
      </c>
      <c r="AE21" s="15" t="s">
        <v>485</v>
      </c>
      <c r="AF21" s="15" t="s">
        <v>485</v>
      </c>
    </row>
    <row r="22" spans="1:32">
      <c r="A22" s="23"/>
      <c r="B22" s="11" t="s">
        <v>769</v>
      </c>
      <c r="C22" s="12">
        <v>23090</v>
      </c>
      <c r="D22" s="12">
        <v>914</v>
      </c>
      <c r="E22" s="12">
        <v>949</v>
      </c>
      <c r="F22" s="12">
        <v>857</v>
      </c>
      <c r="G22" s="12">
        <v>476</v>
      </c>
      <c r="H22" s="12">
        <v>1038</v>
      </c>
      <c r="I22" s="12">
        <v>1297</v>
      </c>
      <c r="J22" s="12">
        <v>259</v>
      </c>
      <c r="K22" s="12">
        <v>878</v>
      </c>
      <c r="L22" s="12">
        <v>913</v>
      </c>
      <c r="M22" s="12">
        <v>969</v>
      </c>
      <c r="N22" s="12">
        <v>954</v>
      </c>
      <c r="O22" s="12">
        <v>953</v>
      </c>
      <c r="P22" s="12">
        <v>946</v>
      </c>
      <c r="Q22" s="12">
        <v>972</v>
      </c>
      <c r="R22" s="12">
        <v>467</v>
      </c>
      <c r="S22" s="12">
        <v>921</v>
      </c>
      <c r="T22" s="12">
        <v>803</v>
      </c>
      <c r="U22" s="12">
        <v>446</v>
      </c>
      <c r="V22" s="12">
        <v>852</v>
      </c>
      <c r="W22" s="12">
        <v>446</v>
      </c>
      <c r="X22" s="12">
        <v>669</v>
      </c>
      <c r="Y22" s="12">
        <v>864</v>
      </c>
      <c r="Z22" s="12">
        <v>835</v>
      </c>
      <c r="AA22" s="12">
        <v>1013</v>
      </c>
      <c r="AB22" s="12">
        <v>836</v>
      </c>
      <c r="AC22" s="12">
        <v>887</v>
      </c>
      <c r="AD22" s="12">
        <v>902</v>
      </c>
      <c r="AE22" s="12">
        <v>712</v>
      </c>
      <c r="AF22" s="12">
        <v>571</v>
      </c>
    </row>
    <row r="23" spans="1:32">
      <c r="A23" s="23"/>
      <c r="B23" s="13" t="s">
        <v>770</v>
      </c>
      <c r="C23" s="14">
        <v>0.88</v>
      </c>
      <c r="D23" s="14">
        <v>0.91</v>
      </c>
      <c r="E23" s="14">
        <v>0.91</v>
      </c>
      <c r="F23" s="14">
        <v>0.85</v>
      </c>
      <c r="G23" s="14">
        <v>0.47</v>
      </c>
      <c r="H23" s="14">
        <v>0.86</v>
      </c>
      <c r="I23" s="14">
        <v>0.86</v>
      </c>
      <c r="J23" s="14">
        <v>0.88</v>
      </c>
      <c r="K23" s="14">
        <v>0.87</v>
      </c>
      <c r="L23" s="14">
        <v>0.91</v>
      </c>
      <c r="M23" s="14">
        <v>0.96</v>
      </c>
      <c r="N23" s="14">
        <v>0.95000000000000007</v>
      </c>
      <c r="O23" s="14">
        <v>0.94000000000000006</v>
      </c>
      <c r="P23" s="14">
        <v>0.94000000000000006</v>
      </c>
      <c r="Q23" s="14">
        <v>0.95000000000000007</v>
      </c>
      <c r="R23" s="14">
        <v>0.93</v>
      </c>
      <c r="S23" s="14">
        <v>0.92</v>
      </c>
      <c r="T23" s="14">
        <v>0.8</v>
      </c>
      <c r="U23" s="14">
        <v>0.89</v>
      </c>
      <c r="V23" s="14">
        <v>0.85</v>
      </c>
      <c r="W23" s="14">
        <v>0.89</v>
      </c>
      <c r="X23" s="14">
        <v>0.66</v>
      </c>
      <c r="Y23" s="14">
        <v>0.86</v>
      </c>
      <c r="Z23" s="14">
        <v>0.82000000000000006</v>
      </c>
      <c r="AA23" s="14">
        <v>0.97</v>
      </c>
      <c r="AB23" s="14">
        <v>0.81</v>
      </c>
      <c r="AC23" s="14">
        <v>0.89</v>
      </c>
      <c r="AD23" s="14">
        <v>0.9</v>
      </c>
      <c r="AE23" s="14">
        <v>0.71</v>
      </c>
      <c r="AF23" s="14">
        <v>0.54</v>
      </c>
    </row>
    <row r="24" spans="1:32">
      <c r="A24" s="23"/>
      <c r="B24" s="11" t="s">
        <v>771</v>
      </c>
      <c r="C24" s="12">
        <v>3135</v>
      </c>
      <c r="D24" s="12">
        <v>89</v>
      </c>
      <c r="E24" s="12">
        <v>91</v>
      </c>
      <c r="F24" s="12">
        <v>126</v>
      </c>
      <c r="G24" s="12">
        <v>516</v>
      </c>
      <c r="H24" s="12">
        <v>170</v>
      </c>
      <c r="I24" s="12">
        <v>204</v>
      </c>
      <c r="J24" s="12">
        <v>34</v>
      </c>
      <c r="K24" s="12">
        <v>120</v>
      </c>
      <c r="L24" s="12">
        <v>91</v>
      </c>
      <c r="M24" s="12">
        <v>41</v>
      </c>
      <c r="N24" s="12">
        <v>43</v>
      </c>
      <c r="O24" s="12">
        <v>48</v>
      </c>
      <c r="P24" s="12">
        <v>65</v>
      </c>
      <c r="Q24" s="12">
        <v>44</v>
      </c>
      <c r="R24" s="12">
        <v>31</v>
      </c>
      <c r="S24" s="12">
        <v>82</v>
      </c>
      <c r="T24" s="12">
        <v>197</v>
      </c>
      <c r="U24" s="12">
        <v>57</v>
      </c>
      <c r="V24" s="12">
        <v>156</v>
      </c>
      <c r="W24" s="12">
        <v>57</v>
      </c>
      <c r="X24" s="12">
        <v>345</v>
      </c>
      <c r="Y24" s="12">
        <v>143</v>
      </c>
      <c r="Z24" s="12">
        <v>174</v>
      </c>
      <c r="AA24" s="12">
        <v>23</v>
      </c>
      <c r="AB24" s="12">
        <v>189</v>
      </c>
      <c r="AC24" s="12">
        <v>116</v>
      </c>
      <c r="AD24" s="12">
        <v>87</v>
      </c>
      <c r="AE24" s="12">
        <v>292</v>
      </c>
      <c r="AF24" s="12">
        <v>498</v>
      </c>
    </row>
    <row r="25" spans="1:32">
      <c r="A25" s="23"/>
      <c r="B25" s="13" t="s">
        <v>772</v>
      </c>
      <c r="C25" s="14">
        <v>0.12</v>
      </c>
      <c r="D25" s="14">
        <v>0.09</v>
      </c>
      <c r="E25" s="14">
        <v>0.09</v>
      </c>
      <c r="F25" s="14">
        <v>0.12</v>
      </c>
      <c r="G25" s="14">
        <v>0.52</v>
      </c>
      <c r="H25" s="14">
        <v>0.14000000000000001</v>
      </c>
      <c r="I25" s="14">
        <v>0.14000000000000001</v>
      </c>
      <c r="J25" s="14">
        <v>0.12</v>
      </c>
      <c r="K25" s="14">
        <v>0.12</v>
      </c>
      <c r="L25" s="14">
        <v>0.09</v>
      </c>
      <c r="M25" s="14">
        <v>0.04</v>
      </c>
      <c r="N25" s="14">
        <v>0.05</v>
      </c>
      <c r="O25" s="14">
        <v>0.05</v>
      </c>
      <c r="P25" s="14">
        <v>0.06</v>
      </c>
      <c r="Q25" s="14">
        <v>0.04</v>
      </c>
      <c r="R25" s="14">
        <v>0.06</v>
      </c>
      <c r="S25" s="14">
        <v>0.08</v>
      </c>
      <c r="T25" s="14">
        <v>0.2</v>
      </c>
      <c r="U25" s="14">
        <v>0.11</v>
      </c>
      <c r="V25" s="14">
        <v>0.15</v>
      </c>
      <c r="W25" s="14">
        <v>0.11</v>
      </c>
      <c r="X25" s="14">
        <v>0.34</v>
      </c>
      <c r="Y25" s="14">
        <v>0.14000000000000001</v>
      </c>
      <c r="Z25" s="14">
        <v>0.17</v>
      </c>
      <c r="AA25" s="14">
        <v>0.03</v>
      </c>
      <c r="AB25" s="14">
        <v>0.18</v>
      </c>
      <c r="AC25" s="14">
        <v>0.11</v>
      </c>
      <c r="AD25" s="14">
        <v>0.09</v>
      </c>
      <c r="AE25" s="14">
        <v>0.28999999999999998</v>
      </c>
      <c r="AF25" s="14">
        <v>0.46</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781</v>
      </c>
      <c r="C3" s="19"/>
      <c r="D3" s="19"/>
      <c r="E3" s="19"/>
      <c r="F3" s="19"/>
      <c r="H3" s="19" t="s">
        <v>782</v>
      </c>
      <c r="I3" s="19"/>
      <c r="J3" s="19"/>
      <c r="K3" s="19"/>
      <c r="L3" s="19"/>
    </row>
    <row r="4" spans="1:32" ht="27" customHeight="1">
      <c r="B4" s="19" t="s">
        <v>783</v>
      </c>
      <c r="C4" s="19"/>
      <c r="D4" s="19"/>
      <c r="E4" s="19"/>
      <c r="F4" s="19"/>
      <c r="H4" s="19" t="s">
        <v>784</v>
      </c>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HYPERLINK("#Content!A41","&lt;&lt;Back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761</v>
      </c>
      <c r="C12" s="12">
        <v>7156</v>
      </c>
      <c r="D12" s="12">
        <v>306</v>
      </c>
      <c r="E12" s="12">
        <v>228</v>
      </c>
      <c r="F12" s="12">
        <v>293</v>
      </c>
      <c r="G12" s="12">
        <v>42</v>
      </c>
      <c r="H12" s="12">
        <v>287</v>
      </c>
      <c r="I12" s="12">
        <v>349</v>
      </c>
      <c r="J12" s="12">
        <v>62</v>
      </c>
      <c r="K12" s="12">
        <v>245</v>
      </c>
      <c r="L12" s="12">
        <v>294</v>
      </c>
      <c r="M12" s="12">
        <v>313</v>
      </c>
      <c r="N12" s="12">
        <v>443</v>
      </c>
      <c r="O12" s="12">
        <v>348</v>
      </c>
      <c r="P12" s="12">
        <v>417</v>
      </c>
      <c r="Q12" s="12">
        <v>280</v>
      </c>
      <c r="R12" s="12">
        <v>290</v>
      </c>
      <c r="S12" s="12">
        <v>237</v>
      </c>
      <c r="T12" s="12">
        <v>104</v>
      </c>
      <c r="U12" s="12">
        <v>225</v>
      </c>
      <c r="V12" s="12">
        <v>163</v>
      </c>
      <c r="W12" s="12">
        <v>177</v>
      </c>
      <c r="X12" s="12">
        <v>112</v>
      </c>
      <c r="Y12" s="12">
        <v>290</v>
      </c>
      <c r="Z12" s="12">
        <v>183</v>
      </c>
      <c r="AA12" s="12">
        <v>515</v>
      </c>
      <c r="AB12" s="12">
        <v>211</v>
      </c>
      <c r="AC12" s="12">
        <v>209</v>
      </c>
      <c r="AD12" s="12">
        <v>191</v>
      </c>
      <c r="AE12" s="12">
        <v>85</v>
      </c>
      <c r="AF12" s="12">
        <v>51</v>
      </c>
    </row>
    <row r="13" spans="1:32">
      <c r="A13" s="23"/>
      <c r="B13" s="13" t="s">
        <v>762</v>
      </c>
      <c r="C13" s="14">
        <v>0.27</v>
      </c>
      <c r="D13" s="14">
        <v>0.3</v>
      </c>
      <c r="E13" s="14">
        <v>0.22</v>
      </c>
      <c r="F13" s="14">
        <v>0.28999999999999998</v>
      </c>
      <c r="G13" s="14">
        <v>0.04</v>
      </c>
      <c r="H13" s="14">
        <v>0.24</v>
      </c>
      <c r="I13" s="14">
        <v>0.23</v>
      </c>
      <c r="J13" s="14">
        <v>0.21</v>
      </c>
      <c r="K13" s="14">
        <v>0.24</v>
      </c>
      <c r="L13" s="14">
        <v>0.28999999999999998</v>
      </c>
      <c r="M13" s="14">
        <v>0.31</v>
      </c>
      <c r="N13" s="14">
        <v>0.45</v>
      </c>
      <c r="O13" s="14">
        <v>0.35</v>
      </c>
      <c r="P13" s="14">
        <v>0.41</v>
      </c>
      <c r="Q13" s="14">
        <v>0.27</v>
      </c>
      <c r="R13" s="14">
        <v>0.57999999999999996</v>
      </c>
      <c r="S13" s="14">
        <v>0.24</v>
      </c>
      <c r="T13" s="14">
        <v>0.1</v>
      </c>
      <c r="U13" s="14">
        <v>0.45</v>
      </c>
      <c r="V13" s="14">
        <v>0.16</v>
      </c>
      <c r="W13" s="14">
        <v>0.35</v>
      </c>
      <c r="X13" s="14">
        <v>0.11</v>
      </c>
      <c r="Y13" s="14">
        <v>0.28999999999999998</v>
      </c>
      <c r="Z13" s="14">
        <v>0.18</v>
      </c>
      <c r="AA13" s="14">
        <v>0.49</v>
      </c>
      <c r="AB13" s="14">
        <v>0.21</v>
      </c>
      <c r="AC13" s="14">
        <v>0.21</v>
      </c>
      <c r="AD13" s="14">
        <v>0.19</v>
      </c>
      <c r="AE13" s="14">
        <v>0.09</v>
      </c>
      <c r="AF13" s="14">
        <v>0.05</v>
      </c>
    </row>
    <row r="14" spans="1:32">
      <c r="A14" s="23"/>
      <c r="B14" s="11" t="s">
        <v>763</v>
      </c>
      <c r="C14" s="12">
        <v>8875</v>
      </c>
      <c r="D14" s="12">
        <v>405</v>
      </c>
      <c r="E14" s="12">
        <v>228</v>
      </c>
      <c r="F14" s="12">
        <v>372</v>
      </c>
      <c r="G14" s="12">
        <v>102</v>
      </c>
      <c r="H14" s="12">
        <v>369</v>
      </c>
      <c r="I14" s="12">
        <v>460</v>
      </c>
      <c r="J14" s="12">
        <v>91</v>
      </c>
      <c r="K14" s="12">
        <v>320</v>
      </c>
      <c r="L14" s="12">
        <v>307</v>
      </c>
      <c r="M14" s="12">
        <v>380</v>
      </c>
      <c r="N14" s="12">
        <v>273</v>
      </c>
      <c r="O14" s="12">
        <v>384</v>
      </c>
      <c r="P14" s="12">
        <v>366</v>
      </c>
      <c r="Q14" s="12">
        <v>411</v>
      </c>
      <c r="R14" s="12">
        <v>104</v>
      </c>
      <c r="S14" s="12">
        <v>252</v>
      </c>
      <c r="T14" s="12">
        <v>293</v>
      </c>
      <c r="U14" s="12">
        <v>126</v>
      </c>
      <c r="V14" s="12">
        <v>407</v>
      </c>
      <c r="W14" s="12">
        <v>126</v>
      </c>
      <c r="X14" s="12">
        <v>162</v>
      </c>
      <c r="Y14" s="12">
        <v>339</v>
      </c>
      <c r="Z14" s="12">
        <v>469</v>
      </c>
      <c r="AA14" s="12">
        <v>348</v>
      </c>
      <c r="AB14" s="12">
        <v>379</v>
      </c>
      <c r="AC14" s="12">
        <v>255</v>
      </c>
      <c r="AD14" s="12">
        <v>474</v>
      </c>
      <c r="AE14" s="12">
        <v>175</v>
      </c>
      <c r="AF14" s="12">
        <v>136</v>
      </c>
    </row>
    <row r="15" spans="1:32">
      <c r="A15" s="23"/>
      <c r="B15" s="13" t="s">
        <v>764</v>
      </c>
      <c r="C15" s="14">
        <v>0.34</v>
      </c>
      <c r="D15" s="14">
        <v>0.4</v>
      </c>
      <c r="E15" s="14">
        <v>0.22</v>
      </c>
      <c r="F15" s="14">
        <v>0.37</v>
      </c>
      <c r="G15" s="14">
        <v>0.1</v>
      </c>
      <c r="H15" s="14">
        <v>0.3</v>
      </c>
      <c r="I15" s="14">
        <v>0.31</v>
      </c>
      <c r="J15" s="14">
        <v>0.31</v>
      </c>
      <c r="K15" s="14">
        <v>0.32</v>
      </c>
      <c r="L15" s="14">
        <v>0.31</v>
      </c>
      <c r="M15" s="14">
        <v>0.38</v>
      </c>
      <c r="N15" s="14">
        <v>0.27</v>
      </c>
      <c r="O15" s="14">
        <v>0.38</v>
      </c>
      <c r="P15" s="14">
        <v>0.36</v>
      </c>
      <c r="Q15" s="14">
        <v>0.4</v>
      </c>
      <c r="R15" s="14">
        <v>0.21</v>
      </c>
      <c r="S15" s="14">
        <v>0.25</v>
      </c>
      <c r="T15" s="14">
        <v>0.28999999999999998</v>
      </c>
      <c r="U15" s="14">
        <v>0.25</v>
      </c>
      <c r="V15" s="14">
        <v>0.4</v>
      </c>
      <c r="W15" s="14">
        <v>0.25</v>
      </c>
      <c r="X15" s="14">
        <v>0.16</v>
      </c>
      <c r="Y15" s="14">
        <v>0.33</v>
      </c>
      <c r="Z15" s="14">
        <v>0.46</v>
      </c>
      <c r="AA15" s="14">
        <v>0.34</v>
      </c>
      <c r="AB15" s="14">
        <v>0.37</v>
      </c>
      <c r="AC15" s="14">
        <v>0.25</v>
      </c>
      <c r="AD15" s="14">
        <v>0.47</v>
      </c>
      <c r="AE15" s="14">
        <v>0.17</v>
      </c>
      <c r="AF15" s="14">
        <v>0.13</v>
      </c>
    </row>
    <row r="16" spans="1:32" ht="23.25">
      <c r="A16" s="23"/>
      <c r="B16" s="11" t="s">
        <v>765</v>
      </c>
      <c r="C16" s="12">
        <v>6137</v>
      </c>
      <c r="D16" s="12">
        <v>196</v>
      </c>
      <c r="E16" s="12">
        <v>229</v>
      </c>
      <c r="F16" s="12">
        <v>203</v>
      </c>
      <c r="G16" s="12">
        <v>277</v>
      </c>
      <c r="H16" s="12">
        <v>337</v>
      </c>
      <c r="I16" s="12">
        <v>428</v>
      </c>
      <c r="J16" s="12">
        <v>91</v>
      </c>
      <c r="K16" s="12">
        <v>272</v>
      </c>
      <c r="L16" s="12">
        <v>245</v>
      </c>
      <c r="M16" s="12">
        <v>172</v>
      </c>
      <c r="N16" s="12">
        <v>161</v>
      </c>
      <c r="O16" s="12">
        <v>168</v>
      </c>
      <c r="P16" s="12">
        <v>173</v>
      </c>
      <c r="Q16" s="12">
        <v>207</v>
      </c>
      <c r="R16" s="12">
        <v>53</v>
      </c>
      <c r="S16" s="12">
        <v>270</v>
      </c>
      <c r="T16" s="12">
        <v>270</v>
      </c>
      <c r="U16" s="12">
        <v>82</v>
      </c>
      <c r="V16" s="12">
        <v>257</v>
      </c>
      <c r="W16" s="12">
        <v>95</v>
      </c>
      <c r="X16" s="12">
        <v>407</v>
      </c>
      <c r="Y16" s="12">
        <v>212</v>
      </c>
      <c r="Z16" s="12">
        <v>281</v>
      </c>
      <c r="AA16" s="12">
        <v>117</v>
      </c>
      <c r="AB16" s="12">
        <v>273</v>
      </c>
      <c r="AC16" s="12">
        <v>302</v>
      </c>
      <c r="AD16" s="12">
        <v>243</v>
      </c>
      <c r="AE16" s="12">
        <v>388</v>
      </c>
      <c r="AF16" s="12">
        <v>443</v>
      </c>
    </row>
    <row r="17" spans="1:32">
      <c r="A17" s="23"/>
      <c r="B17" s="13" t="s">
        <v>766</v>
      </c>
      <c r="C17" s="14">
        <v>0.23</v>
      </c>
      <c r="D17" s="14">
        <v>0.2</v>
      </c>
      <c r="E17" s="14">
        <v>0.22</v>
      </c>
      <c r="F17" s="14">
        <v>0.2</v>
      </c>
      <c r="G17" s="14">
        <v>0.28000000000000003</v>
      </c>
      <c r="H17" s="14">
        <v>0.28000000000000003</v>
      </c>
      <c r="I17" s="14">
        <v>0.28000000000000003</v>
      </c>
      <c r="J17" s="14">
        <v>0.31</v>
      </c>
      <c r="K17" s="14">
        <v>0.27</v>
      </c>
      <c r="L17" s="14">
        <v>0.24</v>
      </c>
      <c r="M17" s="14">
        <v>0.17</v>
      </c>
      <c r="N17" s="14">
        <v>0.16</v>
      </c>
      <c r="O17" s="14">
        <v>0.17</v>
      </c>
      <c r="P17" s="14">
        <v>0.17</v>
      </c>
      <c r="Q17" s="14">
        <v>0.2</v>
      </c>
      <c r="R17" s="14">
        <v>0.1</v>
      </c>
      <c r="S17" s="14">
        <v>0.27</v>
      </c>
      <c r="T17" s="14">
        <v>0.27</v>
      </c>
      <c r="U17" s="14">
        <v>0.16</v>
      </c>
      <c r="V17" s="14">
        <v>0.25</v>
      </c>
      <c r="W17" s="14">
        <v>0.19</v>
      </c>
      <c r="X17" s="14">
        <v>0.4</v>
      </c>
      <c r="Y17" s="14">
        <v>0.21</v>
      </c>
      <c r="Z17" s="14">
        <v>0.28000000000000003</v>
      </c>
      <c r="AA17" s="14">
        <v>0.11</v>
      </c>
      <c r="AB17" s="14">
        <v>0.26</v>
      </c>
      <c r="AC17" s="14">
        <v>0.3</v>
      </c>
      <c r="AD17" s="14">
        <v>0.24</v>
      </c>
      <c r="AE17" s="14">
        <v>0.39</v>
      </c>
      <c r="AF17" s="14">
        <v>0.41</v>
      </c>
    </row>
    <row r="18" spans="1:32" ht="23.25">
      <c r="A18" s="23"/>
      <c r="B18" s="11" t="s">
        <v>767</v>
      </c>
      <c r="C18" s="12">
        <v>3882</v>
      </c>
      <c r="D18" s="12">
        <v>95</v>
      </c>
      <c r="E18" s="12">
        <v>295</v>
      </c>
      <c r="F18" s="12">
        <v>114</v>
      </c>
      <c r="G18" s="12">
        <v>571</v>
      </c>
      <c r="H18" s="12">
        <v>202</v>
      </c>
      <c r="I18" s="12">
        <v>251</v>
      </c>
      <c r="J18" s="12">
        <v>49</v>
      </c>
      <c r="K18" s="12">
        <v>157</v>
      </c>
      <c r="L18" s="12">
        <v>153</v>
      </c>
      <c r="M18" s="12">
        <v>145</v>
      </c>
      <c r="N18" s="12">
        <v>112</v>
      </c>
      <c r="O18" s="12">
        <v>96</v>
      </c>
      <c r="P18" s="12">
        <v>55</v>
      </c>
      <c r="Q18" s="12">
        <v>117</v>
      </c>
      <c r="R18" s="12">
        <v>51</v>
      </c>
      <c r="S18" s="12">
        <v>232</v>
      </c>
      <c r="T18" s="12">
        <v>316</v>
      </c>
      <c r="U18" s="12">
        <v>64</v>
      </c>
      <c r="V18" s="12">
        <v>167</v>
      </c>
      <c r="W18" s="12">
        <v>95</v>
      </c>
      <c r="X18" s="12">
        <v>326</v>
      </c>
      <c r="Y18" s="12">
        <v>157</v>
      </c>
      <c r="Z18" s="12">
        <v>69</v>
      </c>
      <c r="AA18" s="12">
        <v>52</v>
      </c>
      <c r="AB18" s="12">
        <v>147</v>
      </c>
      <c r="AC18" s="12">
        <v>230</v>
      </c>
      <c r="AD18" s="12">
        <v>71</v>
      </c>
      <c r="AE18" s="12">
        <v>357</v>
      </c>
      <c r="AF18" s="12">
        <v>442</v>
      </c>
    </row>
    <row r="19" spans="1:32">
      <c r="A19" s="23"/>
      <c r="B19" s="13" t="s">
        <v>768</v>
      </c>
      <c r="C19" s="14">
        <v>0.15</v>
      </c>
      <c r="D19" s="14">
        <v>0.1</v>
      </c>
      <c r="E19" s="14">
        <v>0.28000000000000003</v>
      </c>
      <c r="F19" s="14">
        <v>0.11</v>
      </c>
      <c r="G19" s="14">
        <v>0.57000000000000006</v>
      </c>
      <c r="H19" s="14">
        <v>0.17</v>
      </c>
      <c r="I19" s="14">
        <v>0.17</v>
      </c>
      <c r="J19" s="14">
        <v>0.17</v>
      </c>
      <c r="K19" s="14">
        <v>0.16</v>
      </c>
      <c r="L19" s="14">
        <v>0.15</v>
      </c>
      <c r="M19" s="14">
        <v>0.14000000000000001</v>
      </c>
      <c r="N19" s="14">
        <v>0.11</v>
      </c>
      <c r="O19" s="14">
        <v>0.09</v>
      </c>
      <c r="P19" s="14">
        <v>0.06</v>
      </c>
      <c r="Q19" s="14">
        <v>0.12</v>
      </c>
      <c r="R19" s="14">
        <v>0.1</v>
      </c>
      <c r="S19" s="14">
        <v>0.23</v>
      </c>
      <c r="T19" s="14">
        <v>0.32</v>
      </c>
      <c r="U19" s="14">
        <v>0.13</v>
      </c>
      <c r="V19" s="14">
        <v>0.17</v>
      </c>
      <c r="W19" s="14">
        <v>0.19</v>
      </c>
      <c r="X19" s="14">
        <v>0.32</v>
      </c>
      <c r="Y19" s="14">
        <v>0.16</v>
      </c>
      <c r="Z19" s="14">
        <v>7.0000000000000007E-2</v>
      </c>
      <c r="AA19" s="14">
        <v>0.05</v>
      </c>
      <c r="AB19" s="14">
        <v>0.14000000000000001</v>
      </c>
      <c r="AC19" s="14">
        <v>0.23</v>
      </c>
      <c r="AD19" s="14">
        <v>7.0000000000000007E-2</v>
      </c>
      <c r="AE19" s="14">
        <v>0.35</v>
      </c>
      <c r="AF19" s="14">
        <v>0.41</v>
      </c>
    </row>
    <row r="20" spans="1:32">
      <c r="A20" s="23"/>
      <c r="B20" s="11" t="s">
        <v>497</v>
      </c>
      <c r="C20" s="12">
        <v>303</v>
      </c>
      <c r="D20" s="12">
        <v>3</v>
      </c>
      <c r="E20" s="12">
        <v>65</v>
      </c>
      <c r="F20" s="12">
        <v>25</v>
      </c>
      <c r="G20" s="12">
        <v>12</v>
      </c>
      <c r="H20" s="12">
        <v>16</v>
      </c>
      <c r="I20" s="12">
        <v>16</v>
      </c>
      <c r="J20" s="12">
        <v>1</v>
      </c>
      <c r="K20" s="12">
        <v>10</v>
      </c>
      <c r="L20" s="12">
        <v>8</v>
      </c>
      <c r="M20" s="12">
        <v>1</v>
      </c>
      <c r="N20" s="12">
        <v>11</v>
      </c>
      <c r="O20" s="12">
        <v>10</v>
      </c>
      <c r="P20" s="12">
        <v>0</v>
      </c>
      <c r="Q20" s="12">
        <v>9</v>
      </c>
      <c r="R20" s="12">
        <v>4</v>
      </c>
      <c r="S20" s="12">
        <v>14</v>
      </c>
      <c r="T20" s="12">
        <v>21</v>
      </c>
      <c r="U20" s="12">
        <v>6</v>
      </c>
      <c r="V20" s="12">
        <v>17</v>
      </c>
      <c r="W20" s="12">
        <v>10</v>
      </c>
      <c r="X20" s="12">
        <v>9</v>
      </c>
      <c r="Y20" s="12">
        <v>9</v>
      </c>
      <c r="Z20" s="12">
        <v>14</v>
      </c>
      <c r="AA20" s="12">
        <v>8</v>
      </c>
      <c r="AB20" s="12">
        <v>21</v>
      </c>
      <c r="AC20" s="12">
        <v>10</v>
      </c>
      <c r="AD20" s="12">
        <v>24</v>
      </c>
      <c r="AE20" s="12">
        <v>3</v>
      </c>
      <c r="AF20" s="12">
        <v>1</v>
      </c>
    </row>
    <row r="21" spans="1:32">
      <c r="A21" s="23"/>
      <c r="B21" s="13" t="s">
        <v>498</v>
      </c>
      <c r="C21" s="14">
        <v>0.01</v>
      </c>
      <c r="D21" s="15" t="s">
        <v>485</v>
      </c>
      <c r="E21" s="14">
        <v>0.06</v>
      </c>
      <c r="F21" s="14">
        <v>0.03</v>
      </c>
      <c r="G21" s="14">
        <v>0.01</v>
      </c>
      <c r="H21" s="14">
        <v>0.01</v>
      </c>
      <c r="I21" s="14">
        <v>0.01</v>
      </c>
      <c r="J21" s="15" t="s">
        <v>485</v>
      </c>
      <c r="K21" s="14">
        <v>0.01</v>
      </c>
      <c r="L21" s="14">
        <v>0.01</v>
      </c>
      <c r="M21" s="15" t="s">
        <v>485</v>
      </c>
      <c r="N21" s="14">
        <v>0.01</v>
      </c>
      <c r="O21" s="14">
        <v>0.01</v>
      </c>
      <c r="P21" s="15" t="s">
        <v>485</v>
      </c>
      <c r="Q21" s="14">
        <v>0.01</v>
      </c>
      <c r="R21" s="14">
        <v>0.01</v>
      </c>
      <c r="S21" s="14">
        <v>0.01</v>
      </c>
      <c r="T21" s="14">
        <v>0.02</v>
      </c>
      <c r="U21" s="14">
        <v>0.01</v>
      </c>
      <c r="V21" s="14">
        <v>0.02</v>
      </c>
      <c r="W21" s="14">
        <v>0.02</v>
      </c>
      <c r="X21" s="14">
        <v>0.01</v>
      </c>
      <c r="Y21" s="14">
        <v>0.01</v>
      </c>
      <c r="Z21" s="14">
        <v>0.01</v>
      </c>
      <c r="AA21" s="14">
        <v>0.01</v>
      </c>
      <c r="AB21" s="14">
        <v>0.02</v>
      </c>
      <c r="AC21" s="14">
        <v>0.01</v>
      </c>
      <c r="AD21" s="14">
        <v>0.03</v>
      </c>
      <c r="AE21" s="15" t="s">
        <v>485</v>
      </c>
      <c r="AF21" s="15" t="s">
        <v>485</v>
      </c>
    </row>
    <row r="22" spans="1:32">
      <c r="A22" s="23"/>
      <c r="B22" s="11" t="s">
        <v>769</v>
      </c>
      <c r="C22" s="12">
        <v>16031</v>
      </c>
      <c r="D22" s="12">
        <v>711</v>
      </c>
      <c r="E22" s="12">
        <v>456</v>
      </c>
      <c r="F22" s="12">
        <v>665</v>
      </c>
      <c r="G22" s="12">
        <v>144</v>
      </c>
      <c r="H22" s="12">
        <v>656</v>
      </c>
      <c r="I22" s="12">
        <v>809</v>
      </c>
      <c r="J22" s="12">
        <v>153</v>
      </c>
      <c r="K22" s="12">
        <v>565</v>
      </c>
      <c r="L22" s="12">
        <v>601</v>
      </c>
      <c r="M22" s="12">
        <v>693</v>
      </c>
      <c r="N22" s="12">
        <v>716</v>
      </c>
      <c r="O22" s="12">
        <v>732</v>
      </c>
      <c r="P22" s="12">
        <v>783</v>
      </c>
      <c r="Q22" s="12">
        <v>691</v>
      </c>
      <c r="R22" s="12">
        <v>394</v>
      </c>
      <c r="S22" s="12">
        <v>489</v>
      </c>
      <c r="T22" s="12">
        <v>397</v>
      </c>
      <c r="U22" s="12">
        <v>351</v>
      </c>
      <c r="V22" s="12">
        <v>570</v>
      </c>
      <c r="W22" s="12">
        <v>303</v>
      </c>
      <c r="X22" s="12">
        <v>274</v>
      </c>
      <c r="Y22" s="12">
        <v>629</v>
      </c>
      <c r="Z22" s="12">
        <v>652</v>
      </c>
      <c r="AA22" s="12">
        <v>863</v>
      </c>
      <c r="AB22" s="12">
        <v>590</v>
      </c>
      <c r="AC22" s="12">
        <v>464</v>
      </c>
      <c r="AD22" s="12">
        <v>665</v>
      </c>
      <c r="AE22" s="12">
        <v>260</v>
      </c>
      <c r="AF22" s="12">
        <v>187</v>
      </c>
    </row>
    <row r="23" spans="1:32">
      <c r="A23" s="23"/>
      <c r="B23" s="13" t="s">
        <v>770</v>
      </c>
      <c r="C23" s="14">
        <v>0.61</v>
      </c>
      <c r="D23" s="14">
        <v>0.70000000000000007</v>
      </c>
      <c r="E23" s="14">
        <v>0.44</v>
      </c>
      <c r="F23" s="14">
        <v>0.66</v>
      </c>
      <c r="G23" s="14">
        <v>0.14000000000000001</v>
      </c>
      <c r="H23" s="14">
        <v>0.54</v>
      </c>
      <c r="I23" s="14">
        <v>0.54</v>
      </c>
      <c r="J23" s="14">
        <v>0.52</v>
      </c>
      <c r="K23" s="14">
        <v>0.56000000000000005</v>
      </c>
      <c r="L23" s="14">
        <v>0.6</v>
      </c>
      <c r="M23" s="14">
        <v>0.69000000000000006</v>
      </c>
      <c r="N23" s="14">
        <v>0.72</v>
      </c>
      <c r="O23" s="14">
        <v>0.73</v>
      </c>
      <c r="P23" s="14">
        <v>0.77</v>
      </c>
      <c r="Q23" s="14">
        <v>0.67</v>
      </c>
      <c r="R23" s="14">
        <v>0.79</v>
      </c>
      <c r="S23" s="14">
        <v>0.49</v>
      </c>
      <c r="T23" s="14">
        <v>0.39</v>
      </c>
      <c r="U23" s="14">
        <v>0.70000000000000007</v>
      </c>
      <c r="V23" s="14">
        <v>0.56000000000000005</v>
      </c>
      <c r="W23" s="14">
        <v>0.6</v>
      </c>
      <c r="X23" s="14">
        <v>0.27</v>
      </c>
      <c r="Y23" s="14">
        <v>0.62</v>
      </c>
      <c r="Z23" s="14">
        <v>0.64</v>
      </c>
      <c r="AA23" s="14">
        <v>0.83000000000000007</v>
      </c>
      <c r="AB23" s="14">
        <v>0.57999999999999996</v>
      </c>
      <c r="AC23" s="14">
        <v>0.46</v>
      </c>
      <c r="AD23" s="14">
        <v>0.66</v>
      </c>
      <c r="AE23" s="14">
        <v>0.26</v>
      </c>
      <c r="AF23" s="14">
        <v>0.18</v>
      </c>
    </row>
    <row r="24" spans="1:32">
      <c r="A24" s="23"/>
      <c r="B24" s="11" t="s">
        <v>771</v>
      </c>
      <c r="C24" s="12">
        <v>10019</v>
      </c>
      <c r="D24" s="12">
        <v>291</v>
      </c>
      <c r="E24" s="12">
        <v>524</v>
      </c>
      <c r="F24" s="12">
        <v>317</v>
      </c>
      <c r="G24" s="12">
        <v>848</v>
      </c>
      <c r="H24" s="12">
        <v>539</v>
      </c>
      <c r="I24" s="12">
        <v>679</v>
      </c>
      <c r="J24" s="12">
        <v>140</v>
      </c>
      <c r="K24" s="12">
        <v>429</v>
      </c>
      <c r="L24" s="12">
        <v>398</v>
      </c>
      <c r="M24" s="12">
        <v>317</v>
      </c>
      <c r="N24" s="12">
        <v>273</v>
      </c>
      <c r="O24" s="12">
        <v>264</v>
      </c>
      <c r="P24" s="12">
        <v>228</v>
      </c>
      <c r="Q24" s="12">
        <v>324</v>
      </c>
      <c r="R24" s="12">
        <v>104</v>
      </c>
      <c r="S24" s="12">
        <v>502</v>
      </c>
      <c r="T24" s="12">
        <v>586</v>
      </c>
      <c r="U24" s="12">
        <v>146</v>
      </c>
      <c r="V24" s="12">
        <v>424</v>
      </c>
      <c r="W24" s="12">
        <v>190</v>
      </c>
      <c r="X24" s="12">
        <v>733</v>
      </c>
      <c r="Y24" s="12">
        <v>369</v>
      </c>
      <c r="Z24" s="12">
        <v>350</v>
      </c>
      <c r="AA24" s="12">
        <v>169</v>
      </c>
      <c r="AB24" s="12">
        <v>420</v>
      </c>
      <c r="AC24" s="12">
        <v>532</v>
      </c>
      <c r="AD24" s="12">
        <v>314</v>
      </c>
      <c r="AE24" s="12">
        <v>745</v>
      </c>
      <c r="AF24" s="12">
        <v>885</v>
      </c>
    </row>
    <row r="25" spans="1:32">
      <c r="A25" s="23"/>
      <c r="B25" s="13" t="s">
        <v>772</v>
      </c>
      <c r="C25" s="14">
        <v>0.38</v>
      </c>
      <c r="D25" s="14">
        <v>0.3</v>
      </c>
      <c r="E25" s="14">
        <v>0.5</v>
      </c>
      <c r="F25" s="14">
        <v>0.31</v>
      </c>
      <c r="G25" s="14">
        <v>0.85</v>
      </c>
      <c r="H25" s="14">
        <v>0.45</v>
      </c>
      <c r="I25" s="14">
        <v>0.45</v>
      </c>
      <c r="J25" s="14">
        <v>0.48</v>
      </c>
      <c r="K25" s="14">
        <v>0.43</v>
      </c>
      <c r="L25" s="14">
        <v>0.39</v>
      </c>
      <c r="M25" s="14">
        <v>0.31</v>
      </c>
      <c r="N25" s="14">
        <v>0.27</v>
      </c>
      <c r="O25" s="14">
        <v>0.26</v>
      </c>
      <c r="P25" s="14">
        <v>0.23</v>
      </c>
      <c r="Q25" s="14">
        <v>0.32</v>
      </c>
      <c r="R25" s="14">
        <v>0.2</v>
      </c>
      <c r="S25" s="14">
        <v>0.5</v>
      </c>
      <c r="T25" s="14">
        <v>0.59</v>
      </c>
      <c r="U25" s="14">
        <v>0.28999999999999998</v>
      </c>
      <c r="V25" s="14">
        <v>0.42</v>
      </c>
      <c r="W25" s="14">
        <v>0.38</v>
      </c>
      <c r="X25" s="14">
        <v>0.72</v>
      </c>
      <c r="Y25" s="14">
        <v>0.37</v>
      </c>
      <c r="Z25" s="14">
        <v>0.35</v>
      </c>
      <c r="AA25" s="14">
        <v>0.16</v>
      </c>
      <c r="AB25" s="14">
        <v>0.4</v>
      </c>
      <c r="AC25" s="14">
        <v>0.53</v>
      </c>
      <c r="AD25" s="14">
        <v>0.31</v>
      </c>
      <c r="AE25" s="14">
        <v>0.74</v>
      </c>
      <c r="AF25" s="14">
        <v>0.82000000000000006</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785</v>
      </c>
      <c r="C3" s="19"/>
      <c r="D3" s="19"/>
      <c r="E3" s="19"/>
      <c r="F3" s="19"/>
      <c r="H3" s="19" t="s">
        <v>786</v>
      </c>
      <c r="I3" s="19"/>
      <c r="J3" s="19"/>
      <c r="K3" s="19"/>
      <c r="L3" s="19"/>
    </row>
    <row r="4" spans="1:32" ht="27" customHeight="1">
      <c r="B4" s="19" t="s">
        <v>787</v>
      </c>
      <c r="C4" s="19"/>
      <c r="D4" s="19"/>
      <c r="E4" s="19"/>
      <c r="F4" s="19"/>
      <c r="H4" s="19" t="s">
        <v>788</v>
      </c>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HYPERLINK("#Content!A42","&lt;&lt;Back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761</v>
      </c>
      <c r="C12" s="12">
        <v>8043</v>
      </c>
      <c r="D12" s="12">
        <v>290</v>
      </c>
      <c r="E12" s="12">
        <v>327</v>
      </c>
      <c r="F12" s="12">
        <v>213</v>
      </c>
      <c r="G12" s="12">
        <v>71</v>
      </c>
      <c r="H12" s="12">
        <v>256</v>
      </c>
      <c r="I12" s="12">
        <v>314</v>
      </c>
      <c r="J12" s="12">
        <v>58</v>
      </c>
      <c r="K12" s="12">
        <v>266</v>
      </c>
      <c r="L12" s="12">
        <v>274</v>
      </c>
      <c r="M12" s="12">
        <v>452</v>
      </c>
      <c r="N12" s="12">
        <v>541</v>
      </c>
      <c r="O12" s="12">
        <v>343</v>
      </c>
      <c r="P12" s="12">
        <v>475</v>
      </c>
      <c r="Q12" s="12">
        <v>405</v>
      </c>
      <c r="R12" s="12">
        <v>297</v>
      </c>
      <c r="S12" s="12">
        <v>384</v>
      </c>
      <c r="T12" s="12">
        <v>250</v>
      </c>
      <c r="U12" s="12">
        <v>170</v>
      </c>
      <c r="V12" s="12">
        <v>300</v>
      </c>
      <c r="W12" s="12">
        <v>190</v>
      </c>
      <c r="X12" s="12">
        <v>78</v>
      </c>
      <c r="Y12" s="12">
        <v>297</v>
      </c>
      <c r="Z12" s="12">
        <v>189</v>
      </c>
      <c r="AA12" s="12">
        <v>575</v>
      </c>
      <c r="AB12" s="12">
        <v>284</v>
      </c>
      <c r="AC12" s="12">
        <v>275</v>
      </c>
      <c r="AD12" s="12">
        <v>181</v>
      </c>
      <c r="AE12" s="12">
        <v>102</v>
      </c>
      <c r="AF12" s="12">
        <v>60</v>
      </c>
    </row>
    <row r="13" spans="1:32">
      <c r="A13" s="23"/>
      <c r="B13" s="13" t="s">
        <v>762</v>
      </c>
      <c r="C13" s="14">
        <v>0.3</v>
      </c>
      <c r="D13" s="14">
        <v>0.28999999999999998</v>
      </c>
      <c r="E13" s="14">
        <v>0.31</v>
      </c>
      <c r="F13" s="14">
        <v>0.21</v>
      </c>
      <c r="G13" s="14">
        <v>7.0000000000000007E-2</v>
      </c>
      <c r="H13" s="14">
        <v>0.21</v>
      </c>
      <c r="I13" s="14">
        <v>0.21</v>
      </c>
      <c r="J13" s="14">
        <v>0.2</v>
      </c>
      <c r="K13" s="14">
        <v>0.26</v>
      </c>
      <c r="L13" s="14">
        <v>0.28000000000000003</v>
      </c>
      <c r="M13" s="14">
        <v>0.45</v>
      </c>
      <c r="N13" s="14">
        <v>0.54</v>
      </c>
      <c r="O13" s="14">
        <v>0.34</v>
      </c>
      <c r="P13" s="14">
        <v>0.47</v>
      </c>
      <c r="Q13" s="14">
        <v>0.4</v>
      </c>
      <c r="R13" s="14">
        <v>0.59</v>
      </c>
      <c r="S13" s="14">
        <v>0.38</v>
      </c>
      <c r="T13" s="14">
        <v>0.25</v>
      </c>
      <c r="U13" s="14">
        <v>0.34</v>
      </c>
      <c r="V13" s="14">
        <v>0.3</v>
      </c>
      <c r="W13" s="14">
        <v>0.38</v>
      </c>
      <c r="X13" s="14">
        <v>0.08</v>
      </c>
      <c r="Y13" s="14">
        <v>0.28999999999999998</v>
      </c>
      <c r="Z13" s="14">
        <v>0.19</v>
      </c>
      <c r="AA13" s="14">
        <v>0.55000000000000004</v>
      </c>
      <c r="AB13" s="14">
        <v>0.27</v>
      </c>
      <c r="AC13" s="14">
        <v>0.27</v>
      </c>
      <c r="AD13" s="14">
        <v>0.18</v>
      </c>
      <c r="AE13" s="14">
        <v>0.1</v>
      </c>
      <c r="AF13" s="14">
        <v>0.06</v>
      </c>
    </row>
    <row r="14" spans="1:32">
      <c r="A14" s="23"/>
      <c r="B14" s="11" t="s">
        <v>763</v>
      </c>
      <c r="C14" s="12">
        <v>9671</v>
      </c>
      <c r="D14" s="12">
        <v>450</v>
      </c>
      <c r="E14" s="12">
        <v>391</v>
      </c>
      <c r="F14" s="12">
        <v>455</v>
      </c>
      <c r="G14" s="12">
        <v>116</v>
      </c>
      <c r="H14" s="12">
        <v>409</v>
      </c>
      <c r="I14" s="12">
        <v>520</v>
      </c>
      <c r="J14" s="12">
        <v>111</v>
      </c>
      <c r="K14" s="12">
        <v>352</v>
      </c>
      <c r="L14" s="12">
        <v>314</v>
      </c>
      <c r="M14" s="12">
        <v>402</v>
      </c>
      <c r="N14" s="12">
        <v>270</v>
      </c>
      <c r="O14" s="12">
        <v>396</v>
      </c>
      <c r="P14" s="12">
        <v>369</v>
      </c>
      <c r="Q14" s="12">
        <v>451</v>
      </c>
      <c r="R14" s="12">
        <v>132</v>
      </c>
      <c r="S14" s="12">
        <v>284</v>
      </c>
      <c r="T14" s="12">
        <v>343</v>
      </c>
      <c r="U14" s="12">
        <v>149</v>
      </c>
      <c r="V14" s="12">
        <v>429</v>
      </c>
      <c r="W14" s="12">
        <v>125</v>
      </c>
      <c r="X14" s="12">
        <v>200</v>
      </c>
      <c r="Y14" s="12">
        <v>341</v>
      </c>
      <c r="Z14" s="12">
        <v>501</v>
      </c>
      <c r="AA14" s="12">
        <v>326</v>
      </c>
      <c r="AB14" s="12">
        <v>445</v>
      </c>
      <c r="AC14" s="12">
        <v>351</v>
      </c>
      <c r="AD14" s="12">
        <v>423</v>
      </c>
      <c r="AE14" s="12">
        <v>240</v>
      </c>
      <c r="AF14" s="12">
        <v>219</v>
      </c>
    </row>
    <row r="15" spans="1:32">
      <c r="A15" s="23"/>
      <c r="B15" s="13" t="s">
        <v>764</v>
      </c>
      <c r="C15" s="14">
        <v>0.37</v>
      </c>
      <c r="D15" s="14">
        <v>0.45</v>
      </c>
      <c r="E15" s="14">
        <v>0.38</v>
      </c>
      <c r="F15" s="14">
        <v>0.45</v>
      </c>
      <c r="G15" s="14">
        <v>0.12</v>
      </c>
      <c r="H15" s="14">
        <v>0.34</v>
      </c>
      <c r="I15" s="14">
        <v>0.35</v>
      </c>
      <c r="J15" s="14">
        <v>0.38</v>
      </c>
      <c r="K15" s="14">
        <v>0.35</v>
      </c>
      <c r="L15" s="14">
        <v>0.31</v>
      </c>
      <c r="M15" s="14">
        <v>0.4</v>
      </c>
      <c r="N15" s="14">
        <v>0.27</v>
      </c>
      <c r="O15" s="14">
        <v>0.39</v>
      </c>
      <c r="P15" s="14">
        <v>0.36</v>
      </c>
      <c r="Q15" s="14">
        <v>0.44</v>
      </c>
      <c r="R15" s="14">
        <v>0.27</v>
      </c>
      <c r="S15" s="14">
        <v>0.28000000000000003</v>
      </c>
      <c r="T15" s="14">
        <v>0.34</v>
      </c>
      <c r="U15" s="14">
        <v>0.28999999999999998</v>
      </c>
      <c r="V15" s="14">
        <v>0.42</v>
      </c>
      <c r="W15" s="14">
        <v>0.25</v>
      </c>
      <c r="X15" s="14">
        <v>0.2</v>
      </c>
      <c r="Y15" s="14">
        <v>0.34</v>
      </c>
      <c r="Z15" s="14">
        <v>0.49</v>
      </c>
      <c r="AA15" s="14">
        <v>0.31</v>
      </c>
      <c r="AB15" s="14">
        <v>0.43</v>
      </c>
      <c r="AC15" s="14">
        <v>0.35</v>
      </c>
      <c r="AD15" s="14">
        <v>0.42</v>
      </c>
      <c r="AE15" s="14">
        <v>0.24</v>
      </c>
      <c r="AF15" s="14">
        <v>0.2</v>
      </c>
    </row>
    <row r="16" spans="1:32" ht="23.25">
      <c r="A16" s="23"/>
      <c r="B16" s="11" t="s">
        <v>765</v>
      </c>
      <c r="C16" s="12">
        <v>5297</v>
      </c>
      <c r="D16" s="12">
        <v>193</v>
      </c>
      <c r="E16" s="12">
        <v>197</v>
      </c>
      <c r="F16" s="12">
        <v>211</v>
      </c>
      <c r="G16" s="12">
        <v>295</v>
      </c>
      <c r="H16" s="12">
        <v>365</v>
      </c>
      <c r="I16" s="12">
        <v>436</v>
      </c>
      <c r="J16" s="12">
        <v>71</v>
      </c>
      <c r="K16" s="12">
        <v>236</v>
      </c>
      <c r="L16" s="12">
        <v>274</v>
      </c>
      <c r="M16" s="12">
        <v>89</v>
      </c>
      <c r="N16" s="12">
        <v>119</v>
      </c>
      <c r="O16" s="12">
        <v>152</v>
      </c>
      <c r="P16" s="12">
        <v>118</v>
      </c>
      <c r="Q16" s="12">
        <v>103</v>
      </c>
      <c r="R16" s="12">
        <v>36</v>
      </c>
      <c r="S16" s="12">
        <v>166</v>
      </c>
      <c r="T16" s="12">
        <v>219</v>
      </c>
      <c r="U16" s="12">
        <v>94</v>
      </c>
      <c r="V16" s="12">
        <v>179</v>
      </c>
      <c r="W16" s="12">
        <v>112</v>
      </c>
      <c r="X16" s="12">
        <v>410</v>
      </c>
      <c r="Y16" s="12">
        <v>188</v>
      </c>
      <c r="Z16" s="12">
        <v>241</v>
      </c>
      <c r="AA16" s="12">
        <v>70</v>
      </c>
      <c r="AB16" s="12">
        <v>213</v>
      </c>
      <c r="AC16" s="12">
        <v>222</v>
      </c>
      <c r="AD16" s="12">
        <v>254</v>
      </c>
      <c r="AE16" s="12">
        <v>354</v>
      </c>
      <c r="AF16" s="12">
        <v>454</v>
      </c>
    </row>
    <row r="17" spans="1:32">
      <c r="A17" s="23"/>
      <c r="B17" s="13" t="s">
        <v>766</v>
      </c>
      <c r="C17" s="14">
        <v>0.2</v>
      </c>
      <c r="D17" s="14">
        <v>0.19</v>
      </c>
      <c r="E17" s="14">
        <v>0.19</v>
      </c>
      <c r="F17" s="14">
        <v>0.21</v>
      </c>
      <c r="G17" s="14">
        <v>0.28999999999999998</v>
      </c>
      <c r="H17" s="14">
        <v>0.3</v>
      </c>
      <c r="I17" s="14">
        <v>0.28999999999999998</v>
      </c>
      <c r="J17" s="14">
        <v>0.24</v>
      </c>
      <c r="K17" s="14">
        <v>0.24</v>
      </c>
      <c r="L17" s="14">
        <v>0.27</v>
      </c>
      <c r="M17" s="14">
        <v>0.09</v>
      </c>
      <c r="N17" s="14">
        <v>0.12</v>
      </c>
      <c r="O17" s="14">
        <v>0.15</v>
      </c>
      <c r="P17" s="14">
        <v>0.12</v>
      </c>
      <c r="Q17" s="14">
        <v>0.1</v>
      </c>
      <c r="R17" s="14">
        <v>7.0000000000000007E-2</v>
      </c>
      <c r="S17" s="14">
        <v>0.17</v>
      </c>
      <c r="T17" s="14">
        <v>0.22</v>
      </c>
      <c r="U17" s="14">
        <v>0.19</v>
      </c>
      <c r="V17" s="14">
        <v>0.18</v>
      </c>
      <c r="W17" s="14">
        <v>0.22</v>
      </c>
      <c r="X17" s="14">
        <v>0.4</v>
      </c>
      <c r="Y17" s="14">
        <v>0.19</v>
      </c>
      <c r="Z17" s="14">
        <v>0.24</v>
      </c>
      <c r="AA17" s="14">
        <v>7.0000000000000007E-2</v>
      </c>
      <c r="AB17" s="14">
        <v>0.21</v>
      </c>
      <c r="AC17" s="14">
        <v>0.22</v>
      </c>
      <c r="AD17" s="14">
        <v>0.25</v>
      </c>
      <c r="AE17" s="14">
        <v>0.35</v>
      </c>
      <c r="AF17" s="14">
        <v>0.42</v>
      </c>
    </row>
    <row r="18" spans="1:32" ht="23.25">
      <c r="A18" s="23"/>
      <c r="B18" s="11" t="s">
        <v>767</v>
      </c>
      <c r="C18" s="12">
        <v>2852</v>
      </c>
      <c r="D18" s="12">
        <v>67</v>
      </c>
      <c r="E18" s="12">
        <v>97</v>
      </c>
      <c r="F18" s="12">
        <v>91</v>
      </c>
      <c r="G18" s="12">
        <v>480</v>
      </c>
      <c r="H18" s="12">
        <v>152</v>
      </c>
      <c r="I18" s="12">
        <v>203</v>
      </c>
      <c r="J18" s="12">
        <v>51</v>
      </c>
      <c r="K18" s="12">
        <v>117</v>
      </c>
      <c r="L18" s="12">
        <v>133</v>
      </c>
      <c r="M18" s="12">
        <v>64</v>
      </c>
      <c r="N18" s="12">
        <v>58</v>
      </c>
      <c r="O18" s="12">
        <v>87</v>
      </c>
      <c r="P18" s="12">
        <v>47</v>
      </c>
      <c r="Q18" s="12">
        <v>53</v>
      </c>
      <c r="R18" s="12">
        <v>31</v>
      </c>
      <c r="S18" s="12">
        <v>149</v>
      </c>
      <c r="T18" s="12">
        <v>169</v>
      </c>
      <c r="U18" s="12">
        <v>82</v>
      </c>
      <c r="V18" s="12">
        <v>87</v>
      </c>
      <c r="W18" s="12">
        <v>71</v>
      </c>
      <c r="X18" s="12">
        <v>310</v>
      </c>
      <c r="Y18" s="12">
        <v>161</v>
      </c>
      <c r="Z18" s="12">
        <v>73</v>
      </c>
      <c r="AA18" s="12">
        <v>58</v>
      </c>
      <c r="AB18" s="12">
        <v>68</v>
      </c>
      <c r="AC18" s="12">
        <v>145</v>
      </c>
      <c r="AD18" s="12">
        <v>98</v>
      </c>
      <c r="AE18" s="12">
        <v>275</v>
      </c>
      <c r="AF18" s="12">
        <v>318</v>
      </c>
    </row>
    <row r="19" spans="1:32">
      <c r="A19" s="23"/>
      <c r="B19" s="13" t="s">
        <v>768</v>
      </c>
      <c r="C19" s="14">
        <v>0.11</v>
      </c>
      <c r="D19" s="14">
        <v>7.0000000000000007E-2</v>
      </c>
      <c r="E19" s="14">
        <v>0.09</v>
      </c>
      <c r="F19" s="14">
        <v>0.09</v>
      </c>
      <c r="G19" s="14">
        <v>0.48</v>
      </c>
      <c r="H19" s="14">
        <v>0.13</v>
      </c>
      <c r="I19" s="14">
        <v>0.13</v>
      </c>
      <c r="J19" s="14">
        <v>0.17</v>
      </c>
      <c r="K19" s="14">
        <v>0.12</v>
      </c>
      <c r="L19" s="14">
        <v>0.13</v>
      </c>
      <c r="M19" s="14">
        <v>0.06</v>
      </c>
      <c r="N19" s="14">
        <v>0.06</v>
      </c>
      <c r="O19" s="14">
        <v>0.09</v>
      </c>
      <c r="P19" s="14">
        <v>0.05</v>
      </c>
      <c r="Q19" s="14">
        <v>0.05</v>
      </c>
      <c r="R19" s="14">
        <v>0.06</v>
      </c>
      <c r="S19" s="14">
        <v>0.15</v>
      </c>
      <c r="T19" s="14">
        <v>0.17</v>
      </c>
      <c r="U19" s="14">
        <v>0.16</v>
      </c>
      <c r="V19" s="14">
        <v>0.08</v>
      </c>
      <c r="W19" s="14">
        <v>0.14000000000000001</v>
      </c>
      <c r="X19" s="14">
        <v>0.3</v>
      </c>
      <c r="Y19" s="14">
        <v>0.16</v>
      </c>
      <c r="Z19" s="14">
        <v>7.0000000000000007E-2</v>
      </c>
      <c r="AA19" s="14">
        <v>0.06</v>
      </c>
      <c r="AB19" s="14">
        <v>7.0000000000000007E-2</v>
      </c>
      <c r="AC19" s="14">
        <v>0.15</v>
      </c>
      <c r="AD19" s="14">
        <v>0.1</v>
      </c>
      <c r="AE19" s="14">
        <v>0.27</v>
      </c>
      <c r="AF19" s="14">
        <v>0.3</v>
      </c>
    </row>
    <row r="20" spans="1:32">
      <c r="A20" s="23"/>
      <c r="B20" s="11" t="s">
        <v>497</v>
      </c>
      <c r="C20" s="12">
        <v>490</v>
      </c>
      <c r="D20" s="12">
        <v>6</v>
      </c>
      <c r="E20" s="12">
        <v>32</v>
      </c>
      <c r="F20" s="12">
        <v>38</v>
      </c>
      <c r="G20" s="12">
        <v>41</v>
      </c>
      <c r="H20" s="12">
        <v>28</v>
      </c>
      <c r="I20" s="12">
        <v>30</v>
      </c>
      <c r="J20" s="12">
        <v>2</v>
      </c>
      <c r="K20" s="12">
        <v>33</v>
      </c>
      <c r="L20" s="12">
        <v>11</v>
      </c>
      <c r="M20" s="12">
        <v>4</v>
      </c>
      <c r="N20" s="12">
        <v>12</v>
      </c>
      <c r="O20" s="12">
        <v>28</v>
      </c>
      <c r="P20" s="12">
        <v>2</v>
      </c>
      <c r="Q20" s="12">
        <v>12</v>
      </c>
      <c r="R20" s="12">
        <v>6</v>
      </c>
      <c r="S20" s="12">
        <v>21</v>
      </c>
      <c r="T20" s="12">
        <v>22</v>
      </c>
      <c r="U20" s="12">
        <v>8</v>
      </c>
      <c r="V20" s="12">
        <v>17</v>
      </c>
      <c r="W20" s="12">
        <v>6</v>
      </c>
      <c r="X20" s="12">
        <v>18</v>
      </c>
      <c r="Y20" s="12">
        <v>20</v>
      </c>
      <c r="Z20" s="12">
        <v>13</v>
      </c>
      <c r="AA20" s="12">
        <v>12</v>
      </c>
      <c r="AB20" s="12">
        <v>22</v>
      </c>
      <c r="AC20" s="12">
        <v>11</v>
      </c>
      <c r="AD20" s="12">
        <v>47</v>
      </c>
      <c r="AE20" s="12">
        <v>37</v>
      </c>
      <c r="AF20" s="12">
        <v>22</v>
      </c>
    </row>
    <row r="21" spans="1:32">
      <c r="A21" s="23"/>
      <c r="B21" s="13" t="s">
        <v>498</v>
      </c>
      <c r="C21" s="14">
        <v>0.02</v>
      </c>
      <c r="D21" s="15" t="s">
        <v>485</v>
      </c>
      <c r="E21" s="14">
        <v>0.03</v>
      </c>
      <c r="F21" s="14">
        <v>0.04</v>
      </c>
      <c r="G21" s="14">
        <v>0.04</v>
      </c>
      <c r="H21" s="14">
        <v>0.02</v>
      </c>
      <c r="I21" s="14">
        <v>0.02</v>
      </c>
      <c r="J21" s="14">
        <v>0.01</v>
      </c>
      <c r="K21" s="14">
        <v>0.03</v>
      </c>
      <c r="L21" s="14">
        <v>0.01</v>
      </c>
      <c r="M21" s="15" t="s">
        <v>485</v>
      </c>
      <c r="N21" s="14">
        <v>0.01</v>
      </c>
      <c r="O21" s="14">
        <v>0.03</v>
      </c>
      <c r="P21" s="15" t="s">
        <v>485</v>
      </c>
      <c r="Q21" s="14">
        <v>0.01</v>
      </c>
      <c r="R21" s="14">
        <v>0.01</v>
      </c>
      <c r="S21" s="14">
        <v>0.02</v>
      </c>
      <c r="T21" s="14">
        <v>0.02</v>
      </c>
      <c r="U21" s="14">
        <v>0.02</v>
      </c>
      <c r="V21" s="14">
        <v>0.02</v>
      </c>
      <c r="W21" s="14">
        <v>0.01</v>
      </c>
      <c r="X21" s="14">
        <v>0.02</v>
      </c>
      <c r="Y21" s="14">
        <v>0.02</v>
      </c>
      <c r="Z21" s="14">
        <v>0.01</v>
      </c>
      <c r="AA21" s="14">
        <v>0.01</v>
      </c>
      <c r="AB21" s="14">
        <v>0.02</v>
      </c>
      <c r="AC21" s="14">
        <v>0.01</v>
      </c>
      <c r="AD21" s="14">
        <v>0.05</v>
      </c>
      <c r="AE21" s="14">
        <v>0.04</v>
      </c>
      <c r="AF21" s="14">
        <v>0.02</v>
      </c>
    </row>
    <row r="22" spans="1:32">
      <c r="A22" s="23"/>
      <c r="B22" s="11" t="s">
        <v>769</v>
      </c>
      <c r="C22" s="12">
        <v>17714</v>
      </c>
      <c r="D22" s="12">
        <v>740</v>
      </c>
      <c r="E22" s="12">
        <v>718</v>
      </c>
      <c r="F22" s="12">
        <v>668</v>
      </c>
      <c r="G22" s="12">
        <v>187</v>
      </c>
      <c r="H22" s="12">
        <v>665</v>
      </c>
      <c r="I22" s="12">
        <v>834</v>
      </c>
      <c r="J22" s="12">
        <v>169</v>
      </c>
      <c r="K22" s="12">
        <v>618</v>
      </c>
      <c r="L22" s="12">
        <v>588</v>
      </c>
      <c r="M22" s="12">
        <v>854</v>
      </c>
      <c r="N22" s="12">
        <v>811</v>
      </c>
      <c r="O22" s="12">
        <v>739</v>
      </c>
      <c r="P22" s="12">
        <v>844</v>
      </c>
      <c r="Q22" s="12">
        <v>856</v>
      </c>
      <c r="R22" s="12">
        <v>429</v>
      </c>
      <c r="S22" s="12">
        <v>668</v>
      </c>
      <c r="T22" s="12">
        <v>593</v>
      </c>
      <c r="U22" s="12">
        <v>319</v>
      </c>
      <c r="V22" s="12">
        <v>729</v>
      </c>
      <c r="W22" s="12">
        <v>315</v>
      </c>
      <c r="X22" s="12">
        <v>278</v>
      </c>
      <c r="Y22" s="12">
        <v>638</v>
      </c>
      <c r="Z22" s="12">
        <v>690</v>
      </c>
      <c r="AA22" s="12">
        <v>901</v>
      </c>
      <c r="AB22" s="12">
        <v>729</v>
      </c>
      <c r="AC22" s="12">
        <v>626</v>
      </c>
      <c r="AD22" s="12">
        <v>604</v>
      </c>
      <c r="AE22" s="12">
        <v>342</v>
      </c>
      <c r="AF22" s="12">
        <v>279</v>
      </c>
    </row>
    <row r="23" spans="1:32">
      <c r="A23" s="23"/>
      <c r="B23" s="13" t="s">
        <v>770</v>
      </c>
      <c r="C23" s="14">
        <v>0.67</v>
      </c>
      <c r="D23" s="14">
        <v>0.74</v>
      </c>
      <c r="E23" s="14">
        <v>0.69000000000000006</v>
      </c>
      <c r="F23" s="14">
        <v>0.66</v>
      </c>
      <c r="G23" s="14">
        <v>0.19</v>
      </c>
      <c r="H23" s="14">
        <v>0.55000000000000004</v>
      </c>
      <c r="I23" s="14">
        <v>0.56000000000000005</v>
      </c>
      <c r="J23" s="14">
        <v>0.57999999999999996</v>
      </c>
      <c r="K23" s="14">
        <v>0.61</v>
      </c>
      <c r="L23" s="14">
        <v>0.59</v>
      </c>
      <c r="M23" s="14">
        <v>0.85</v>
      </c>
      <c r="N23" s="14">
        <v>0.81</v>
      </c>
      <c r="O23" s="14">
        <v>0.73</v>
      </c>
      <c r="P23" s="14">
        <v>0.83000000000000007</v>
      </c>
      <c r="Q23" s="14">
        <v>0.84</v>
      </c>
      <c r="R23" s="14">
        <v>0.86</v>
      </c>
      <c r="S23" s="14">
        <v>0.66</v>
      </c>
      <c r="T23" s="14">
        <v>0.59</v>
      </c>
      <c r="U23" s="14">
        <v>0.63</v>
      </c>
      <c r="V23" s="14">
        <v>0.72</v>
      </c>
      <c r="W23" s="14">
        <v>0.63</v>
      </c>
      <c r="X23" s="14">
        <v>0.28000000000000003</v>
      </c>
      <c r="Y23" s="14">
        <v>0.63</v>
      </c>
      <c r="Z23" s="14">
        <v>0.68</v>
      </c>
      <c r="AA23" s="14">
        <v>0.86</v>
      </c>
      <c r="AB23" s="14">
        <v>0.70000000000000007</v>
      </c>
      <c r="AC23" s="14">
        <v>0.62</v>
      </c>
      <c r="AD23" s="14">
        <v>0.6</v>
      </c>
      <c r="AE23" s="14">
        <v>0.34</v>
      </c>
      <c r="AF23" s="14">
        <v>0.26</v>
      </c>
    </row>
    <row r="24" spans="1:32">
      <c r="A24" s="23"/>
      <c r="B24" s="11" t="s">
        <v>771</v>
      </c>
      <c r="C24" s="12">
        <v>8149</v>
      </c>
      <c r="D24" s="12">
        <v>260</v>
      </c>
      <c r="E24" s="12">
        <v>294</v>
      </c>
      <c r="F24" s="12">
        <v>302</v>
      </c>
      <c r="G24" s="12">
        <v>775</v>
      </c>
      <c r="H24" s="12">
        <v>517</v>
      </c>
      <c r="I24" s="12">
        <v>639</v>
      </c>
      <c r="J24" s="12">
        <v>122</v>
      </c>
      <c r="K24" s="12">
        <v>353</v>
      </c>
      <c r="L24" s="12">
        <v>407</v>
      </c>
      <c r="M24" s="12">
        <v>153</v>
      </c>
      <c r="N24" s="12">
        <v>177</v>
      </c>
      <c r="O24" s="12">
        <v>239</v>
      </c>
      <c r="P24" s="12">
        <v>165</v>
      </c>
      <c r="Q24" s="12">
        <v>156</v>
      </c>
      <c r="R24" s="12">
        <v>67</v>
      </c>
      <c r="S24" s="12">
        <v>315</v>
      </c>
      <c r="T24" s="12">
        <v>388</v>
      </c>
      <c r="U24" s="12">
        <v>176</v>
      </c>
      <c r="V24" s="12">
        <v>266</v>
      </c>
      <c r="W24" s="12">
        <v>183</v>
      </c>
      <c r="X24" s="12">
        <v>720</v>
      </c>
      <c r="Y24" s="12">
        <v>349</v>
      </c>
      <c r="Z24" s="12">
        <v>314</v>
      </c>
      <c r="AA24" s="12">
        <v>128</v>
      </c>
      <c r="AB24" s="12">
        <v>281</v>
      </c>
      <c r="AC24" s="12">
        <v>367</v>
      </c>
      <c r="AD24" s="12">
        <v>352</v>
      </c>
      <c r="AE24" s="12">
        <v>629</v>
      </c>
      <c r="AF24" s="12">
        <v>772</v>
      </c>
    </row>
    <row r="25" spans="1:32">
      <c r="A25" s="23"/>
      <c r="B25" s="13" t="s">
        <v>772</v>
      </c>
      <c r="C25" s="14">
        <v>0.31</v>
      </c>
      <c r="D25" s="14">
        <v>0.26</v>
      </c>
      <c r="E25" s="14">
        <v>0.28000000000000003</v>
      </c>
      <c r="F25" s="14">
        <v>0.3</v>
      </c>
      <c r="G25" s="14">
        <v>0.77</v>
      </c>
      <c r="H25" s="14">
        <v>0.43</v>
      </c>
      <c r="I25" s="14">
        <v>0.42</v>
      </c>
      <c r="J25" s="14">
        <v>0.41</v>
      </c>
      <c r="K25" s="14">
        <v>0.36</v>
      </c>
      <c r="L25" s="14">
        <v>0.4</v>
      </c>
      <c r="M25" s="14">
        <v>0.15</v>
      </c>
      <c r="N25" s="14">
        <v>0.18</v>
      </c>
      <c r="O25" s="14">
        <v>0.24</v>
      </c>
      <c r="P25" s="14">
        <v>0.17</v>
      </c>
      <c r="Q25" s="14">
        <v>0.15</v>
      </c>
      <c r="R25" s="14">
        <v>0.13</v>
      </c>
      <c r="S25" s="14">
        <v>0.32</v>
      </c>
      <c r="T25" s="14">
        <v>0.39</v>
      </c>
      <c r="U25" s="14">
        <v>0.35</v>
      </c>
      <c r="V25" s="14">
        <v>0.26</v>
      </c>
      <c r="W25" s="14">
        <v>0.36</v>
      </c>
      <c r="X25" s="14">
        <v>0.70000000000000007</v>
      </c>
      <c r="Y25" s="14">
        <v>0.35</v>
      </c>
      <c r="Z25" s="14">
        <v>0.31</v>
      </c>
      <c r="AA25" s="14">
        <v>0.13</v>
      </c>
      <c r="AB25" s="14">
        <v>0.28000000000000003</v>
      </c>
      <c r="AC25" s="14">
        <v>0.37</v>
      </c>
      <c r="AD25" s="14">
        <v>0.35</v>
      </c>
      <c r="AE25" s="14">
        <v>0.62</v>
      </c>
      <c r="AF25" s="14">
        <v>0.72</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789</v>
      </c>
      <c r="C3" s="19"/>
      <c r="D3" s="19"/>
      <c r="E3" s="19"/>
      <c r="F3" s="19"/>
      <c r="H3" s="19" t="s">
        <v>790</v>
      </c>
      <c r="I3" s="19"/>
      <c r="J3" s="19"/>
      <c r="K3" s="19"/>
      <c r="L3" s="19"/>
    </row>
    <row r="4" spans="1:32" ht="27" customHeight="1">
      <c r="B4" s="19" t="s">
        <v>791</v>
      </c>
      <c r="C4" s="19"/>
      <c r="D4" s="19"/>
      <c r="E4" s="19"/>
      <c r="F4" s="19"/>
      <c r="H4" s="19" t="s">
        <v>792</v>
      </c>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HYPERLINK("#Content!A43","&lt;&lt;Back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761</v>
      </c>
      <c r="C12" s="12">
        <v>8618</v>
      </c>
      <c r="D12" s="12">
        <v>340</v>
      </c>
      <c r="E12" s="12">
        <v>296</v>
      </c>
      <c r="F12" s="12">
        <v>137</v>
      </c>
      <c r="G12" s="12">
        <v>322</v>
      </c>
      <c r="H12" s="12">
        <v>406</v>
      </c>
      <c r="I12" s="12">
        <v>464</v>
      </c>
      <c r="J12" s="12">
        <v>57</v>
      </c>
      <c r="K12" s="12">
        <v>98</v>
      </c>
      <c r="L12" s="12">
        <v>395</v>
      </c>
      <c r="M12" s="12">
        <v>390</v>
      </c>
      <c r="N12" s="12">
        <v>387</v>
      </c>
      <c r="O12" s="12">
        <v>438</v>
      </c>
      <c r="P12" s="12">
        <v>377</v>
      </c>
      <c r="Q12" s="12">
        <v>417</v>
      </c>
      <c r="R12" s="12">
        <v>259</v>
      </c>
      <c r="S12" s="12">
        <v>281</v>
      </c>
      <c r="T12" s="12">
        <v>233</v>
      </c>
      <c r="U12" s="12">
        <v>215</v>
      </c>
      <c r="V12" s="12">
        <v>222</v>
      </c>
      <c r="W12" s="12">
        <v>250</v>
      </c>
      <c r="X12" s="12">
        <v>358</v>
      </c>
      <c r="Y12" s="12">
        <v>347</v>
      </c>
      <c r="Z12" s="12">
        <v>108</v>
      </c>
      <c r="AA12" s="12">
        <v>372</v>
      </c>
      <c r="AB12" s="12">
        <v>191</v>
      </c>
      <c r="AC12" s="12">
        <v>356</v>
      </c>
      <c r="AD12" s="12">
        <v>204</v>
      </c>
      <c r="AE12" s="12">
        <v>242</v>
      </c>
      <c r="AF12" s="12">
        <v>349</v>
      </c>
    </row>
    <row r="13" spans="1:32">
      <c r="A13" s="23"/>
      <c r="B13" s="13" t="s">
        <v>762</v>
      </c>
      <c r="C13" s="14">
        <v>0.33</v>
      </c>
      <c r="D13" s="14">
        <v>0.34</v>
      </c>
      <c r="E13" s="14">
        <v>0.28000000000000003</v>
      </c>
      <c r="F13" s="14">
        <v>0.14000000000000001</v>
      </c>
      <c r="G13" s="14">
        <v>0.32</v>
      </c>
      <c r="H13" s="14">
        <v>0.34</v>
      </c>
      <c r="I13" s="14">
        <v>0.31</v>
      </c>
      <c r="J13" s="14">
        <v>0.2</v>
      </c>
      <c r="K13" s="14">
        <v>0.1</v>
      </c>
      <c r="L13" s="14">
        <v>0.39</v>
      </c>
      <c r="M13" s="14">
        <v>0.39</v>
      </c>
      <c r="N13" s="14">
        <v>0.39</v>
      </c>
      <c r="O13" s="14">
        <v>0.43</v>
      </c>
      <c r="P13" s="14">
        <v>0.37</v>
      </c>
      <c r="Q13" s="14">
        <v>0.41</v>
      </c>
      <c r="R13" s="14">
        <v>0.52</v>
      </c>
      <c r="S13" s="14">
        <v>0.28000000000000003</v>
      </c>
      <c r="T13" s="14">
        <v>0.23</v>
      </c>
      <c r="U13" s="14">
        <v>0.43</v>
      </c>
      <c r="V13" s="14">
        <v>0.22</v>
      </c>
      <c r="W13" s="14">
        <v>0.5</v>
      </c>
      <c r="X13" s="14">
        <v>0.35</v>
      </c>
      <c r="Y13" s="14">
        <v>0.35</v>
      </c>
      <c r="Z13" s="14">
        <v>0.11</v>
      </c>
      <c r="AA13" s="14">
        <v>0.36</v>
      </c>
      <c r="AB13" s="14">
        <v>0.18</v>
      </c>
      <c r="AC13" s="14">
        <v>0.35</v>
      </c>
      <c r="AD13" s="14">
        <v>0.2</v>
      </c>
      <c r="AE13" s="14">
        <v>0.24</v>
      </c>
      <c r="AF13" s="14">
        <v>0.32</v>
      </c>
    </row>
    <row r="14" spans="1:32">
      <c r="A14" s="23"/>
      <c r="B14" s="11" t="s">
        <v>763</v>
      </c>
      <c r="C14" s="12">
        <v>11737</v>
      </c>
      <c r="D14" s="12">
        <v>442</v>
      </c>
      <c r="E14" s="12">
        <v>444</v>
      </c>
      <c r="F14" s="12">
        <v>426</v>
      </c>
      <c r="G14" s="12">
        <v>389</v>
      </c>
      <c r="H14" s="12">
        <v>522</v>
      </c>
      <c r="I14" s="12">
        <v>652</v>
      </c>
      <c r="J14" s="12">
        <v>130</v>
      </c>
      <c r="K14" s="12">
        <v>315</v>
      </c>
      <c r="L14" s="12">
        <v>357</v>
      </c>
      <c r="M14" s="12">
        <v>466</v>
      </c>
      <c r="N14" s="12">
        <v>438</v>
      </c>
      <c r="O14" s="12">
        <v>401</v>
      </c>
      <c r="P14" s="12">
        <v>469</v>
      </c>
      <c r="Q14" s="12">
        <v>489</v>
      </c>
      <c r="R14" s="12">
        <v>166</v>
      </c>
      <c r="S14" s="12">
        <v>343</v>
      </c>
      <c r="T14" s="12">
        <v>449</v>
      </c>
      <c r="U14" s="12">
        <v>167</v>
      </c>
      <c r="V14" s="12">
        <v>573</v>
      </c>
      <c r="W14" s="12">
        <v>189</v>
      </c>
      <c r="X14" s="12">
        <v>420</v>
      </c>
      <c r="Y14" s="12">
        <v>375</v>
      </c>
      <c r="Z14" s="12">
        <v>538</v>
      </c>
      <c r="AA14" s="12">
        <v>550</v>
      </c>
      <c r="AB14" s="12">
        <v>487</v>
      </c>
      <c r="AC14" s="12">
        <v>423</v>
      </c>
      <c r="AD14" s="12">
        <v>510</v>
      </c>
      <c r="AE14" s="12">
        <v>413</v>
      </c>
      <c r="AF14" s="12">
        <v>435</v>
      </c>
    </row>
    <row r="15" spans="1:32">
      <c r="A15" s="23"/>
      <c r="B15" s="13" t="s">
        <v>764</v>
      </c>
      <c r="C15" s="14">
        <v>0.45</v>
      </c>
      <c r="D15" s="14">
        <v>0.44</v>
      </c>
      <c r="E15" s="14">
        <v>0.43</v>
      </c>
      <c r="F15" s="14">
        <v>0.42</v>
      </c>
      <c r="G15" s="14">
        <v>0.39</v>
      </c>
      <c r="H15" s="14">
        <v>0.43</v>
      </c>
      <c r="I15" s="14">
        <v>0.43</v>
      </c>
      <c r="J15" s="14">
        <v>0.44</v>
      </c>
      <c r="K15" s="14">
        <v>0.31</v>
      </c>
      <c r="L15" s="14">
        <v>0.35</v>
      </c>
      <c r="M15" s="14">
        <v>0.46</v>
      </c>
      <c r="N15" s="14">
        <v>0.44</v>
      </c>
      <c r="O15" s="14">
        <v>0.4</v>
      </c>
      <c r="P15" s="14">
        <v>0.46</v>
      </c>
      <c r="Q15" s="14">
        <v>0.48</v>
      </c>
      <c r="R15" s="14">
        <v>0.33</v>
      </c>
      <c r="S15" s="14">
        <v>0.34</v>
      </c>
      <c r="T15" s="14">
        <v>0.45</v>
      </c>
      <c r="U15" s="14">
        <v>0.33</v>
      </c>
      <c r="V15" s="14">
        <v>0.57000000000000006</v>
      </c>
      <c r="W15" s="14">
        <v>0.38</v>
      </c>
      <c r="X15" s="14">
        <v>0.42</v>
      </c>
      <c r="Y15" s="14">
        <v>0.37</v>
      </c>
      <c r="Z15" s="14">
        <v>0.53</v>
      </c>
      <c r="AA15" s="14">
        <v>0.53</v>
      </c>
      <c r="AB15" s="14">
        <v>0.47</v>
      </c>
      <c r="AC15" s="14">
        <v>0.42</v>
      </c>
      <c r="AD15" s="14">
        <v>0.51</v>
      </c>
      <c r="AE15" s="14">
        <v>0.41</v>
      </c>
      <c r="AF15" s="14">
        <v>0.41</v>
      </c>
    </row>
    <row r="16" spans="1:32" ht="23.25">
      <c r="A16" s="23"/>
      <c r="B16" s="11" t="s">
        <v>765</v>
      </c>
      <c r="C16" s="12">
        <v>4619</v>
      </c>
      <c r="D16" s="12">
        <v>195</v>
      </c>
      <c r="E16" s="12">
        <v>213</v>
      </c>
      <c r="F16" s="12">
        <v>306</v>
      </c>
      <c r="G16" s="12">
        <v>222</v>
      </c>
      <c r="H16" s="12">
        <v>240</v>
      </c>
      <c r="I16" s="12">
        <v>317</v>
      </c>
      <c r="J16" s="12">
        <v>77</v>
      </c>
      <c r="K16" s="12">
        <v>362</v>
      </c>
      <c r="L16" s="12">
        <v>165</v>
      </c>
      <c r="M16" s="12">
        <v>133</v>
      </c>
      <c r="N16" s="12">
        <v>126</v>
      </c>
      <c r="O16" s="12">
        <v>120</v>
      </c>
      <c r="P16" s="12">
        <v>136</v>
      </c>
      <c r="Q16" s="12">
        <v>93</v>
      </c>
      <c r="R16" s="12">
        <v>55</v>
      </c>
      <c r="S16" s="12">
        <v>199</v>
      </c>
      <c r="T16" s="12">
        <v>233</v>
      </c>
      <c r="U16" s="12">
        <v>74</v>
      </c>
      <c r="V16" s="12">
        <v>183</v>
      </c>
      <c r="W16" s="12">
        <v>46</v>
      </c>
      <c r="X16" s="12">
        <v>174</v>
      </c>
      <c r="Y16" s="12">
        <v>199</v>
      </c>
      <c r="Z16" s="12">
        <v>307</v>
      </c>
      <c r="AA16" s="12">
        <v>86</v>
      </c>
      <c r="AB16" s="12">
        <v>274</v>
      </c>
      <c r="AC16" s="12">
        <v>165</v>
      </c>
      <c r="AD16" s="12">
        <v>232</v>
      </c>
      <c r="AE16" s="12">
        <v>250</v>
      </c>
      <c r="AF16" s="12">
        <v>220</v>
      </c>
    </row>
    <row r="17" spans="1:32">
      <c r="A17" s="23"/>
      <c r="B17" s="13" t="s">
        <v>766</v>
      </c>
      <c r="C17" s="14">
        <v>0.17</v>
      </c>
      <c r="D17" s="14">
        <v>0.19</v>
      </c>
      <c r="E17" s="14">
        <v>0.2</v>
      </c>
      <c r="F17" s="14">
        <v>0.3</v>
      </c>
      <c r="G17" s="14">
        <v>0.22</v>
      </c>
      <c r="H17" s="14">
        <v>0.2</v>
      </c>
      <c r="I17" s="14">
        <v>0.21</v>
      </c>
      <c r="J17" s="14">
        <v>0.26</v>
      </c>
      <c r="K17" s="14">
        <v>0.36</v>
      </c>
      <c r="L17" s="14">
        <v>0.16</v>
      </c>
      <c r="M17" s="14">
        <v>0.13</v>
      </c>
      <c r="N17" s="14">
        <v>0.12</v>
      </c>
      <c r="O17" s="14">
        <v>0.12</v>
      </c>
      <c r="P17" s="14">
        <v>0.14000000000000001</v>
      </c>
      <c r="Q17" s="14">
        <v>0.09</v>
      </c>
      <c r="R17" s="14">
        <v>0.11</v>
      </c>
      <c r="S17" s="14">
        <v>0.2</v>
      </c>
      <c r="T17" s="14">
        <v>0.23</v>
      </c>
      <c r="U17" s="14">
        <v>0.15</v>
      </c>
      <c r="V17" s="14">
        <v>0.18</v>
      </c>
      <c r="W17" s="14">
        <v>0.09</v>
      </c>
      <c r="X17" s="14">
        <v>0.17</v>
      </c>
      <c r="Y17" s="14">
        <v>0.2</v>
      </c>
      <c r="Z17" s="14">
        <v>0.3</v>
      </c>
      <c r="AA17" s="14">
        <v>0.08</v>
      </c>
      <c r="AB17" s="14">
        <v>0.27</v>
      </c>
      <c r="AC17" s="14">
        <v>0.17</v>
      </c>
      <c r="AD17" s="14">
        <v>0.23</v>
      </c>
      <c r="AE17" s="14">
        <v>0.25</v>
      </c>
      <c r="AF17" s="14">
        <v>0.21</v>
      </c>
    </row>
    <row r="18" spans="1:32" ht="23.25">
      <c r="A18" s="23"/>
      <c r="B18" s="11" t="s">
        <v>767</v>
      </c>
      <c r="C18" s="12">
        <v>1246</v>
      </c>
      <c r="D18" s="12">
        <v>28</v>
      </c>
      <c r="E18" s="12">
        <v>79</v>
      </c>
      <c r="F18" s="12">
        <v>112</v>
      </c>
      <c r="G18" s="12">
        <v>63</v>
      </c>
      <c r="H18" s="12">
        <v>39</v>
      </c>
      <c r="I18" s="12">
        <v>68</v>
      </c>
      <c r="J18" s="12">
        <v>29</v>
      </c>
      <c r="K18" s="12">
        <v>209</v>
      </c>
      <c r="L18" s="12">
        <v>85</v>
      </c>
      <c r="M18" s="12">
        <v>19</v>
      </c>
      <c r="N18" s="12">
        <v>43</v>
      </c>
      <c r="O18" s="12">
        <v>39</v>
      </c>
      <c r="P18" s="12">
        <v>28</v>
      </c>
      <c r="Q18" s="12">
        <v>18</v>
      </c>
      <c r="R18" s="12">
        <v>22</v>
      </c>
      <c r="S18" s="12">
        <v>179</v>
      </c>
      <c r="T18" s="12">
        <v>86</v>
      </c>
      <c r="U18" s="12">
        <v>46</v>
      </c>
      <c r="V18" s="12">
        <v>32</v>
      </c>
      <c r="W18" s="12">
        <v>16</v>
      </c>
      <c r="X18" s="12">
        <v>64</v>
      </c>
      <c r="Y18" s="12">
        <v>82</v>
      </c>
      <c r="Z18" s="12">
        <v>62</v>
      </c>
      <c r="AA18" s="12">
        <v>25</v>
      </c>
      <c r="AB18" s="12">
        <v>71</v>
      </c>
      <c r="AC18" s="12">
        <v>59</v>
      </c>
      <c r="AD18" s="12">
        <v>52</v>
      </c>
      <c r="AE18" s="12">
        <v>98</v>
      </c>
      <c r="AF18" s="12">
        <v>69</v>
      </c>
    </row>
    <row r="19" spans="1:32">
      <c r="A19" s="23"/>
      <c r="B19" s="13" t="s">
        <v>768</v>
      </c>
      <c r="C19" s="14">
        <v>0.05</v>
      </c>
      <c r="D19" s="14">
        <v>0.03</v>
      </c>
      <c r="E19" s="14">
        <v>0.08</v>
      </c>
      <c r="F19" s="14">
        <v>0.11</v>
      </c>
      <c r="G19" s="14">
        <v>0.06</v>
      </c>
      <c r="H19" s="14">
        <v>0.03</v>
      </c>
      <c r="I19" s="14">
        <v>0.05</v>
      </c>
      <c r="J19" s="14">
        <v>0.1</v>
      </c>
      <c r="K19" s="14">
        <v>0.21</v>
      </c>
      <c r="L19" s="14">
        <v>0.09</v>
      </c>
      <c r="M19" s="14">
        <v>0.02</v>
      </c>
      <c r="N19" s="14">
        <v>0.04</v>
      </c>
      <c r="O19" s="14">
        <v>0.04</v>
      </c>
      <c r="P19" s="14">
        <v>0.03</v>
      </c>
      <c r="Q19" s="14">
        <v>0.02</v>
      </c>
      <c r="R19" s="14">
        <v>0.04</v>
      </c>
      <c r="S19" s="14">
        <v>0.18</v>
      </c>
      <c r="T19" s="14">
        <v>0.09</v>
      </c>
      <c r="U19" s="14">
        <v>0.09</v>
      </c>
      <c r="V19" s="14">
        <v>0.03</v>
      </c>
      <c r="W19" s="14">
        <v>0.03</v>
      </c>
      <c r="X19" s="14">
        <v>0.06</v>
      </c>
      <c r="Y19" s="14">
        <v>0.08</v>
      </c>
      <c r="Z19" s="14">
        <v>0.06</v>
      </c>
      <c r="AA19" s="14">
        <v>0.02</v>
      </c>
      <c r="AB19" s="14">
        <v>7.0000000000000007E-2</v>
      </c>
      <c r="AC19" s="14">
        <v>0.06</v>
      </c>
      <c r="AD19" s="14">
        <v>0.05</v>
      </c>
      <c r="AE19" s="14">
        <v>0.1</v>
      </c>
      <c r="AF19" s="14">
        <v>0.06</v>
      </c>
    </row>
    <row r="20" spans="1:32">
      <c r="A20" s="23"/>
      <c r="B20" s="11" t="s">
        <v>497</v>
      </c>
      <c r="C20" s="12">
        <v>133</v>
      </c>
      <c r="D20" s="12">
        <v>1</v>
      </c>
      <c r="E20" s="12">
        <v>12</v>
      </c>
      <c r="F20" s="12">
        <v>26</v>
      </c>
      <c r="G20" s="12">
        <v>6</v>
      </c>
      <c r="H20" s="12">
        <v>3</v>
      </c>
      <c r="I20" s="12">
        <v>3</v>
      </c>
      <c r="J20" s="12">
        <v>0</v>
      </c>
      <c r="K20" s="12">
        <v>20</v>
      </c>
      <c r="L20" s="12">
        <v>5</v>
      </c>
      <c r="M20" s="12">
        <v>2</v>
      </c>
      <c r="N20" s="12">
        <v>6</v>
      </c>
      <c r="O20" s="12">
        <v>8</v>
      </c>
      <c r="P20" s="12">
        <v>1</v>
      </c>
      <c r="Q20" s="12">
        <v>7</v>
      </c>
      <c r="R20" s="12">
        <v>1</v>
      </c>
      <c r="S20" s="12">
        <v>3</v>
      </c>
      <c r="T20" s="12">
        <v>2</v>
      </c>
      <c r="U20" s="12">
        <v>2</v>
      </c>
      <c r="V20" s="12">
        <v>1</v>
      </c>
      <c r="W20" s="12">
        <v>2</v>
      </c>
      <c r="X20" s="12">
        <v>0</v>
      </c>
      <c r="Y20" s="12">
        <v>3</v>
      </c>
      <c r="Z20" s="12">
        <v>3</v>
      </c>
      <c r="AA20" s="12">
        <v>6</v>
      </c>
      <c r="AB20" s="12">
        <v>8</v>
      </c>
      <c r="AC20" s="12">
        <v>2</v>
      </c>
      <c r="AD20" s="12">
        <v>4</v>
      </c>
      <c r="AE20" s="12">
        <v>5</v>
      </c>
      <c r="AF20" s="12">
        <v>0</v>
      </c>
    </row>
    <row r="21" spans="1:32">
      <c r="A21" s="23"/>
      <c r="B21" s="13" t="s">
        <v>498</v>
      </c>
      <c r="C21" s="15" t="s">
        <v>485</v>
      </c>
      <c r="D21" s="15" t="s">
        <v>485</v>
      </c>
      <c r="E21" s="14">
        <v>0.01</v>
      </c>
      <c r="F21" s="14">
        <v>0.03</v>
      </c>
      <c r="G21" s="14">
        <v>0.01</v>
      </c>
      <c r="H21" s="15" t="s">
        <v>485</v>
      </c>
      <c r="I21" s="15" t="s">
        <v>485</v>
      </c>
      <c r="J21" s="15" t="s">
        <v>485</v>
      </c>
      <c r="K21" s="14">
        <v>0.02</v>
      </c>
      <c r="L21" s="14">
        <v>0.01</v>
      </c>
      <c r="M21" s="15" t="s">
        <v>485</v>
      </c>
      <c r="N21" s="14">
        <v>0.01</v>
      </c>
      <c r="O21" s="14">
        <v>0.01</v>
      </c>
      <c r="P21" s="15" t="s">
        <v>485</v>
      </c>
      <c r="Q21" s="15" t="s">
        <v>485</v>
      </c>
      <c r="R21" s="15" t="s">
        <v>485</v>
      </c>
      <c r="S21" s="15" t="s">
        <v>485</v>
      </c>
      <c r="T21" s="15" t="s">
        <v>485</v>
      </c>
      <c r="U21" s="15" t="s">
        <v>485</v>
      </c>
      <c r="V21" s="15" t="s">
        <v>485</v>
      </c>
      <c r="W21" s="15" t="s">
        <v>485</v>
      </c>
      <c r="X21" s="15" t="s">
        <v>485</v>
      </c>
      <c r="Y21" s="15" t="s">
        <v>485</v>
      </c>
      <c r="Z21" s="15" t="s">
        <v>485</v>
      </c>
      <c r="AA21" s="14">
        <v>0.01</v>
      </c>
      <c r="AB21" s="14">
        <v>0.01</v>
      </c>
      <c r="AC21" s="15" t="s">
        <v>485</v>
      </c>
      <c r="AD21" s="14">
        <v>0.01</v>
      </c>
      <c r="AE21" s="15" t="s">
        <v>485</v>
      </c>
      <c r="AF21" s="15" t="s">
        <v>485</v>
      </c>
    </row>
    <row r="22" spans="1:32">
      <c r="A22" s="23"/>
      <c r="B22" s="11" t="s">
        <v>769</v>
      </c>
      <c r="C22" s="12">
        <v>20355</v>
      </c>
      <c r="D22" s="12">
        <v>782</v>
      </c>
      <c r="E22" s="12">
        <v>740</v>
      </c>
      <c r="F22" s="12">
        <v>563</v>
      </c>
      <c r="G22" s="12">
        <v>711</v>
      </c>
      <c r="H22" s="12">
        <v>928</v>
      </c>
      <c r="I22" s="12">
        <v>1116</v>
      </c>
      <c r="J22" s="12">
        <v>187</v>
      </c>
      <c r="K22" s="12">
        <v>413</v>
      </c>
      <c r="L22" s="12">
        <v>752</v>
      </c>
      <c r="M22" s="12">
        <v>856</v>
      </c>
      <c r="N22" s="12">
        <v>825</v>
      </c>
      <c r="O22" s="12">
        <v>839</v>
      </c>
      <c r="P22" s="12">
        <v>846</v>
      </c>
      <c r="Q22" s="12">
        <v>906</v>
      </c>
      <c r="R22" s="12">
        <v>425</v>
      </c>
      <c r="S22" s="12">
        <v>624</v>
      </c>
      <c r="T22" s="12">
        <v>682</v>
      </c>
      <c r="U22" s="12">
        <v>382</v>
      </c>
      <c r="V22" s="12">
        <v>795</v>
      </c>
      <c r="W22" s="12">
        <v>439</v>
      </c>
      <c r="X22" s="12">
        <v>778</v>
      </c>
      <c r="Y22" s="12">
        <v>722</v>
      </c>
      <c r="Z22" s="12">
        <v>646</v>
      </c>
      <c r="AA22" s="12">
        <v>922</v>
      </c>
      <c r="AB22" s="12">
        <v>678</v>
      </c>
      <c r="AC22" s="12">
        <v>779</v>
      </c>
      <c r="AD22" s="12">
        <v>714</v>
      </c>
      <c r="AE22" s="12">
        <v>655</v>
      </c>
      <c r="AF22" s="12">
        <v>784</v>
      </c>
    </row>
    <row r="23" spans="1:32">
      <c r="A23" s="23"/>
      <c r="B23" s="13" t="s">
        <v>770</v>
      </c>
      <c r="C23" s="14">
        <v>0.78</v>
      </c>
      <c r="D23" s="14">
        <v>0.78</v>
      </c>
      <c r="E23" s="14">
        <v>0.71</v>
      </c>
      <c r="F23" s="14">
        <v>0.56000000000000005</v>
      </c>
      <c r="G23" s="14">
        <v>0.71</v>
      </c>
      <c r="H23" s="14">
        <v>0.77</v>
      </c>
      <c r="I23" s="14">
        <v>0.74</v>
      </c>
      <c r="J23" s="14">
        <v>0.64</v>
      </c>
      <c r="K23" s="14">
        <v>0.41</v>
      </c>
      <c r="L23" s="14">
        <v>0.74</v>
      </c>
      <c r="M23" s="14">
        <v>0.85</v>
      </c>
      <c r="N23" s="14">
        <v>0.83000000000000007</v>
      </c>
      <c r="O23" s="14">
        <v>0.83000000000000007</v>
      </c>
      <c r="P23" s="14">
        <v>0.83000000000000007</v>
      </c>
      <c r="Q23" s="14">
        <v>0.89</v>
      </c>
      <c r="R23" s="14">
        <v>0.85</v>
      </c>
      <c r="S23" s="14">
        <v>0.62</v>
      </c>
      <c r="T23" s="14">
        <v>0.68</v>
      </c>
      <c r="U23" s="14">
        <v>0.76</v>
      </c>
      <c r="V23" s="14">
        <v>0.79</v>
      </c>
      <c r="W23" s="14">
        <v>0.88</v>
      </c>
      <c r="X23" s="14">
        <v>0.77</v>
      </c>
      <c r="Y23" s="14">
        <v>0.72</v>
      </c>
      <c r="Z23" s="14">
        <v>0.64</v>
      </c>
      <c r="AA23" s="14">
        <v>0.89</v>
      </c>
      <c r="AB23" s="14">
        <v>0.65</v>
      </c>
      <c r="AC23" s="14">
        <v>0.77</v>
      </c>
      <c r="AD23" s="14">
        <v>0.71</v>
      </c>
      <c r="AE23" s="14">
        <v>0.65</v>
      </c>
      <c r="AF23" s="14">
        <v>0.73</v>
      </c>
    </row>
    <row r="24" spans="1:32">
      <c r="A24" s="23"/>
      <c r="B24" s="11" t="s">
        <v>771</v>
      </c>
      <c r="C24" s="12">
        <v>5865</v>
      </c>
      <c r="D24" s="12">
        <v>223</v>
      </c>
      <c r="E24" s="12">
        <v>292</v>
      </c>
      <c r="F24" s="12">
        <v>418</v>
      </c>
      <c r="G24" s="12">
        <v>285</v>
      </c>
      <c r="H24" s="12">
        <v>279</v>
      </c>
      <c r="I24" s="12">
        <v>385</v>
      </c>
      <c r="J24" s="12">
        <v>106</v>
      </c>
      <c r="K24" s="12">
        <v>571</v>
      </c>
      <c r="L24" s="12">
        <v>250</v>
      </c>
      <c r="M24" s="12">
        <v>152</v>
      </c>
      <c r="N24" s="12">
        <v>169</v>
      </c>
      <c r="O24" s="12">
        <v>159</v>
      </c>
      <c r="P24" s="12">
        <v>164</v>
      </c>
      <c r="Q24" s="12">
        <v>111</v>
      </c>
      <c r="R24" s="12">
        <v>77</v>
      </c>
      <c r="S24" s="12">
        <v>378</v>
      </c>
      <c r="T24" s="12">
        <v>319</v>
      </c>
      <c r="U24" s="12">
        <v>120</v>
      </c>
      <c r="V24" s="12">
        <v>215</v>
      </c>
      <c r="W24" s="12">
        <v>62</v>
      </c>
      <c r="X24" s="12">
        <v>238</v>
      </c>
      <c r="Y24" s="12">
        <v>281</v>
      </c>
      <c r="Z24" s="12">
        <v>369</v>
      </c>
      <c r="AA24" s="12">
        <v>111</v>
      </c>
      <c r="AB24" s="12">
        <v>345</v>
      </c>
      <c r="AC24" s="12">
        <v>224</v>
      </c>
      <c r="AD24" s="12">
        <v>284</v>
      </c>
      <c r="AE24" s="12">
        <v>348</v>
      </c>
      <c r="AF24" s="12">
        <v>289</v>
      </c>
    </row>
    <row r="25" spans="1:32">
      <c r="A25" s="23"/>
      <c r="B25" s="13" t="s">
        <v>772</v>
      </c>
      <c r="C25" s="14">
        <v>0.22</v>
      </c>
      <c r="D25" s="14">
        <v>0.22</v>
      </c>
      <c r="E25" s="14">
        <v>0.28000000000000003</v>
      </c>
      <c r="F25" s="14">
        <v>0.41</v>
      </c>
      <c r="G25" s="14">
        <v>0.28000000000000003</v>
      </c>
      <c r="H25" s="14">
        <v>0.23</v>
      </c>
      <c r="I25" s="14">
        <v>0.26</v>
      </c>
      <c r="J25" s="14">
        <v>0.36</v>
      </c>
      <c r="K25" s="14">
        <v>0.57000000000000006</v>
      </c>
      <c r="L25" s="14">
        <v>0.25</v>
      </c>
      <c r="M25" s="14">
        <v>0.15</v>
      </c>
      <c r="N25" s="14">
        <v>0.16</v>
      </c>
      <c r="O25" s="14">
        <v>0.16</v>
      </c>
      <c r="P25" s="14">
        <v>0.17</v>
      </c>
      <c r="Q25" s="14">
        <v>0.11</v>
      </c>
      <c r="R25" s="14">
        <v>0.15</v>
      </c>
      <c r="S25" s="14">
        <v>0.38</v>
      </c>
      <c r="T25" s="14">
        <v>0.32</v>
      </c>
      <c r="U25" s="14">
        <v>0.24</v>
      </c>
      <c r="V25" s="14">
        <v>0.21</v>
      </c>
      <c r="W25" s="14">
        <v>0.12</v>
      </c>
      <c r="X25" s="14">
        <v>0.23</v>
      </c>
      <c r="Y25" s="14">
        <v>0.28000000000000003</v>
      </c>
      <c r="Z25" s="14">
        <v>0.36</v>
      </c>
      <c r="AA25" s="14">
        <v>0.1</v>
      </c>
      <c r="AB25" s="14">
        <v>0.34</v>
      </c>
      <c r="AC25" s="14">
        <v>0.23</v>
      </c>
      <c r="AD25" s="14">
        <v>0.28000000000000003</v>
      </c>
      <c r="AE25" s="14">
        <v>0.35</v>
      </c>
      <c r="AF25" s="14">
        <v>0.27</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793</v>
      </c>
      <c r="C3" s="19"/>
      <c r="D3" s="19"/>
      <c r="E3" s="19"/>
      <c r="F3" s="19"/>
      <c r="H3" s="19" t="s">
        <v>794</v>
      </c>
      <c r="I3" s="19"/>
      <c r="J3" s="19"/>
      <c r="K3" s="19"/>
      <c r="L3" s="19"/>
    </row>
    <row r="4" spans="1:32" ht="27" customHeight="1">
      <c r="B4" s="19" t="s">
        <v>795</v>
      </c>
      <c r="C4" s="19"/>
      <c r="D4" s="19"/>
      <c r="E4" s="19"/>
      <c r="F4" s="19"/>
      <c r="H4" s="19" t="s">
        <v>796</v>
      </c>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HYPERLINK("#Content!A44","&lt;&lt;Back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761</v>
      </c>
      <c r="C12" s="12">
        <v>8164</v>
      </c>
      <c r="D12" s="12">
        <v>294</v>
      </c>
      <c r="E12" s="12">
        <v>310</v>
      </c>
      <c r="F12" s="12">
        <v>163</v>
      </c>
      <c r="G12" s="12">
        <v>242</v>
      </c>
      <c r="H12" s="12">
        <v>527</v>
      </c>
      <c r="I12" s="12">
        <v>647</v>
      </c>
      <c r="J12" s="12">
        <v>120</v>
      </c>
      <c r="K12" s="12">
        <v>166</v>
      </c>
      <c r="L12" s="12">
        <v>248</v>
      </c>
      <c r="M12" s="12">
        <v>209</v>
      </c>
      <c r="N12" s="12">
        <v>348</v>
      </c>
      <c r="O12" s="12">
        <v>270</v>
      </c>
      <c r="P12" s="12">
        <v>273</v>
      </c>
      <c r="Q12" s="12">
        <v>309</v>
      </c>
      <c r="R12" s="12">
        <v>217</v>
      </c>
      <c r="S12" s="12">
        <v>252</v>
      </c>
      <c r="T12" s="12">
        <v>152</v>
      </c>
      <c r="U12" s="12">
        <v>177</v>
      </c>
      <c r="V12" s="12">
        <v>243</v>
      </c>
      <c r="W12" s="12">
        <v>206</v>
      </c>
      <c r="X12" s="12">
        <v>512</v>
      </c>
      <c r="Y12" s="12">
        <v>396</v>
      </c>
      <c r="Z12" s="12">
        <v>149</v>
      </c>
      <c r="AA12" s="12">
        <v>259</v>
      </c>
      <c r="AB12" s="12">
        <v>260</v>
      </c>
      <c r="AC12" s="12">
        <v>252</v>
      </c>
      <c r="AD12" s="12">
        <v>274</v>
      </c>
      <c r="AE12" s="12">
        <v>268</v>
      </c>
      <c r="AF12" s="12">
        <v>361</v>
      </c>
    </row>
    <row r="13" spans="1:32">
      <c r="A13" s="23"/>
      <c r="B13" s="13" t="s">
        <v>762</v>
      </c>
      <c r="C13" s="14">
        <v>0.31</v>
      </c>
      <c r="D13" s="14">
        <v>0.28999999999999998</v>
      </c>
      <c r="E13" s="14">
        <v>0.3</v>
      </c>
      <c r="F13" s="14">
        <v>0.16</v>
      </c>
      <c r="G13" s="14">
        <v>0.24</v>
      </c>
      <c r="H13" s="14">
        <v>0.44</v>
      </c>
      <c r="I13" s="14">
        <v>0.43</v>
      </c>
      <c r="J13" s="14">
        <v>0.41</v>
      </c>
      <c r="K13" s="14">
        <v>0.16</v>
      </c>
      <c r="L13" s="14">
        <v>0.25</v>
      </c>
      <c r="M13" s="14">
        <v>0.2</v>
      </c>
      <c r="N13" s="14">
        <v>0.35</v>
      </c>
      <c r="O13" s="14">
        <v>0.27</v>
      </c>
      <c r="P13" s="14">
        <v>0.27</v>
      </c>
      <c r="Q13" s="14">
        <v>0.3</v>
      </c>
      <c r="R13" s="14">
        <v>0.43</v>
      </c>
      <c r="S13" s="14">
        <v>0.25</v>
      </c>
      <c r="T13" s="14">
        <v>0.15</v>
      </c>
      <c r="U13" s="14">
        <v>0.35</v>
      </c>
      <c r="V13" s="14">
        <v>0.24</v>
      </c>
      <c r="W13" s="14">
        <v>0.41</v>
      </c>
      <c r="X13" s="14">
        <v>0.51</v>
      </c>
      <c r="Y13" s="14">
        <v>0.39</v>
      </c>
      <c r="Z13" s="14">
        <v>0.14000000000000001</v>
      </c>
      <c r="AA13" s="14">
        <v>0.25</v>
      </c>
      <c r="AB13" s="14">
        <v>0.25</v>
      </c>
      <c r="AC13" s="14">
        <v>0.25</v>
      </c>
      <c r="AD13" s="14">
        <v>0.27</v>
      </c>
      <c r="AE13" s="14">
        <v>0.26</v>
      </c>
      <c r="AF13" s="14">
        <v>0.34</v>
      </c>
    </row>
    <row r="14" spans="1:32">
      <c r="A14" s="23"/>
      <c r="B14" s="11" t="s">
        <v>763</v>
      </c>
      <c r="C14" s="12">
        <v>10823</v>
      </c>
      <c r="D14" s="12">
        <v>445</v>
      </c>
      <c r="E14" s="12">
        <v>370</v>
      </c>
      <c r="F14" s="12">
        <v>461</v>
      </c>
      <c r="G14" s="12">
        <v>367</v>
      </c>
      <c r="H14" s="12">
        <v>481</v>
      </c>
      <c r="I14" s="12">
        <v>593</v>
      </c>
      <c r="J14" s="12">
        <v>112</v>
      </c>
      <c r="K14" s="12">
        <v>333</v>
      </c>
      <c r="L14" s="12">
        <v>408</v>
      </c>
      <c r="M14" s="12">
        <v>433</v>
      </c>
      <c r="N14" s="12">
        <v>362</v>
      </c>
      <c r="O14" s="12">
        <v>327</v>
      </c>
      <c r="P14" s="12">
        <v>485</v>
      </c>
      <c r="Q14" s="12">
        <v>497</v>
      </c>
      <c r="R14" s="12">
        <v>182</v>
      </c>
      <c r="S14" s="12">
        <v>299</v>
      </c>
      <c r="T14" s="12">
        <v>377</v>
      </c>
      <c r="U14" s="12">
        <v>171</v>
      </c>
      <c r="V14" s="12">
        <v>496</v>
      </c>
      <c r="W14" s="12">
        <v>152</v>
      </c>
      <c r="X14" s="12">
        <v>390</v>
      </c>
      <c r="Y14" s="12">
        <v>385</v>
      </c>
      <c r="Z14" s="12">
        <v>497</v>
      </c>
      <c r="AA14" s="12">
        <v>493</v>
      </c>
      <c r="AB14" s="12">
        <v>472</v>
      </c>
      <c r="AC14" s="12">
        <v>407</v>
      </c>
      <c r="AD14" s="12">
        <v>467</v>
      </c>
      <c r="AE14" s="12">
        <v>440</v>
      </c>
      <c r="AF14" s="12">
        <v>440</v>
      </c>
    </row>
    <row r="15" spans="1:32">
      <c r="A15" s="23"/>
      <c r="B15" s="13" t="s">
        <v>764</v>
      </c>
      <c r="C15" s="14">
        <v>0.41</v>
      </c>
      <c r="D15" s="14">
        <v>0.44</v>
      </c>
      <c r="E15" s="14">
        <v>0.35</v>
      </c>
      <c r="F15" s="14">
        <v>0.46</v>
      </c>
      <c r="G15" s="14">
        <v>0.37</v>
      </c>
      <c r="H15" s="14">
        <v>0.4</v>
      </c>
      <c r="I15" s="14">
        <v>0.39</v>
      </c>
      <c r="J15" s="14">
        <v>0.38</v>
      </c>
      <c r="K15" s="14">
        <v>0.33</v>
      </c>
      <c r="L15" s="14">
        <v>0.41</v>
      </c>
      <c r="M15" s="14">
        <v>0.43</v>
      </c>
      <c r="N15" s="14">
        <v>0.36</v>
      </c>
      <c r="O15" s="14">
        <v>0.32</v>
      </c>
      <c r="P15" s="14">
        <v>0.48</v>
      </c>
      <c r="Q15" s="14">
        <v>0.49</v>
      </c>
      <c r="R15" s="14">
        <v>0.36</v>
      </c>
      <c r="S15" s="14">
        <v>0.3</v>
      </c>
      <c r="T15" s="14">
        <v>0.38</v>
      </c>
      <c r="U15" s="14">
        <v>0.34</v>
      </c>
      <c r="V15" s="14">
        <v>0.49</v>
      </c>
      <c r="W15" s="14">
        <v>0.3</v>
      </c>
      <c r="X15" s="14">
        <v>0.38</v>
      </c>
      <c r="Y15" s="14">
        <v>0.38</v>
      </c>
      <c r="Z15" s="14">
        <v>0.49</v>
      </c>
      <c r="AA15" s="14">
        <v>0.47</v>
      </c>
      <c r="AB15" s="14">
        <v>0.46</v>
      </c>
      <c r="AC15" s="14">
        <v>0.41</v>
      </c>
      <c r="AD15" s="14">
        <v>0.47</v>
      </c>
      <c r="AE15" s="14">
        <v>0.44</v>
      </c>
      <c r="AF15" s="14">
        <v>0.41</v>
      </c>
    </row>
    <row r="16" spans="1:32" ht="23.25">
      <c r="A16" s="23"/>
      <c r="B16" s="11" t="s">
        <v>765</v>
      </c>
      <c r="C16" s="12">
        <v>4670</v>
      </c>
      <c r="D16" s="12">
        <v>214</v>
      </c>
      <c r="E16" s="12">
        <v>231</v>
      </c>
      <c r="F16" s="12">
        <v>243</v>
      </c>
      <c r="G16" s="12">
        <v>270</v>
      </c>
      <c r="H16" s="12">
        <v>146</v>
      </c>
      <c r="I16" s="12">
        <v>188</v>
      </c>
      <c r="J16" s="12">
        <v>42</v>
      </c>
      <c r="K16" s="12">
        <v>288</v>
      </c>
      <c r="L16" s="12">
        <v>233</v>
      </c>
      <c r="M16" s="12">
        <v>231</v>
      </c>
      <c r="N16" s="12">
        <v>157</v>
      </c>
      <c r="O16" s="12">
        <v>205</v>
      </c>
      <c r="P16" s="12">
        <v>201</v>
      </c>
      <c r="Q16" s="12">
        <v>137</v>
      </c>
      <c r="R16" s="12">
        <v>54</v>
      </c>
      <c r="S16" s="12">
        <v>195</v>
      </c>
      <c r="T16" s="12">
        <v>286</v>
      </c>
      <c r="U16" s="12">
        <v>97</v>
      </c>
      <c r="V16" s="12">
        <v>202</v>
      </c>
      <c r="W16" s="12">
        <v>99</v>
      </c>
      <c r="X16" s="12">
        <v>94</v>
      </c>
      <c r="Y16" s="12">
        <v>155</v>
      </c>
      <c r="Z16" s="12">
        <v>272</v>
      </c>
      <c r="AA16" s="12">
        <v>163</v>
      </c>
      <c r="AB16" s="12">
        <v>237</v>
      </c>
      <c r="AC16" s="12">
        <v>233</v>
      </c>
      <c r="AD16" s="12">
        <v>163</v>
      </c>
      <c r="AE16" s="12">
        <v>213</v>
      </c>
      <c r="AF16" s="12">
        <v>217</v>
      </c>
    </row>
    <row r="17" spans="1:32">
      <c r="A17" s="23"/>
      <c r="B17" s="13" t="s">
        <v>766</v>
      </c>
      <c r="C17" s="14">
        <v>0.18</v>
      </c>
      <c r="D17" s="14">
        <v>0.21</v>
      </c>
      <c r="E17" s="14">
        <v>0.22</v>
      </c>
      <c r="F17" s="14">
        <v>0.24</v>
      </c>
      <c r="G17" s="14">
        <v>0.27</v>
      </c>
      <c r="H17" s="14">
        <v>0.12</v>
      </c>
      <c r="I17" s="14">
        <v>0.13</v>
      </c>
      <c r="J17" s="14">
        <v>0.14000000000000001</v>
      </c>
      <c r="K17" s="14">
        <v>0.28999999999999998</v>
      </c>
      <c r="L17" s="14">
        <v>0.23</v>
      </c>
      <c r="M17" s="14">
        <v>0.23</v>
      </c>
      <c r="N17" s="14">
        <v>0.16</v>
      </c>
      <c r="O17" s="14">
        <v>0.2</v>
      </c>
      <c r="P17" s="14">
        <v>0.2</v>
      </c>
      <c r="Q17" s="14">
        <v>0.13</v>
      </c>
      <c r="R17" s="14">
        <v>0.11</v>
      </c>
      <c r="S17" s="14">
        <v>0.19</v>
      </c>
      <c r="T17" s="14">
        <v>0.28000000000000003</v>
      </c>
      <c r="U17" s="14">
        <v>0.19</v>
      </c>
      <c r="V17" s="14">
        <v>0.2</v>
      </c>
      <c r="W17" s="14">
        <v>0.2</v>
      </c>
      <c r="X17" s="14">
        <v>0.09</v>
      </c>
      <c r="Y17" s="14">
        <v>0.16</v>
      </c>
      <c r="Z17" s="14">
        <v>0.27</v>
      </c>
      <c r="AA17" s="14">
        <v>0.16</v>
      </c>
      <c r="AB17" s="14">
        <v>0.23</v>
      </c>
      <c r="AC17" s="14">
        <v>0.23</v>
      </c>
      <c r="AD17" s="14">
        <v>0.16</v>
      </c>
      <c r="AE17" s="14">
        <v>0.21</v>
      </c>
      <c r="AF17" s="14">
        <v>0.2</v>
      </c>
    </row>
    <row r="18" spans="1:32" ht="23.25">
      <c r="A18" s="23"/>
      <c r="B18" s="11" t="s">
        <v>767</v>
      </c>
      <c r="C18" s="12">
        <v>1463</v>
      </c>
      <c r="D18" s="12">
        <v>46</v>
      </c>
      <c r="E18" s="12">
        <v>69</v>
      </c>
      <c r="F18" s="12">
        <v>81</v>
      </c>
      <c r="G18" s="12">
        <v>91</v>
      </c>
      <c r="H18" s="12">
        <v>27</v>
      </c>
      <c r="I18" s="12">
        <v>41</v>
      </c>
      <c r="J18" s="12">
        <v>14</v>
      </c>
      <c r="K18" s="12">
        <v>152</v>
      </c>
      <c r="L18" s="12">
        <v>66</v>
      </c>
      <c r="M18" s="12">
        <v>110</v>
      </c>
      <c r="N18" s="12">
        <v>74</v>
      </c>
      <c r="O18" s="12">
        <v>96</v>
      </c>
      <c r="P18" s="12">
        <v>34</v>
      </c>
      <c r="Q18" s="12">
        <v>36</v>
      </c>
      <c r="R18" s="12">
        <v>22</v>
      </c>
      <c r="S18" s="12">
        <v>107</v>
      </c>
      <c r="T18" s="12">
        <v>84</v>
      </c>
      <c r="U18" s="12">
        <v>40</v>
      </c>
      <c r="V18" s="12">
        <v>51</v>
      </c>
      <c r="W18" s="12">
        <v>25</v>
      </c>
      <c r="X18" s="12">
        <v>15</v>
      </c>
      <c r="Y18" s="12">
        <v>59</v>
      </c>
      <c r="Z18" s="12">
        <v>60</v>
      </c>
      <c r="AA18" s="12">
        <v>59</v>
      </c>
      <c r="AB18" s="12">
        <v>33</v>
      </c>
      <c r="AC18" s="12">
        <v>94</v>
      </c>
      <c r="AD18" s="12">
        <v>61</v>
      </c>
      <c r="AE18" s="12">
        <v>47</v>
      </c>
      <c r="AF18" s="12">
        <v>46</v>
      </c>
    </row>
    <row r="19" spans="1:32">
      <c r="A19" s="23"/>
      <c r="B19" s="13" t="s">
        <v>768</v>
      </c>
      <c r="C19" s="14">
        <v>0.05</v>
      </c>
      <c r="D19" s="14">
        <v>0.05</v>
      </c>
      <c r="E19" s="14">
        <v>7.0000000000000007E-2</v>
      </c>
      <c r="F19" s="14">
        <v>0.08</v>
      </c>
      <c r="G19" s="14">
        <v>0.09</v>
      </c>
      <c r="H19" s="14">
        <v>0.02</v>
      </c>
      <c r="I19" s="14">
        <v>0.03</v>
      </c>
      <c r="J19" s="14">
        <v>0.05</v>
      </c>
      <c r="K19" s="14">
        <v>0.15</v>
      </c>
      <c r="L19" s="14">
        <v>0.06</v>
      </c>
      <c r="M19" s="14">
        <v>0.11</v>
      </c>
      <c r="N19" s="14">
        <v>7.0000000000000007E-2</v>
      </c>
      <c r="O19" s="14">
        <v>0.1</v>
      </c>
      <c r="P19" s="14">
        <v>0.03</v>
      </c>
      <c r="Q19" s="14">
        <v>0.03</v>
      </c>
      <c r="R19" s="14">
        <v>0.05</v>
      </c>
      <c r="S19" s="14">
        <v>0.11</v>
      </c>
      <c r="T19" s="14">
        <v>0.08</v>
      </c>
      <c r="U19" s="14">
        <v>0.08</v>
      </c>
      <c r="V19" s="14">
        <v>0.05</v>
      </c>
      <c r="W19" s="14">
        <v>0.05</v>
      </c>
      <c r="X19" s="14">
        <v>0.02</v>
      </c>
      <c r="Y19" s="14">
        <v>0.06</v>
      </c>
      <c r="Z19" s="14">
        <v>0.06</v>
      </c>
      <c r="AA19" s="14">
        <v>0.06</v>
      </c>
      <c r="AB19" s="14">
        <v>0.03</v>
      </c>
      <c r="AC19" s="14">
        <v>0.09</v>
      </c>
      <c r="AD19" s="14">
        <v>0.06</v>
      </c>
      <c r="AE19" s="14">
        <v>0.05</v>
      </c>
      <c r="AF19" s="14">
        <v>0.04</v>
      </c>
    </row>
    <row r="20" spans="1:32">
      <c r="A20" s="23"/>
      <c r="B20" s="11" t="s">
        <v>497</v>
      </c>
      <c r="C20" s="12">
        <v>1234</v>
      </c>
      <c r="D20" s="12">
        <v>8</v>
      </c>
      <c r="E20" s="12">
        <v>64</v>
      </c>
      <c r="F20" s="12">
        <v>58</v>
      </c>
      <c r="G20" s="12">
        <v>32</v>
      </c>
      <c r="H20" s="12">
        <v>29</v>
      </c>
      <c r="I20" s="12">
        <v>35</v>
      </c>
      <c r="J20" s="12">
        <v>6</v>
      </c>
      <c r="K20" s="12">
        <v>66</v>
      </c>
      <c r="L20" s="12">
        <v>52</v>
      </c>
      <c r="M20" s="12">
        <v>29</v>
      </c>
      <c r="N20" s="12">
        <v>59</v>
      </c>
      <c r="O20" s="12">
        <v>108</v>
      </c>
      <c r="P20" s="12">
        <v>18</v>
      </c>
      <c r="Q20" s="12">
        <v>46</v>
      </c>
      <c r="R20" s="12">
        <v>26</v>
      </c>
      <c r="S20" s="12">
        <v>153</v>
      </c>
      <c r="T20" s="12">
        <v>105</v>
      </c>
      <c r="U20" s="12">
        <v>18</v>
      </c>
      <c r="V20" s="12">
        <v>18</v>
      </c>
      <c r="W20" s="12">
        <v>21</v>
      </c>
      <c r="X20" s="12">
        <v>4</v>
      </c>
      <c r="Y20" s="12">
        <v>12</v>
      </c>
      <c r="Z20" s="12">
        <v>39</v>
      </c>
      <c r="AA20" s="12">
        <v>66</v>
      </c>
      <c r="AB20" s="12">
        <v>29</v>
      </c>
      <c r="AC20" s="12">
        <v>20</v>
      </c>
      <c r="AD20" s="12">
        <v>37</v>
      </c>
      <c r="AE20" s="12">
        <v>40</v>
      </c>
      <c r="AF20" s="12">
        <v>9</v>
      </c>
    </row>
    <row r="21" spans="1:32">
      <c r="A21" s="23"/>
      <c r="B21" s="13" t="s">
        <v>498</v>
      </c>
      <c r="C21" s="14">
        <v>0.05</v>
      </c>
      <c r="D21" s="14">
        <v>0.01</v>
      </c>
      <c r="E21" s="14">
        <v>0.06</v>
      </c>
      <c r="F21" s="14">
        <v>0.06</v>
      </c>
      <c r="G21" s="14">
        <v>0.03</v>
      </c>
      <c r="H21" s="14">
        <v>0.02</v>
      </c>
      <c r="I21" s="14">
        <v>0.02</v>
      </c>
      <c r="J21" s="14">
        <v>0.02</v>
      </c>
      <c r="K21" s="14">
        <v>7.0000000000000007E-2</v>
      </c>
      <c r="L21" s="14">
        <v>0.05</v>
      </c>
      <c r="M21" s="14">
        <v>0.03</v>
      </c>
      <c r="N21" s="14">
        <v>0.06</v>
      </c>
      <c r="O21" s="14">
        <v>0.11</v>
      </c>
      <c r="P21" s="14">
        <v>0.02</v>
      </c>
      <c r="Q21" s="14">
        <v>0.05</v>
      </c>
      <c r="R21" s="14">
        <v>0.05</v>
      </c>
      <c r="S21" s="14">
        <v>0.15</v>
      </c>
      <c r="T21" s="14">
        <v>0.11</v>
      </c>
      <c r="U21" s="14">
        <v>0.04</v>
      </c>
      <c r="V21" s="14">
        <v>0.02</v>
      </c>
      <c r="W21" s="14">
        <v>0.04</v>
      </c>
      <c r="X21" s="15" t="s">
        <v>485</v>
      </c>
      <c r="Y21" s="14">
        <v>0.01</v>
      </c>
      <c r="Z21" s="14">
        <v>0.04</v>
      </c>
      <c r="AA21" s="14">
        <v>0.06</v>
      </c>
      <c r="AB21" s="14">
        <v>0.03</v>
      </c>
      <c r="AC21" s="14">
        <v>0.02</v>
      </c>
      <c r="AD21" s="14">
        <v>0.04</v>
      </c>
      <c r="AE21" s="14">
        <v>0.04</v>
      </c>
      <c r="AF21" s="14">
        <v>0.01</v>
      </c>
    </row>
    <row r="22" spans="1:32">
      <c r="A22" s="23"/>
      <c r="B22" s="11" t="s">
        <v>769</v>
      </c>
      <c r="C22" s="12">
        <v>18987</v>
      </c>
      <c r="D22" s="12">
        <v>739</v>
      </c>
      <c r="E22" s="12">
        <v>680</v>
      </c>
      <c r="F22" s="12">
        <v>624</v>
      </c>
      <c r="G22" s="12">
        <v>609</v>
      </c>
      <c r="H22" s="12">
        <v>1008</v>
      </c>
      <c r="I22" s="12">
        <v>1240</v>
      </c>
      <c r="J22" s="12">
        <v>232</v>
      </c>
      <c r="K22" s="12">
        <v>499</v>
      </c>
      <c r="L22" s="12">
        <v>656</v>
      </c>
      <c r="M22" s="12">
        <v>642</v>
      </c>
      <c r="N22" s="12">
        <v>710</v>
      </c>
      <c r="O22" s="12">
        <v>597</v>
      </c>
      <c r="P22" s="12">
        <v>758</v>
      </c>
      <c r="Q22" s="12">
        <v>806</v>
      </c>
      <c r="R22" s="12">
        <v>399</v>
      </c>
      <c r="S22" s="12">
        <v>551</v>
      </c>
      <c r="T22" s="12">
        <v>529</v>
      </c>
      <c r="U22" s="12">
        <v>348</v>
      </c>
      <c r="V22" s="12">
        <v>739</v>
      </c>
      <c r="W22" s="12">
        <v>358</v>
      </c>
      <c r="X22" s="12">
        <v>902</v>
      </c>
      <c r="Y22" s="12">
        <v>781</v>
      </c>
      <c r="Z22" s="12">
        <v>646</v>
      </c>
      <c r="AA22" s="12">
        <v>752</v>
      </c>
      <c r="AB22" s="12">
        <v>732</v>
      </c>
      <c r="AC22" s="12">
        <v>659</v>
      </c>
      <c r="AD22" s="12">
        <v>741</v>
      </c>
      <c r="AE22" s="12">
        <v>708</v>
      </c>
      <c r="AF22" s="12">
        <v>801</v>
      </c>
    </row>
    <row r="23" spans="1:32">
      <c r="A23" s="23"/>
      <c r="B23" s="13" t="s">
        <v>770</v>
      </c>
      <c r="C23" s="14">
        <v>0.72</v>
      </c>
      <c r="D23" s="14">
        <v>0.73</v>
      </c>
      <c r="E23" s="14">
        <v>0.65</v>
      </c>
      <c r="F23" s="14">
        <v>0.62</v>
      </c>
      <c r="G23" s="14">
        <v>0.61</v>
      </c>
      <c r="H23" s="14">
        <v>0.84</v>
      </c>
      <c r="I23" s="14">
        <v>0.82000000000000006</v>
      </c>
      <c r="J23" s="14">
        <v>0.79</v>
      </c>
      <c r="K23" s="14">
        <v>0.49</v>
      </c>
      <c r="L23" s="14">
        <v>0.66</v>
      </c>
      <c r="M23" s="14">
        <v>0.63</v>
      </c>
      <c r="N23" s="14">
        <v>0.71</v>
      </c>
      <c r="O23" s="14">
        <v>0.59</v>
      </c>
      <c r="P23" s="14">
        <v>0.75</v>
      </c>
      <c r="Q23" s="14">
        <v>0.79</v>
      </c>
      <c r="R23" s="14">
        <v>0.79</v>
      </c>
      <c r="S23" s="14">
        <v>0.55000000000000004</v>
      </c>
      <c r="T23" s="14">
        <v>0.53</v>
      </c>
      <c r="U23" s="14">
        <v>0.69000000000000006</v>
      </c>
      <c r="V23" s="14">
        <v>0.73</v>
      </c>
      <c r="W23" s="14">
        <v>0.71</v>
      </c>
      <c r="X23" s="14">
        <v>0.89</v>
      </c>
      <c r="Y23" s="14">
        <v>0.77</v>
      </c>
      <c r="Z23" s="14">
        <v>0.63</v>
      </c>
      <c r="AA23" s="14">
        <v>0.72</v>
      </c>
      <c r="AB23" s="14">
        <v>0.71</v>
      </c>
      <c r="AC23" s="14">
        <v>0.66</v>
      </c>
      <c r="AD23" s="14">
        <v>0.74</v>
      </c>
      <c r="AE23" s="14">
        <v>0.70000000000000007</v>
      </c>
      <c r="AF23" s="14">
        <v>0.75</v>
      </c>
    </row>
    <row r="24" spans="1:32">
      <c r="A24" s="23"/>
      <c r="B24" s="11" t="s">
        <v>771</v>
      </c>
      <c r="C24" s="12">
        <v>6133</v>
      </c>
      <c r="D24" s="12">
        <v>260</v>
      </c>
      <c r="E24" s="12">
        <v>300</v>
      </c>
      <c r="F24" s="12">
        <v>324</v>
      </c>
      <c r="G24" s="12">
        <v>361</v>
      </c>
      <c r="H24" s="12">
        <v>173</v>
      </c>
      <c r="I24" s="12">
        <v>229</v>
      </c>
      <c r="J24" s="12">
        <v>56</v>
      </c>
      <c r="K24" s="12">
        <v>440</v>
      </c>
      <c r="L24" s="12">
        <v>299</v>
      </c>
      <c r="M24" s="12">
        <v>341</v>
      </c>
      <c r="N24" s="12">
        <v>231</v>
      </c>
      <c r="O24" s="12">
        <v>301</v>
      </c>
      <c r="P24" s="12">
        <v>235</v>
      </c>
      <c r="Q24" s="12">
        <v>173</v>
      </c>
      <c r="R24" s="12">
        <v>76</v>
      </c>
      <c r="S24" s="12">
        <v>302</v>
      </c>
      <c r="T24" s="12">
        <v>370</v>
      </c>
      <c r="U24" s="12">
        <v>137</v>
      </c>
      <c r="V24" s="12">
        <v>253</v>
      </c>
      <c r="W24" s="12">
        <v>124</v>
      </c>
      <c r="X24" s="12">
        <v>109</v>
      </c>
      <c r="Y24" s="12">
        <v>214</v>
      </c>
      <c r="Z24" s="12">
        <v>332</v>
      </c>
      <c r="AA24" s="12">
        <v>222</v>
      </c>
      <c r="AB24" s="12">
        <v>270</v>
      </c>
      <c r="AC24" s="12">
        <v>327</v>
      </c>
      <c r="AD24" s="12">
        <v>224</v>
      </c>
      <c r="AE24" s="12">
        <v>260</v>
      </c>
      <c r="AF24" s="12">
        <v>263</v>
      </c>
    </row>
    <row r="25" spans="1:32">
      <c r="A25" s="23"/>
      <c r="B25" s="13" t="s">
        <v>772</v>
      </c>
      <c r="C25" s="14">
        <v>0.23</v>
      </c>
      <c r="D25" s="14">
        <v>0.26</v>
      </c>
      <c r="E25" s="14">
        <v>0.28999999999999998</v>
      </c>
      <c r="F25" s="14">
        <v>0.32</v>
      </c>
      <c r="G25" s="14">
        <v>0.36</v>
      </c>
      <c r="H25" s="14">
        <v>0.14000000000000001</v>
      </c>
      <c r="I25" s="14">
        <v>0.16</v>
      </c>
      <c r="J25" s="14">
        <v>0.19</v>
      </c>
      <c r="K25" s="14">
        <v>0.44</v>
      </c>
      <c r="L25" s="14">
        <v>0.28999999999999998</v>
      </c>
      <c r="M25" s="14">
        <v>0.34</v>
      </c>
      <c r="N25" s="14">
        <v>0.23</v>
      </c>
      <c r="O25" s="14">
        <v>0.3</v>
      </c>
      <c r="P25" s="14">
        <v>0.23</v>
      </c>
      <c r="Q25" s="14">
        <v>0.16</v>
      </c>
      <c r="R25" s="14">
        <v>0.16</v>
      </c>
      <c r="S25" s="14">
        <v>0.3</v>
      </c>
      <c r="T25" s="14">
        <v>0.36</v>
      </c>
      <c r="U25" s="14">
        <v>0.27</v>
      </c>
      <c r="V25" s="14">
        <v>0.25</v>
      </c>
      <c r="W25" s="14">
        <v>0.25</v>
      </c>
      <c r="X25" s="14">
        <v>0.11</v>
      </c>
      <c r="Y25" s="14">
        <v>0.22</v>
      </c>
      <c r="Z25" s="14">
        <v>0.33</v>
      </c>
      <c r="AA25" s="14">
        <v>0.22</v>
      </c>
      <c r="AB25" s="14">
        <v>0.26</v>
      </c>
      <c r="AC25" s="14">
        <v>0.32</v>
      </c>
      <c r="AD25" s="14">
        <v>0.22</v>
      </c>
      <c r="AE25" s="14">
        <v>0.26</v>
      </c>
      <c r="AF25" s="14">
        <v>0.24</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797</v>
      </c>
      <c r="C3" s="19"/>
      <c r="D3" s="19"/>
      <c r="E3" s="19"/>
      <c r="F3" s="19"/>
      <c r="H3" s="19" t="s">
        <v>798</v>
      </c>
      <c r="I3" s="19"/>
      <c r="J3" s="19"/>
      <c r="K3" s="19"/>
      <c r="L3" s="19"/>
    </row>
    <row r="4" spans="1:32" ht="27" customHeight="1">
      <c r="B4" s="19" t="s">
        <v>799</v>
      </c>
      <c r="C4" s="19"/>
      <c r="D4" s="19"/>
      <c r="E4" s="19"/>
      <c r="F4" s="19"/>
      <c r="H4" s="19" t="s">
        <v>800</v>
      </c>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HYPERLINK("#Content!A45","&lt;&lt;Back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761</v>
      </c>
      <c r="C12" s="12">
        <v>6735</v>
      </c>
      <c r="D12" s="12">
        <v>201</v>
      </c>
      <c r="E12" s="12">
        <v>374</v>
      </c>
      <c r="F12" s="12">
        <v>184</v>
      </c>
      <c r="G12" s="12">
        <v>123</v>
      </c>
      <c r="H12" s="12">
        <v>267</v>
      </c>
      <c r="I12" s="12">
        <v>334</v>
      </c>
      <c r="J12" s="12">
        <v>66</v>
      </c>
      <c r="K12" s="12">
        <v>239</v>
      </c>
      <c r="L12" s="12">
        <v>258</v>
      </c>
      <c r="M12" s="12">
        <v>380</v>
      </c>
      <c r="N12" s="12">
        <v>380</v>
      </c>
      <c r="O12" s="12">
        <v>188</v>
      </c>
      <c r="P12" s="12">
        <v>363</v>
      </c>
      <c r="Q12" s="12">
        <v>339</v>
      </c>
      <c r="R12" s="12">
        <v>267</v>
      </c>
      <c r="S12" s="12">
        <v>442</v>
      </c>
      <c r="T12" s="12">
        <v>240</v>
      </c>
      <c r="U12" s="12">
        <v>106</v>
      </c>
      <c r="V12" s="12">
        <v>254</v>
      </c>
      <c r="W12" s="12">
        <v>204</v>
      </c>
      <c r="X12" s="12">
        <v>151</v>
      </c>
      <c r="Y12" s="12">
        <v>256</v>
      </c>
      <c r="Z12" s="12">
        <v>213</v>
      </c>
      <c r="AA12" s="12">
        <v>405</v>
      </c>
      <c r="AB12" s="12">
        <v>260</v>
      </c>
      <c r="AC12" s="12">
        <v>245</v>
      </c>
      <c r="AD12" s="12">
        <v>232</v>
      </c>
      <c r="AE12" s="12">
        <v>251</v>
      </c>
      <c r="AF12" s="12">
        <v>120</v>
      </c>
    </row>
    <row r="13" spans="1:32">
      <c r="A13" s="23"/>
      <c r="B13" s="13" t="s">
        <v>762</v>
      </c>
      <c r="C13" s="14">
        <v>0.26</v>
      </c>
      <c r="D13" s="14">
        <v>0.2</v>
      </c>
      <c r="E13" s="14">
        <v>0.36</v>
      </c>
      <c r="F13" s="14">
        <v>0.18</v>
      </c>
      <c r="G13" s="14">
        <v>0.12</v>
      </c>
      <c r="H13" s="14">
        <v>0.22</v>
      </c>
      <c r="I13" s="14">
        <v>0.22</v>
      </c>
      <c r="J13" s="14">
        <v>0.23</v>
      </c>
      <c r="K13" s="14">
        <v>0.24</v>
      </c>
      <c r="L13" s="14">
        <v>0.26</v>
      </c>
      <c r="M13" s="14">
        <v>0.37</v>
      </c>
      <c r="N13" s="14">
        <v>0.38</v>
      </c>
      <c r="O13" s="14">
        <v>0.19</v>
      </c>
      <c r="P13" s="14">
        <v>0.36</v>
      </c>
      <c r="Q13" s="14">
        <v>0.33</v>
      </c>
      <c r="R13" s="14">
        <v>0.53</v>
      </c>
      <c r="S13" s="14">
        <v>0.44</v>
      </c>
      <c r="T13" s="14">
        <v>0.24</v>
      </c>
      <c r="U13" s="14">
        <v>0.21</v>
      </c>
      <c r="V13" s="14">
        <v>0.25</v>
      </c>
      <c r="W13" s="14">
        <v>0.41</v>
      </c>
      <c r="X13" s="14">
        <v>0.15</v>
      </c>
      <c r="Y13" s="14">
        <v>0.25</v>
      </c>
      <c r="Z13" s="14">
        <v>0.21</v>
      </c>
      <c r="AA13" s="14">
        <v>0.39</v>
      </c>
      <c r="AB13" s="14">
        <v>0.25</v>
      </c>
      <c r="AC13" s="14">
        <v>0.24</v>
      </c>
      <c r="AD13" s="14">
        <v>0.23</v>
      </c>
      <c r="AE13" s="14">
        <v>0.25</v>
      </c>
      <c r="AF13" s="14">
        <v>0.11</v>
      </c>
    </row>
    <row r="14" spans="1:32">
      <c r="A14" s="23"/>
      <c r="B14" s="11" t="s">
        <v>763</v>
      </c>
      <c r="C14" s="12">
        <v>11518</v>
      </c>
      <c r="D14" s="12">
        <v>463</v>
      </c>
      <c r="E14" s="12">
        <v>366</v>
      </c>
      <c r="F14" s="12">
        <v>460</v>
      </c>
      <c r="G14" s="12">
        <v>294</v>
      </c>
      <c r="H14" s="12">
        <v>540</v>
      </c>
      <c r="I14" s="12">
        <v>674</v>
      </c>
      <c r="J14" s="12">
        <v>134</v>
      </c>
      <c r="K14" s="12">
        <v>332</v>
      </c>
      <c r="L14" s="12">
        <v>367</v>
      </c>
      <c r="M14" s="12">
        <v>467</v>
      </c>
      <c r="N14" s="12">
        <v>424</v>
      </c>
      <c r="O14" s="12">
        <v>339</v>
      </c>
      <c r="P14" s="12">
        <v>477</v>
      </c>
      <c r="Q14" s="12">
        <v>494</v>
      </c>
      <c r="R14" s="12">
        <v>172</v>
      </c>
      <c r="S14" s="12">
        <v>300</v>
      </c>
      <c r="T14" s="12">
        <v>395</v>
      </c>
      <c r="U14" s="12">
        <v>157</v>
      </c>
      <c r="V14" s="12">
        <v>514</v>
      </c>
      <c r="W14" s="12">
        <v>170</v>
      </c>
      <c r="X14" s="12">
        <v>524</v>
      </c>
      <c r="Y14" s="12">
        <v>387</v>
      </c>
      <c r="Z14" s="12">
        <v>531</v>
      </c>
      <c r="AA14" s="12">
        <v>514</v>
      </c>
      <c r="AB14" s="12">
        <v>445</v>
      </c>
      <c r="AC14" s="12">
        <v>426</v>
      </c>
      <c r="AD14" s="12">
        <v>525</v>
      </c>
      <c r="AE14" s="12">
        <v>474</v>
      </c>
      <c r="AF14" s="12">
        <v>406</v>
      </c>
    </row>
    <row r="15" spans="1:32">
      <c r="A15" s="23"/>
      <c r="B15" s="13" t="s">
        <v>764</v>
      </c>
      <c r="C15" s="14">
        <v>0.44</v>
      </c>
      <c r="D15" s="14">
        <v>0.46</v>
      </c>
      <c r="E15" s="14">
        <v>0.35</v>
      </c>
      <c r="F15" s="14">
        <v>0.46</v>
      </c>
      <c r="G15" s="14">
        <v>0.28999999999999998</v>
      </c>
      <c r="H15" s="14">
        <v>0.45</v>
      </c>
      <c r="I15" s="14">
        <v>0.45</v>
      </c>
      <c r="J15" s="14">
        <v>0.45</v>
      </c>
      <c r="K15" s="14">
        <v>0.33</v>
      </c>
      <c r="L15" s="14">
        <v>0.36</v>
      </c>
      <c r="M15" s="14">
        <v>0.46</v>
      </c>
      <c r="N15" s="14">
        <v>0.42</v>
      </c>
      <c r="O15" s="14">
        <v>0.34</v>
      </c>
      <c r="P15" s="14">
        <v>0.47</v>
      </c>
      <c r="Q15" s="14">
        <v>0.48</v>
      </c>
      <c r="R15" s="14">
        <v>0.34</v>
      </c>
      <c r="S15" s="14">
        <v>0.3</v>
      </c>
      <c r="T15" s="14">
        <v>0.39</v>
      </c>
      <c r="U15" s="14">
        <v>0.31</v>
      </c>
      <c r="V15" s="14">
        <v>0.51</v>
      </c>
      <c r="W15" s="14">
        <v>0.34</v>
      </c>
      <c r="X15" s="14">
        <v>0.52</v>
      </c>
      <c r="Y15" s="14">
        <v>0.39</v>
      </c>
      <c r="Z15" s="14">
        <v>0.52</v>
      </c>
      <c r="AA15" s="14">
        <v>0.49</v>
      </c>
      <c r="AB15" s="14">
        <v>0.43</v>
      </c>
      <c r="AC15" s="14">
        <v>0.43</v>
      </c>
      <c r="AD15" s="14">
        <v>0.52</v>
      </c>
      <c r="AE15" s="14">
        <v>0.47</v>
      </c>
      <c r="AF15" s="14">
        <v>0.38</v>
      </c>
    </row>
    <row r="16" spans="1:32" ht="23.25">
      <c r="A16" s="23"/>
      <c r="B16" s="11" t="s">
        <v>765</v>
      </c>
      <c r="C16" s="12">
        <v>6202</v>
      </c>
      <c r="D16" s="12">
        <v>293</v>
      </c>
      <c r="E16" s="12">
        <v>219</v>
      </c>
      <c r="F16" s="12">
        <v>275</v>
      </c>
      <c r="G16" s="12">
        <v>409</v>
      </c>
      <c r="H16" s="12">
        <v>314</v>
      </c>
      <c r="I16" s="12">
        <v>387</v>
      </c>
      <c r="J16" s="12">
        <v>73</v>
      </c>
      <c r="K16" s="12">
        <v>298</v>
      </c>
      <c r="L16" s="12">
        <v>274</v>
      </c>
      <c r="M16" s="12">
        <v>139</v>
      </c>
      <c r="N16" s="12">
        <v>147</v>
      </c>
      <c r="O16" s="12">
        <v>358</v>
      </c>
      <c r="P16" s="12">
        <v>153</v>
      </c>
      <c r="Q16" s="12">
        <v>137</v>
      </c>
      <c r="R16" s="12">
        <v>43</v>
      </c>
      <c r="S16" s="12">
        <v>160</v>
      </c>
      <c r="T16" s="12">
        <v>271</v>
      </c>
      <c r="U16" s="12">
        <v>145</v>
      </c>
      <c r="V16" s="12">
        <v>196</v>
      </c>
      <c r="W16" s="12">
        <v>101</v>
      </c>
      <c r="X16" s="12">
        <v>289</v>
      </c>
      <c r="Y16" s="12">
        <v>238</v>
      </c>
      <c r="Z16" s="12">
        <v>222</v>
      </c>
      <c r="AA16" s="12">
        <v>109</v>
      </c>
      <c r="AB16" s="12">
        <v>250</v>
      </c>
      <c r="AC16" s="12">
        <v>238</v>
      </c>
      <c r="AD16" s="12">
        <v>186</v>
      </c>
      <c r="AE16" s="12">
        <v>224</v>
      </c>
      <c r="AF16" s="12">
        <v>435</v>
      </c>
    </row>
    <row r="17" spans="1:32">
      <c r="A17" s="23"/>
      <c r="B17" s="13" t="s">
        <v>766</v>
      </c>
      <c r="C17" s="14">
        <v>0.23</v>
      </c>
      <c r="D17" s="14">
        <v>0.28999999999999998</v>
      </c>
      <c r="E17" s="14">
        <v>0.21</v>
      </c>
      <c r="F17" s="14">
        <v>0.27</v>
      </c>
      <c r="G17" s="14">
        <v>0.41</v>
      </c>
      <c r="H17" s="14">
        <v>0.26</v>
      </c>
      <c r="I17" s="14">
        <v>0.26</v>
      </c>
      <c r="J17" s="14">
        <v>0.25</v>
      </c>
      <c r="K17" s="14">
        <v>0.3</v>
      </c>
      <c r="L17" s="14">
        <v>0.27</v>
      </c>
      <c r="M17" s="14">
        <v>0.14000000000000001</v>
      </c>
      <c r="N17" s="14">
        <v>0.15</v>
      </c>
      <c r="O17" s="14">
        <v>0.35</v>
      </c>
      <c r="P17" s="14">
        <v>0.15</v>
      </c>
      <c r="Q17" s="14">
        <v>0.14000000000000001</v>
      </c>
      <c r="R17" s="14">
        <v>0.09</v>
      </c>
      <c r="S17" s="14">
        <v>0.16</v>
      </c>
      <c r="T17" s="14">
        <v>0.27</v>
      </c>
      <c r="U17" s="14">
        <v>0.28999999999999998</v>
      </c>
      <c r="V17" s="14">
        <v>0.19</v>
      </c>
      <c r="W17" s="14">
        <v>0.2</v>
      </c>
      <c r="X17" s="14">
        <v>0.28000000000000003</v>
      </c>
      <c r="Y17" s="14">
        <v>0.24</v>
      </c>
      <c r="Z17" s="14">
        <v>0.22</v>
      </c>
      <c r="AA17" s="14">
        <v>0.1</v>
      </c>
      <c r="AB17" s="14">
        <v>0.24</v>
      </c>
      <c r="AC17" s="14">
        <v>0.24</v>
      </c>
      <c r="AD17" s="14">
        <v>0.19</v>
      </c>
      <c r="AE17" s="14">
        <v>0.22</v>
      </c>
      <c r="AF17" s="14">
        <v>0.4</v>
      </c>
    </row>
    <row r="18" spans="1:32" ht="23.25">
      <c r="A18" s="23"/>
      <c r="B18" s="11" t="s">
        <v>767</v>
      </c>
      <c r="C18" s="12">
        <v>1656</v>
      </c>
      <c r="D18" s="12">
        <v>46</v>
      </c>
      <c r="E18" s="12">
        <v>74</v>
      </c>
      <c r="F18" s="12">
        <v>67</v>
      </c>
      <c r="G18" s="12">
        <v>167</v>
      </c>
      <c r="H18" s="12">
        <v>79</v>
      </c>
      <c r="I18" s="12">
        <v>100</v>
      </c>
      <c r="J18" s="12">
        <v>21</v>
      </c>
      <c r="K18" s="12">
        <v>109</v>
      </c>
      <c r="L18" s="12">
        <v>87</v>
      </c>
      <c r="M18" s="12">
        <v>19</v>
      </c>
      <c r="N18" s="12">
        <v>40</v>
      </c>
      <c r="O18" s="12">
        <v>109</v>
      </c>
      <c r="P18" s="12">
        <v>16</v>
      </c>
      <c r="Q18" s="12">
        <v>42</v>
      </c>
      <c r="R18" s="12">
        <v>17</v>
      </c>
      <c r="S18" s="12">
        <v>95</v>
      </c>
      <c r="T18" s="12">
        <v>85</v>
      </c>
      <c r="U18" s="12">
        <v>86</v>
      </c>
      <c r="V18" s="12">
        <v>41</v>
      </c>
      <c r="W18" s="12">
        <v>22</v>
      </c>
      <c r="X18" s="12">
        <v>50</v>
      </c>
      <c r="Y18" s="12">
        <v>113</v>
      </c>
      <c r="Z18" s="12">
        <v>42</v>
      </c>
      <c r="AA18" s="12">
        <v>8</v>
      </c>
      <c r="AB18" s="12">
        <v>65</v>
      </c>
      <c r="AC18" s="12">
        <v>93</v>
      </c>
      <c r="AD18" s="12">
        <v>51</v>
      </c>
      <c r="AE18" s="12">
        <v>49</v>
      </c>
      <c r="AF18" s="12">
        <v>104</v>
      </c>
    </row>
    <row r="19" spans="1:32">
      <c r="A19" s="23"/>
      <c r="B19" s="13" t="s">
        <v>768</v>
      </c>
      <c r="C19" s="14">
        <v>0.06</v>
      </c>
      <c r="D19" s="14">
        <v>0.05</v>
      </c>
      <c r="E19" s="14">
        <v>7.0000000000000007E-2</v>
      </c>
      <c r="F19" s="14">
        <v>7.0000000000000007E-2</v>
      </c>
      <c r="G19" s="14">
        <v>0.17</v>
      </c>
      <c r="H19" s="14">
        <v>0.06</v>
      </c>
      <c r="I19" s="14">
        <v>0.06</v>
      </c>
      <c r="J19" s="14">
        <v>7.0000000000000007E-2</v>
      </c>
      <c r="K19" s="14">
        <v>0.11</v>
      </c>
      <c r="L19" s="14">
        <v>0.09</v>
      </c>
      <c r="M19" s="14">
        <v>0.02</v>
      </c>
      <c r="N19" s="14">
        <v>0.04</v>
      </c>
      <c r="O19" s="14">
        <v>0.11</v>
      </c>
      <c r="P19" s="14">
        <v>0.02</v>
      </c>
      <c r="Q19" s="14">
        <v>0.04</v>
      </c>
      <c r="R19" s="14">
        <v>0.03</v>
      </c>
      <c r="S19" s="14">
        <v>0.09</v>
      </c>
      <c r="T19" s="14">
        <v>0.09</v>
      </c>
      <c r="U19" s="14">
        <v>0.17</v>
      </c>
      <c r="V19" s="14">
        <v>0.04</v>
      </c>
      <c r="W19" s="14">
        <v>0.04</v>
      </c>
      <c r="X19" s="14">
        <v>0.05</v>
      </c>
      <c r="Y19" s="14">
        <v>0.11</v>
      </c>
      <c r="Z19" s="14">
        <v>0.04</v>
      </c>
      <c r="AA19" s="14">
        <v>0.01</v>
      </c>
      <c r="AB19" s="14">
        <v>7.0000000000000007E-2</v>
      </c>
      <c r="AC19" s="14">
        <v>0.09</v>
      </c>
      <c r="AD19" s="14">
        <v>0.05</v>
      </c>
      <c r="AE19" s="14">
        <v>0.05</v>
      </c>
      <c r="AF19" s="14">
        <v>0.1</v>
      </c>
    </row>
    <row r="20" spans="1:32">
      <c r="A20" s="23"/>
      <c r="B20" s="11" t="s">
        <v>497</v>
      </c>
      <c r="C20" s="12">
        <v>243</v>
      </c>
      <c r="D20" s="12">
        <v>3</v>
      </c>
      <c r="E20" s="12">
        <v>10</v>
      </c>
      <c r="F20" s="12">
        <v>21</v>
      </c>
      <c r="G20" s="12">
        <v>9</v>
      </c>
      <c r="H20" s="12">
        <v>10</v>
      </c>
      <c r="I20" s="12">
        <v>10</v>
      </c>
      <c r="J20" s="12">
        <v>0</v>
      </c>
      <c r="K20" s="12">
        <v>26</v>
      </c>
      <c r="L20" s="12">
        <v>21</v>
      </c>
      <c r="M20" s="12">
        <v>6</v>
      </c>
      <c r="N20" s="12">
        <v>9</v>
      </c>
      <c r="O20" s="12">
        <v>12</v>
      </c>
      <c r="P20" s="12">
        <v>1</v>
      </c>
      <c r="Q20" s="12">
        <v>12</v>
      </c>
      <c r="R20" s="12">
        <v>3</v>
      </c>
      <c r="S20" s="12">
        <v>9</v>
      </c>
      <c r="T20" s="12">
        <v>13</v>
      </c>
      <c r="U20" s="12">
        <v>10</v>
      </c>
      <c r="V20" s="12">
        <v>6</v>
      </c>
      <c r="W20" s="12">
        <v>7</v>
      </c>
      <c r="X20" s="12">
        <v>2</v>
      </c>
      <c r="Y20" s="12">
        <v>13</v>
      </c>
      <c r="Z20" s="12">
        <v>9</v>
      </c>
      <c r="AA20" s="12">
        <v>5</v>
      </c>
      <c r="AB20" s="12">
        <v>11</v>
      </c>
      <c r="AC20" s="12">
        <v>3</v>
      </c>
      <c r="AD20" s="12">
        <v>8</v>
      </c>
      <c r="AE20" s="12">
        <v>10</v>
      </c>
      <c r="AF20" s="12">
        <v>8</v>
      </c>
    </row>
    <row r="21" spans="1:32">
      <c r="A21" s="23"/>
      <c r="B21" s="13" t="s">
        <v>498</v>
      </c>
      <c r="C21" s="14">
        <v>0.01</v>
      </c>
      <c r="D21" s="15" t="s">
        <v>485</v>
      </c>
      <c r="E21" s="14">
        <v>0.01</v>
      </c>
      <c r="F21" s="14">
        <v>0.02</v>
      </c>
      <c r="G21" s="14">
        <v>0.01</v>
      </c>
      <c r="H21" s="14">
        <v>0.01</v>
      </c>
      <c r="I21" s="14">
        <v>0.01</v>
      </c>
      <c r="J21" s="15" t="s">
        <v>485</v>
      </c>
      <c r="K21" s="14">
        <v>0.02</v>
      </c>
      <c r="L21" s="14">
        <v>0.02</v>
      </c>
      <c r="M21" s="14">
        <v>0.01</v>
      </c>
      <c r="N21" s="14">
        <v>0.01</v>
      </c>
      <c r="O21" s="14">
        <v>0.01</v>
      </c>
      <c r="P21" s="15" t="s">
        <v>485</v>
      </c>
      <c r="Q21" s="14">
        <v>0.01</v>
      </c>
      <c r="R21" s="14">
        <v>0.01</v>
      </c>
      <c r="S21" s="14">
        <v>0.01</v>
      </c>
      <c r="T21" s="14">
        <v>0.01</v>
      </c>
      <c r="U21" s="14">
        <v>0.02</v>
      </c>
      <c r="V21" s="14">
        <v>0.01</v>
      </c>
      <c r="W21" s="14">
        <v>0.01</v>
      </c>
      <c r="X21" s="15" t="s">
        <v>485</v>
      </c>
      <c r="Y21" s="14">
        <v>0.01</v>
      </c>
      <c r="Z21" s="14">
        <v>0.01</v>
      </c>
      <c r="AA21" s="14">
        <v>0.01</v>
      </c>
      <c r="AB21" s="14">
        <v>0.01</v>
      </c>
      <c r="AC21" s="15" t="s">
        <v>485</v>
      </c>
      <c r="AD21" s="14">
        <v>0.01</v>
      </c>
      <c r="AE21" s="14">
        <v>0.01</v>
      </c>
      <c r="AF21" s="14">
        <v>0.01</v>
      </c>
    </row>
    <row r="22" spans="1:32">
      <c r="A22" s="23"/>
      <c r="B22" s="11" t="s">
        <v>769</v>
      </c>
      <c r="C22" s="12">
        <v>18253</v>
      </c>
      <c r="D22" s="12">
        <v>664</v>
      </c>
      <c r="E22" s="12">
        <v>740</v>
      </c>
      <c r="F22" s="12">
        <v>644</v>
      </c>
      <c r="G22" s="12">
        <v>417</v>
      </c>
      <c r="H22" s="12">
        <v>807</v>
      </c>
      <c r="I22" s="12">
        <v>1008</v>
      </c>
      <c r="J22" s="12">
        <v>200</v>
      </c>
      <c r="K22" s="12">
        <v>571</v>
      </c>
      <c r="L22" s="12">
        <v>625</v>
      </c>
      <c r="M22" s="12">
        <v>847</v>
      </c>
      <c r="N22" s="12">
        <v>804</v>
      </c>
      <c r="O22" s="12">
        <v>527</v>
      </c>
      <c r="P22" s="12">
        <v>840</v>
      </c>
      <c r="Q22" s="12">
        <v>833</v>
      </c>
      <c r="R22" s="12">
        <v>439</v>
      </c>
      <c r="S22" s="12">
        <v>742</v>
      </c>
      <c r="T22" s="12">
        <v>635</v>
      </c>
      <c r="U22" s="12">
        <v>263</v>
      </c>
      <c r="V22" s="12">
        <v>768</v>
      </c>
      <c r="W22" s="12">
        <v>374</v>
      </c>
      <c r="X22" s="12">
        <v>675</v>
      </c>
      <c r="Y22" s="12">
        <v>643</v>
      </c>
      <c r="Z22" s="12">
        <v>744</v>
      </c>
      <c r="AA22" s="12">
        <v>919</v>
      </c>
      <c r="AB22" s="12">
        <v>705</v>
      </c>
      <c r="AC22" s="12">
        <v>671</v>
      </c>
      <c r="AD22" s="12">
        <v>757</v>
      </c>
      <c r="AE22" s="12">
        <v>725</v>
      </c>
      <c r="AF22" s="12">
        <v>526</v>
      </c>
    </row>
    <row r="23" spans="1:32">
      <c r="A23" s="23"/>
      <c r="B23" s="13" t="s">
        <v>770</v>
      </c>
      <c r="C23" s="14">
        <v>0.70000000000000007</v>
      </c>
      <c r="D23" s="14">
        <v>0.66</v>
      </c>
      <c r="E23" s="14">
        <v>0.71</v>
      </c>
      <c r="F23" s="14">
        <v>0.64</v>
      </c>
      <c r="G23" s="14">
        <v>0.41</v>
      </c>
      <c r="H23" s="14">
        <v>0.67</v>
      </c>
      <c r="I23" s="14">
        <v>0.67</v>
      </c>
      <c r="J23" s="14">
        <v>0.68</v>
      </c>
      <c r="K23" s="14">
        <v>0.57000000000000006</v>
      </c>
      <c r="L23" s="14">
        <v>0.62</v>
      </c>
      <c r="M23" s="14">
        <v>0.83000000000000007</v>
      </c>
      <c r="N23" s="14">
        <v>0.8</v>
      </c>
      <c r="O23" s="14">
        <v>0.53</v>
      </c>
      <c r="P23" s="14">
        <v>0.83000000000000007</v>
      </c>
      <c r="Q23" s="14">
        <v>0.81</v>
      </c>
      <c r="R23" s="14">
        <v>0.87</v>
      </c>
      <c r="S23" s="14">
        <v>0.74</v>
      </c>
      <c r="T23" s="14">
        <v>0.63</v>
      </c>
      <c r="U23" s="14">
        <v>0.52</v>
      </c>
      <c r="V23" s="14">
        <v>0.76</v>
      </c>
      <c r="W23" s="14">
        <v>0.75</v>
      </c>
      <c r="X23" s="14">
        <v>0.67</v>
      </c>
      <c r="Y23" s="14">
        <v>0.64</v>
      </c>
      <c r="Z23" s="14">
        <v>0.73</v>
      </c>
      <c r="AA23" s="14">
        <v>0.88</v>
      </c>
      <c r="AB23" s="14">
        <v>0.68</v>
      </c>
      <c r="AC23" s="14">
        <v>0.67</v>
      </c>
      <c r="AD23" s="14">
        <v>0.75</v>
      </c>
      <c r="AE23" s="14">
        <v>0.72</v>
      </c>
      <c r="AF23" s="14">
        <v>0.49</v>
      </c>
    </row>
    <row r="24" spans="1:32">
      <c r="A24" s="23"/>
      <c r="B24" s="11" t="s">
        <v>771</v>
      </c>
      <c r="C24" s="12">
        <v>7858</v>
      </c>
      <c r="D24" s="12">
        <v>339</v>
      </c>
      <c r="E24" s="12">
        <v>293</v>
      </c>
      <c r="F24" s="12">
        <v>342</v>
      </c>
      <c r="G24" s="12">
        <v>576</v>
      </c>
      <c r="H24" s="12">
        <v>393</v>
      </c>
      <c r="I24" s="12">
        <v>487</v>
      </c>
      <c r="J24" s="12">
        <v>94</v>
      </c>
      <c r="K24" s="12">
        <v>407</v>
      </c>
      <c r="L24" s="12">
        <v>361</v>
      </c>
      <c r="M24" s="12">
        <v>158</v>
      </c>
      <c r="N24" s="12">
        <v>187</v>
      </c>
      <c r="O24" s="12">
        <v>467</v>
      </c>
      <c r="P24" s="12">
        <v>169</v>
      </c>
      <c r="Q24" s="12">
        <v>179</v>
      </c>
      <c r="R24" s="12">
        <v>60</v>
      </c>
      <c r="S24" s="12">
        <v>255</v>
      </c>
      <c r="T24" s="12">
        <v>356</v>
      </c>
      <c r="U24" s="12">
        <v>231</v>
      </c>
      <c r="V24" s="12">
        <v>237</v>
      </c>
      <c r="W24" s="12">
        <v>123</v>
      </c>
      <c r="X24" s="12">
        <v>339</v>
      </c>
      <c r="Y24" s="12">
        <v>351</v>
      </c>
      <c r="Z24" s="12">
        <v>264</v>
      </c>
      <c r="AA24" s="12">
        <v>117</v>
      </c>
      <c r="AB24" s="12">
        <v>315</v>
      </c>
      <c r="AC24" s="12">
        <v>331</v>
      </c>
      <c r="AD24" s="12">
        <v>237</v>
      </c>
      <c r="AE24" s="12">
        <v>273</v>
      </c>
      <c r="AF24" s="12">
        <v>539</v>
      </c>
    </row>
    <row r="25" spans="1:32">
      <c r="A25" s="23"/>
      <c r="B25" s="13" t="s">
        <v>772</v>
      </c>
      <c r="C25" s="14">
        <v>0.28999999999999998</v>
      </c>
      <c r="D25" s="14">
        <v>0.34</v>
      </c>
      <c r="E25" s="14">
        <v>0.28000000000000003</v>
      </c>
      <c r="F25" s="14">
        <v>0.34</v>
      </c>
      <c r="G25" s="14">
        <v>0.57999999999999996</v>
      </c>
      <c r="H25" s="14">
        <v>0.32</v>
      </c>
      <c r="I25" s="14">
        <v>0.32</v>
      </c>
      <c r="J25" s="14">
        <v>0.32</v>
      </c>
      <c r="K25" s="14">
        <v>0.41</v>
      </c>
      <c r="L25" s="14">
        <v>0.36</v>
      </c>
      <c r="M25" s="14">
        <v>0.16</v>
      </c>
      <c r="N25" s="14">
        <v>0.19</v>
      </c>
      <c r="O25" s="14">
        <v>0.46</v>
      </c>
      <c r="P25" s="14">
        <v>0.17</v>
      </c>
      <c r="Q25" s="14">
        <v>0.18</v>
      </c>
      <c r="R25" s="14">
        <v>0.12</v>
      </c>
      <c r="S25" s="14">
        <v>0.25</v>
      </c>
      <c r="T25" s="14">
        <v>0.36</v>
      </c>
      <c r="U25" s="14">
        <v>0.46</v>
      </c>
      <c r="V25" s="14">
        <v>0.23</v>
      </c>
      <c r="W25" s="14">
        <v>0.24</v>
      </c>
      <c r="X25" s="14">
        <v>0.33</v>
      </c>
      <c r="Y25" s="14">
        <v>0.35</v>
      </c>
      <c r="Z25" s="14">
        <v>0.26</v>
      </c>
      <c r="AA25" s="14">
        <v>0.11</v>
      </c>
      <c r="AB25" s="14">
        <v>0.31</v>
      </c>
      <c r="AC25" s="14">
        <v>0.33</v>
      </c>
      <c r="AD25" s="14">
        <v>0.24</v>
      </c>
      <c r="AE25" s="14">
        <v>0.27</v>
      </c>
      <c r="AF25" s="14">
        <v>0.5</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801</v>
      </c>
      <c r="C3" s="19"/>
      <c r="D3" s="19"/>
      <c r="E3" s="19"/>
      <c r="F3" s="19"/>
      <c r="H3" s="19" t="s">
        <v>802</v>
      </c>
      <c r="I3" s="19"/>
      <c r="J3" s="19"/>
      <c r="K3" s="19"/>
      <c r="L3" s="19"/>
    </row>
    <row r="4" spans="1:32" ht="27" customHeight="1">
      <c r="B4" s="19" t="s">
        <v>803</v>
      </c>
      <c r="C4" s="19"/>
      <c r="D4" s="19"/>
      <c r="E4" s="19"/>
      <c r="F4" s="19"/>
      <c r="H4" s="19" t="s">
        <v>804</v>
      </c>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HYPERLINK("#Content!A46","&lt;&lt;Back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761</v>
      </c>
      <c r="C12" s="12">
        <v>10654</v>
      </c>
      <c r="D12" s="12">
        <v>451</v>
      </c>
      <c r="E12" s="12">
        <v>273</v>
      </c>
      <c r="F12" s="12">
        <v>365</v>
      </c>
      <c r="G12" s="12">
        <v>161</v>
      </c>
      <c r="H12" s="12">
        <v>538</v>
      </c>
      <c r="I12" s="12">
        <v>667</v>
      </c>
      <c r="J12" s="12">
        <v>129</v>
      </c>
      <c r="K12" s="12">
        <v>270</v>
      </c>
      <c r="L12" s="12">
        <v>661</v>
      </c>
      <c r="M12" s="12">
        <v>445</v>
      </c>
      <c r="N12" s="12">
        <v>596</v>
      </c>
      <c r="O12" s="12">
        <v>445</v>
      </c>
      <c r="P12" s="12">
        <v>424</v>
      </c>
      <c r="Q12" s="12">
        <v>313</v>
      </c>
      <c r="R12" s="12">
        <v>382</v>
      </c>
      <c r="S12" s="12">
        <v>294</v>
      </c>
      <c r="T12" s="12">
        <v>232</v>
      </c>
      <c r="U12" s="12">
        <v>328</v>
      </c>
      <c r="V12" s="12">
        <v>298</v>
      </c>
      <c r="W12" s="12">
        <v>269</v>
      </c>
      <c r="X12" s="12">
        <v>552</v>
      </c>
      <c r="Y12" s="12">
        <v>378</v>
      </c>
      <c r="Z12" s="12">
        <v>247</v>
      </c>
      <c r="AA12" s="12">
        <v>706</v>
      </c>
      <c r="AB12" s="12">
        <v>279</v>
      </c>
      <c r="AC12" s="12">
        <v>466</v>
      </c>
      <c r="AD12" s="12">
        <v>190</v>
      </c>
      <c r="AE12" s="12">
        <v>172</v>
      </c>
      <c r="AF12" s="12">
        <v>260</v>
      </c>
    </row>
    <row r="13" spans="1:32">
      <c r="A13" s="23"/>
      <c r="B13" s="13" t="s">
        <v>762</v>
      </c>
      <c r="C13" s="14">
        <v>0.41</v>
      </c>
      <c r="D13" s="14">
        <v>0.45</v>
      </c>
      <c r="E13" s="14">
        <v>0.26</v>
      </c>
      <c r="F13" s="14">
        <v>0.36</v>
      </c>
      <c r="G13" s="14">
        <v>0.16</v>
      </c>
      <c r="H13" s="14">
        <v>0.45</v>
      </c>
      <c r="I13" s="14">
        <v>0.44</v>
      </c>
      <c r="J13" s="14">
        <v>0.44</v>
      </c>
      <c r="K13" s="14">
        <v>0.27</v>
      </c>
      <c r="L13" s="14">
        <v>0.66</v>
      </c>
      <c r="M13" s="14">
        <v>0.44</v>
      </c>
      <c r="N13" s="14">
        <v>0.6</v>
      </c>
      <c r="O13" s="14">
        <v>0.44</v>
      </c>
      <c r="P13" s="14">
        <v>0.42</v>
      </c>
      <c r="Q13" s="14">
        <v>0.31</v>
      </c>
      <c r="R13" s="14">
        <v>0.76</v>
      </c>
      <c r="S13" s="14">
        <v>0.28999999999999998</v>
      </c>
      <c r="T13" s="14">
        <v>0.23</v>
      </c>
      <c r="U13" s="14">
        <v>0.65</v>
      </c>
      <c r="V13" s="14">
        <v>0.3</v>
      </c>
      <c r="W13" s="14">
        <v>0.53</v>
      </c>
      <c r="X13" s="14">
        <v>0.54</v>
      </c>
      <c r="Y13" s="14">
        <v>0.37</v>
      </c>
      <c r="Z13" s="14">
        <v>0.24</v>
      </c>
      <c r="AA13" s="14">
        <v>0.68</v>
      </c>
      <c r="AB13" s="14">
        <v>0.27</v>
      </c>
      <c r="AC13" s="14">
        <v>0.46</v>
      </c>
      <c r="AD13" s="14">
        <v>0.19</v>
      </c>
      <c r="AE13" s="14">
        <v>0.17</v>
      </c>
      <c r="AF13" s="14">
        <v>0.24</v>
      </c>
    </row>
    <row r="14" spans="1:32">
      <c r="A14" s="23"/>
      <c r="B14" s="11" t="s">
        <v>763</v>
      </c>
      <c r="C14" s="12">
        <v>10907</v>
      </c>
      <c r="D14" s="12">
        <v>431</v>
      </c>
      <c r="E14" s="12">
        <v>312</v>
      </c>
      <c r="F14" s="12">
        <v>395</v>
      </c>
      <c r="G14" s="12">
        <v>283</v>
      </c>
      <c r="H14" s="12">
        <v>486</v>
      </c>
      <c r="I14" s="12">
        <v>598</v>
      </c>
      <c r="J14" s="12">
        <v>112</v>
      </c>
      <c r="K14" s="12">
        <v>418</v>
      </c>
      <c r="L14" s="12">
        <v>264</v>
      </c>
      <c r="M14" s="12">
        <v>428</v>
      </c>
      <c r="N14" s="12">
        <v>322</v>
      </c>
      <c r="O14" s="12">
        <v>423</v>
      </c>
      <c r="P14" s="12">
        <v>448</v>
      </c>
      <c r="Q14" s="12">
        <v>505</v>
      </c>
      <c r="R14" s="12">
        <v>98</v>
      </c>
      <c r="S14" s="12">
        <v>270</v>
      </c>
      <c r="T14" s="12">
        <v>349</v>
      </c>
      <c r="U14" s="12">
        <v>118</v>
      </c>
      <c r="V14" s="12">
        <v>518</v>
      </c>
      <c r="W14" s="12">
        <v>149</v>
      </c>
      <c r="X14" s="12">
        <v>370</v>
      </c>
      <c r="Y14" s="12">
        <v>433</v>
      </c>
      <c r="Z14" s="12">
        <v>523</v>
      </c>
      <c r="AA14" s="12">
        <v>265</v>
      </c>
      <c r="AB14" s="12">
        <v>441</v>
      </c>
      <c r="AC14" s="12">
        <v>336</v>
      </c>
      <c r="AD14" s="12">
        <v>503</v>
      </c>
      <c r="AE14" s="12">
        <v>503</v>
      </c>
      <c r="AF14" s="12">
        <v>485</v>
      </c>
    </row>
    <row r="15" spans="1:32">
      <c r="A15" s="23"/>
      <c r="B15" s="13" t="s">
        <v>764</v>
      </c>
      <c r="C15" s="14">
        <v>0.41</v>
      </c>
      <c r="D15" s="14">
        <v>0.43</v>
      </c>
      <c r="E15" s="14">
        <v>0.3</v>
      </c>
      <c r="F15" s="14">
        <v>0.39</v>
      </c>
      <c r="G15" s="14">
        <v>0.28000000000000003</v>
      </c>
      <c r="H15" s="14">
        <v>0.4</v>
      </c>
      <c r="I15" s="14">
        <v>0.4</v>
      </c>
      <c r="J15" s="14">
        <v>0.38</v>
      </c>
      <c r="K15" s="14">
        <v>0.41</v>
      </c>
      <c r="L15" s="14">
        <v>0.26</v>
      </c>
      <c r="M15" s="14">
        <v>0.42</v>
      </c>
      <c r="N15" s="14">
        <v>0.32</v>
      </c>
      <c r="O15" s="14">
        <v>0.42</v>
      </c>
      <c r="P15" s="14">
        <v>0.44</v>
      </c>
      <c r="Q15" s="14">
        <v>0.49</v>
      </c>
      <c r="R15" s="14">
        <v>0.19</v>
      </c>
      <c r="S15" s="14">
        <v>0.27</v>
      </c>
      <c r="T15" s="14">
        <v>0.35</v>
      </c>
      <c r="U15" s="14">
        <v>0.24</v>
      </c>
      <c r="V15" s="14">
        <v>0.51</v>
      </c>
      <c r="W15" s="14">
        <v>0.3</v>
      </c>
      <c r="X15" s="14">
        <v>0.37</v>
      </c>
      <c r="Y15" s="14">
        <v>0.43</v>
      </c>
      <c r="Z15" s="14">
        <v>0.51</v>
      </c>
      <c r="AA15" s="14">
        <v>0.26</v>
      </c>
      <c r="AB15" s="14">
        <v>0.43</v>
      </c>
      <c r="AC15" s="14">
        <v>0.33</v>
      </c>
      <c r="AD15" s="14">
        <v>0.5</v>
      </c>
      <c r="AE15" s="14">
        <v>0.5</v>
      </c>
      <c r="AF15" s="14">
        <v>0.45</v>
      </c>
    </row>
    <row r="16" spans="1:32" ht="23.25">
      <c r="A16" s="23"/>
      <c r="B16" s="11" t="s">
        <v>765</v>
      </c>
      <c r="C16" s="12">
        <v>3502</v>
      </c>
      <c r="D16" s="12">
        <v>96</v>
      </c>
      <c r="E16" s="12">
        <v>270</v>
      </c>
      <c r="F16" s="12">
        <v>156</v>
      </c>
      <c r="G16" s="12">
        <v>349</v>
      </c>
      <c r="H16" s="12">
        <v>148</v>
      </c>
      <c r="I16" s="12">
        <v>192</v>
      </c>
      <c r="J16" s="12">
        <v>44</v>
      </c>
      <c r="K16" s="12">
        <v>228</v>
      </c>
      <c r="L16" s="12">
        <v>55</v>
      </c>
      <c r="M16" s="12">
        <v>109</v>
      </c>
      <c r="N16" s="12">
        <v>65</v>
      </c>
      <c r="O16" s="12">
        <v>102</v>
      </c>
      <c r="P16" s="12">
        <v>115</v>
      </c>
      <c r="Q16" s="12">
        <v>142</v>
      </c>
      <c r="R16" s="12">
        <v>15</v>
      </c>
      <c r="S16" s="12">
        <v>253</v>
      </c>
      <c r="T16" s="12">
        <v>253</v>
      </c>
      <c r="U16" s="12">
        <v>40</v>
      </c>
      <c r="V16" s="12">
        <v>147</v>
      </c>
      <c r="W16" s="12">
        <v>59</v>
      </c>
      <c r="X16" s="12">
        <v>79</v>
      </c>
      <c r="Y16" s="12">
        <v>144</v>
      </c>
      <c r="Z16" s="12">
        <v>188</v>
      </c>
      <c r="AA16" s="12">
        <v>55</v>
      </c>
      <c r="AB16" s="12">
        <v>207</v>
      </c>
      <c r="AC16" s="12">
        <v>127</v>
      </c>
      <c r="AD16" s="12">
        <v>236</v>
      </c>
      <c r="AE16" s="12">
        <v>263</v>
      </c>
      <c r="AF16" s="12">
        <v>250</v>
      </c>
    </row>
    <row r="17" spans="1:32">
      <c r="A17" s="23"/>
      <c r="B17" s="13" t="s">
        <v>766</v>
      </c>
      <c r="C17" s="14">
        <v>0.13</v>
      </c>
      <c r="D17" s="14">
        <v>0.09</v>
      </c>
      <c r="E17" s="14">
        <v>0.26</v>
      </c>
      <c r="F17" s="14">
        <v>0.16</v>
      </c>
      <c r="G17" s="14">
        <v>0.35</v>
      </c>
      <c r="H17" s="14">
        <v>0.12</v>
      </c>
      <c r="I17" s="14">
        <v>0.13</v>
      </c>
      <c r="J17" s="14">
        <v>0.15</v>
      </c>
      <c r="K17" s="14">
        <v>0.23</v>
      </c>
      <c r="L17" s="14">
        <v>0.05</v>
      </c>
      <c r="M17" s="14">
        <v>0.11</v>
      </c>
      <c r="N17" s="14">
        <v>0.06</v>
      </c>
      <c r="O17" s="14">
        <v>0.1</v>
      </c>
      <c r="P17" s="14">
        <v>0.12</v>
      </c>
      <c r="Q17" s="14">
        <v>0.14000000000000001</v>
      </c>
      <c r="R17" s="14">
        <v>0.03</v>
      </c>
      <c r="S17" s="14">
        <v>0.25</v>
      </c>
      <c r="T17" s="14">
        <v>0.25</v>
      </c>
      <c r="U17" s="14">
        <v>0.08</v>
      </c>
      <c r="V17" s="14">
        <v>0.15</v>
      </c>
      <c r="W17" s="14">
        <v>0.12</v>
      </c>
      <c r="X17" s="14">
        <v>0.08</v>
      </c>
      <c r="Y17" s="14">
        <v>0.14000000000000001</v>
      </c>
      <c r="Z17" s="14">
        <v>0.19</v>
      </c>
      <c r="AA17" s="14">
        <v>0.05</v>
      </c>
      <c r="AB17" s="14">
        <v>0.2</v>
      </c>
      <c r="AC17" s="14">
        <v>0.13</v>
      </c>
      <c r="AD17" s="14">
        <v>0.24</v>
      </c>
      <c r="AE17" s="14">
        <v>0.26</v>
      </c>
      <c r="AF17" s="14">
        <v>0.24</v>
      </c>
    </row>
    <row r="18" spans="1:32" ht="23.25">
      <c r="A18" s="23"/>
      <c r="B18" s="11" t="s">
        <v>767</v>
      </c>
      <c r="C18" s="12">
        <v>996</v>
      </c>
      <c r="D18" s="12">
        <v>26</v>
      </c>
      <c r="E18" s="12">
        <v>142</v>
      </c>
      <c r="F18" s="12">
        <v>67</v>
      </c>
      <c r="G18" s="12">
        <v>197</v>
      </c>
      <c r="H18" s="12">
        <v>25</v>
      </c>
      <c r="I18" s="12">
        <v>34</v>
      </c>
      <c r="J18" s="12">
        <v>9</v>
      </c>
      <c r="K18" s="12">
        <v>79</v>
      </c>
      <c r="L18" s="12">
        <v>25</v>
      </c>
      <c r="M18" s="12">
        <v>24</v>
      </c>
      <c r="N18" s="12">
        <v>10</v>
      </c>
      <c r="O18" s="12">
        <v>27</v>
      </c>
      <c r="P18" s="12">
        <v>23</v>
      </c>
      <c r="Q18" s="12">
        <v>43</v>
      </c>
      <c r="R18" s="12">
        <v>5</v>
      </c>
      <c r="S18" s="12">
        <v>155</v>
      </c>
      <c r="T18" s="12">
        <v>158</v>
      </c>
      <c r="U18" s="12">
        <v>16</v>
      </c>
      <c r="V18" s="12">
        <v>34</v>
      </c>
      <c r="W18" s="12">
        <v>27</v>
      </c>
      <c r="X18" s="12">
        <v>14</v>
      </c>
      <c r="Y18" s="12">
        <v>46</v>
      </c>
      <c r="Z18" s="12">
        <v>46</v>
      </c>
      <c r="AA18" s="12">
        <v>11</v>
      </c>
      <c r="AB18" s="12">
        <v>87</v>
      </c>
      <c r="AC18" s="12">
        <v>76</v>
      </c>
      <c r="AD18" s="12">
        <v>52</v>
      </c>
      <c r="AE18" s="12">
        <v>60</v>
      </c>
      <c r="AF18" s="12">
        <v>76</v>
      </c>
    </row>
    <row r="19" spans="1:32">
      <c r="A19" s="23"/>
      <c r="B19" s="13" t="s">
        <v>768</v>
      </c>
      <c r="C19" s="14">
        <v>0.04</v>
      </c>
      <c r="D19" s="14">
        <v>0.03</v>
      </c>
      <c r="E19" s="14">
        <v>0.14000000000000001</v>
      </c>
      <c r="F19" s="14">
        <v>7.0000000000000007E-2</v>
      </c>
      <c r="G19" s="14">
        <v>0.2</v>
      </c>
      <c r="H19" s="14">
        <v>0.02</v>
      </c>
      <c r="I19" s="14">
        <v>0.02</v>
      </c>
      <c r="J19" s="14">
        <v>0.03</v>
      </c>
      <c r="K19" s="14">
        <v>0.08</v>
      </c>
      <c r="L19" s="14">
        <v>0.03</v>
      </c>
      <c r="M19" s="14">
        <v>0.02</v>
      </c>
      <c r="N19" s="14">
        <v>0.01</v>
      </c>
      <c r="O19" s="14">
        <v>0.03</v>
      </c>
      <c r="P19" s="14">
        <v>0.02</v>
      </c>
      <c r="Q19" s="14">
        <v>0.04</v>
      </c>
      <c r="R19" s="14">
        <v>0.01</v>
      </c>
      <c r="S19" s="14">
        <v>0.16</v>
      </c>
      <c r="T19" s="14">
        <v>0.16</v>
      </c>
      <c r="U19" s="14">
        <v>0.03</v>
      </c>
      <c r="V19" s="14">
        <v>0.03</v>
      </c>
      <c r="W19" s="14">
        <v>0.05</v>
      </c>
      <c r="X19" s="14">
        <v>0.01</v>
      </c>
      <c r="Y19" s="14">
        <v>0.05</v>
      </c>
      <c r="Z19" s="14">
        <v>0.05</v>
      </c>
      <c r="AA19" s="14">
        <v>0.01</v>
      </c>
      <c r="AB19" s="14">
        <v>0.08</v>
      </c>
      <c r="AC19" s="14">
        <v>0.08</v>
      </c>
      <c r="AD19" s="14">
        <v>0.05</v>
      </c>
      <c r="AE19" s="14">
        <v>0.06</v>
      </c>
      <c r="AF19" s="14">
        <v>7.0000000000000007E-2</v>
      </c>
    </row>
    <row r="20" spans="1:32">
      <c r="A20" s="23"/>
      <c r="B20" s="11" t="s">
        <v>497</v>
      </c>
      <c r="C20" s="12">
        <v>294</v>
      </c>
      <c r="D20" s="12">
        <v>1</v>
      </c>
      <c r="E20" s="12">
        <v>47</v>
      </c>
      <c r="F20" s="12">
        <v>25</v>
      </c>
      <c r="G20" s="12">
        <v>13</v>
      </c>
      <c r="H20" s="12">
        <v>13</v>
      </c>
      <c r="I20" s="12">
        <v>13</v>
      </c>
      <c r="J20" s="12">
        <v>0</v>
      </c>
      <c r="K20" s="12">
        <v>10</v>
      </c>
      <c r="L20" s="12">
        <v>3</v>
      </c>
      <c r="M20" s="12">
        <v>5</v>
      </c>
      <c r="N20" s="12">
        <v>8</v>
      </c>
      <c r="O20" s="12">
        <v>9</v>
      </c>
      <c r="P20" s="12">
        <v>1</v>
      </c>
      <c r="Q20" s="12">
        <v>22</v>
      </c>
      <c r="R20" s="12">
        <v>3</v>
      </c>
      <c r="S20" s="12">
        <v>34</v>
      </c>
      <c r="T20" s="12">
        <v>12</v>
      </c>
      <c r="U20" s="12">
        <v>1</v>
      </c>
      <c r="V20" s="12">
        <v>12</v>
      </c>
      <c r="W20" s="12">
        <v>0</v>
      </c>
      <c r="X20" s="12">
        <v>2</v>
      </c>
      <c r="Y20" s="12">
        <v>6</v>
      </c>
      <c r="Z20" s="12">
        <v>14</v>
      </c>
      <c r="AA20" s="12">
        <v>3</v>
      </c>
      <c r="AB20" s="12">
        <v>17</v>
      </c>
      <c r="AC20" s="12">
        <v>0</v>
      </c>
      <c r="AD20" s="12">
        <v>21</v>
      </c>
      <c r="AE20" s="12">
        <v>9</v>
      </c>
      <c r="AF20" s="12">
        <v>1</v>
      </c>
    </row>
    <row r="21" spans="1:32">
      <c r="A21" s="23"/>
      <c r="B21" s="13" t="s">
        <v>498</v>
      </c>
      <c r="C21" s="14">
        <v>0.01</v>
      </c>
      <c r="D21" s="15" t="s">
        <v>485</v>
      </c>
      <c r="E21" s="14">
        <v>0.04</v>
      </c>
      <c r="F21" s="14">
        <v>0.02</v>
      </c>
      <c r="G21" s="14">
        <v>0.01</v>
      </c>
      <c r="H21" s="14">
        <v>0.01</v>
      </c>
      <c r="I21" s="14">
        <v>0.01</v>
      </c>
      <c r="J21" s="15" t="s">
        <v>485</v>
      </c>
      <c r="K21" s="14">
        <v>0.01</v>
      </c>
      <c r="L21" s="15" t="s">
        <v>485</v>
      </c>
      <c r="M21" s="14">
        <v>0.01</v>
      </c>
      <c r="N21" s="14">
        <v>0.01</v>
      </c>
      <c r="O21" s="14">
        <v>0.01</v>
      </c>
      <c r="P21" s="15" t="s">
        <v>485</v>
      </c>
      <c r="Q21" s="14">
        <v>0.02</v>
      </c>
      <c r="R21" s="14">
        <v>0.01</v>
      </c>
      <c r="S21" s="14">
        <v>0.03</v>
      </c>
      <c r="T21" s="14">
        <v>0.01</v>
      </c>
      <c r="U21" s="15" t="s">
        <v>485</v>
      </c>
      <c r="V21" s="14">
        <v>0.01</v>
      </c>
      <c r="W21" s="15" t="s">
        <v>485</v>
      </c>
      <c r="X21" s="15" t="s">
        <v>485</v>
      </c>
      <c r="Y21" s="14">
        <v>0.01</v>
      </c>
      <c r="Z21" s="14">
        <v>0.01</v>
      </c>
      <c r="AA21" s="15" t="s">
        <v>485</v>
      </c>
      <c r="AB21" s="14">
        <v>0.02</v>
      </c>
      <c r="AC21" s="15" t="s">
        <v>485</v>
      </c>
      <c r="AD21" s="14">
        <v>0.02</v>
      </c>
      <c r="AE21" s="14">
        <v>0.01</v>
      </c>
      <c r="AF21" s="15" t="s">
        <v>485</v>
      </c>
    </row>
    <row r="22" spans="1:32">
      <c r="A22" s="23"/>
      <c r="B22" s="11" t="s">
        <v>769</v>
      </c>
      <c r="C22" s="12">
        <v>21561</v>
      </c>
      <c r="D22" s="12">
        <v>882</v>
      </c>
      <c r="E22" s="12">
        <v>585</v>
      </c>
      <c r="F22" s="12">
        <v>760</v>
      </c>
      <c r="G22" s="12">
        <v>444</v>
      </c>
      <c r="H22" s="12">
        <v>1024</v>
      </c>
      <c r="I22" s="12">
        <v>1265</v>
      </c>
      <c r="J22" s="12">
        <v>241</v>
      </c>
      <c r="K22" s="12">
        <v>688</v>
      </c>
      <c r="L22" s="12">
        <v>925</v>
      </c>
      <c r="M22" s="12">
        <v>873</v>
      </c>
      <c r="N22" s="12">
        <v>918</v>
      </c>
      <c r="O22" s="12">
        <v>868</v>
      </c>
      <c r="P22" s="12">
        <v>872</v>
      </c>
      <c r="Q22" s="12">
        <v>818</v>
      </c>
      <c r="R22" s="12">
        <v>480</v>
      </c>
      <c r="S22" s="12">
        <v>564</v>
      </c>
      <c r="T22" s="12">
        <v>581</v>
      </c>
      <c r="U22" s="12">
        <v>446</v>
      </c>
      <c r="V22" s="12">
        <v>816</v>
      </c>
      <c r="W22" s="12">
        <v>418</v>
      </c>
      <c r="X22" s="12">
        <v>922</v>
      </c>
      <c r="Y22" s="12">
        <v>811</v>
      </c>
      <c r="Z22" s="12">
        <v>770</v>
      </c>
      <c r="AA22" s="12">
        <v>971</v>
      </c>
      <c r="AB22" s="12">
        <v>720</v>
      </c>
      <c r="AC22" s="12">
        <v>802</v>
      </c>
      <c r="AD22" s="12">
        <v>693</v>
      </c>
      <c r="AE22" s="12">
        <v>675</v>
      </c>
      <c r="AF22" s="12">
        <v>745</v>
      </c>
    </row>
    <row r="23" spans="1:32">
      <c r="A23" s="23"/>
      <c r="B23" s="13" t="s">
        <v>770</v>
      </c>
      <c r="C23" s="14">
        <v>0.82000000000000006</v>
      </c>
      <c r="D23" s="14">
        <v>0.88</v>
      </c>
      <c r="E23" s="14">
        <v>0.56000000000000005</v>
      </c>
      <c r="F23" s="14">
        <v>0.75</v>
      </c>
      <c r="G23" s="14">
        <v>0.44</v>
      </c>
      <c r="H23" s="14">
        <v>0.85</v>
      </c>
      <c r="I23" s="14">
        <v>0.84</v>
      </c>
      <c r="J23" s="14">
        <v>0.82000000000000006</v>
      </c>
      <c r="K23" s="14">
        <v>0.68</v>
      </c>
      <c r="L23" s="14">
        <v>0.92</v>
      </c>
      <c r="M23" s="14">
        <v>0.86</v>
      </c>
      <c r="N23" s="14">
        <v>0.92</v>
      </c>
      <c r="O23" s="14">
        <v>0.86</v>
      </c>
      <c r="P23" s="14">
        <v>0.86</v>
      </c>
      <c r="Q23" s="14">
        <v>0.8</v>
      </c>
      <c r="R23" s="14">
        <v>0.95000000000000007</v>
      </c>
      <c r="S23" s="14">
        <v>0.56000000000000005</v>
      </c>
      <c r="T23" s="14">
        <v>0.57999999999999996</v>
      </c>
      <c r="U23" s="14">
        <v>0.89</v>
      </c>
      <c r="V23" s="14">
        <v>0.81</v>
      </c>
      <c r="W23" s="14">
        <v>0.83000000000000007</v>
      </c>
      <c r="X23" s="14">
        <v>0.91</v>
      </c>
      <c r="Y23" s="14">
        <v>0.8</v>
      </c>
      <c r="Z23" s="14">
        <v>0.75</v>
      </c>
      <c r="AA23" s="14">
        <v>0.94000000000000006</v>
      </c>
      <c r="AB23" s="14">
        <v>0.70000000000000007</v>
      </c>
      <c r="AC23" s="14">
        <v>0.79</v>
      </c>
      <c r="AD23" s="14">
        <v>0.69000000000000006</v>
      </c>
      <c r="AE23" s="14">
        <v>0.67</v>
      </c>
      <c r="AF23" s="14">
        <v>0.69000000000000006</v>
      </c>
    </row>
    <row r="24" spans="1:32">
      <c r="A24" s="23"/>
      <c r="B24" s="11" t="s">
        <v>771</v>
      </c>
      <c r="C24" s="12">
        <v>4498</v>
      </c>
      <c r="D24" s="12">
        <v>122</v>
      </c>
      <c r="E24" s="12">
        <v>412</v>
      </c>
      <c r="F24" s="12">
        <v>223</v>
      </c>
      <c r="G24" s="12">
        <v>546</v>
      </c>
      <c r="H24" s="12">
        <v>173</v>
      </c>
      <c r="I24" s="12">
        <v>226</v>
      </c>
      <c r="J24" s="12">
        <v>53</v>
      </c>
      <c r="K24" s="12">
        <v>307</v>
      </c>
      <c r="L24" s="12">
        <v>80</v>
      </c>
      <c r="M24" s="12">
        <v>133</v>
      </c>
      <c r="N24" s="12">
        <v>75</v>
      </c>
      <c r="O24" s="12">
        <v>129</v>
      </c>
      <c r="P24" s="12">
        <v>138</v>
      </c>
      <c r="Q24" s="12">
        <v>185</v>
      </c>
      <c r="R24" s="12">
        <v>20</v>
      </c>
      <c r="S24" s="12">
        <v>408</v>
      </c>
      <c r="T24" s="12">
        <v>411</v>
      </c>
      <c r="U24" s="12">
        <v>56</v>
      </c>
      <c r="V24" s="12">
        <v>181</v>
      </c>
      <c r="W24" s="12">
        <v>86</v>
      </c>
      <c r="X24" s="12">
        <v>93</v>
      </c>
      <c r="Y24" s="12">
        <v>190</v>
      </c>
      <c r="Z24" s="12">
        <v>234</v>
      </c>
      <c r="AA24" s="12">
        <v>66</v>
      </c>
      <c r="AB24" s="12">
        <v>294</v>
      </c>
      <c r="AC24" s="12">
        <v>203</v>
      </c>
      <c r="AD24" s="12">
        <v>288</v>
      </c>
      <c r="AE24" s="12">
        <v>323</v>
      </c>
      <c r="AF24" s="12">
        <v>326</v>
      </c>
    </row>
    <row r="25" spans="1:32">
      <c r="A25" s="23"/>
      <c r="B25" s="13" t="s">
        <v>772</v>
      </c>
      <c r="C25" s="14">
        <v>0.17</v>
      </c>
      <c r="D25" s="14">
        <v>0.12</v>
      </c>
      <c r="E25" s="14">
        <v>0.4</v>
      </c>
      <c r="F25" s="14">
        <v>0.23</v>
      </c>
      <c r="G25" s="14">
        <v>0.55000000000000004</v>
      </c>
      <c r="H25" s="14">
        <v>0.14000000000000001</v>
      </c>
      <c r="I25" s="14">
        <v>0.15</v>
      </c>
      <c r="J25" s="14">
        <v>0.18</v>
      </c>
      <c r="K25" s="14">
        <v>0.31</v>
      </c>
      <c r="L25" s="14">
        <v>0.08</v>
      </c>
      <c r="M25" s="14">
        <v>0.13</v>
      </c>
      <c r="N25" s="14">
        <v>7.0000000000000007E-2</v>
      </c>
      <c r="O25" s="14">
        <v>0.13</v>
      </c>
      <c r="P25" s="14">
        <v>0.14000000000000001</v>
      </c>
      <c r="Q25" s="14">
        <v>0.18</v>
      </c>
      <c r="R25" s="14">
        <v>0.04</v>
      </c>
      <c r="S25" s="14">
        <v>0.41</v>
      </c>
      <c r="T25" s="14">
        <v>0.41</v>
      </c>
      <c r="U25" s="14">
        <v>0.11</v>
      </c>
      <c r="V25" s="14">
        <v>0.18</v>
      </c>
      <c r="W25" s="14">
        <v>0.17</v>
      </c>
      <c r="X25" s="14">
        <v>0.09</v>
      </c>
      <c r="Y25" s="14">
        <v>0.19</v>
      </c>
      <c r="Z25" s="14">
        <v>0.24</v>
      </c>
      <c r="AA25" s="14">
        <v>0.06</v>
      </c>
      <c r="AB25" s="14">
        <v>0.28000000000000003</v>
      </c>
      <c r="AC25" s="14">
        <v>0.21</v>
      </c>
      <c r="AD25" s="14">
        <v>0.28999999999999998</v>
      </c>
      <c r="AE25" s="14">
        <v>0.32</v>
      </c>
      <c r="AF25" s="14">
        <v>0.31</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805</v>
      </c>
      <c r="C3" s="19"/>
      <c r="D3" s="19"/>
      <c r="E3" s="19"/>
      <c r="F3" s="19"/>
      <c r="H3" s="19" t="s">
        <v>806</v>
      </c>
      <c r="I3" s="19"/>
      <c r="J3" s="19"/>
      <c r="K3" s="19"/>
      <c r="L3" s="19"/>
    </row>
    <row r="4" spans="1:32" ht="27" customHeight="1">
      <c r="B4" s="19" t="s">
        <v>807</v>
      </c>
      <c r="C4" s="19"/>
      <c r="D4" s="19"/>
      <c r="E4" s="19"/>
      <c r="F4" s="19"/>
      <c r="H4" s="19" t="s">
        <v>808</v>
      </c>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HYPERLINK("#Content!A47","&lt;&lt;Back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761</v>
      </c>
      <c r="C12" s="12">
        <v>12675</v>
      </c>
      <c r="D12" s="12">
        <v>428</v>
      </c>
      <c r="E12" s="12">
        <v>409</v>
      </c>
      <c r="F12" s="12">
        <v>291</v>
      </c>
      <c r="G12" s="12">
        <v>348</v>
      </c>
      <c r="H12" s="12">
        <v>495</v>
      </c>
      <c r="I12" s="12">
        <v>647</v>
      </c>
      <c r="J12" s="12">
        <v>152</v>
      </c>
      <c r="K12" s="12">
        <v>306</v>
      </c>
      <c r="L12" s="12">
        <v>590</v>
      </c>
      <c r="M12" s="12">
        <v>571</v>
      </c>
      <c r="N12" s="12">
        <v>660</v>
      </c>
      <c r="O12" s="12">
        <v>580</v>
      </c>
      <c r="P12" s="12">
        <v>477</v>
      </c>
      <c r="Q12" s="12">
        <v>582</v>
      </c>
      <c r="R12" s="12">
        <v>314</v>
      </c>
      <c r="S12" s="12">
        <v>596</v>
      </c>
      <c r="T12" s="12">
        <v>407</v>
      </c>
      <c r="U12" s="12">
        <v>188</v>
      </c>
      <c r="V12" s="12">
        <v>430</v>
      </c>
      <c r="W12" s="12">
        <v>229</v>
      </c>
      <c r="X12" s="12">
        <v>366</v>
      </c>
      <c r="Y12" s="12">
        <v>450</v>
      </c>
      <c r="Z12" s="12">
        <v>282</v>
      </c>
      <c r="AA12" s="12">
        <v>737</v>
      </c>
      <c r="AB12" s="12">
        <v>305</v>
      </c>
      <c r="AC12" s="12">
        <v>441</v>
      </c>
      <c r="AD12" s="12">
        <v>354</v>
      </c>
      <c r="AE12" s="12">
        <v>510</v>
      </c>
      <c r="AF12" s="12">
        <v>401</v>
      </c>
    </row>
    <row r="13" spans="1:32">
      <c r="A13" s="23"/>
      <c r="B13" s="13" t="s">
        <v>762</v>
      </c>
      <c r="C13" s="14">
        <v>0.48</v>
      </c>
      <c r="D13" s="14">
        <v>0.43</v>
      </c>
      <c r="E13" s="14">
        <v>0.39</v>
      </c>
      <c r="F13" s="14">
        <v>0.28999999999999998</v>
      </c>
      <c r="G13" s="14">
        <v>0.35</v>
      </c>
      <c r="H13" s="14">
        <v>0.41</v>
      </c>
      <c r="I13" s="14">
        <v>0.43</v>
      </c>
      <c r="J13" s="14">
        <v>0.52</v>
      </c>
      <c r="K13" s="14">
        <v>0.31</v>
      </c>
      <c r="L13" s="14">
        <v>0.57999999999999996</v>
      </c>
      <c r="M13" s="14">
        <v>0.56000000000000005</v>
      </c>
      <c r="N13" s="14">
        <v>0.66</v>
      </c>
      <c r="O13" s="14">
        <v>0.57999999999999996</v>
      </c>
      <c r="P13" s="14">
        <v>0.47</v>
      </c>
      <c r="Q13" s="14">
        <v>0.57000000000000006</v>
      </c>
      <c r="R13" s="14">
        <v>0.63</v>
      </c>
      <c r="S13" s="14">
        <v>0.6</v>
      </c>
      <c r="T13" s="14">
        <v>0.41</v>
      </c>
      <c r="U13" s="14">
        <v>0.37</v>
      </c>
      <c r="V13" s="14">
        <v>0.42</v>
      </c>
      <c r="W13" s="14">
        <v>0.46</v>
      </c>
      <c r="X13" s="14">
        <v>0.36</v>
      </c>
      <c r="Y13" s="14">
        <v>0.45</v>
      </c>
      <c r="Z13" s="14">
        <v>0.28000000000000003</v>
      </c>
      <c r="AA13" s="14">
        <v>0.71</v>
      </c>
      <c r="AB13" s="14">
        <v>0.3</v>
      </c>
      <c r="AC13" s="14">
        <v>0.44</v>
      </c>
      <c r="AD13" s="14">
        <v>0.35</v>
      </c>
      <c r="AE13" s="14">
        <v>0.51</v>
      </c>
      <c r="AF13" s="14">
        <v>0.37</v>
      </c>
    </row>
    <row r="14" spans="1:32">
      <c r="A14" s="23"/>
      <c r="B14" s="11" t="s">
        <v>763</v>
      </c>
      <c r="C14" s="12">
        <v>10200</v>
      </c>
      <c r="D14" s="12">
        <v>406</v>
      </c>
      <c r="E14" s="12">
        <v>399</v>
      </c>
      <c r="F14" s="12">
        <v>436</v>
      </c>
      <c r="G14" s="12">
        <v>361</v>
      </c>
      <c r="H14" s="12">
        <v>515</v>
      </c>
      <c r="I14" s="12">
        <v>618</v>
      </c>
      <c r="J14" s="12">
        <v>103</v>
      </c>
      <c r="K14" s="12">
        <v>375</v>
      </c>
      <c r="L14" s="12">
        <v>322</v>
      </c>
      <c r="M14" s="12">
        <v>375</v>
      </c>
      <c r="N14" s="12">
        <v>278</v>
      </c>
      <c r="O14" s="12">
        <v>344</v>
      </c>
      <c r="P14" s="12">
        <v>419</v>
      </c>
      <c r="Q14" s="12">
        <v>386</v>
      </c>
      <c r="R14" s="12">
        <v>139</v>
      </c>
      <c r="S14" s="12">
        <v>254</v>
      </c>
      <c r="T14" s="12">
        <v>344</v>
      </c>
      <c r="U14" s="12">
        <v>159</v>
      </c>
      <c r="V14" s="12">
        <v>456</v>
      </c>
      <c r="W14" s="12">
        <v>171</v>
      </c>
      <c r="X14" s="12">
        <v>431</v>
      </c>
      <c r="Y14" s="12">
        <v>360</v>
      </c>
      <c r="Z14" s="12">
        <v>520</v>
      </c>
      <c r="AA14" s="12">
        <v>274</v>
      </c>
      <c r="AB14" s="12">
        <v>490</v>
      </c>
      <c r="AC14" s="12">
        <v>436</v>
      </c>
      <c r="AD14" s="12">
        <v>513</v>
      </c>
      <c r="AE14" s="12">
        <v>392</v>
      </c>
      <c r="AF14" s="12">
        <v>486</v>
      </c>
    </row>
    <row r="15" spans="1:32">
      <c r="A15" s="23"/>
      <c r="B15" s="13" t="s">
        <v>764</v>
      </c>
      <c r="C15" s="14">
        <v>0.39</v>
      </c>
      <c r="D15" s="14">
        <v>0.4</v>
      </c>
      <c r="E15" s="14">
        <v>0.38</v>
      </c>
      <c r="F15" s="14">
        <v>0.43</v>
      </c>
      <c r="G15" s="14">
        <v>0.36</v>
      </c>
      <c r="H15" s="14">
        <v>0.43</v>
      </c>
      <c r="I15" s="14">
        <v>0.41</v>
      </c>
      <c r="J15" s="14">
        <v>0.35</v>
      </c>
      <c r="K15" s="14">
        <v>0.37</v>
      </c>
      <c r="L15" s="14">
        <v>0.32</v>
      </c>
      <c r="M15" s="14">
        <v>0.37</v>
      </c>
      <c r="N15" s="14">
        <v>0.28000000000000003</v>
      </c>
      <c r="O15" s="14">
        <v>0.34</v>
      </c>
      <c r="P15" s="14">
        <v>0.42</v>
      </c>
      <c r="Q15" s="14">
        <v>0.38</v>
      </c>
      <c r="R15" s="14">
        <v>0.28000000000000003</v>
      </c>
      <c r="S15" s="14">
        <v>0.25</v>
      </c>
      <c r="T15" s="14">
        <v>0.34</v>
      </c>
      <c r="U15" s="14">
        <v>0.32</v>
      </c>
      <c r="V15" s="14">
        <v>0.45</v>
      </c>
      <c r="W15" s="14">
        <v>0.34</v>
      </c>
      <c r="X15" s="14">
        <v>0.42</v>
      </c>
      <c r="Y15" s="14">
        <v>0.36</v>
      </c>
      <c r="Z15" s="14">
        <v>0.51</v>
      </c>
      <c r="AA15" s="14">
        <v>0.26</v>
      </c>
      <c r="AB15" s="14">
        <v>0.48</v>
      </c>
      <c r="AC15" s="14">
        <v>0.43</v>
      </c>
      <c r="AD15" s="14">
        <v>0.51</v>
      </c>
      <c r="AE15" s="14">
        <v>0.39</v>
      </c>
      <c r="AF15" s="14">
        <v>0.45</v>
      </c>
    </row>
    <row r="16" spans="1:32" ht="23.25">
      <c r="A16" s="23"/>
      <c r="B16" s="11" t="s">
        <v>765</v>
      </c>
      <c r="C16" s="12">
        <v>2741</v>
      </c>
      <c r="D16" s="12">
        <v>157</v>
      </c>
      <c r="E16" s="12">
        <v>176</v>
      </c>
      <c r="F16" s="12">
        <v>205</v>
      </c>
      <c r="G16" s="12">
        <v>225</v>
      </c>
      <c r="H16" s="12">
        <v>156</v>
      </c>
      <c r="I16" s="12">
        <v>192</v>
      </c>
      <c r="J16" s="12">
        <v>36</v>
      </c>
      <c r="K16" s="12">
        <v>246</v>
      </c>
      <c r="L16" s="12">
        <v>70</v>
      </c>
      <c r="M16" s="12">
        <v>56</v>
      </c>
      <c r="N16" s="12">
        <v>50</v>
      </c>
      <c r="O16" s="12">
        <v>49</v>
      </c>
      <c r="P16" s="12">
        <v>99</v>
      </c>
      <c r="Q16" s="12">
        <v>44</v>
      </c>
      <c r="R16" s="12">
        <v>32</v>
      </c>
      <c r="S16" s="12">
        <v>111</v>
      </c>
      <c r="T16" s="12">
        <v>193</v>
      </c>
      <c r="U16" s="12">
        <v>98</v>
      </c>
      <c r="V16" s="12">
        <v>97</v>
      </c>
      <c r="W16" s="12">
        <v>79</v>
      </c>
      <c r="X16" s="12">
        <v>193</v>
      </c>
      <c r="Y16" s="12">
        <v>163</v>
      </c>
      <c r="Z16" s="12">
        <v>179</v>
      </c>
      <c r="AA16" s="12">
        <v>26</v>
      </c>
      <c r="AB16" s="12">
        <v>178</v>
      </c>
      <c r="AC16" s="12">
        <v>104</v>
      </c>
      <c r="AD16" s="12">
        <v>121</v>
      </c>
      <c r="AE16" s="12">
        <v>78</v>
      </c>
      <c r="AF16" s="12">
        <v>158</v>
      </c>
    </row>
    <row r="17" spans="1:32">
      <c r="A17" s="23"/>
      <c r="B17" s="13" t="s">
        <v>766</v>
      </c>
      <c r="C17" s="14">
        <v>0.1</v>
      </c>
      <c r="D17" s="14">
        <v>0.16</v>
      </c>
      <c r="E17" s="14">
        <v>0.17</v>
      </c>
      <c r="F17" s="14">
        <v>0.21</v>
      </c>
      <c r="G17" s="14">
        <v>0.23</v>
      </c>
      <c r="H17" s="14">
        <v>0.13</v>
      </c>
      <c r="I17" s="14">
        <v>0.13</v>
      </c>
      <c r="J17" s="14">
        <v>0.12</v>
      </c>
      <c r="K17" s="14">
        <v>0.25</v>
      </c>
      <c r="L17" s="14">
        <v>7.0000000000000007E-2</v>
      </c>
      <c r="M17" s="14">
        <v>0.06</v>
      </c>
      <c r="N17" s="14">
        <v>0.05</v>
      </c>
      <c r="O17" s="14">
        <v>0.05</v>
      </c>
      <c r="P17" s="14">
        <v>0.1</v>
      </c>
      <c r="Q17" s="14">
        <v>0.04</v>
      </c>
      <c r="R17" s="14">
        <v>0.06</v>
      </c>
      <c r="S17" s="14">
        <v>0.11</v>
      </c>
      <c r="T17" s="14">
        <v>0.19</v>
      </c>
      <c r="U17" s="14">
        <v>0.2</v>
      </c>
      <c r="V17" s="14">
        <v>0.1</v>
      </c>
      <c r="W17" s="14">
        <v>0.16</v>
      </c>
      <c r="X17" s="14">
        <v>0.19</v>
      </c>
      <c r="Y17" s="14">
        <v>0.16</v>
      </c>
      <c r="Z17" s="14">
        <v>0.17</v>
      </c>
      <c r="AA17" s="14">
        <v>0.03</v>
      </c>
      <c r="AB17" s="14">
        <v>0.17</v>
      </c>
      <c r="AC17" s="14">
        <v>0.1</v>
      </c>
      <c r="AD17" s="14">
        <v>0.12</v>
      </c>
      <c r="AE17" s="14">
        <v>0.08</v>
      </c>
      <c r="AF17" s="14">
        <v>0.15</v>
      </c>
    </row>
    <row r="18" spans="1:32" ht="23.25">
      <c r="A18" s="23"/>
      <c r="B18" s="11" t="s">
        <v>767</v>
      </c>
      <c r="C18" s="12">
        <v>513</v>
      </c>
      <c r="D18" s="12">
        <v>12</v>
      </c>
      <c r="E18" s="12">
        <v>46</v>
      </c>
      <c r="F18" s="12">
        <v>51</v>
      </c>
      <c r="G18" s="12">
        <v>64</v>
      </c>
      <c r="H18" s="12">
        <v>27</v>
      </c>
      <c r="I18" s="12">
        <v>29</v>
      </c>
      <c r="J18" s="12">
        <v>2</v>
      </c>
      <c r="K18" s="12">
        <v>61</v>
      </c>
      <c r="L18" s="12">
        <v>19</v>
      </c>
      <c r="M18" s="12">
        <v>6</v>
      </c>
      <c r="N18" s="12">
        <v>7</v>
      </c>
      <c r="O18" s="12">
        <v>18</v>
      </c>
      <c r="P18" s="12">
        <v>14</v>
      </c>
      <c r="Q18" s="12">
        <v>8</v>
      </c>
      <c r="R18" s="12">
        <v>13</v>
      </c>
      <c r="S18" s="12">
        <v>32</v>
      </c>
      <c r="T18" s="12">
        <v>52</v>
      </c>
      <c r="U18" s="12">
        <v>46</v>
      </c>
      <c r="V18" s="12">
        <v>21</v>
      </c>
      <c r="W18" s="12">
        <v>22</v>
      </c>
      <c r="X18" s="12">
        <v>20</v>
      </c>
      <c r="Y18" s="12">
        <v>25</v>
      </c>
      <c r="Z18" s="12">
        <v>28</v>
      </c>
      <c r="AA18" s="12">
        <v>1</v>
      </c>
      <c r="AB18" s="12">
        <v>47</v>
      </c>
      <c r="AC18" s="12">
        <v>25</v>
      </c>
      <c r="AD18" s="12">
        <v>11</v>
      </c>
      <c r="AE18" s="12">
        <v>26</v>
      </c>
      <c r="AF18" s="12">
        <v>27</v>
      </c>
    </row>
    <row r="19" spans="1:32">
      <c r="A19" s="23"/>
      <c r="B19" s="13" t="s">
        <v>768</v>
      </c>
      <c r="C19" s="14">
        <v>0.02</v>
      </c>
      <c r="D19" s="14">
        <v>0.01</v>
      </c>
      <c r="E19" s="14">
        <v>0.05</v>
      </c>
      <c r="F19" s="14">
        <v>0.05</v>
      </c>
      <c r="G19" s="14">
        <v>0.06</v>
      </c>
      <c r="H19" s="14">
        <v>0.02</v>
      </c>
      <c r="I19" s="14">
        <v>0.02</v>
      </c>
      <c r="J19" s="14">
        <v>0.01</v>
      </c>
      <c r="K19" s="14">
        <v>0.06</v>
      </c>
      <c r="L19" s="14">
        <v>0.02</v>
      </c>
      <c r="M19" s="14">
        <v>0.01</v>
      </c>
      <c r="N19" s="14">
        <v>0.01</v>
      </c>
      <c r="O19" s="14">
        <v>0.02</v>
      </c>
      <c r="P19" s="14">
        <v>0.01</v>
      </c>
      <c r="Q19" s="14">
        <v>0.01</v>
      </c>
      <c r="R19" s="14">
        <v>0.02</v>
      </c>
      <c r="S19" s="14">
        <v>0.03</v>
      </c>
      <c r="T19" s="14">
        <v>0.05</v>
      </c>
      <c r="U19" s="14">
        <v>0.09</v>
      </c>
      <c r="V19" s="14">
        <v>0.02</v>
      </c>
      <c r="W19" s="14">
        <v>0.04</v>
      </c>
      <c r="X19" s="14">
        <v>0.02</v>
      </c>
      <c r="Y19" s="14">
        <v>0.02</v>
      </c>
      <c r="Z19" s="14">
        <v>0.03</v>
      </c>
      <c r="AA19" s="15" t="s">
        <v>485</v>
      </c>
      <c r="AB19" s="14">
        <v>0.04</v>
      </c>
      <c r="AC19" s="14">
        <v>0.03</v>
      </c>
      <c r="AD19" s="14">
        <v>0.01</v>
      </c>
      <c r="AE19" s="14">
        <v>0.02</v>
      </c>
      <c r="AF19" s="14">
        <v>0.03</v>
      </c>
    </row>
    <row r="20" spans="1:32">
      <c r="A20" s="23"/>
      <c r="B20" s="11" t="s">
        <v>497</v>
      </c>
      <c r="C20" s="12">
        <v>224</v>
      </c>
      <c r="D20" s="12">
        <v>4</v>
      </c>
      <c r="E20" s="12">
        <v>14</v>
      </c>
      <c r="F20" s="12">
        <v>24</v>
      </c>
      <c r="G20" s="12">
        <v>5</v>
      </c>
      <c r="H20" s="12">
        <v>17</v>
      </c>
      <c r="I20" s="12">
        <v>17</v>
      </c>
      <c r="J20" s="12">
        <v>1</v>
      </c>
      <c r="K20" s="12">
        <v>15</v>
      </c>
      <c r="L20" s="12">
        <v>6</v>
      </c>
      <c r="M20" s="12">
        <v>4</v>
      </c>
      <c r="N20" s="12">
        <v>5</v>
      </c>
      <c r="O20" s="12">
        <v>14</v>
      </c>
      <c r="P20" s="12">
        <v>2</v>
      </c>
      <c r="Q20" s="12">
        <v>4</v>
      </c>
      <c r="R20" s="12">
        <v>3</v>
      </c>
      <c r="S20" s="12">
        <v>12</v>
      </c>
      <c r="T20" s="12">
        <v>8</v>
      </c>
      <c r="U20" s="12">
        <v>12</v>
      </c>
      <c r="V20" s="12">
        <v>7</v>
      </c>
      <c r="W20" s="12">
        <v>2</v>
      </c>
      <c r="X20" s="12">
        <v>6</v>
      </c>
      <c r="Y20" s="12">
        <v>9</v>
      </c>
      <c r="Z20" s="12">
        <v>9</v>
      </c>
      <c r="AA20" s="12">
        <v>2</v>
      </c>
      <c r="AB20" s="12">
        <v>11</v>
      </c>
      <c r="AC20" s="12">
        <v>0</v>
      </c>
      <c r="AD20" s="12">
        <v>3</v>
      </c>
      <c r="AE20" s="12">
        <v>3</v>
      </c>
      <c r="AF20" s="12">
        <v>0</v>
      </c>
    </row>
    <row r="21" spans="1:32">
      <c r="A21" s="23"/>
      <c r="B21" s="13" t="s">
        <v>498</v>
      </c>
      <c r="C21" s="14">
        <v>0.01</v>
      </c>
      <c r="D21" s="15" t="s">
        <v>485</v>
      </c>
      <c r="E21" s="14">
        <v>0.01</v>
      </c>
      <c r="F21" s="14">
        <v>0.02</v>
      </c>
      <c r="G21" s="15" t="s">
        <v>485</v>
      </c>
      <c r="H21" s="14">
        <v>0.01</v>
      </c>
      <c r="I21" s="14">
        <v>0.01</v>
      </c>
      <c r="J21" s="15" t="s">
        <v>485</v>
      </c>
      <c r="K21" s="14">
        <v>0.01</v>
      </c>
      <c r="L21" s="14">
        <v>0.01</v>
      </c>
      <c r="M21" s="15" t="s">
        <v>485</v>
      </c>
      <c r="N21" s="15" t="s">
        <v>485</v>
      </c>
      <c r="O21" s="14">
        <v>0.01</v>
      </c>
      <c r="P21" s="15" t="s">
        <v>485</v>
      </c>
      <c r="Q21" s="15" t="s">
        <v>485</v>
      </c>
      <c r="R21" s="14">
        <v>0.01</v>
      </c>
      <c r="S21" s="14">
        <v>0.01</v>
      </c>
      <c r="T21" s="14">
        <v>0.01</v>
      </c>
      <c r="U21" s="14">
        <v>0.02</v>
      </c>
      <c r="V21" s="14">
        <v>0.01</v>
      </c>
      <c r="W21" s="15" t="s">
        <v>485</v>
      </c>
      <c r="X21" s="14">
        <v>0.01</v>
      </c>
      <c r="Y21" s="14">
        <v>0.01</v>
      </c>
      <c r="Z21" s="14">
        <v>0.01</v>
      </c>
      <c r="AA21" s="15" t="s">
        <v>485</v>
      </c>
      <c r="AB21" s="14">
        <v>0.01</v>
      </c>
      <c r="AC21" s="15" t="s">
        <v>485</v>
      </c>
      <c r="AD21" s="14">
        <v>0.01</v>
      </c>
      <c r="AE21" s="15" t="s">
        <v>485</v>
      </c>
      <c r="AF21" s="15" t="s">
        <v>485</v>
      </c>
    </row>
    <row r="22" spans="1:32">
      <c r="A22" s="23"/>
      <c r="B22" s="11" t="s">
        <v>769</v>
      </c>
      <c r="C22" s="12">
        <v>22875</v>
      </c>
      <c r="D22" s="12">
        <v>834</v>
      </c>
      <c r="E22" s="12">
        <v>808</v>
      </c>
      <c r="F22" s="12">
        <v>727</v>
      </c>
      <c r="G22" s="12">
        <v>709</v>
      </c>
      <c r="H22" s="12">
        <v>1010</v>
      </c>
      <c r="I22" s="12">
        <v>1265</v>
      </c>
      <c r="J22" s="12">
        <v>255</v>
      </c>
      <c r="K22" s="12">
        <v>681</v>
      </c>
      <c r="L22" s="12">
        <v>912</v>
      </c>
      <c r="M22" s="12">
        <v>946</v>
      </c>
      <c r="N22" s="12">
        <v>938</v>
      </c>
      <c r="O22" s="12">
        <v>924</v>
      </c>
      <c r="P22" s="12">
        <v>896</v>
      </c>
      <c r="Q22" s="12">
        <v>968</v>
      </c>
      <c r="R22" s="12">
        <v>453</v>
      </c>
      <c r="S22" s="12">
        <v>850</v>
      </c>
      <c r="T22" s="12">
        <v>751</v>
      </c>
      <c r="U22" s="12">
        <v>347</v>
      </c>
      <c r="V22" s="12">
        <v>886</v>
      </c>
      <c r="W22" s="12">
        <v>400</v>
      </c>
      <c r="X22" s="12">
        <v>797</v>
      </c>
      <c r="Y22" s="12">
        <v>810</v>
      </c>
      <c r="Z22" s="12">
        <v>802</v>
      </c>
      <c r="AA22" s="12">
        <v>1011</v>
      </c>
      <c r="AB22" s="12">
        <v>795</v>
      </c>
      <c r="AC22" s="12">
        <v>877</v>
      </c>
      <c r="AD22" s="12">
        <v>867</v>
      </c>
      <c r="AE22" s="12">
        <v>902</v>
      </c>
      <c r="AF22" s="12">
        <v>887</v>
      </c>
    </row>
    <row r="23" spans="1:32">
      <c r="A23" s="23"/>
      <c r="B23" s="13" t="s">
        <v>770</v>
      </c>
      <c r="C23" s="14">
        <v>0.87</v>
      </c>
      <c r="D23" s="14">
        <v>0.83000000000000007</v>
      </c>
      <c r="E23" s="14">
        <v>0.77</v>
      </c>
      <c r="F23" s="14">
        <v>0.72</v>
      </c>
      <c r="G23" s="14">
        <v>0.71</v>
      </c>
      <c r="H23" s="14">
        <v>0.84</v>
      </c>
      <c r="I23" s="14">
        <v>0.84</v>
      </c>
      <c r="J23" s="14">
        <v>0.87</v>
      </c>
      <c r="K23" s="14">
        <v>0.68</v>
      </c>
      <c r="L23" s="14">
        <v>0.9</v>
      </c>
      <c r="M23" s="14">
        <v>0.93</v>
      </c>
      <c r="N23" s="14">
        <v>0.94000000000000006</v>
      </c>
      <c r="O23" s="14">
        <v>0.92</v>
      </c>
      <c r="P23" s="14">
        <v>0.89</v>
      </c>
      <c r="Q23" s="14">
        <v>0.95000000000000007</v>
      </c>
      <c r="R23" s="14">
        <v>0.91</v>
      </c>
      <c r="S23" s="14">
        <v>0.85</v>
      </c>
      <c r="T23" s="14">
        <v>0.75</v>
      </c>
      <c r="U23" s="14">
        <v>0.69000000000000006</v>
      </c>
      <c r="V23" s="14">
        <v>0.87</v>
      </c>
      <c r="W23" s="14">
        <v>0.8</v>
      </c>
      <c r="X23" s="14">
        <v>0.78</v>
      </c>
      <c r="Y23" s="14">
        <v>0.81</v>
      </c>
      <c r="Z23" s="14">
        <v>0.79</v>
      </c>
      <c r="AA23" s="14">
        <v>0.97</v>
      </c>
      <c r="AB23" s="14">
        <v>0.78</v>
      </c>
      <c r="AC23" s="14">
        <v>0.87</v>
      </c>
      <c r="AD23" s="14">
        <v>0.86</v>
      </c>
      <c r="AE23" s="14">
        <v>0.9</v>
      </c>
      <c r="AF23" s="14">
        <v>0.82000000000000006</v>
      </c>
    </row>
    <row r="24" spans="1:32">
      <c r="A24" s="23"/>
      <c r="B24" s="11" t="s">
        <v>771</v>
      </c>
      <c r="C24" s="12">
        <v>3254</v>
      </c>
      <c r="D24" s="12">
        <v>169</v>
      </c>
      <c r="E24" s="12">
        <v>222</v>
      </c>
      <c r="F24" s="12">
        <v>256</v>
      </c>
      <c r="G24" s="12">
        <v>289</v>
      </c>
      <c r="H24" s="12">
        <v>183</v>
      </c>
      <c r="I24" s="12">
        <v>221</v>
      </c>
      <c r="J24" s="12">
        <v>38</v>
      </c>
      <c r="K24" s="12">
        <v>307</v>
      </c>
      <c r="L24" s="12">
        <v>89</v>
      </c>
      <c r="M24" s="12">
        <v>62</v>
      </c>
      <c r="N24" s="12">
        <v>57</v>
      </c>
      <c r="O24" s="12">
        <v>67</v>
      </c>
      <c r="P24" s="12">
        <v>113</v>
      </c>
      <c r="Q24" s="12">
        <v>52</v>
      </c>
      <c r="R24" s="12">
        <v>45</v>
      </c>
      <c r="S24" s="12">
        <v>143</v>
      </c>
      <c r="T24" s="12">
        <v>245</v>
      </c>
      <c r="U24" s="12">
        <v>144</v>
      </c>
      <c r="V24" s="12">
        <v>118</v>
      </c>
      <c r="W24" s="12">
        <v>101</v>
      </c>
      <c r="X24" s="12">
        <v>213</v>
      </c>
      <c r="Y24" s="12">
        <v>188</v>
      </c>
      <c r="Z24" s="12">
        <v>207</v>
      </c>
      <c r="AA24" s="12">
        <v>27</v>
      </c>
      <c r="AB24" s="12">
        <v>225</v>
      </c>
      <c r="AC24" s="12">
        <v>129</v>
      </c>
      <c r="AD24" s="12">
        <v>132</v>
      </c>
      <c r="AE24" s="12">
        <v>104</v>
      </c>
      <c r="AF24" s="12">
        <v>185</v>
      </c>
    </row>
    <row r="25" spans="1:32">
      <c r="A25" s="23"/>
      <c r="B25" s="13" t="s">
        <v>772</v>
      </c>
      <c r="C25" s="14">
        <v>0.12</v>
      </c>
      <c r="D25" s="14">
        <v>0.17</v>
      </c>
      <c r="E25" s="14">
        <v>0.22</v>
      </c>
      <c r="F25" s="14">
        <v>0.26</v>
      </c>
      <c r="G25" s="14">
        <v>0.28999999999999998</v>
      </c>
      <c r="H25" s="14">
        <v>0.15</v>
      </c>
      <c r="I25" s="14">
        <v>0.15</v>
      </c>
      <c r="J25" s="14">
        <v>0.13</v>
      </c>
      <c r="K25" s="14">
        <v>0.31</v>
      </c>
      <c r="L25" s="14">
        <v>0.09</v>
      </c>
      <c r="M25" s="14">
        <v>7.0000000000000007E-2</v>
      </c>
      <c r="N25" s="14">
        <v>0.06</v>
      </c>
      <c r="O25" s="14">
        <v>7.0000000000000007E-2</v>
      </c>
      <c r="P25" s="14">
        <v>0.11</v>
      </c>
      <c r="Q25" s="14">
        <v>0.05</v>
      </c>
      <c r="R25" s="14">
        <v>0.08</v>
      </c>
      <c r="S25" s="14">
        <v>0.14000000000000001</v>
      </c>
      <c r="T25" s="14">
        <v>0.24</v>
      </c>
      <c r="U25" s="14">
        <v>0.28999999999999998</v>
      </c>
      <c r="V25" s="14">
        <v>0.12</v>
      </c>
      <c r="W25" s="14">
        <v>0.2</v>
      </c>
      <c r="X25" s="14">
        <v>0.21</v>
      </c>
      <c r="Y25" s="14">
        <v>0.18</v>
      </c>
      <c r="Z25" s="14">
        <v>0.2</v>
      </c>
      <c r="AA25" s="14">
        <v>0.03</v>
      </c>
      <c r="AB25" s="14">
        <v>0.21</v>
      </c>
      <c r="AC25" s="14">
        <v>0.13</v>
      </c>
      <c r="AD25" s="14">
        <v>0.13</v>
      </c>
      <c r="AE25" s="14">
        <v>0.1</v>
      </c>
      <c r="AF25" s="14">
        <v>0.18</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809</v>
      </c>
      <c r="C3" s="19"/>
      <c r="D3" s="19"/>
      <c r="E3" s="19"/>
      <c r="F3" s="19"/>
      <c r="H3" s="19" t="s">
        <v>810</v>
      </c>
      <c r="I3" s="19"/>
      <c r="J3" s="19"/>
      <c r="K3" s="19"/>
      <c r="L3" s="19"/>
    </row>
    <row r="4" spans="1:32" ht="27" customHeight="1">
      <c r="B4" s="19" t="s">
        <v>811</v>
      </c>
      <c r="C4" s="19"/>
      <c r="D4" s="19"/>
      <c r="E4" s="19"/>
      <c r="F4" s="19"/>
      <c r="H4" s="19" t="s">
        <v>812</v>
      </c>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HYPERLINK("#Content!A48","&lt;&lt;Back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761</v>
      </c>
      <c r="C12" s="12">
        <v>10626</v>
      </c>
      <c r="D12" s="12">
        <v>416</v>
      </c>
      <c r="E12" s="12">
        <v>451</v>
      </c>
      <c r="F12" s="12">
        <v>217</v>
      </c>
      <c r="G12" s="12">
        <v>174</v>
      </c>
      <c r="H12" s="12">
        <v>427</v>
      </c>
      <c r="I12" s="12">
        <v>526</v>
      </c>
      <c r="J12" s="12">
        <v>99</v>
      </c>
      <c r="K12" s="12">
        <v>310</v>
      </c>
      <c r="L12" s="12">
        <v>480</v>
      </c>
      <c r="M12" s="12">
        <v>547</v>
      </c>
      <c r="N12" s="12">
        <v>620</v>
      </c>
      <c r="O12" s="12">
        <v>507</v>
      </c>
      <c r="P12" s="12">
        <v>475</v>
      </c>
      <c r="Q12" s="12">
        <v>453</v>
      </c>
      <c r="R12" s="12">
        <v>366</v>
      </c>
      <c r="S12" s="12">
        <v>601</v>
      </c>
      <c r="T12" s="12">
        <v>281</v>
      </c>
      <c r="U12" s="12">
        <v>299</v>
      </c>
      <c r="V12" s="12">
        <v>279</v>
      </c>
      <c r="W12" s="12">
        <v>159</v>
      </c>
      <c r="X12" s="12">
        <v>300</v>
      </c>
      <c r="Y12" s="12">
        <v>299</v>
      </c>
      <c r="Z12" s="12">
        <v>168</v>
      </c>
      <c r="AA12" s="12">
        <v>784</v>
      </c>
      <c r="AB12" s="12">
        <v>311</v>
      </c>
      <c r="AC12" s="12">
        <v>342</v>
      </c>
      <c r="AD12" s="12">
        <v>193</v>
      </c>
      <c r="AE12" s="12">
        <v>392</v>
      </c>
      <c r="AF12" s="12">
        <v>213</v>
      </c>
    </row>
    <row r="13" spans="1:32">
      <c r="A13" s="23"/>
      <c r="B13" s="13" t="s">
        <v>762</v>
      </c>
      <c r="C13" s="14">
        <v>0.4</v>
      </c>
      <c r="D13" s="14">
        <v>0.41</v>
      </c>
      <c r="E13" s="14">
        <v>0.43</v>
      </c>
      <c r="F13" s="14">
        <v>0.22</v>
      </c>
      <c r="G13" s="14">
        <v>0.17</v>
      </c>
      <c r="H13" s="14">
        <v>0.35</v>
      </c>
      <c r="I13" s="14">
        <v>0.35</v>
      </c>
      <c r="J13" s="14">
        <v>0.34</v>
      </c>
      <c r="K13" s="14">
        <v>0.31</v>
      </c>
      <c r="L13" s="14">
        <v>0.48</v>
      </c>
      <c r="M13" s="14">
        <v>0.54</v>
      </c>
      <c r="N13" s="14">
        <v>0.62</v>
      </c>
      <c r="O13" s="14">
        <v>0.5</v>
      </c>
      <c r="P13" s="14">
        <v>0.47</v>
      </c>
      <c r="Q13" s="14">
        <v>0.44</v>
      </c>
      <c r="R13" s="14">
        <v>0.73</v>
      </c>
      <c r="S13" s="14">
        <v>0.6</v>
      </c>
      <c r="T13" s="14">
        <v>0.28000000000000003</v>
      </c>
      <c r="U13" s="14">
        <v>0.59</v>
      </c>
      <c r="V13" s="14">
        <v>0.28000000000000003</v>
      </c>
      <c r="W13" s="14">
        <v>0.32</v>
      </c>
      <c r="X13" s="14">
        <v>0.3</v>
      </c>
      <c r="Y13" s="14">
        <v>0.3</v>
      </c>
      <c r="Z13" s="14">
        <v>0.17</v>
      </c>
      <c r="AA13" s="14">
        <v>0.75</v>
      </c>
      <c r="AB13" s="14">
        <v>0.3</v>
      </c>
      <c r="AC13" s="14">
        <v>0.34</v>
      </c>
      <c r="AD13" s="14">
        <v>0.19</v>
      </c>
      <c r="AE13" s="14">
        <v>0.39</v>
      </c>
      <c r="AF13" s="14">
        <v>0.2</v>
      </c>
    </row>
    <row r="14" spans="1:32">
      <c r="A14" s="23"/>
      <c r="B14" s="11" t="s">
        <v>763</v>
      </c>
      <c r="C14" s="12">
        <v>11593</v>
      </c>
      <c r="D14" s="12">
        <v>472</v>
      </c>
      <c r="E14" s="12">
        <v>437</v>
      </c>
      <c r="F14" s="12">
        <v>428</v>
      </c>
      <c r="G14" s="12">
        <v>248</v>
      </c>
      <c r="H14" s="12">
        <v>590</v>
      </c>
      <c r="I14" s="12">
        <v>728</v>
      </c>
      <c r="J14" s="12">
        <v>138</v>
      </c>
      <c r="K14" s="12">
        <v>407</v>
      </c>
      <c r="L14" s="12">
        <v>380</v>
      </c>
      <c r="M14" s="12">
        <v>413</v>
      </c>
      <c r="N14" s="12">
        <v>331</v>
      </c>
      <c r="O14" s="12">
        <v>395</v>
      </c>
      <c r="P14" s="12">
        <v>428</v>
      </c>
      <c r="Q14" s="12">
        <v>468</v>
      </c>
      <c r="R14" s="12">
        <v>119</v>
      </c>
      <c r="S14" s="12">
        <v>285</v>
      </c>
      <c r="T14" s="12">
        <v>474</v>
      </c>
      <c r="U14" s="12">
        <v>140</v>
      </c>
      <c r="V14" s="12">
        <v>555</v>
      </c>
      <c r="W14" s="12">
        <v>228</v>
      </c>
      <c r="X14" s="12">
        <v>502</v>
      </c>
      <c r="Y14" s="12">
        <v>443</v>
      </c>
      <c r="Z14" s="12">
        <v>586</v>
      </c>
      <c r="AA14" s="12">
        <v>226</v>
      </c>
      <c r="AB14" s="12">
        <v>470</v>
      </c>
      <c r="AC14" s="12">
        <v>466</v>
      </c>
      <c r="AD14" s="12">
        <v>578</v>
      </c>
      <c r="AE14" s="12">
        <v>437</v>
      </c>
      <c r="AF14" s="12">
        <v>504</v>
      </c>
    </row>
    <row r="15" spans="1:32">
      <c r="A15" s="23"/>
      <c r="B15" s="13" t="s">
        <v>764</v>
      </c>
      <c r="C15" s="14">
        <v>0.44</v>
      </c>
      <c r="D15" s="14">
        <v>0.47</v>
      </c>
      <c r="E15" s="14">
        <v>0.42</v>
      </c>
      <c r="F15" s="14">
        <v>0.42</v>
      </c>
      <c r="G15" s="14">
        <v>0.25</v>
      </c>
      <c r="H15" s="14">
        <v>0.49</v>
      </c>
      <c r="I15" s="14">
        <v>0.48</v>
      </c>
      <c r="J15" s="14">
        <v>0.47</v>
      </c>
      <c r="K15" s="14">
        <v>0.4</v>
      </c>
      <c r="L15" s="14">
        <v>0.38</v>
      </c>
      <c r="M15" s="14">
        <v>0.41</v>
      </c>
      <c r="N15" s="14">
        <v>0.33</v>
      </c>
      <c r="O15" s="14">
        <v>0.39</v>
      </c>
      <c r="P15" s="14">
        <v>0.42</v>
      </c>
      <c r="Q15" s="14">
        <v>0.46</v>
      </c>
      <c r="R15" s="14">
        <v>0.24</v>
      </c>
      <c r="S15" s="14">
        <v>0.28000000000000003</v>
      </c>
      <c r="T15" s="14">
        <v>0.47</v>
      </c>
      <c r="U15" s="14">
        <v>0.28000000000000003</v>
      </c>
      <c r="V15" s="14">
        <v>0.55000000000000004</v>
      </c>
      <c r="W15" s="14">
        <v>0.45</v>
      </c>
      <c r="X15" s="14">
        <v>0.49</v>
      </c>
      <c r="Y15" s="14">
        <v>0.44</v>
      </c>
      <c r="Z15" s="14">
        <v>0.57999999999999996</v>
      </c>
      <c r="AA15" s="14">
        <v>0.22</v>
      </c>
      <c r="AB15" s="14">
        <v>0.46</v>
      </c>
      <c r="AC15" s="14">
        <v>0.46</v>
      </c>
      <c r="AD15" s="14">
        <v>0.57999999999999996</v>
      </c>
      <c r="AE15" s="14">
        <v>0.43</v>
      </c>
      <c r="AF15" s="14">
        <v>0.47</v>
      </c>
    </row>
    <row r="16" spans="1:32" ht="23.25">
      <c r="A16" s="23"/>
      <c r="B16" s="11" t="s">
        <v>765</v>
      </c>
      <c r="C16" s="12">
        <v>3250</v>
      </c>
      <c r="D16" s="12">
        <v>103</v>
      </c>
      <c r="E16" s="12">
        <v>103</v>
      </c>
      <c r="F16" s="12">
        <v>251</v>
      </c>
      <c r="G16" s="12">
        <v>381</v>
      </c>
      <c r="H16" s="12">
        <v>161</v>
      </c>
      <c r="I16" s="12">
        <v>209</v>
      </c>
      <c r="J16" s="12">
        <v>48</v>
      </c>
      <c r="K16" s="12">
        <v>190</v>
      </c>
      <c r="L16" s="12">
        <v>105</v>
      </c>
      <c r="M16" s="12">
        <v>46</v>
      </c>
      <c r="N16" s="12">
        <v>37</v>
      </c>
      <c r="O16" s="12">
        <v>75</v>
      </c>
      <c r="P16" s="12">
        <v>90</v>
      </c>
      <c r="Q16" s="12">
        <v>81</v>
      </c>
      <c r="R16" s="12">
        <v>11</v>
      </c>
      <c r="S16" s="12">
        <v>77</v>
      </c>
      <c r="T16" s="12">
        <v>197</v>
      </c>
      <c r="U16" s="12">
        <v>43</v>
      </c>
      <c r="V16" s="12">
        <v>144</v>
      </c>
      <c r="W16" s="12">
        <v>79</v>
      </c>
      <c r="X16" s="12">
        <v>197</v>
      </c>
      <c r="Y16" s="12">
        <v>201</v>
      </c>
      <c r="Z16" s="12">
        <v>207</v>
      </c>
      <c r="AA16" s="12">
        <v>27</v>
      </c>
      <c r="AB16" s="12">
        <v>191</v>
      </c>
      <c r="AC16" s="12">
        <v>152</v>
      </c>
      <c r="AD16" s="12">
        <v>194</v>
      </c>
      <c r="AE16" s="12">
        <v>141</v>
      </c>
      <c r="AF16" s="12">
        <v>298</v>
      </c>
    </row>
    <row r="17" spans="1:32">
      <c r="A17" s="23"/>
      <c r="B17" s="13" t="s">
        <v>766</v>
      </c>
      <c r="C17" s="14">
        <v>0.13</v>
      </c>
      <c r="D17" s="14">
        <v>0.1</v>
      </c>
      <c r="E17" s="14">
        <v>0.1</v>
      </c>
      <c r="F17" s="14">
        <v>0.25</v>
      </c>
      <c r="G17" s="14">
        <v>0.38</v>
      </c>
      <c r="H17" s="14">
        <v>0.13</v>
      </c>
      <c r="I17" s="14">
        <v>0.14000000000000001</v>
      </c>
      <c r="J17" s="14">
        <v>0.16</v>
      </c>
      <c r="K17" s="14">
        <v>0.19</v>
      </c>
      <c r="L17" s="14">
        <v>0.1</v>
      </c>
      <c r="M17" s="14">
        <v>0.05</v>
      </c>
      <c r="N17" s="14">
        <v>0.04</v>
      </c>
      <c r="O17" s="14">
        <v>0.08</v>
      </c>
      <c r="P17" s="14">
        <v>0.09</v>
      </c>
      <c r="Q17" s="14">
        <v>0.08</v>
      </c>
      <c r="R17" s="14">
        <v>0.02</v>
      </c>
      <c r="S17" s="14">
        <v>0.08</v>
      </c>
      <c r="T17" s="14">
        <v>0.2</v>
      </c>
      <c r="U17" s="14">
        <v>0.09</v>
      </c>
      <c r="V17" s="14">
        <v>0.14000000000000001</v>
      </c>
      <c r="W17" s="14">
        <v>0.16</v>
      </c>
      <c r="X17" s="14">
        <v>0.19</v>
      </c>
      <c r="Y17" s="14">
        <v>0.2</v>
      </c>
      <c r="Z17" s="14">
        <v>0.2</v>
      </c>
      <c r="AA17" s="14">
        <v>0.03</v>
      </c>
      <c r="AB17" s="14">
        <v>0.19</v>
      </c>
      <c r="AC17" s="14">
        <v>0.15</v>
      </c>
      <c r="AD17" s="14">
        <v>0.19</v>
      </c>
      <c r="AE17" s="14">
        <v>0.14000000000000001</v>
      </c>
      <c r="AF17" s="14">
        <v>0.28000000000000003</v>
      </c>
    </row>
    <row r="18" spans="1:32" ht="23.25">
      <c r="A18" s="23"/>
      <c r="B18" s="11" t="s">
        <v>767</v>
      </c>
      <c r="C18" s="12">
        <v>594</v>
      </c>
      <c r="D18" s="12">
        <v>10</v>
      </c>
      <c r="E18" s="12">
        <v>39</v>
      </c>
      <c r="F18" s="12">
        <v>76</v>
      </c>
      <c r="G18" s="12">
        <v>192</v>
      </c>
      <c r="H18" s="12">
        <v>21</v>
      </c>
      <c r="I18" s="12">
        <v>27</v>
      </c>
      <c r="J18" s="12">
        <v>7</v>
      </c>
      <c r="K18" s="12">
        <v>56</v>
      </c>
      <c r="L18" s="12">
        <v>33</v>
      </c>
      <c r="M18" s="12">
        <v>5</v>
      </c>
      <c r="N18" s="12">
        <v>8</v>
      </c>
      <c r="O18" s="12">
        <v>9</v>
      </c>
      <c r="P18" s="12">
        <v>15</v>
      </c>
      <c r="Q18" s="12">
        <v>12</v>
      </c>
      <c r="R18" s="12">
        <v>3</v>
      </c>
      <c r="S18" s="12">
        <v>22</v>
      </c>
      <c r="T18" s="12">
        <v>43</v>
      </c>
      <c r="U18" s="12">
        <v>16</v>
      </c>
      <c r="V18" s="12">
        <v>26</v>
      </c>
      <c r="W18" s="12">
        <v>33</v>
      </c>
      <c r="X18" s="12">
        <v>11</v>
      </c>
      <c r="Y18" s="12">
        <v>37</v>
      </c>
      <c r="Z18" s="12">
        <v>45</v>
      </c>
      <c r="AA18" s="12">
        <v>1</v>
      </c>
      <c r="AB18" s="12">
        <v>47</v>
      </c>
      <c r="AC18" s="12">
        <v>40</v>
      </c>
      <c r="AD18" s="12">
        <v>10</v>
      </c>
      <c r="AE18" s="12">
        <v>27</v>
      </c>
      <c r="AF18" s="12">
        <v>50</v>
      </c>
    </row>
    <row r="19" spans="1:32">
      <c r="A19" s="23"/>
      <c r="B19" s="13" t="s">
        <v>768</v>
      </c>
      <c r="C19" s="14">
        <v>0.02</v>
      </c>
      <c r="D19" s="14">
        <v>0.01</v>
      </c>
      <c r="E19" s="14">
        <v>0.04</v>
      </c>
      <c r="F19" s="14">
        <v>7.0000000000000007E-2</v>
      </c>
      <c r="G19" s="14">
        <v>0.19</v>
      </c>
      <c r="H19" s="14">
        <v>0.02</v>
      </c>
      <c r="I19" s="14">
        <v>0.02</v>
      </c>
      <c r="J19" s="14">
        <v>0.02</v>
      </c>
      <c r="K19" s="14">
        <v>0.06</v>
      </c>
      <c r="L19" s="14">
        <v>0.03</v>
      </c>
      <c r="M19" s="15" t="s">
        <v>485</v>
      </c>
      <c r="N19" s="14">
        <v>0.01</v>
      </c>
      <c r="O19" s="14">
        <v>0.01</v>
      </c>
      <c r="P19" s="14">
        <v>0.02</v>
      </c>
      <c r="Q19" s="14">
        <v>0.01</v>
      </c>
      <c r="R19" s="14">
        <v>0.01</v>
      </c>
      <c r="S19" s="14">
        <v>0.02</v>
      </c>
      <c r="T19" s="14">
        <v>0.04</v>
      </c>
      <c r="U19" s="14">
        <v>0.03</v>
      </c>
      <c r="V19" s="14">
        <v>0.02</v>
      </c>
      <c r="W19" s="14">
        <v>0.06</v>
      </c>
      <c r="X19" s="14">
        <v>0.01</v>
      </c>
      <c r="Y19" s="14">
        <v>0.03</v>
      </c>
      <c r="Z19" s="14">
        <v>0.04</v>
      </c>
      <c r="AA19" s="15" t="s">
        <v>485</v>
      </c>
      <c r="AB19" s="14">
        <v>0.04</v>
      </c>
      <c r="AC19" s="14">
        <v>0.04</v>
      </c>
      <c r="AD19" s="14">
        <v>0.01</v>
      </c>
      <c r="AE19" s="14">
        <v>0.03</v>
      </c>
      <c r="AF19" s="14">
        <v>0.04</v>
      </c>
    </row>
    <row r="20" spans="1:32">
      <c r="A20" s="23"/>
      <c r="B20" s="11" t="s">
        <v>497</v>
      </c>
      <c r="C20" s="12">
        <v>290</v>
      </c>
      <c r="D20" s="12">
        <v>5</v>
      </c>
      <c r="E20" s="12">
        <v>15</v>
      </c>
      <c r="F20" s="12">
        <v>35</v>
      </c>
      <c r="G20" s="12">
        <v>7</v>
      </c>
      <c r="H20" s="12">
        <v>11</v>
      </c>
      <c r="I20" s="12">
        <v>13</v>
      </c>
      <c r="J20" s="12">
        <v>2</v>
      </c>
      <c r="K20" s="12">
        <v>41</v>
      </c>
      <c r="L20" s="12">
        <v>9</v>
      </c>
      <c r="M20" s="12">
        <v>0</v>
      </c>
      <c r="N20" s="12">
        <v>4</v>
      </c>
      <c r="O20" s="12">
        <v>20</v>
      </c>
      <c r="P20" s="12">
        <v>2</v>
      </c>
      <c r="Q20" s="12">
        <v>10</v>
      </c>
      <c r="R20" s="12">
        <v>3</v>
      </c>
      <c r="S20" s="12">
        <v>20</v>
      </c>
      <c r="T20" s="12">
        <v>9</v>
      </c>
      <c r="U20" s="12">
        <v>6</v>
      </c>
      <c r="V20" s="12">
        <v>7</v>
      </c>
      <c r="W20" s="12">
        <v>5</v>
      </c>
      <c r="X20" s="12">
        <v>7</v>
      </c>
      <c r="Y20" s="12">
        <v>27</v>
      </c>
      <c r="Z20" s="12">
        <v>10</v>
      </c>
      <c r="AA20" s="12">
        <v>1</v>
      </c>
      <c r="AB20" s="12">
        <v>12</v>
      </c>
      <c r="AC20" s="12">
        <v>5</v>
      </c>
      <c r="AD20" s="12">
        <v>27</v>
      </c>
      <c r="AE20" s="12">
        <v>12</v>
      </c>
      <c r="AF20" s="12">
        <v>9</v>
      </c>
    </row>
    <row r="21" spans="1:32">
      <c r="A21" s="23"/>
      <c r="B21" s="13" t="s">
        <v>498</v>
      </c>
      <c r="C21" s="14">
        <v>0.01</v>
      </c>
      <c r="D21" s="14">
        <v>0.01</v>
      </c>
      <c r="E21" s="14">
        <v>0.01</v>
      </c>
      <c r="F21" s="14">
        <v>0.04</v>
      </c>
      <c r="G21" s="14">
        <v>0.01</v>
      </c>
      <c r="H21" s="14">
        <v>0.01</v>
      </c>
      <c r="I21" s="14">
        <v>0.01</v>
      </c>
      <c r="J21" s="14">
        <v>0.01</v>
      </c>
      <c r="K21" s="14">
        <v>0.04</v>
      </c>
      <c r="L21" s="14">
        <v>0.01</v>
      </c>
      <c r="M21" s="15" t="s">
        <v>485</v>
      </c>
      <c r="N21" s="15" t="s">
        <v>485</v>
      </c>
      <c r="O21" s="14">
        <v>0.02</v>
      </c>
      <c r="P21" s="15" t="s">
        <v>485</v>
      </c>
      <c r="Q21" s="14">
        <v>0.01</v>
      </c>
      <c r="R21" s="15" t="s">
        <v>485</v>
      </c>
      <c r="S21" s="14">
        <v>0.02</v>
      </c>
      <c r="T21" s="14">
        <v>0.01</v>
      </c>
      <c r="U21" s="14">
        <v>0.01</v>
      </c>
      <c r="V21" s="14">
        <v>0.01</v>
      </c>
      <c r="W21" s="14">
        <v>0.01</v>
      </c>
      <c r="X21" s="14">
        <v>0.01</v>
      </c>
      <c r="Y21" s="14">
        <v>0.03</v>
      </c>
      <c r="Z21" s="14">
        <v>0.01</v>
      </c>
      <c r="AA21" s="15" t="s">
        <v>485</v>
      </c>
      <c r="AB21" s="14">
        <v>0.01</v>
      </c>
      <c r="AC21" s="14">
        <v>0.01</v>
      </c>
      <c r="AD21" s="14">
        <v>0.03</v>
      </c>
      <c r="AE21" s="14">
        <v>0.01</v>
      </c>
      <c r="AF21" s="14">
        <v>0.01</v>
      </c>
    </row>
    <row r="22" spans="1:32">
      <c r="A22" s="23"/>
      <c r="B22" s="11" t="s">
        <v>769</v>
      </c>
      <c r="C22" s="12">
        <v>22219</v>
      </c>
      <c r="D22" s="12">
        <v>888</v>
      </c>
      <c r="E22" s="12">
        <v>888</v>
      </c>
      <c r="F22" s="12">
        <v>645</v>
      </c>
      <c r="G22" s="12">
        <v>422</v>
      </c>
      <c r="H22" s="12">
        <v>1017</v>
      </c>
      <c r="I22" s="12">
        <v>1254</v>
      </c>
      <c r="J22" s="12">
        <v>237</v>
      </c>
      <c r="K22" s="12">
        <v>717</v>
      </c>
      <c r="L22" s="12">
        <v>860</v>
      </c>
      <c r="M22" s="12">
        <v>960</v>
      </c>
      <c r="N22" s="12">
        <v>951</v>
      </c>
      <c r="O22" s="12">
        <v>902</v>
      </c>
      <c r="P22" s="12">
        <v>903</v>
      </c>
      <c r="Q22" s="12">
        <v>921</v>
      </c>
      <c r="R22" s="12">
        <v>485</v>
      </c>
      <c r="S22" s="12">
        <v>886</v>
      </c>
      <c r="T22" s="12">
        <v>755</v>
      </c>
      <c r="U22" s="12">
        <v>439</v>
      </c>
      <c r="V22" s="12">
        <v>834</v>
      </c>
      <c r="W22" s="12">
        <v>387</v>
      </c>
      <c r="X22" s="12">
        <v>802</v>
      </c>
      <c r="Y22" s="12">
        <v>742</v>
      </c>
      <c r="Z22" s="12">
        <v>754</v>
      </c>
      <c r="AA22" s="12">
        <v>1010</v>
      </c>
      <c r="AB22" s="12">
        <v>781</v>
      </c>
      <c r="AC22" s="12">
        <v>808</v>
      </c>
      <c r="AD22" s="12">
        <v>771</v>
      </c>
      <c r="AE22" s="12">
        <v>829</v>
      </c>
      <c r="AF22" s="12">
        <v>717</v>
      </c>
    </row>
    <row r="23" spans="1:32">
      <c r="A23" s="23"/>
      <c r="B23" s="13" t="s">
        <v>770</v>
      </c>
      <c r="C23" s="14">
        <v>0.84</v>
      </c>
      <c r="D23" s="14">
        <v>0.88</v>
      </c>
      <c r="E23" s="14">
        <v>0.85</v>
      </c>
      <c r="F23" s="14">
        <v>0.64</v>
      </c>
      <c r="G23" s="14">
        <v>0.42</v>
      </c>
      <c r="H23" s="14">
        <v>0.84</v>
      </c>
      <c r="I23" s="14">
        <v>0.83000000000000007</v>
      </c>
      <c r="J23" s="14">
        <v>0.81</v>
      </c>
      <c r="K23" s="14">
        <v>0.71</v>
      </c>
      <c r="L23" s="14">
        <v>0.86</v>
      </c>
      <c r="M23" s="14">
        <v>0.95000000000000007</v>
      </c>
      <c r="N23" s="14">
        <v>0.95000000000000007</v>
      </c>
      <c r="O23" s="14">
        <v>0.89</v>
      </c>
      <c r="P23" s="14">
        <v>0.89</v>
      </c>
      <c r="Q23" s="14">
        <v>0.9</v>
      </c>
      <c r="R23" s="14">
        <v>0.97</v>
      </c>
      <c r="S23" s="14">
        <v>0.88</v>
      </c>
      <c r="T23" s="14">
        <v>0.75</v>
      </c>
      <c r="U23" s="14">
        <v>0.87</v>
      </c>
      <c r="V23" s="14">
        <v>0.83000000000000007</v>
      </c>
      <c r="W23" s="14">
        <v>0.77</v>
      </c>
      <c r="X23" s="14">
        <v>0.79</v>
      </c>
      <c r="Y23" s="14">
        <v>0.74</v>
      </c>
      <c r="Z23" s="14">
        <v>0.75</v>
      </c>
      <c r="AA23" s="14">
        <v>0.97</v>
      </c>
      <c r="AB23" s="14">
        <v>0.76</v>
      </c>
      <c r="AC23" s="14">
        <v>0.8</v>
      </c>
      <c r="AD23" s="14">
        <v>0.77</v>
      </c>
      <c r="AE23" s="14">
        <v>0.82000000000000006</v>
      </c>
      <c r="AF23" s="14">
        <v>0.67</v>
      </c>
    </row>
    <row r="24" spans="1:32">
      <c r="A24" s="23"/>
      <c r="B24" s="11" t="s">
        <v>771</v>
      </c>
      <c r="C24" s="12">
        <v>3844</v>
      </c>
      <c r="D24" s="12">
        <v>113</v>
      </c>
      <c r="E24" s="12">
        <v>142</v>
      </c>
      <c r="F24" s="12">
        <v>327</v>
      </c>
      <c r="G24" s="12">
        <v>573</v>
      </c>
      <c r="H24" s="12">
        <v>182</v>
      </c>
      <c r="I24" s="12">
        <v>236</v>
      </c>
      <c r="J24" s="12">
        <v>55</v>
      </c>
      <c r="K24" s="12">
        <v>246</v>
      </c>
      <c r="L24" s="12">
        <v>138</v>
      </c>
      <c r="M24" s="12">
        <v>51</v>
      </c>
      <c r="N24" s="12">
        <v>45</v>
      </c>
      <c r="O24" s="12">
        <v>84</v>
      </c>
      <c r="P24" s="12">
        <v>105</v>
      </c>
      <c r="Q24" s="12">
        <v>93</v>
      </c>
      <c r="R24" s="12">
        <v>14</v>
      </c>
      <c r="S24" s="12">
        <v>99</v>
      </c>
      <c r="T24" s="12">
        <v>240</v>
      </c>
      <c r="U24" s="12">
        <v>59</v>
      </c>
      <c r="V24" s="12">
        <v>170</v>
      </c>
      <c r="W24" s="12">
        <v>112</v>
      </c>
      <c r="X24" s="12">
        <v>208</v>
      </c>
      <c r="Y24" s="12">
        <v>238</v>
      </c>
      <c r="Z24" s="12">
        <v>252</v>
      </c>
      <c r="AA24" s="12">
        <v>28</v>
      </c>
      <c r="AB24" s="12">
        <v>238</v>
      </c>
      <c r="AC24" s="12">
        <v>192</v>
      </c>
      <c r="AD24" s="12">
        <v>204</v>
      </c>
      <c r="AE24" s="12">
        <v>168</v>
      </c>
      <c r="AF24" s="12">
        <v>348</v>
      </c>
    </row>
    <row r="25" spans="1:32">
      <c r="A25" s="23"/>
      <c r="B25" s="13" t="s">
        <v>772</v>
      </c>
      <c r="C25" s="14">
        <v>0.15</v>
      </c>
      <c r="D25" s="14">
        <v>0.11</v>
      </c>
      <c r="E25" s="14">
        <v>0.14000000000000001</v>
      </c>
      <c r="F25" s="14">
        <v>0.32</v>
      </c>
      <c r="G25" s="14">
        <v>0.57000000000000006</v>
      </c>
      <c r="H25" s="14">
        <v>0.15</v>
      </c>
      <c r="I25" s="14">
        <v>0.16</v>
      </c>
      <c r="J25" s="14">
        <v>0.18</v>
      </c>
      <c r="K25" s="14">
        <v>0.25</v>
      </c>
      <c r="L25" s="14">
        <v>0.13</v>
      </c>
      <c r="M25" s="14">
        <v>0.05</v>
      </c>
      <c r="N25" s="14">
        <v>0.05</v>
      </c>
      <c r="O25" s="14">
        <v>0.09</v>
      </c>
      <c r="P25" s="14">
        <v>0.11</v>
      </c>
      <c r="Q25" s="14">
        <v>0.09</v>
      </c>
      <c r="R25" s="14">
        <v>0.03</v>
      </c>
      <c r="S25" s="14">
        <v>0.1</v>
      </c>
      <c r="T25" s="14">
        <v>0.24</v>
      </c>
      <c r="U25" s="14">
        <v>0.12</v>
      </c>
      <c r="V25" s="14">
        <v>0.16</v>
      </c>
      <c r="W25" s="14">
        <v>0.22</v>
      </c>
      <c r="X25" s="14">
        <v>0.2</v>
      </c>
      <c r="Y25" s="14">
        <v>0.23</v>
      </c>
      <c r="Z25" s="14">
        <v>0.24</v>
      </c>
      <c r="AA25" s="14">
        <v>0.03</v>
      </c>
      <c r="AB25" s="14">
        <v>0.23</v>
      </c>
      <c r="AC25" s="14">
        <v>0.19</v>
      </c>
      <c r="AD25" s="14">
        <v>0.2</v>
      </c>
      <c r="AE25" s="14">
        <v>0.17</v>
      </c>
      <c r="AF25" s="14">
        <v>0.32</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813</v>
      </c>
      <c r="C3" s="19"/>
      <c r="D3" s="19"/>
      <c r="E3" s="19"/>
      <c r="F3" s="19"/>
      <c r="H3" s="19" t="s">
        <v>814</v>
      </c>
      <c r="I3" s="19"/>
      <c r="J3" s="19"/>
      <c r="K3" s="19"/>
      <c r="L3" s="19"/>
    </row>
    <row r="4" spans="1:32" ht="27" customHeight="1">
      <c r="B4" s="19" t="s">
        <v>815</v>
      </c>
      <c r="C4" s="19"/>
      <c r="D4" s="19"/>
      <c r="E4" s="19"/>
      <c r="F4" s="19"/>
      <c r="H4" s="19" t="s">
        <v>816</v>
      </c>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HYPERLINK("#Content!A49","&lt;&lt;Back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761</v>
      </c>
      <c r="C12" s="12">
        <v>10309</v>
      </c>
      <c r="D12" s="12">
        <v>392</v>
      </c>
      <c r="E12" s="12">
        <v>411</v>
      </c>
      <c r="F12" s="12">
        <v>208</v>
      </c>
      <c r="G12" s="12">
        <v>133</v>
      </c>
      <c r="H12" s="12">
        <v>475</v>
      </c>
      <c r="I12" s="12">
        <v>614</v>
      </c>
      <c r="J12" s="12">
        <v>139</v>
      </c>
      <c r="K12" s="12">
        <v>236</v>
      </c>
      <c r="L12" s="12">
        <v>264</v>
      </c>
      <c r="M12" s="12">
        <v>426</v>
      </c>
      <c r="N12" s="12">
        <v>583</v>
      </c>
      <c r="O12" s="12">
        <v>530</v>
      </c>
      <c r="P12" s="12">
        <v>350</v>
      </c>
      <c r="Q12" s="12">
        <v>396</v>
      </c>
      <c r="R12" s="12">
        <v>290</v>
      </c>
      <c r="S12" s="12">
        <v>506</v>
      </c>
      <c r="T12" s="12">
        <v>286</v>
      </c>
      <c r="U12" s="12">
        <v>234</v>
      </c>
      <c r="V12" s="12">
        <v>294</v>
      </c>
      <c r="W12" s="12">
        <v>195</v>
      </c>
      <c r="X12" s="12">
        <v>308</v>
      </c>
      <c r="Y12" s="12">
        <v>341</v>
      </c>
      <c r="Z12" s="12">
        <v>179</v>
      </c>
      <c r="AA12" s="12">
        <v>598</v>
      </c>
      <c r="AB12" s="12">
        <v>267</v>
      </c>
      <c r="AC12" s="12">
        <v>204</v>
      </c>
      <c r="AD12" s="12">
        <v>230</v>
      </c>
      <c r="AE12" s="12">
        <v>213</v>
      </c>
      <c r="AF12" s="12">
        <v>237</v>
      </c>
    </row>
    <row r="13" spans="1:32">
      <c r="A13" s="23"/>
      <c r="B13" s="13" t="s">
        <v>762</v>
      </c>
      <c r="C13" s="14">
        <v>0.39</v>
      </c>
      <c r="D13" s="14">
        <v>0.39</v>
      </c>
      <c r="E13" s="14">
        <v>0.4</v>
      </c>
      <c r="F13" s="14">
        <v>0.21</v>
      </c>
      <c r="G13" s="14">
        <v>0.13</v>
      </c>
      <c r="H13" s="14">
        <v>0.39</v>
      </c>
      <c r="I13" s="14">
        <v>0.41</v>
      </c>
      <c r="J13" s="14">
        <v>0.47</v>
      </c>
      <c r="K13" s="14">
        <v>0.24</v>
      </c>
      <c r="L13" s="14">
        <v>0.26</v>
      </c>
      <c r="M13" s="14">
        <v>0.42</v>
      </c>
      <c r="N13" s="14">
        <v>0.57999999999999996</v>
      </c>
      <c r="O13" s="14">
        <v>0.53</v>
      </c>
      <c r="P13" s="14">
        <v>0.35</v>
      </c>
      <c r="Q13" s="14">
        <v>0.39</v>
      </c>
      <c r="R13" s="14">
        <v>0.57999999999999996</v>
      </c>
      <c r="S13" s="14">
        <v>0.5</v>
      </c>
      <c r="T13" s="14">
        <v>0.28999999999999998</v>
      </c>
      <c r="U13" s="14">
        <v>0.46</v>
      </c>
      <c r="V13" s="14">
        <v>0.28999999999999998</v>
      </c>
      <c r="W13" s="14">
        <v>0.39</v>
      </c>
      <c r="X13" s="14">
        <v>0.3</v>
      </c>
      <c r="Y13" s="14">
        <v>0.34</v>
      </c>
      <c r="Z13" s="14">
        <v>0.18</v>
      </c>
      <c r="AA13" s="14">
        <v>0.57999999999999996</v>
      </c>
      <c r="AB13" s="14">
        <v>0.26</v>
      </c>
      <c r="AC13" s="14">
        <v>0.2</v>
      </c>
      <c r="AD13" s="14">
        <v>0.23</v>
      </c>
      <c r="AE13" s="14">
        <v>0.21</v>
      </c>
      <c r="AF13" s="14">
        <v>0.22</v>
      </c>
    </row>
    <row r="14" spans="1:32">
      <c r="A14" s="23"/>
      <c r="B14" s="11" t="s">
        <v>763</v>
      </c>
      <c r="C14" s="12">
        <v>10921</v>
      </c>
      <c r="D14" s="12">
        <v>447</v>
      </c>
      <c r="E14" s="12">
        <v>357</v>
      </c>
      <c r="F14" s="12">
        <v>388</v>
      </c>
      <c r="G14" s="12">
        <v>252</v>
      </c>
      <c r="H14" s="12">
        <v>513</v>
      </c>
      <c r="I14" s="12">
        <v>616</v>
      </c>
      <c r="J14" s="12">
        <v>103</v>
      </c>
      <c r="K14" s="12">
        <v>331</v>
      </c>
      <c r="L14" s="12">
        <v>343</v>
      </c>
      <c r="M14" s="12">
        <v>471</v>
      </c>
      <c r="N14" s="12">
        <v>356</v>
      </c>
      <c r="O14" s="12">
        <v>368</v>
      </c>
      <c r="P14" s="12">
        <v>439</v>
      </c>
      <c r="Q14" s="12">
        <v>490</v>
      </c>
      <c r="R14" s="12">
        <v>148</v>
      </c>
      <c r="S14" s="12">
        <v>308</v>
      </c>
      <c r="T14" s="12">
        <v>372</v>
      </c>
      <c r="U14" s="12">
        <v>151</v>
      </c>
      <c r="V14" s="12">
        <v>480</v>
      </c>
      <c r="W14" s="12">
        <v>160</v>
      </c>
      <c r="X14" s="12">
        <v>464</v>
      </c>
      <c r="Y14" s="12">
        <v>381</v>
      </c>
      <c r="Z14" s="12">
        <v>478</v>
      </c>
      <c r="AA14" s="12">
        <v>366</v>
      </c>
      <c r="AB14" s="12">
        <v>498</v>
      </c>
      <c r="AC14" s="12">
        <v>366</v>
      </c>
      <c r="AD14" s="12">
        <v>504</v>
      </c>
      <c r="AE14" s="12">
        <v>370</v>
      </c>
      <c r="AF14" s="12">
        <v>507</v>
      </c>
    </row>
    <row r="15" spans="1:32">
      <c r="A15" s="23"/>
      <c r="B15" s="13" t="s">
        <v>764</v>
      </c>
      <c r="C15" s="14">
        <v>0.42</v>
      </c>
      <c r="D15" s="14">
        <v>0.45</v>
      </c>
      <c r="E15" s="14">
        <v>0.34</v>
      </c>
      <c r="F15" s="14">
        <v>0.38</v>
      </c>
      <c r="G15" s="14">
        <v>0.25</v>
      </c>
      <c r="H15" s="14">
        <v>0.42</v>
      </c>
      <c r="I15" s="14">
        <v>0.41</v>
      </c>
      <c r="J15" s="14">
        <v>0.35</v>
      </c>
      <c r="K15" s="14">
        <v>0.33</v>
      </c>
      <c r="L15" s="14">
        <v>0.34</v>
      </c>
      <c r="M15" s="14">
        <v>0.47</v>
      </c>
      <c r="N15" s="14">
        <v>0.36</v>
      </c>
      <c r="O15" s="14">
        <v>0.36</v>
      </c>
      <c r="P15" s="14">
        <v>0.43</v>
      </c>
      <c r="Q15" s="14">
        <v>0.48</v>
      </c>
      <c r="R15" s="14">
        <v>0.28999999999999998</v>
      </c>
      <c r="S15" s="14">
        <v>0.31</v>
      </c>
      <c r="T15" s="14">
        <v>0.37</v>
      </c>
      <c r="U15" s="14">
        <v>0.3</v>
      </c>
      <c r="V15" s="14">
        <v>0.48</v>
      </c>
      <c r="W15" s="14">
        <v>0.32</v>
      </c>
      <c r="X15" s="14">
        <v>0.46</v>
      </c>
      <c r="Y15" s="14">
        <v>0.38</v>
      </c>
      <c r="Z15" s="14">
        <v>0.47</v>
      </c>
      <c r="AA15" s="14">
        <v>0.35</v>
      </c>
      <c r="AB15" s="14">
        <v>0.48</v>
      </c>
      <c r="AC15" s="14">
        <v>0.37</v>
      </c>
      <c r="AD15" s="14">
        <v>0.5</v>
      </c>
      <c r="AE15" s="14">
        <v>0.37</v>
      </c>
      <c r="AF15" s="14">
        <v>0.47</v>
      </c>
    </row>
    <row r="16" spans="1:32" ht="23.25">
      <c r="A16" s="23"/>
      <c r="B16" s="11" t="s">
        <v>765</v>
      </c>
      <c r="C16" s="12">
        <v>3929</v>
      </c>
      <c r="D16" s="12">
        <v>145</v>
      </c>
      <c r="E16" s="12">
        <v>181</v>
      </c>
      <c r="F16" s="12">
        <v>281</v>
      </c>
      <c r="G16" s="12">
        <v>376</v>
      </c>
      <c r="H16" s="12">
        <v>164</v>
      </c>
      <c r="I16" s="12">
        <v>208</v>
      </c>
      <c r="J16" s="12">
        <v>44</v>
      </c>
      <c r="K16" s="12">
        <v>306</v>
      </c>
      <c r="L16" s="12">
        <v>287</v>
      </c>
      <c r="M16" s="12">
        <v>95</v>
      </c>
      <c r="N16" s="12">
        <v>44</v>
      </c>
      <c r="O16" s="12">
        <v>89</v>
      </c>
      <c r="P16" s="12">
        <v>197</v>
      </c>
      <c r="Q16" s="12">
        <v>106</v>
      </c>
      <c r="R16" s="12">
        <v>49</v>
      </c>
      <c r="S16" s="12">
        <v>115</v>
      </c>
      <c r="T16" s="12">
        <v>243</v>
      </c>
      <c r="U16" s="12">
        <v>69</v>
      </c>
      <c r="V16" s="12">
        <v>202</v>
      </c>
      <c r="W16" s="12">
        <v>101</v>
      </c>
      <c r="X16" s="12">
        <v>207</v>
      </c>
      <c r="Y16" s="12">
        <v>217</v>
      </c>
      <c r="Z16" s="12">
        <v>278</v>
      </c>
      <c r="AA16" s="12">
        <v>66</v>
      </c>
      <c r="AB16" s="12">
        <v>199</v>
      </c>
      <c r="AC16" s="12">
        <v>323</v>
      </c>
      <c r="AD16" s="12">
        <v>225</v>
      </c>
      <c r="AE16" s="12">
        <v>348</v>
      </c>
      <c r="AF16" s="12">
        <v>261</v>
      </c>
    </row>
    <row r="17" spans="1:32">
      <c r="A17" s="23"/>
      <c r="B17" s="13" t="s">
        <v>766</v>
      </c>
      <c r="C17" s="14">
        <v>0.15</v>
      </c>
      <c r="D17" s="14">
        <v>0.14000000000000001</v>
      </c>
      <c r="E17" s="14">
        <v>0.17</v>
      </c>
      <c r="F17" s="14">
        <v>0.28000000000000003</v>
      </c>
      <c r="G17" s="14">
        <v>0.38</v>
      </c>
      <c r="H17" s="14">
        <v>0.14000000000000001</v>
      </c>
      <c r="I17" s="14">
        <v>0.14000000000000001</v>
      </c>
      <c r="J17" s="14">
        <v>0.15</v>
      </c>
      <c r="K17" s="14">
        <v>0.3</v>
      </c>
      <c r="L17" s="14">
        <v>0.28999999999999998</v>
      </c>
      <c r="M17" s="14">
        <v>0.09</v>
      </c>
      <c r="N17" s="14">
        <v>0.04</v>
      </c>
      <c r="O17" s="14">
        <v>0.09</v>
      </c>
      <c r="P17" s="14">
        <v>0.19</v>
      </c>
      <c r="Q17" s="14">
        <v>0.1</v>
      </c>
      <c r="R17" s="14">
        <v>0.1</v>
      </c>
      <c r="S17" s="14">
        <v>0.11</v>
      </c>
      <c r="T17" s="14">
        <v>0.24</v>
      </c>
      <c r="U17" s="14">
        <v>0.14000000000000001</v>
      </c>
      <c r="V17" s="14">
        <v>0.2</v>
      </c>
      <c r="W17" s="14">
        <v>0.2</v>
      </c>
      <c r="X17" s="14">
        <v>0.2</v>
      </c>
      <c r="Y17" s="14">
        <v>0.22</v>
      </c>
      <c r="Z17" s="14">
        <v>0.27</v>
      </c>
      <c r="AA17" s="14">
        <v>0.06</v>
      </c>
      <c r="AB17" s="14">
        <v>0.19</v>
      </c>
      <c r="AC17" s="14">
        <v>0.32</v>
      </c>
      <c r="AD17" s="14">
        <v>0.22</v>
      </c>
      <c r="AE17" s="14">
        <v>0.34</v>
      </c>
      <c r="AF17" s="14">
        <v>0.24</v>
      </c>
    </row>
    <row r="18" spans="1:32" ht="23.25">
      <c r="A18" s="23"/>
      <c r="B18" s="11" t="s">
        <v>767</v>
      </c>
      <c r="C18" s="12">
        <v>873</v>
      </c>
      <c r="D18" s="12">
        <v>21</v>
      </c>
      <c r="E18" s="12">
        <v>67</v>
      </c>
      <c r="F18" s="12">
        <v>97</v>
      </c>
      <c r="G18" s="12">
        <v>225</v>
      </c>
      <c r="H18" s="12">
        <v>40</v>
      </c>
      <c r="I18" s="12">
        <v>47</v>
      </c>
      <c r="J18" s="12">
        <v>7</v>
      </c>
      <c r="K18" s="12">
        <v>96</v>
      </c>
      <c r="L18" s="12">
        <v>102</v>
      </c>
      <c r="M18" s="12">
        <v>17</v>
      </c>
      <c r="N18" s="12">
        <v>8</v>
      </c>
      <c r="O18" s="12">
        <v>8</v>
      </c>
      <c r="P18" s="12">
        <v>20</v>
      </c>
      <c r="Q18" s="12">
        <v>21</v>
      </c>
      <c r="R18" s="12">
        <v>7</v>
      </c>
      <c r="S18" s="12">
        <v>48</v>
      </c>
      <c r="T18" s="12">
        <v>70</v>
      </c>
      <c r="U18" s="12">
        <v>34</v>
      </c>
      <c r="V18" s="12">
        <v>30</v>
      </c>
      <c r="W18" s="12">
        <v>43</v>
      </c>
      <c r="X18" s="12">
        <v>25</v>
      </c>
      <c r="Y18" s="12">
        <v>46</v>
      </c>
      <c r="Z18" s="12">
        <v>66</v>
      </c>
      <c r="AA18" s="12">
        <v>7</v>
      </c>
      <c r="AB18" s="12">
        <v>51</v>
      </c>
      <c r="AC18" s="12">
        <v>101</v>
      </c>
      <c r="AD18" s="12">
        <v>26</v>
      </c>
      <c r="AE18" s="12">
        <v>62</v>
      </c>
      <c r="AF18" s="12">
        <v>61</v>
      </c>
    </row>
    <row r="19" spans="1:32">
      <c r="A19" s="23"/>
      <c r="B19" s="13" t="s">
        <v>768</v>
      </c>
      <c r="C19" s="14">
        <v>0.03</v>
      </c>
      <c r="D19" s="14">
        <v>0.02</v>
      </c>
      <c r="E19" s="14">
        <v>0.06</v>
      </c>
      <c r="F19" s="14">
        <v>0.1</v>
      </c>
      <c r="G19" s="14">
        <v>0.22</v>
      </c>
      <c r="H19" s="14">
        <v>0.03</v>
      </c>
      <c r="I19" s="14">
        <v>0.03</v>
      </c>
      <c r="J19" s="14">
        <v>0.02</v>
      </c>
      <c r="K19" s="14">
        <v>0.1</v>
      </c>
      <c r="L19" s="14">
        <v>0.1</v>
      </c>
      <c r="M19" s="14">
        <v>0.02</v>
      </c>
      <c r="N19" s="14">
        <v>0.01</v>
      </c>
      <c r="O19" s="14">
        <v>0.01</v>
      </c>
      <c r="P19" s="14">
        <v>0.02</v>
      </c>
      <c r="Q19" s="14">
        <v>0.02</v>
      </c>
      <c r="R19" s="14">
        <v>0.01</v>
      </c>
      <c r="S19" s="14">
        <v>0.05</v>
      </c>
      <c r="T19" s="14">
        <v>7.0000000000000007E-2</v>
      </c>
      <c r="U19" s="14">
        <v>7.0000000000000007E-2</v>
      </c>
      <c r="V19" s="14">
        <v>0.03</v>
      </c>
      <c r="W19" s="14">
        <v>0.08</v>
      </c>
      <c r="X19" s="14">
        <v>0.03</v>
      </c>
      <c r="Y19" s="14">
        <v>0.04</v>
      </c>
      <c r="Z19" s="14">
        <v>0.06</v>
      </c>
      <c r="AA19" s="14">
        <v>0.01</v>
      </c>
      <c r="AB19" s="14">
        <v>0.05</v>
      </c>
      <c r="AC19" s="14">
        <v>0.1</v>
      </c>
      <c r="AD19" s="14">
        <v>0.03</v>
      </c>
      <c r="AE19" s="14">
        <v>0.06</v>
      </c>
      <c r="AF19" s="14">
        <v>0.06</v>
      </c>
    </row>
    <row r="20" spans="1:32">
      <c r="A20" s="23"/>
      <c r="B20" s="11" t="s">
        <v>497</v>
      </c>
      <c r="C20" s="12">
        <v>323</v>
      </c>
      <c r="D20" s="12">
        <v>2</v>
      </c>
      <c r="E20" s="12">
        <v>28</v>
      </c>
      <c r="F20" s="12">
        <v>33</v>
      </c>
      <c r="G20" s="12">
        <v>17</v>
      </c>
      <c r="H20" s="12">
        <v>18</v>
      </c>
      <c r="I20" s="12">
        <v>19</v>
      </c>
      <c r="J20" s="12">
        <v>1</v>
      </c>
      <c r="K20" s="12">
        <v>35</v>
      </c>
      <c r="L20" s="12">
        <v>11</v>
      </c>
      <c r="M20" s="12">
        <v>2</v>
      </c>
      <c r="N20" s="12">
        <v>10</v>
      </c>
      <c r="O20" s="12">
        <v>10</v>
      </c>
      <c r="P20" s="12">
        <v>5</v>
      </c>
      <c r="Q20" s="12">
        <v>11</v>
      </c>
      <c r="R20" s="12">
        <v>8</v>
      </c>
      <c r="S20" s="12">
        <v>28</v>
      </c>
      <c r="T20" s="12">
        <v>32</v>
      </c>
      <c r="U20" s="12">
        <v>15</v>
      </c>
      <c r="V20" s="12">
        <v>4</v>
      </c>
      <c r="W20" s="12">
        <v>4</v>
      </c>
      <c r="X20" s="12">
        <v>13</v>
      </c>
      <c r="Y20" s="12">
        <v>22</v>
      </c>
      <c r="Z20" s="12">
        <v>16</v>
      </c>
      <c r="AA20" s="12">
        <v>4</v>
      </c>
      <c r="AB20" s="12">
        <v>16</v>
      </c>
      <c r="AC20" s="12">
        <v>11</v>
      </c>
      <c r="AD20" s="12">
        <v>17</v>
      </c>
      <c r="AE20" s="12">
        <v>15</v>
      </c>
      <c r="AF20" s="12">
        <v>6</v>
      </c>
    </row>
    <row r="21" spans="1:32">
      <c r="A21" s="23"/>
      <c r="B21" s="13" t="s">
        <v>498</v>
      </c>
      <c r="C21" s="14">
        <v>0.01</v>
      </c>
      <c r="D21" s="15" t="s">
        <v>485</v>
      </c>
      <c r="E21" s="14">
        <v>0.03</v>
      </c>
      <c r="F21" s="14">
        <v>0.03</v>
      </c>
      <c r="G21" s="14">
        <v>0.02</v>
      </c>
      <c r="H21" s="14">
        <v>0.02</v>
      </c>
      <c r="I21" s="14">
        <v>0.01</v>
      </c>
      <c r="J21" s="14">
        <v>0.01</v>
      </c>
      <c r="K21" s="14">
        <v>0.03</v>
      </c>
      <c r="L21" s="14">
        <v>0.01</v>
      </c>
      <c r="M21" s="15" t="s">
        <v>485</v>
      </c>
      <c r="N21" s="14">
        <v>0.01</v>
      </c>
      <c r="O21" s="14">
        <v>0.01</v>
      </c>
      <c r="P21" s="14">
        <v>0.01</v>
      </c>
      <c r="Q21" s="14">
        <v>0.01</v>
      </c>
      <c r="R21" s="14">
        <v>0.02</v>
      </c>
      <c r="S21" s="14">
        <v>0.03</v>
      </c>
      <c r="T21" s="14">
        <v>0.03</v>
      </c>
      <c r="U21" s="14">
        <v>0.03</v>
      </c>
      <c r="V21" s="15" t="s">
        <v>485</v>
      </c>
      <c r="W21" s="14">
        <v>0.01</v>
      </c>
      <c r="X21" s="14">
        <v>0.01</v>
      </c>
      <c r="Y21" s="14">
        <v>0.02</v>
      </c>
      <c r="Z21" s="14">
        <v>0.02</v>
      </c>
      <c r="AA21" s="15" t="s">
        <v>485</v>
      </c>
      <c r="AB21" s="14">
        <v>0.02</v>
      </c>
      <c r="AC21" s="14">
        <v>0.01</v>
      </c>
      <c r="AD21" s="14">
        <v>0.02</v>
      </c>
      <c r="AE21" s="14">
        <v>0.02</v>
      </c>
      <c r="AF21" s="14">
        <v>0.01</v>
      </c>
    </row>
    <row r="22" spans="1:32">
      <c r="A22" s="23"/>
      <c r="B22" s="11" t="s">
        <v>769</v>
      </c>
      <c r="C22" s="12">
        <v>21230</v>
      </c>
      <c r="D22" s="12">
        <v>839</v>
      </c>
      <c r="E22" s="12">
        <v>768</v>
      </c>
      <c r="F22" s="12">
        <v>596</v>
      </c>
      <c r="G22" s="12">
        <v>385</v>
      </c>
      <c r="H22" s="12">
        <v>988</v>
      </c>
      <c r="I22" s="12">
        <v>1230</v>
      </c>
      <c r="J22" s="12">
        <v>242</v>
      </c>
      <c r="K22" s="12">
        <v>567</v>
      </c>
      <c r="L22" s="12">
        <v>607</v>
      </c>
      <c r="M22" s="12">
        <v>897</v>
      </c>
      <c r="N22" s="12">
        <v>939</v>
      </c>
      <c r="O22" s="12">
        <v>898</v>
      </c>
      <c r="P22" s="12">
        <v>789</v>
      </c>
      <c r="Q22" s="12">
        <v>886</v>
      </c>
      <c r="R22" s="12">
        <v>438</v>
      </c>
      <c r="S22" s="12">
        <v>814</v>
      </c>
      <c r="T22" s="12">
        <v>658</v>
      </c>
      <c r="U22" s="12">
        <v>385</v>
      </c>
      <c r="V22" s="12">
        <v>774</v>
      </c>
      <c r="W22" s="12">
        <v>355</v>
      </c>
      <c r="X22" s="12">
        <v>772</v>
      </c>
      <c r="Y22" s="12">
        <v>722</v>
      </c>
      <c r="Z22" s="12">
        <v>657</v>
      </c>
      <c r="AA22" s="12">
        <v>964</v>
      </c>
      <c r="AB22" s="12">
        <v>765</v>
      </c>
      <c r="AC22" s="12">
        <v>570</v>
      </c>
      <c r="AD22" s="12">
        <v>734</v>
      </c>
      <c r="AE22" s="12">
        <v>583</v>
      </c>
      <c r="AF22" s="12">
        <v>744</v>
      </c>
    </row>
    <row r="23" spans="1:32">
      <c r="A23" s="23"/>
      <c r="B23" s="13" t="s">
        <v>770</v>
      </c>
      <c r="C23" s="14">
        <v>0.81</v>
      </c>
      <c r="D23" s="14">
        <v>0.84</v>
      </c>
      <c r="E23" s="14">
        <v>0.74</v>
      </c>
      <c r="F23" s="14">
        <v>0.59</v>
      </c>
      <c r="G23" s="14">
        <v>0.38</v>
      </c>
      <c r="H23" s="14">
        <v>0.81</v>
      </c>
      <c r="I23" s="14">
        <v>0.82000000000000006</v>
      </c>
      <c r="J23" s="14">
        <v>0.82000000000000006</v>
      </c>
      <c r="K23" s="14">
        <v>0.57000000000000006</v>
      </c>
      <c r="L23" s="14">
        <v>0.6</v>
      </c>
      <c r="M23" s="14">
        <v>0.89</v>
      </c>
      <c r="N23" s="14">
        <v>0.94000000000000006</v>
      </c>
      <c r="O23" s="14">
        <v>0.89</v>
      </c>
      <c r="P23" s="14">
        <v>0.78</v>
      </c>
      <c r="Q23" s="14">
        <v>0.87</v>
      </c>
      <c r="R23" s="14">
        <v>0.87</v>
      </c>
      <c r="S23" s="14">
        <v>0.81</v>
      </c>
      <c r="T23" s="14">
        <v>0.66</v>
      </c>
      <c r="U23" s="14">
        <v>0.76</v>
      </c>
      <c r="V23" s="14">
        <v>0.77</v>
      </c>
      <c r="W23" s="14">
        <v>0.71</v>
      </c>
      <c r="X23" s="14">
        <v>0.76</v>
      </c>
      <c r="Y23" s="14">
        <v>0.72</v>
      </c>
      <c r="Z23" s="14">
        <v>0.65</v>
      </c>
      <c r="AA23" s="14">
        <v>0.93</v>
      </c>
      <c r="AB23" s="14">
        <v>0.74</v>
      </c>
      <c r="AC23" s="14">
        <v>0.57000000000000006</v>
      </c>
      <c r="AD23" s="14">
        <v>0.73</v>
      </c>
      <c r="AE23" s="14">
        <v>0.57999999999999996</v>
      </c>
      <c r="AF23" s="14">
        <v>0.69000000000000006</v>
      </c>
    </row>
    <row r="24" spans="1:32">
      <c r="A24" s="23"/>
      <c r="B24" s="11" t="s">
        <v>771</v>
      </c>
      <c r="C24" s="12">
        <v>4802</v>
      </c>
      <c r="D24" s="12">
        <v>166</v>
      </c>
      <c r="E24" s="12">
        <v>248</v>
      </c>
      <c r="F24" s="12">
        <v>378</v>
      </c>
      <c r="G24" s="12">
        <v>601</v>
      </c>
      <c r="H24" s="12">
        <v>204</v>
      </c>
      <c r="I24" s="12">
        <v>255</v>
      </c>
      <c r="J24" s="12">
        <v>51</v>
      </c>
      <c r="K24" s="12">
        <v>402</v>
      </c>
      <c r="L24" s="12">
        <v>389</v>
      </c>
      <c r="M24" s="12">
        <v>112</v>
      </c>
      <c r="N24" s="12">
        <v>52</v>
      </c>
      <c r="O24" s="12">
        <v>97</v>
      </c>
      <c r="P24" s="12">
        <v>217</v>
      </c>
      <c r="Q24" s="12">
        <v>127</v>
      </c>
      <c r="R24" s="12">
        <v>56</v>
      </c>
      <c r="S24" s="12">
        <v>163</v>
      </c>
      <c r="T24" s="12">
        <v>313</v>
      </c>
      <c r="U24" s="12">
        <v>103</v>
      </c>
      <c r="V24" s="12">
        <v>232</v>
      </c>
      <c r="W24" s="12">
        <v>144</v>
      </c>
      <c r="X24" s="12">
        <v>232</v>
      </c>
      <c r="Y24" s="12">
        <v>263</v>
      </c>
      <c r="Z24" s="12">
        <v>344</v>
      </c>
      <c r="AA24" s="12">
        <v>73</v>
      </c>
      <c r="AB24" s="12">
        <v>250</v>
      </c>
      <c r="AC24" s="12">
        <v>424</v>
      </c>
      <c r="AD24" s="12">
        <v>251</v>
      </c>
      <c r="AE24" s="12">
        <v>410</v>
      </c>
      <c r="AF24" s="12">
        <v>322</v>
      </c>
    </row>
    <row r="25" spans="1:32">
      <c r="A25" s="23"/>
      <c r="B25" s="13" t="s">
        <v>772</v>
      </c>
      <c r="C25" s="14">
        <v>0.18</v>
      </c>
      <c r="D25" s="14">
        <v>0.16</v>
      </c>
      <c r="E25" s="14">
        <v>0.23</v>
      </c>
      <c r="F25" s="14">
        <v>0.38</v>
      </c>
      <c r="G25" s="14">
        <v>0.6</v>
      </c>
      <c r="H25" s="14">
        <v>0.17</v>
      </c>
      <c r="I25" s="14">
        <v>0.17</v>
      </c>
      <c r="J25" s="14">
        <v>0.17</v>
      </c>
      <c r="K25" s="14">
        <v>0.4</v>
      </c>
      <c r="L25" s="14">
        <v>0.39</v>
      </c>
      <c r="M25" s="14">
        <v>0.11</v>
      </c>
      <c r="N25" s="14">
        <v>0.05</v>
      </c>
      <c r="O25" s="14">
        <v>0.1</v>
      </c>
      <c r="P25" s="14">
        <v>0.21</v>
      </c>
      <c r="Q25" s="14">
        <v>0.12</v>
      </c>
      <c r="R25" s="14">
        <v>0.11</v>
      </c>
      <c r="S25" s="14">
        <v>0.16</v>
      </c>
      <c r="T25" s="14">
        <v>0.31</v>
      </c>
      <c r="U25" s="14">
        <v>0.21</v>
      </c>
      <c r="V25" s="14">
        <v>0.23</v>
      </c>
      <c r="W25" s="14">
        <v>0.28000000000000003</v>
      </c>
      <c r="X25" s="14">
        <v>0.23</v>
      </c>
      <c r="Y25" s="14">
        <v>0.26</v>
      </c>
      <c r="Z25" s="14">
        <v>0.33</v>
      </c>
      <c r="AA25" s="14">
        <v>7.0000000000000007E-2</v>
      </c>
      <c r="AB25" s="14">
        <v>0.24</v>
      </c>
      <c r="AC25" s="14">
        <v>0.42</v>
      </c>
      <c r="AD25" s="14">
        <v>0.25</v>
      </c>
      <c r="AE25" s="14">
        <v>0.4</v>
      </c>
      <c r="AF25" s="14">
        <v>0.3</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817</v>
      </c>
      <c r="C3" s="19"/>
      <c r="D3" s="19"/>
      <c r="E3" s="19"/>
      <c r="F3" s="19"/>
      <c r="H3" s="19" t="s">
        <v>818</v>
      </c>
      <c r="I3" s="19"/>
      <c r="J3" s="19"/>
      <c r="K3" s="19"/>
      <c r="L3" s="19"/>
    </row>
    <row r="4" spans="1:32" ht="27" customHeight="1">
      <c r="B4" s="19" t="s">
        <v>819</v>
      </c>
      <c r="C4" s="19"/>
      <c r="D4" s="19"/>
      <c r="E4" s="19"/>
      <c r="F4" s="19"/>
      <c r="H4" s="19" t="s">
        <v>820</v>
      </c>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HYPERLINK("#Content!A50","&lt;&lt;Back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761</v>
      </c>
      <c r="C12" s="12">
        <v>9758</v>
      </c>
      <c r="D12" s="12">
        <v>372</v>
      </c>
      <c r="E12" s="12">
        <v>417</v>
      </c>
      <c r="F12" s="12">
        <v>197</v>
      </c>
      <c r="G12" s="12">
        <v>141</v>
      </c>
      <c r="H12" s="12">
        <v>405</v>
      </c>
      <c r="I12" s="12">
        <v>489</v>
      </c>
      <c r="J12" s="12">
        <v>84</v>
      </c>
      <c r="K12" s="12">
        <v>291</v>
      </c>
      <c r="L12" s="12">
        <v>374</v>
      </c>
      <c r="M12" s="12">
        <v>546</v>
      </c>
      <c r="N12" s="12">
        <v>555</v>
      </c>
      <c r="O12" s="12">
        <v>452</v>
      </c>
      <c r="P12" s="12">
        <v>505</v>
      </c>
      <c r="Q12" s="12">
        <v>429</v>
      </c>
      <c r="R12" s="12">
        <v>313</v>
      </c>
      <c r="S12" s="12">
        <v>490</v>
      </c>
      <c r="T12" s="12">
        <v>262</v>
      </c>
      <c r="U12" s="12">
        <v>281</v>
      </c>
      <c r="V12" s="12">
        <v>299</v>
      </c>
      <c r="W12" s="12">
        <v>145</v>
      </c>
      <c r="X12" s="12">
        <v>212</v>
      </c>
      <c r="Y12" s="12">
        <v>333</v>
      </c>
      <c r="Z12" s="12">
        <v>144</v>
      </c>
      <c r="AA12" s="12">
        <v>791</v>
      </c>
      <c r="AB12" s="12">
        <v>342</v>
      </c>
      <c r="AC12" s="12">
        <v>303</v>
      </c>
      <c r="AD12" s="12">
        <v>233</v>
      </c>
      <c r="AE12" s="12">
        <v>206</v>
      </c>
      <c r="AF12" s="12">
        <v>168</v>
      </c>
    </row>
    <row r="13" spans="1:32">
      <c r="A13" s="23"/>
      <c r="B13" s="13" t="s">
        <v>762</v>
      </c>
      <c r="C13" s="14">
        <v>0.37</v>
      </c>
      <c r="D13" s="14">
        <v>0.37</v>
      </c>
      <c r="E13" s="14">
        <v>0.4</v>
      </c>
      <c r="F13" s="14">
        <v>0.19</v>
      </c>
      <c r="G13" s="14">
        <v>0.14000000000000001</v>
      </c>
      <c r="H13" s="14">
        <v>0.33</v>
      </c>
      <c r="I13" s="14">
        <v>0.33</v>
      </c>
      <c r="J13" s="14">
        <v>0.28999999999999998</v>
      </c>
      <c r="K13" s="14">
        <v>0.28999999999999998</v>
      </c>
      <c r="L13" s="14">
        <v>0.37</v>
      </c>
      <c r="M13" s="14">
        <v>0.54</v>
      </c>
      <c r="N13" s="14">
        <v>0.55000000000000004</v>
      </c>
      <c r="O13" s="14">
        <v>0.45</v>
      </c>
      <c r="P13" s="14">
        <v>0.5</v>
      </c>
      <c r="Q13" s="14">
        <v>0.42</v>
      </c>
      <c r="R13" s="14">
        <v>0.62</v>
      </c>
      <c r="S13" s="14">
        <v>0.49</v>
      </c>
      <c r="T13" s="14">
        <v>0.26</v>
      </c>
      <c r="U13" s="14">
        <v>0.56000000000000005</v>
      </c>
      <c r="V13" s="14">
        <v>0.3</v>
      </c>
      <c r="W13" s="14">
        <v>0.28999999999999998</v>
      </c>
      <c r="X13" s="14">
        <v>0.21</v>
      </c>
      <c r="Y13" s="14">
        <v>0.33</v>
      </c>
      <c r="Z13" s="14">
        <v>0.14000000000000001</v>
      </c>
      <c r="AA13" s="14">
        <v>0.76</v>
      </c>
      <c r="AB13" s="14">
        <v>0.33</v>
      </c>
      <c r="AC13" s="14">
        <v>0.3</v>
      </c>
      <c r="AD13" s="14">
        <v>0.23</v>
      </c>
      <c r="AE13" s="14">
        <v>0.2</v>
      </c>
      <c r="AF13" s="14">
        <v>0.16</v>
      </c>
    </row>
    <row r="14" spans="1:32">
      <c r="A14" s="23"/>
      <c r="B14" s="11" t="s">
        <v>763</v>
      </c>
      <c r="C14" s="12">
        <v>12384</v>
      </c>
      <c r="D14" s="12">
        <v>517</v>
      </c>
      <c r="E14" s="12">
        <v>438</v>
      </c>
      <c r="F14" s="12">
        <v>463</v>
      </c>
      <c r="G14" s="12">
        <v>259</v>
      </c>
      <c r="H14" s="12">
        <v>624</v>
      </c>
      <c r="I14" s="12">
        <v>775</v>
      </c>
      <c r="J14" s="12">
        <v>151</v>
      </c>
      <c r="K14" s="12">
        <v>421</v>
      </c>
      <c r="L14" s="12">
        <v>464</v>
      </c>
      <c r="M14" s="12">
        <v>420</v>
      </c>
      <c r="N14" s="12">
        <v>379</v>
      </c>
      <c r="O14" s="12">
        <v>464</v>
      </c>
      <c r="P14" s="12">
        <v>431</v>
      </c>
      <c r="Q14" s="12">
        <v>503</v>
      </c>
      <c r="R14" s="12">
        <v>159</v>
      </c>
      <c r="S14" s="12">
        <v>342</v>
      </c>
      <c r="T14" s="12">
        <v>511</v>
      </c>
      <c r="U14" s="12">
        <v>183</v>
      </c>
      <c r="V14" s="12">
        <v>561</v>
      </c>
      <c r="W14" s="12">
        <v>212</v>
      </c>
      <c r="X14" s="12">
        <v>518</v>
      </c>
      <c r="Y14" s="12">
        <v>448</v>
      </c>
      <c r="Z14" s="12">
        <v>566</v>
      </c>
      <c r="AA14" s="12">
        <v>215</v>
      </c>
      <c r="AB14" s="12">
        <v>461</v>
      </c>
      <c r="AC14" s="12">
        <v>495</v>
      </c>
      <c r="AD14" s="12">
        <v>544</v>
      </c>
      <c r="AE14" s="12">
        <v>514</v>
      </c>
      <c r="AF14" s="12">
        <v>543</v>
      </c>
    </row>
    <row r="15" spans="1:32">
      <c r="A15" s="23"/>
      <c r="B15" s="13" t="s">
        <v>764</v>
      </c>
      <c r="C15" s="14">
        <v>0.47</v>
      </c>
      <c r="D15" s="14">
        <v>0.51</v>
      </c>
      <c r="E15" s="14">
        <v>0.42</v>
      </c>
      <c r="F15" s="14">
        <v>0.46</v>
      </c>
      <c r="G15" s="14">
        <v>0.26</v>
      </c>
      <c r="H15" s="14">
        <v>0.52</v>
      </c>
      <c r="I15" s="14">
        <v>0.51</v>
      </c>
      <c r="J15" s="14">
        <v>0.51</v>
      </c>
      <c r="K15" s="14">
        <v>0.42</v>
      </c>
      <c r="L15" s="14">
        <v>0.46</v>
      </c>
      <c r="M15" s="14">
        <v>0.42</v>
      </c>
      <c r="N15" s="14">
        <v>0.38</v>
      </c>
      <c r="O15" s="14">
        <v>0.46</v>
      </c>
      <c r="P15" s="14">
        <v>0.43</v>
      </c>
      <c r="Q15" s="14">
        <v>0.49</v>
      </c>
      <c r="R15" s="14">
        <v>0.32</v>
      </c>
      <c r="S15" s="14">
        <v>0.34</v>
      </c>
      <c r="T15" s="14">
        <v>0.51</v>
      </c>
      <c r="U15" s="14">
        <v>0.36</v>
      </c>
      <c r="V15" s="14">
        <v>0.55000000000000004</v>
      </c>
      <c r="W15" s="14">
        <v>0.42</v>
      </c>
      <c r="X15" s="14">
        <v>0.51</v>
      </c>
      <c r="Y15" s="14">
        <v>0.45</v>
      </c>
      <c r="Z15" s="14">
        <v>0.56000000000000005</v>
      </c>
      <c r="AA15" s="14">
        <v>0.21</v>
      </c>
      <c r="AB15" s="14">
        <v>0.45</v>
      </c>
      <c r="AC15" s="14">
        <v>0.49</v>
      </c>
      <c r="AD15" s="14">
        <v>0.55000000000000004</v>
      </c>
      <c r="AE15" s="14">
        <v>0.51</v>
      </c>
      <c r="AF15" s="14">
        <v>0.51</v>
      </c>
    </row>
    <row r="16" spans="1:32" ht="23.25">
      <c r="A16" s="23"/>
      <c r="B16" s="11" t="s">
        <v>765</v>
      </c>
      <c r="C16" s="12">
        <v>3171</v>
      </c>
      <c r="D16" s="12">
        <v>98</v>
      </c>
      <c r="E16" s="12">
        <v>107</v>
      </c>
      <c r="F16" s="12">
        <v>240</v>
      </c>
      <c r="G16" s="12">
        <v>393</v>
      </c>
      <c r="H16" s="12">
        <v>132</v>
      </c>
      <c r="I16" s="12">
        <v>181</v>
      </c>
      <c r="J16" s="12">
        <v>49</v>
      </c>
      <c r="K16" s="12">
        <v>174</v>
      </c>
      <c r="L16" s="12">
        <v>129</v>
      </c>
      <c r="M16" s="12">
        <v>41</v>
      </c>
      <c r="N16" s="12">
        <v>48</v>
      </c>
      <c r="O16" s="12">
        <v>67</v>
      </c>
      <c r="P16" s="12">
        <v>63</v>
      </c>
      <c r="Q16" s="12">
        <v>61</v>
      </c>
      <c r="R16" s="12">
        <v>25</v>
      </c>
      <c r="S16" s="12">
        <v>114</v>
      </c>
      <c r="T16" s="12">
        <v>170</v>
      </c>
      <c r="U16" s="12">
        <v>25</v>
      </c>
      <c r="V16" s="12">
        <v>117</v>
      </c>
      <c r="W16" s="12">
        <v>97</v>
      </c>
      <c r="X16" s="12">
        <v>250</v>
      </c>
      <c r="Y16" s="12">
        <v>165</v>
      </c>
      <c r="Z16" s="12">
        <v>239</v>
      </c>
      <c r="AA16" s="12">
        <v>26</v>
      </c>
      <c r="AB16" s="12">
        <v>176</v>
      </c>
      <c r="AC16" s="12">
        <v>167</v>
      </c>
      <c r="AD16" s="12">
        <v>172</v>
      </c>
      <c r="AE16" s="12">
        <v>222</v>
      </c>
      <c r="AF16" s="12">
        <v>294</v>
      </c>
    </row>
    <row r="17" spans="1:32">
      <c r="A17" s="23"/>
      <c r="B17" s="13" t="s">
        <v>766</v>
      </c>
      <c r="C17" s="14">
        <v>0.12</v>
      </c>
      <c r="D17" s="14">
        <v>0.1</v>
      </c>
      <c r="E17" s="14">
        <v>0.1</v>
      </c>
      <c r="F17" s="14">
        <v>0.24</v>
      </c>
      <c r="G17" s="14">
        <v>0.39</v>
      </c>
      <c r="H17" s="14">
        <v>0.11</v>
      </c>
      <c r="I17" s="14">
        <v>0.12</v>
      </c>
      <c r="J17" s="14">
        <v>0.17</v>
      </c>
      <c r="K17" s="14">
        <v>0.17</v>
      </c>
      <c r="L17" s="14">
        <v>0.13</v>
      </c>
      <c r="M17" s="14">
        <v>0.04</v>
      </c>
      <c r="N17" s="14">
        <v>0.05</v>
      </c>
      <c r="O17" s="14">
        <v>7.0000000000000007E-2</v>
      </c>
      <c r="P17" s="14">
        <v>0.06</v>
      </c>
      <c r="Q17" s="14">
        <v>0.06</v>
      </c>
      <c r="R17" s="14">
        <v>0.05</v>
      </c>
      <c r="S17" s="14">
        <v>0.11</v>
      </c>
      <c r="T17" s="14">
        <v>0.17</v>
      </c>
      <c r="U17" s="14">
        <v>0.05</v>
      </c>
      <c r="V17" s="14">
        <v>0.12</v>
      </c>
      <c r="W17" s="14">
        <v>0.19</v>
      </c>
      <c r="X17" s="14">
        <v>0.25</v>
      </c>
      <c r="Y17" s="14">
        <v>0.16</v>
      </c>
      <c r="Z17" s="14">
        <v>0.23</v>
      </c>
      <c r="AA17" s="14">
        <v>0.03</v>
      </c>
      <c r="AB17" s="14">
        <v>0.17</v>
      </c>
      <c r="AC17" s="14">
        <v>0.17</v>
      </c>
      <c r="AD17" s="14">
        <v>0.17</v>
      </c>
      <c r="AE17" s="14">
        <v>0.22</v>
      </c>
      <c r="AF17" s="14">
        <v>0.27</v>
      </c>
    </row>
    <row r="18" spans="1:32" ht="23.25">
      <c r="A18" s="23"/>
      <c r="B18" s="11" t="s">
        <v>767</v>
      </c>
      <c r="C18" s="12">
        <v>583</v>
      </c>
      <c r="D18" s="12">
        <v>13</v>
      </c>
      <c r="E18" s="12">
        <v>26</v>
      </c>
      <c r="F18" s="12">
        <v>60</v>
      </c>
      <c r="G18" s="12">
        <v>178</v>
      </c>
      <c r="H18" s="12">
        <v>21</v>
      </c>
      <c r="I18" s="12">
        <v>26</v>
      </c>
      <c r="J18" s="12">
        <v>5</v>
      </c>
      <c r="K18" s="12">
        <v>58</v>
      </c>
      <c r="L18" s="12">
        <v>25</v>
      </c>
      <c r="M18" s="12">
        <v>3</v>
      </c>
      <c r="N18" s="12">
        <v>12</v>
      </c>
      <c r="O18" s="12">
        <v>13</v>
      </c>
      <c r="P18" s="12">
        <v>9</v>
      </c>
      <c r="Q18" s="12">
        <v>13</v>
      </c>
      <c r="R18" s="12">
        <v>5</v>
      </c>
      <c r="S18" s="12">
        <v>33</v>
      </c>
      <c r="T18" s="12">
        <v>47</v>
      </c>
      <c r="U18" s="12">
        <v>8</v>
      </c>
      <c r="V18" s="12">
        <v>25</v>
      </c>
      <c r="W18" s="12">
        <v>30</v>
      </c>
      <c r="X18" s="12">
        <v>22</v>
      </c>
      <c r="Y18" s="12">
        <v>33</v>
      </c>
      <c r="Z18" s="12">
        <v>39</v>
      </c>
      <c r="AA18" s="12">
        <v>4</v>
      </c>
      <c r="AB18" s="12">
        <v>36</v>
      </c>
      <c r="AC18" s="12">
        <v>30</v>
      </c>
      <c r="AD18" s="12">
        <v>10</v>
      </c>
      <c r="AE18" s="12">
        <v>29</v>
      </c>
      <c r="AF18" s="12">
        <v>50</v>
      </c>
    </row>
    <row r="19" spans="1:32">
      <c r="A19" s="23"/>
      <c r="B19" s="13" t="s">
        <v>768</v>
      </c>
      <c r="C19" s="14">
        <v>0.02</v>
      </c>
      <c r="D19" s="14">
        <v>0.01</v>
      </c>
      <c r="E19" s="14">
        <v>0.03</v>
      </c>
      <c r="F19" s="14">
        <v>0.06</v>
      </c>
      <c r="G19" s="14">
        <v>0.18</v>
      </c>
      <c r="H19" s="14">
        <v>0.02</v>
      </c>
      <c r="I19" s="14">
        <v>0.02</v>
      </c>
      <c r="J19" s="14">
        <v>0.02</v>
      </c>
      <c r="K19" s="14">
        <v>0.06</v>
      </c>
      <c r="L19" s="14">
        <v>0.03</v>
      </c>
      <c r="M19" s="15" t="s">
        <v>485</v>
      </c>
      <c r="N19" s="14">
        <v>0.01</v>
      </c>
      <c r="O19" s="14">
        <v>0.01</v>
      </c>
      <c r="P19" s="14">
        <v>0.01</v>
      </c>
      <c r="Q19" s="14">
        <v>0.01</v>
      </c>
      <c r="R19" s="14">
        <v>0.01</v>
      </c>
      <c r="S19" s="14">
        <v>0.03</v>
      </c>
      <c r="T19" s="14">
        <v>0.05</v>
      </c>
      <c r="U19" s="14">
        <v>0.02</v>
      </c>
      <c r="V19" s="14">
        <v>0.02</v>
      </c>
      <c r="W19" s="14">
        <v>0.06</v>
      </c>
      <c r="X19" s="14">
        <v>0.02</v>
      </c>
      <c r="Y19" s="14">
        <v>0.03</v>
      </c>
      <c r="Z19" s="14">
        <v>0.04</v>
      </c>
      <c r="AA19" s="15" t="s">
        <v>485</v>
      </c>
      <c r="AB19" s="14">
        <v>0.03</v>
      </c>
      <c r="AC19" s="14">
        <v>0.03</v>
      </c>
      <c r="AD19" s="14">
        <v>0.01</v>
      </c>
      <c r="AE19" s="14">
        <v>0.03</v>
      </c>
      <c r="AF19" s="14">
        <v>0.05</v>
      </c>
    </row>
    <row r="20" spans="1:32">
      <c r="A20" s="23"/>
      <c r="B20" s="11" t="s">
        <v>497</v>
      </c>
      <c r="C20" s="12">
        <v>459</v>
      </c>
      <c r="D20" s="12">
        <v>6</v>
      </c>
      <c r="E20" s="12">
        <v>55</v>
      </c>
      <c r="F20" s="12">
        <v>47</v>
      </c>
      <c r="G20" s="12">
        <v>33</v>
      </c>
      <c r="H20" s="12">
        <v>28</v>
      </c>
      <c r="I20" s="12">
        <v>33</v>
      </c>
      <c r="J20" s="12">
        <v>4</v>
      </c>
      <c r="K20" s="12">
        <v>60</v>
      </c>
      <c r="L20" s="12">
        <v>15</v>
      </c>
      <c r="M20" s="12">
        <v>0</v>
      </c>
      <c r="N20" s="12">
        <v>6</v>
      </c>
      <c r="O20" s="12">
        <v>10</v>
      </c>
      <c r="P20" s="12">
        <v>4</v>
      </c>
      <c r="Q20" s="12">
        <v>18</v>
      </c>
      <c r="R20" s="12">
        <v>0</v>
      </c>
      <c r="S20" s="12">
        <v>26</v>
      </c>
      <c r="T20" s="12">
        <v>15</v>
      </c>
      <c r="U20" s="12">
        <v>6</v>
      </c>
      <c r="V20" s="12">
        <v>8</v>
      </c>
      <c r="W20" s="12">
        <v>18</v>
      </c>
      <c r="X20" s="12">
        <v>14</v>
      </c>
      <c r="Y20" s="12">
        <v>29</v>
      </c>
      <c r="Z20" s="12">
        <v>29</v>
      </c>
      <c r="AA20" s="12">
        <v>4</v>
      </c>
      <c r="AB20" s="12">
        <v>16</v>
      </c>
      <c r="AC20" s="12">
        <v>11</v>
      </c>
      <c r="AD20" s="12">
        <v>42</v>
      </c>
      <c r="AE20" s="12">
        <v>37</v>
      </c>
      <c r="AF20" s="12">
        <v>17</v>
      </c>
    </row>
    <row r="21" spans="1:32">
      <c r="A21" s="23"/>
      <c r="B21" s="13" t="s">
        <v>498</v>
      </c>
      <c r="C21" s="14">
        <v>0.02</v>
      </c>
      <c r="D21" s="14">
        <v>0.01</v>
      </c>
      <c r="E21" s="14">
        <v>0.05</v>
      </c>
      <c r="F21" s="14">
        <v>0.05</v>
      </c>
      <c r="G21" s="14">
        <v>0.03</v>
      </c>
      <c r="H21" s="14">
        <v>0.02</v>
      </c>
      <c r="I21" s="14">
        <v>0.02</v>
      </c>
      <c r="J21" s="14">
        <v>0.01</v>
      </c>
      <c r="K21" s="14">
        <v>0.06</v>
      </c>
      <c r="L21" s="14">
        <v>0.01</v>
      </c>
      <c r="M21" s="15" t="s">
        <v>485</v>
      </c>
      <c r="N21" s="14">
        <v>0.01</v>
      </c>
      <c r="O21" s="14">
        <v>0.01</v>
      </c>
      <c r="P21" s="15" t="s">
        <v>485</v>
      </c>
      <c r="Q21" s="14">
        <v>0.02</v>
      </c>
      <c r="R21" s="15" t="s">
        <v>485</v>
      </c>
      <c r="S21" s="14">
        <v>0.03</v>
      </c>
      <c r="T21" s="14">
        <v>0.01</v>
      </c>
      <c r="U21" s="14">
        <v>0.01</v>
      </c>
      <c r="V21" s="14">
        <v>0.01</v>
      </c>
      <c r="W21" s="14">
        <v>0.04</v>
      </c>
      <c r="X21" s="14">
        <v>0.01</v>
      </c>
      <c r="Y21" s="14">
        <v>0.03</v>
      </c>
      <c r="Z21" s="14">
        <v>0.03</v>
      </c>
      <c r="AA21" s="15" t="s">
        <v>485</v>
      </c>
      <c r="AB21" s="14">
        <v>0.02</v>
      </c>
      <c r="AC21" s="14">
        <v>0.01</v>
      </c>
      <c r="AD21" s="14">
        <v>0.04</v>
      </c>
      <c r="AE21" s="14">
        <v>0.04</v>
      </c>
      <c r="AF21" s="14">
        <v>0.01</v>
      </c>
    </row>
    <row r="22" spans="1:32">
      <c r="A22" s="23"/>
      <c r="B22" s="11" t="s">
        <v>769</v>
      </c>
      <c r="C22" s="12">
        <v>22142</v>
      </c>
      <c r="D22" s="12">
        <v>889</v>
      </c>
      <c r="E22" s="12">
        <v>855</v>
      </c>
      <c r="F22" s="12">
        <v>660</v>
      </c>
      <c r="G22" s="12">
        <v>400</v>
      </c>
      <c r="H22" s="12">
        <v>1029</v>
      </c>
      <c r="I22" s="12">
        <v>1264</v>
      </c>
      <c r="J22" s="12">
        <v>235</v>
      </c>
      <c r="K22" s="12">
        <v>712</v>
      </c>
      <c r="L22" s="12">
        <v>838</v>
      </c>
      <c r="M22" s="12">
        <v>966</v>
      </c>
      <c r="N22" s="12">
        <v>934</v>
      </c>
      <c r="O22" s="12">
        <v>916</v>
      </c>
      <c r="P22" s="12">
        <v>936</v>
      </c>
      <c r="Q22" s="12">
        <v>932</v>
      </c>
      <c r="R22" s="12">
        <v>472</v>
      </c>
      <c r="S22" s="12">
        <v>832</v>
      </c>
      <c r="T22" s="12">
        <v>773</v>
      </c>
      <c r="U22" s="12">
        <v>464</v>
      </c>
      <c r="V22" s="12">
        <v>860</v>
      </c>
      <c r="W22" s="12">
        <v>357</v>
      </c>
      <c r="X22" s="12">
        <v>730</v>
      </c>
      <c r="Y22" s="12">
        <v>781</v>
      </c>
      <c r="Z22" s="12">
        <v>710</v>
      </c>
      <c r="AA22" s="12">
        <v>1006</v>
      </c>
      <c r="AB22" s="12">
        <v>803</v>
      </c>
      <c r="AC22" s="12">
        <v>798</v>
      </c>
      <c r="AD22" s="12">
        <v>777</v>
      </c>
      <c r="AE22" s="12">
        <v>720</v>
      </c>
      <c r="AF22" s="12">
        <v>711</v>
      </c>
    </row>
    <row r="23" spans="1:32">
      <c r="A23" s="23"/>
      <c r="B23" s="13" t="s">
        <v>770</v>
      </c>
      <c r="C23" s="14">
        <v>0.84</v>
      </c>
      <c r="D23" s="14">
        <v>0.88</v>
      </c>
      <c r="E23" s="14">
        <v>0.82000000000000006</v>
      </c>
      <c r="F23" s="14">
        <v>0.65</v>
      </c>
      <c r="G23" s="14">
        <v>0.4</v>
      </c>
      <c r="H23" s="14">
        <v>0.85</v>
      </c>
      <c r="I23" s="14">
        <v>0.84</v>
      </c>
      <c r="J23" s="14">
        <v>0.8</v>
      </c>
      <c r="K23" s="14">
        <v>0.71</v>
      </c>
      <c r="L23" s="14">
        <v>0.83000000000000007</v>
      </c>
      <c r="M23" s="14">
        <v>0.96</v>
      </c>
      <c r="N23" s="14">
        <v>0.93</v>
      </c>
      <c r="O23" s="14">
        <v>0.91</v>
      </c>
      <c r="P23" s="14">
        <v>0.93</v>
      </c>
      <c r="Q23" s="14">
        <v>0.91</v>
      </c>
      <c r="R23" s="14">
        <v>0.94000000000000006</v>
      </c>
      <c r="S23" s="14">
        <v>0.83000000000000007</v>
      </c>
      <c r="T23" s="14">
        <v>0.77</v>
      </c>
      <c r="U23" s="14">
        <v>0.92</v>
      </c>
      <c r="V23" s="14">
        <v>0.85</v>
      </c>
      <c r="W23" s="14">
        <v>0.71</v>
      </c>
      <c r="X23" s="14">
        <v>0.72</v>
      </c>
      <c r="Y23" s="14">
        <v>0.78</v>
      </c>
      <c r="Z23" s="14">
        <v>0.70000000000000007</v>
      </c>
      <c r="AA23" s="14">
        <v>0.97</v>
      </c>
      <c r="AB23" s="14">
        <v>0.78</v>
      </c>
      <c r="AC23" s="14">
        <v>0.79</v>
      </c>
      <c r="AD23" s="14">
        <v>0.78</v>
      </c>
      <c r="AE23" s="14">
        <v>0.71</v>
      </c>
      <c r="AF23" s="14">
        <v>0.67</v>
      </c>
    </row>
    <row r="24" spans="1:32">
      <c r="A24" s="23"/>
      <c r="B24" s="11" t="s">
        <v>771</v>
      </c>
      <c r="C24" s="12">
        <v>3754</v>
      </c>
      <c r="D24" s="12">
        <v>111</v>
      </c>
      <c r="E24" s="12">
        <v>133</v>
      </c>
      <c r="F24" s="12">
        <v>300</v>
      </c>
      <c r="G24" s="12">
        <v>571</v>
      </c>
      <c r="H24" s="12">
        <v>153</v>
      </c>
      <c r="I24" s="12">
        <v>207</v>
      </c>
      <c r="J24" s="12">
        <v>54</v>
      </c>
      <c r="K24" s="12">
        <v>232</v>
      </c>
      <c r="L24" s="12">
        <v>154</v>
      </c>
      <c r="M24" s="12">
        <v>44</v>
      </c>
      <c r="N24" s="12">
        <v>60</v>
      </c>
      <c r="O24" s="12">
        <v>80</v>
      </c>
      <c r="P24" s="12">
        <v>72</v>
      </c>
      <c r="Q24" s="12">
        <v>74</v>
      </c>
      <c r="R24" s="12">
        <v>30</v>
      </c>
      <c r="S24" s="12">
        <v>147</v>
      </c>
      <c r="T24" s="12">
        <v>217</v>
      </c>
      <c r="U24" s="12">
        <v>33</v>
      </c>
      <c r="V24" s="12">
        <v>142</v>
      </c>
      <c r="W24" s="12">
        <v>127</v>
      </c>
      <c r="X24" s="12">
        <v>272</v>
      </c>
      <c r="Y24" s="12">
        <v>198</v>
      </c>
      <c r="Z24" s="12">
        <v>278</v>
      </c>
      <c r="AA24" s="12">
        <v>30</v>
      </c>
      <c r="AB24" s="12">
        <v>212</v>
      </c>
      <c r="AC24" s="12">
        <v>197</v>
      </c>
      <c r="AD24" s="12">
        <v>182</v>
      </c>
      <c r="AE24" s="12">
        <v>251</v>
      </c>
      <c r="AF24" s="12">
        <v>344</v>
      </c>
    </row>
    <row r="25" spans="1:32">
      <c r="A25" s="23"/>
      <c r="B25" s="13" t="s">
        <v>772</v>
      </c>
      <c r="C25" s="14">
        <v>0.14000000000000001</v>
      </c>
      <c r="D25" s="14">
        <v>0.11</v>
      </c>
      <c r="E25" s="14">
        <v>0.13</v>
      </c>
      <c r="F25" s="14">
        <v>0.3</v>
      </c>
      <c r="G25" s="14">
        <v>0.57000000000000006</v>
      </c>
      <c r="H25" s="14">
        <v>0.13</v>
      </c>
      <c r="I25" s="14">
        <v>0.14000000000000001</v>
      </c>
      <c r="J25" s="14">
        <v>0.19</v>
      </c>
      <c r="K25" s="14">
        <v>0.23</v>
      </c>
      <c r="L25" s="14">
        <v>0.16</v>
      </c>
      <c r="M25" s="14">
        <v>0.04</v>
      </c>
      <c r="N25" s="14">
        <v>0.06</v>
      </c>
      <c r="O25" s="14">
        <v>0.08</v>
      </c>
      <c r="P25" s="14">
        <v>7.0000000000000007E-2</v>
      </c>
      <c r="Q25" s="14">
        <v>7.0000000000000007E-2</v>
      </c>
      <c r="R25" s="14">
        <v>0.06</v>
      </c>
      <c r="S25" s="14">
        <v>0.14000000000000001</v>
      </c>
      <c r="T25" s="14">
        <v>0.22</v>
      </c>
      <c r="U25" s="14">
        <v>7.0000000000000007E-2</v>
      </c>
      <c r="V25" s="14">
        <v>0.14000000000000001</v>
      </c>
      <c r="W25" s="14">
        <v>0.25</v>
      </c>
      <c r="X25" s="14">
        <v>0.27</v>
      </c>
      <c r="Y25" s="14">
        <v>0.19</v>
      </c>
      <c r="Z25" s="14">
        <v>0.27</v>
      </c>
      <c r="AA25" s="14">
        <v>0.03</v>
      </c>
      <c r="AB25" s="14">
        <v>0.2</v>
      </c>
      <c r="AC25" s="14">
        <v>0.2</v>
      </c>
      <c r="AD25" s="14">
        <v>0.18</v>
      </c>
      <c r="AE25" s="14">
        <v>0.25</v>
      </c>
      <c r="AF25" s="14">
        <v>0.32</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F47"/>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12" customHeight="1">
      <c r="B3" s="19" t="s">
        <v>99</v>
      </c>
      <c r="C3" s="19"/>
      <c r="D3" s="19"/>
      <c r="E3" s="19"/>
      <c r="F3" s="19"/>
      <c r="H3" s="19" t="s">
        <v>100</v>
      </c>
      <c r="I3" s="19"/>
      <c r="J3" s="19"/>
      <c r="K3" s="19"/>
      <c r="L3" s="19"/>
    </row>
    <row r="4" spans="1:32" ht="27" customHeight="1">
      <c r="B4" s="19"/>
      <c r="C4" s="19"/>
      <c r="D4" s="19"/>
      <c r="E4" s="19"/>
      <c r="F4" s="19"/>
      <c r="H4" s="19"/>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HYPERLINK("#Content!A51","&lt;&lt;Back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57">
      <c r="A12" s="23"/>
      <c r="B12" s="11" t="s">
        <v>821</v>
      </c>
      <c r="C12" s="12">
        <v>1109</v>
      </c>
      <c r="D12" s="12">
        <v>14</v>
      </c>
      <c r="E12" s="12">
        <v>26</v>
      </c>
      <c r="F12" s="12">
        <v>22</v>
      </c>
      <c r="G12" s="12">
        <v>8</v>
      </c>
      <c r="H12" s="12">
        <v>35</v>
      </c>
      <c r="I12" s="12">
        <v>38</v>
      </c>
      <c r="J12" s="12">
        <v>4</v>
      </c>
      <c r="K12" s="12">
        <v>43</v>
      </c>
      <c r="L12" s="12">
        <v>82</v>
      </c>
      <c r="M12" s="12">
        <v>61</v>
      </c>
      <c r="N12" s="12">
        <v>84</v>
      </c>
      <c r="O12" s="12">
        <v>32</v>
      </c>
      <c r="P12" s="12">
        <v>24</v>
      </c>
      <c r="Q12" s="12">
        <v>79</v>
      </c>
      <c r="R12" s="12">
        <v>41</v>
      </c>
      <c r="S12" s="12">
        <v>36</v>
      </c>
      <c r="T12" s="12">
        <v>28</v>
      </c>
      <c r="U12" s="12">
        <v>11</v>
      </c>
      <c r="V12" s="12">
        <v>24</v>
      </c>
      <c r="W12" s="12">
        <v>78</v>
      </c>
      <c r="X12" s="12">
        <v>36</v>
      </c>
      <c r="Y12" s="12">
        <v>31</v>
      </c>
      <c r="Z12" s="12">
        <v>30</v>
      </c>
      <c r="AA12" s="12">
        <v>32</v>
      </c>
      <c r="AB12" s="12">
        <v>48</v>
      </c>
      <c r="AC12" s="12">
        <v>9</v>
      </c>
      <c r="AD12" s="12">
        <v>37</v>
      </c>
      <c r="AE12" s="12">
        <v>7</v>
      </c>
      <c r="AF12" s="12">
        <v>0</v>
      </c>
    </row>
    <row r="13" spans="1:32" ht="57">
      <c r="A13" s="23"/>
      <c r="B13" s="13" t="s">
        <v>822</v>
      </c>
      <c r="C13" s="14">
        <v>0.04</v>
      </c>
      <c r="D13" s="14">
        <v>0.01</v>
      </c>
      <c r="E13" s="14">
        <v>0.03</v>
      </c>
      <c r="F13" s="14">
        <v>0.02</v>
      </c>
      <c r="G13" s="14">
        <v>0.01</v>
      </c>
      <c r="H13" s="14">
        <v>0.03</v>
      </c>
      <c r="I13" s="14">
        <v>0.03</v>
      </c>
      <c r="J13" s="14">
        <v>0.01</v>
      </c>
      <c r="K13" s="14">
        <v>0.04</v>
      </c>
      <c r="L13" s="14">
        <v>0.08</v>
      </c>
      <c r="M13" s="14">
        <v>0.06</v>
      </c>
      <c r="N13" s="14">
        <v>0.08</v>
      </c>
      <c r="O13" s="14">
        <v>0.03</v>
      </c>
      <c r="P13" s="14">
        <v>0.02</v>
      </c>
      <c r="Q13" s="14">
        <v>0.08</v>
      </c>
      <c r="R13" s="14">
        <v>0.08</v>
      </c>
      <c r="S13" s="14">
        <v>0.04</v>
      </c>
      <c r="T13" s="14">
        <v>0.03</v>
      </c>
      <c r="U13" s="14">
        <v>0.02</v>
      </c>
      <c r="V13" s="14">
        <v>0.02</v>
      </c>
      <c r="W13" s="14">
        <v>0.16</v>
      </c>
      <c r="X13" s="14">
        <v>0.04</v>
      </c>
      <c r="Y13" s="14">
        <v>0.03</v>
      </c>
      <c r="Z13" s="14">
        <v>0.03</v>
      </c>
      <c r="AA13" s="14">
        <v>0.03</v>
      </c>
      <c r="AB13" s="14">
        <v>0.05</v>
      </c>
      <c r="AC13" s="14">
        <v>0.01</v>
      </c>
      <c r="AD13" s="14">
        <v>0.04</v>
      </c>
      <c r="AE13" s="14">
        <v>0.01</v>
      </c>
      <c r="AF13" s="15" t="s">
        <v>485</v>
      </c>
    </row>
    <row r="14" spans="1:32">
      <c r="A14" s="23"/>
      <c r="B14" s="11" t="s">
        <v>823</v>
      </c>
      <c r="C14" s="12">
        <v>2584</v>
      </c>
      <c r="D14" s="12">
        <v>127</v>
      </c>
      <c r="E14" s="12">
        <v>66</v>
      </c>
      <c r="F14" s="12">
        <v>87</v>
      </c>
      <c r="G14" s="12">
        <v>100</v>
      </c>
      <c r="H14" s="12">
        <v>145</v>
      </c>
      <c r="I14" s="12">
        <v>168</v>
      </c>
      <c r="J14" s="12">
        <v>23</v>
      </c>
      <c r="K14" s="12">
        <v>87</v>
      </c>
      <c r="L14" s="12">
        <v>102</v>
      </c>
      <c r="M14" s="12">
        <v>69</v>
      </c>
      <c r="N14" s="12">
        <v>99</v>
      </c>
      <c r="O14" s="12">
        <v>100</v>
      </c>
      <c r="P14" s="12">
        <v>59</v>
      </c>
      <c r="Q14" s="12">
        <v>117</v>
      </c>
      <c r="R14" s="12">
        <v>38</v>
      </c>
      <c r="S14" s="12">
        <v>66</v>
      </c>
      <c r="T14" s="12">
        <v>87</v>
      </c>
      <c r="U14" s="12">
        <v>56</v>
      </c>
      <c r="V14" s="12">
        <v>66</v>
      </c>
      <c r="W14" s="12">
        <v>43</v>
      </c>
      <c r="X14" s="12">
        <v>131</v>
      </c>
      <c r="Y14" s="12">
        <v>64</v>
      </c>
      <c r="Z14" s="12">
        <v>77</v>
      </c>
      <c r="AA14" s="12">
        <v>101</v>
      </c>
      <c r="AB14" s="12">
        <v>70</v>
      </c>
      <c r="AC14" s="12">
        <v>108</v>
      </c>
      <c r="AD14" s="12">
        <v>104</v>
      </c>
      <c r="AE14" s="12">
        <v>106</v>
      </c>
      <c r="AF14" s="12">
        <v>76</v>
      </c>
    </row>
    <row r="15" spans="1:32">
      <c r="A15" s="23"/>
      <c r="B15" s="13" t="s">
        <v>824</v>
      </c>
      <c r="C15" s="14">
        <v>0.1</v>
      </c>
      <c r="D15" s="14">
        <v>0.13</v>
      </c>
      <c r="E15" s="14">
        <v>0.06</v>
      </c>
      <c r="F15" s="14">
        <v>0.09</v>
      </c>
      <c r="G15" s="14">
        <v>0.1</v>
      </c>
      <c r="H15" s="14">
        <v>0.12</v>
      </c>
      <c r="I15" s="14">
        <v>0.11</v>
      </c>
      <c r="J15" s="14">
        <v>0.08</v>
      </c>
      <c r="K15" s="14">
        <v>0.09</v>
      </c>
      <c r="L15" s="14">
        <v>0.1</v>
      </c>
      <c r="M15" s="14">
        <v>7.0000000000000007E-2</v>
      </c>
      <c r="N15" s="14">
        <v>0.1</v>
      </c>
      <c r="O15" s="14">
        <v>0.1</v>
      </c>
      <c r="P15" s="14">
        <v>0.06</v>
      </c>
      <c r="Q15" s="14">
        <v>0.11</v>
      </c>
      <c r="R15" s="14">
        <v>0.08</v>
      </c>
      <c r="S15" s="14">
        <v>0.06</v>
      </c>
      <c r="T15" s="14">
        <v>0.09</v>
      </c>
      <c r="U15" s="14">
        <v>0.11</v>
      </c>
      <c r="V15" s="14">
        <v>7.0000000000000007E-2</v>
      </c>
      <c r="W15" s="14">
        <v>0.09</v>
      </c>
      <c r="X15" s="14">
        <v>0.13</v>
      </c>
      <c r="Y15" s="14">
        <v>0.06</v>
      </c>
      <c r="Z15" s="14">
        <v>0.08</v>
      </c>
      <c r="AA15" s="14">
        <v>0.1</v>
      </c>
      <c r="AB15" s="14">
        <v>7.0000000000000007E-2</v>
      </c>
      <c r="AC15" s="14">
        <v>0.11</v>
      </c>
      <c r="AD15" s="14">
        <v>0.1</v>
      </c>
      <c r="AE15" s="14">
        <v>0.1</v>
      </c>
      <c r="AF15" s="14">
        <v>7.0000000000000007E-2</v>
      </c>
    </row>
    <row r="16" spans="1:32" ht="34.5">
      <c r="A16" s="23"/>
      <c r="B16" s="11" t="s">
        <v>825</v>
      </c>
      <c r="C16" s="12">
        <v>1144</v>
      </c>
      <c r="D16" s="12">
        <v>60</v>
      </c>
      <c r="E16" s="12">
        <v>72</v>
      </c>
      <c r="F16" s="12">
        <v>23</v>
      </c>
      <c r="G16" s="12">
        <v>39</v>
      </c>
      <c r="H16" s="12">
        <v>47</v>
      </c>
      <c r="I16" s="12">
        <v>57</v>
      </c>
      <c r="J16" s="12">
        <v>11</v>
      </c>
      <c r="K16" s="12">
        <v>49</v>
      </c>
      <c r="L16" s="12">
        <v>42</v>
      </c>
      <c r="M16" s="12">
        <v>60</v>
      </c>
      <c r="N16" s="12">
        <v>74</v>
      </c>
      <c r="O16" s="12">
        <v>74</v>
      </c>
      <c r="P16" s="12">
        <v>38</v>
      </c>
      <c r="Q16" s="12">
        <v>27</v>
      </c>
      <c r="R16" s="12">
        <v>18</v>
      </c>
      <c r="S16" s="12">
        <v>71</v>
      </c>
      <c r="T16" s="12">
        <v>83</v>
      </c>
      <c r="U16" s="12">
        <v>27</v>
      </c>
      <c r="V16" s="12">
        <v>23</v>
      </c>
      <c r="W16" s="12">
        <v>14</v>
      </c>
      <c r="X16" s="12">
        <v>17</v>
      </c>
      <c r="Y16" s="12">
        <v>40</v>
      </c>
      <c r="Z16" s="12">
        <v>16</v>
      </c>
      <c r="AA16" s="12">
        <v>46</v>
      </c>
      <c r="AB16" s="12">
        <v>15</v>
      </c>
      <c r="AC16" s="12">
        <v>20</v>
      </c>
      <c r="AD16" s="12">
        <v>37</v>
      </c>
      <c r="AE16" s="12">
        <v>50</v>
      </c>
      <c r="AF16" s="12">
        <v>36</v>
      </c>
    </row>
    <row r="17" spans="1:32" ht="23.25">
      <c r="A17" s="23"/>
      <c r="B17" s="13" t="s">
        <v>826</v>
      </c>
      <c r="C17" s="14">
        <v>0.04</v>
      </c>
      <c r="D17" s="14">
        <v>0.06</v>
      </c>
      <c r="E17" s="14">
        <v>7.0000000000000007E-2</v>
      </c>
      <c r="F17" s="14">
        <v>0.02</v>
      </c>
      <c r="G17" s="14">
        <v>0.04</v>
      </c>
      <c r="H17" s="14">
        <v>0.04</v>
      </c>
      <c r="I17" s="14">
        <v>0.04</v>
      </c>
      <c r="J17" s="14">
        <v>0.04</v>
      </c>
      <c r="K17" s="14">
        <v>0.05</v>
      </c>
      <c r="L17" s="14">
        <v>0.04</v>
      </c>
      <c r="M17" s="14">
        <v>0.06</v>
      </c>
      <c r="N17" s="14">
        <v>7.0000000000000007E-2</v>
      </c>
      <c r="O17" s="14">
        <v>7.0000000000000007E-2</v>
      </c>
      <c r="P17" s="14">
        <v>0.04</v>
      </c>
      <c r="Q17" s="14">
        <v>0.03</v>
      </c>
      <c r="R17" s="14">
        <v>0.04</v>
      </c>
      <c r="S17" s="14">
        <v>7.0000000000000007E-2</v>
      </c>
      <c r="T17" s="14">
        <v>0.08</v>
      </c>
      <c r="U17" s="14">
        <v>0.05</v>
      </c>
      <c r="V17" s="14">
        <v>0.02</v>
      </c>
      <c r="W17" s="14">
        <v>0.03</v>
      </c>
      <c r="X17" s="14">
        <v>0.02</v>
      </c>
      <c r="Y17" s="14">
        <v>0.04</v>
      </c>
      <c r="Z17" s="14">
        <v>0.02</v>
      </c>
      <c r="AA17" s="14">
        <v>0.04</v>
      </c>
      <c r="AB17" s="14">
        <v>0.01</v>
      </c>
      <c r="AC17" s="14">
        <v>0.02</v>
      </c>
      <c r="AD17" s="14">
        <v>0.04</v>
      </c>
      <c r="AE17" s="14">
        <v>0.05</v>
      </c>
      <c r="AF17" s="14">
        <v>0.03</v>
      </c>
    </row>
    <row r="18" spans="1:32" ht="23.25">
      <c r="A18" s="23"/>
      <c r="B18" s="11" t="s">
        <v>827</v>
      </c>
      <c r="C18" s="12">
        <v>7109</v>
      </c>
      <c r="D18" s="12">
        <v>309</v>
      </c>
      <c r="E18" s="12">
        <v>297</v>
      </c>
      <c r="F18" s="12">
        <v>274</v>
      </c>
      <c r="G18" s="12">
        <v>290</v>
      </c>
      <c r="H18" s="12">
        <v>361</v>
      </c>
      <c r="I18" s="12">
        <v>448</v>
      </c>
      <c r="J18" s="12">
        <v>87</v>
      </c>
      <c r="K18" s="12">
        <v>231</v>
      </c>
      <c r="L18" s="12">
        <v>181</v>
      </c>
      <c r="M18" s="12">
        <v>256</v>
      </c>
      <c r="N18" s="12">
        <v>212</v>
      </c>
      <c r="O18" s="12">
        <v>310</v>
      </c>
      <c r="P18" s="12">
        <v>303</v>
      </c>
      <c r="Q18" s="12">
        <v>245</v>
      </c>
      <c r="R18" s="12">
        <v>105</v>
      </c>
      <c r="S18" s="12">
        <v>267</v>
      </c>
      <c r="T18" s="12">
        <v>280</v>
      </c>
      <c r="U18" s="12">
        <v>128</v>
      </c>
      <c r="V18" s="12">
        <v>251</v>
      </c>
      <c r="W18" s="12">
        <v>65</v>
      </c>
      <c r="X18" s="12">
        <v>263</v>
      </c>
      <c r="Y18" s="12">
        <v>276</v>
      </c>
      <c r="Z18" s="12">
        <v>265</v>
      </c>
      <c r="AA18" s="12">
        <v>263</v>
      </c>
      <c r="AB18" s="12">
        <v>295</v>
      </c>
      <c r="AC18" s="12">
        <v>320</v>
      </c>
      <c r="AD18" s="12">
        <v>253</v>
      </c>
      <c r="AE18" s="12">
        <v>301</v>
      </c>
      <c r="AF18" s="12">
        <v>306</v>
      </c>
    </row>
    <row r="19" spans="1:32" ht="23.25">
      <c r="A19" s="23"/>
      <c r="B19" s="13" t="s">
        <v>828</v>
      </c>
      <c r="C19" s="14">
        <v>0.27</v>
      </c>
      <c r="D19" s="14">
        <v>0.31</v>
      </c>
      <c r="E19" s="14">
        <v>0.28000000000000003</v>
      </c>
      <c r="F19" s="14">
        <v>0.27</v>
      </c>
      <c r="G19" s="14">
        <v>0.28999999999999998</v>
      </c>
      <c r="H19" s="14">
        <v>0.3</v>
      </c>
      <c r="I19" s="14">
        <v>0.3</v>
      </c>
      <c r="J19" s="14">
        <v>0.3</v>
      </c>
      <c r="K19" s="14">
        <v>0.23</v>
      </c>
      <c r="L19" s="14">
        <v>0.18</v>
      </c>
      <c r="M19" s="14">
        <v>0.25</v>
      </c>
      <c r="N19" s="14">
        <v>0.21</v>
      </c>
      <c r="O19" s="14">
        <v>0.31</v>
      </c>
      <c r="P19" s="14">
        <v>0.3</v>
      </c>
      <c r="Q19" s="14">
        <v>0.24</v>
      </c>
      <c r="R19" s="14">
        <v>0.21</v>
      </c>
      <c r="S19" s="14">
        <v>0.27</v>
      </c>
      <c r="T19" s="14">
        <v>0.28000000000000003</v>
      </c>
      <c r="U19" s="14">
        <v>0.26</v>
      </c>
      <c r="V19" s="14">
        <v>0.25</v>
      </c>
      <c r="W19" s="14">
        <v>0.13</v>
      </c>
      <c r="X19" s="14">
        <v>0.26</v>
      </c>
      <c r="Y19" s="14">
        <v>0.27</v>
      </c>
      <c r="Z19" s="14">
        <v>0.26</v>
      </c>
      <c r="AA19" s="14">
        <v>0.25</v>
      </c>
      <c r="AB19" s="14">
        <v>0.28000000000000003</v>
      </c>
      <c r="AC19" s="14">
        <v>0.32</v>
      </c>
      <c r="AD19" s="14">
        <v>0.25</v>
      </c>
      <c r="AE19" s="14">
        <v>0.3</v>
      </c>
      <c r="AF19" s="14">
        <v>0.28999999999999998</v>
      </c>
    </row>
    <row r="20" spans="1:32">
      <c r="A20" s="23"/>
      <c r="B20" s="11" t="s">
        <v>829</v>
      </c>
      <c r="C20" s="12">
        <v>205</v>
      </c>
      <c r="D20" s="12">
        <v>3</v>
      </c>
      <c r="E20" s="12">
        <v>4</v>
      </c>
      <c r="F20" s="12">
        <v>8</v>
      </c>
      <c r="G20" s="12">
        <v>5</v>
      </c>
      <c r="H20" s="12">
        <v>5</v>
      </c>
      <c r="I20" s="12">
        <v>5</v>
      </c>
      <c r="J20" s="12">
        <v>0</v>
      </c>
      <c r="K20" s="12">
        <v>5</v>
      </c>
      <c r="L20" s="12">
        <v>12</v>
      </c>
      <c r="M20" s="12">
        <v>35</v>
      </c>
      <c r="N20" s="12">
        <v>7</v>
      </c>
      <c r="O20" s="12">
        <v>0</v>
      </c>
      <c r="P20" s="12">
        <v>15</v>
      </c>
      <c r="Q20" s="12">
        <v>13</v>
      </c>
      <c r="R20" s="12">
        <v>2</v>
      </c>
      <c r="S20" s="12">
        <v>6</v>
      </c>
      <c r="T20" s="12">
        <v>19</v>
      </c>
      <c r="U20" s="12">
        <v>1</v>
      </c>
      <c r="V20" s="12">
        <v>7</v>
      </c>
      <c r="W20" s="12">
        <v>1</v>
      </c>
      <c r="X20" s="12">
        <v>4</v>
      </c>
      <c r="Y20" s="12">
        <v>5</v>
      </c>
      <c r="Z20" s="12">
        <v>17</v>
      </c>
      <c r="AA20" s="12">
        <v>9</v>
      </c>
      <c r="AB20" s="12">
        <v>9</v>
      </c>
      <c r="AC20" s="12">
        <v>15</v>
      </c>
      <c r="AD20" s="12">
        <v>9</v>
      </c>
      <c r="AE20" s="12">
        <v>16</v>
      </c>
      <c r="AF20" s="12">
        <v>10</v>
      </c>
    </row>
    <row r="21" spans="1:32">
      <c r="A21" s="23"/>
      <c r="B21" s="13" t="s">
        <v>830</v>
      </c>
      <c r="C21" s="14">
        <v>0.01</v>
      </c>
      <c r="D21" s="15" t="s">
        <v>485</v>
      </c>
      <c r="E21" s="15" t="s">
        <v>485</v>
      </c>
      <c r="F21" s="14">
        <v>0.01</v>
      </c>
      <c r="G21" s="15" t="s">
        <v>485</v>
      </c>
      <c r="H21" s="15" t="s">
        <v>485</v>
      </c>
      <c r="I21" s="15" t="s">
        <v>485</v>
      </c>
      <c r="J21" s="15" t="s">
        <v>485</v>
      </c>
      <c r="K21" s="14">
        <v>0.01</v>
      </c>
      <c r="L21" s="14">
        <v>0.01</v>
      </c>
      <c r="M21" s="14">
        <v>0.03</v>
      </c>
      <c r="N21" s="14">
        <v>0.01</v>
      </c>
      <c r="O21" s="15" t="s">
        <v>485</v>
      </c>
      <c r="P21" s="14">
        <v>0.02</v>
      </c>
      <c r="Q21" s="14">
        <v>0.01</v>
      </c>
      <c r="R21" s="15" t="s">
        <v>485</v>
      </c>
      <c r="S21" s="14">
        <v>0.01</v>
      </c>
      <c r="T21" s="14">
        <v>0.02</v>
      </c>
      <c r="U21" s="15" t="s">
        <v>485</v>
      </c>
      <c r="V21" s="14">
        <v>0.01</v>
      </c>
      <c r="W21" s="15" t="s">
        <v>485</v>
      </c>
      <c r="X21" s="15" t="s">
        <v>485</v>
      </c>
      <c r="Y21" s="14">
        <v>0.01</v>
      </c>
      <c r="Z21" s="14">
        <v>0.02</v>
      </c>
      <c r="AA21" s="14">
        <v>0.01</v>
      </c>
      <c r="AB21" s="14">
        <v>0.01</v>
      </c>
      <c r="AC21" s="14">
        <v>0.01</v>
      </c>
      <c r="AD21" s="14">
        <v>0.01</v>
      </c>
      <c r="AE21" s="14">
        <v>0.02</v>
      </c>
      <c r="AF21" s="14">
        <v>0.01</v>
      </c>
    </row>
    <row r="22" spans="1:32">
      <c r="A22" s="23"/>
      <c r="B22" s="11" t="s">
        <v>831</v>
      </c>
      <c r="C22" s="12">
        <v>28</v>
      </c>
      <c r="D22" s="12">
        <v>2</v>
      </c>
      <c r="E22" s="12">
        <v>1</v>
      </c>
      <c r="F22" s="12">
        <v>4</v>
      </c>
      <c r="G22" s="12">
        <v>0</v>
      </c>
      <c r="H22" s="12">
        <v>0</v>
      </c>
      <c r="I22" s="12">
        <v>0</v>
      </c>
      <c r="J22" s="12">
        <v>0</v>
      </c>
      <c r="K22" s="12">
        <v>0</v>
      </c>
      <c r="L22" s="12">
        <v>0</v>
      </c>
      <c r="M22" s="12">
        <v>2</v>
      </c>
      <c r="N22" s="12">
        <v>0</v>
      </c>
      <c r="O22" s="12">
        <v>0</v>
      </c>
      <c r="P22" s="12">
        <v>0</v>
      </c>
      <c r="Q22" s="12">
        <v>1</v>
      </c>
      <c r="R22" s="12">
        <v>0</v>
      </c>
      <c r="S22" s="12">
        <v>0</v>
      </c>
      <c r="T22" s="12">
        <v>0</v>
      </c>
      <c r="U22" s="12">
        <v>0</v>
      </c>
      <c r="V22" s="12">
        <v>2</v>
      </c>
      <c r="W22" s="12">
        <v>2</v>
      </c>
      <c r="X22" s="12">
        <v>0</v>
      </c>
      <c r="Y22" s="12">
        <v>4</v>
      </c>
      <c r="Z22" s="12">
        <v>4</v>
      </c>
      <c r="AA22" s="12">
        <v>3</v>
      </c>
      <c r="AB22" s="12">
        <v>6</v>
      </c>
      <c r="AC22" s="12">
        <v>0</v>
      </c>
      <c r="AD22" s="12">
        <v>1</v>
      </c>
      <c r="AE22" s="12">
        <v>0</v>
      </c>
      <c r="AF22" s="12">
        <v>0</v>
      </c>
    </row>
    <row r="23" spans="1:32">
      <c r="A23" s="23"/>
      <c r="B23" s="13" t="s">
        <v>832</v>
      </c>
      <c r="C23" s="15" t="s">
        <v>485</v>
      </c>
      <c r="D23" s="15" t="s">
        <v>485</v>
      </c>
      <c r="E23" s="15" t="s">
        <v>485</v>
      </c>
      <c r="F23" s="15" t="s">
        <v>485</v>
      </c>
      <c r="G23" s="15" t="s">
        <v>485</v>
      </c>
      <c r="H23" s="15" t="s">
        <v>485</v>
      </c>
      <c r="I23" s="15" t="s">
        <v>485</v>
      </c>
      <c r="J23" s="15" t="s">
        <v>485</v>
      </c>
      <c r="K23" s="15" t="s">
        <v>485</v>
      </c>
      <c r="L23" s="15" t="s">
        <v>485</v>
      </c>
      <c r="M23" s="15" t="s">
        <v>485</v>
      </c>
      <c r="N23" s="15" t="s">
        <v>485</v>
      </c>
      <c r="O23" s="15" t="s">
        <v>485</v>
      </c>
      <c r="P23" s="15" t="s">
        <v>485</v>
      </c>
      <c r="Q23" s="15" t="s">
        <v>485</v>
      </c>
      <c r="R23" s="15" t="s">
        <v>485</v>
      </c>
      <c r="S23" s="15" t="s">
        <v>485</v>
      </c>
      <c r="T23" s="15" t="s">
        <v>485</v>
      </c>
      <c r="U23" s="15" t="s">
        <v>485</v>
      </c>
      <c r="V23" s="15" t="s">
        <v>485</v>
      </c>
      <c r="W23" s="15" t="s">
        <v>485</v>
      </c>
      <c r="X23" s="15" t="s">
        <v>485</v>
      </c>
      <c r="Y23" s="15" t="s">
        <v>485</v>
      </c>
      <c r="Z23" s="15" t="s">
        <v>485</v>
      </c>
      <c r="AA23" s="15" t="s">
        <v>485</v>
      </c>
      <c r="AB23" s="14">
        <v>0.01</v>
      </c>
      <c r="AC23" s="15" t="s">
        <v>485</v>
      </c>
      <c r="AD23" s="15" t="s">
        <v>485</v>
      </c>
      <c r="AE23" s="15" t="s">
        <v>485</v>
      </c>
      <c r="AF23" s="15" t="s">
        <v>485</v>
      </c>
    </row>
    <row r="24" spans="1:32" ht="45.75">
      <c r="A24" s="23"/>
      <c r="B24" s="11" t="s">
        <v>833</v>
      </c>
      <c r="C24" s="12">
        <v>603</v>
      </c>
      <c r="D24" s="12">
        <v>10</v>
      </c>
      <c r="E24" s="12">
        <v>13</v>
      </c>
      <c r="F24" s="12">
        <v>31</v>
      </c>
      <c r="G24" s="12">
        <v>20</v>
      </c>
      <c r="H24" s="12">
        <v>18</v>
      </c>
      <c r="I24" s="12">
        <v>25</v>
      </c>
      <c r="J24" s="12">
        <v>7</v>
      </c>
      <c r="K24" s="12">
        <v>10</v>
      </c>
      <c r="L24" s="12">
        <v>19</v>
      </c>
      <c r="M24" s="12">
        <v>19</v>
      </c>
      <c r="N24" s="12">
        <v>22</v>
      </c>
      <c r="O24" s="12">
        <v>19</v>
      </c>
      <c r="P24" s="12">
        <v>9</v>
      </c>
      <c r="Q24" s="12">
        <v>37</v>
      </c>
      <c r="R24" s="12">
        <v>12</v>
      </c>
      <c r="S24" s="12">
        <v>27</v>
      </c>
      <c r="T24" s="12">
        <v>25</v>
      </c>
      <c r="U24" s="12">
        <v>19</v>
      </c>
      <c r="V24" s="12">
        <v>16</v>
      </c>
      <c r="W24" s="12">
        <v>25</v>
      </c>
      <c r="X24" s="12">
        <v>23</v>
      </c>
      <c r="Y24" s="12">
        <v>22</v>
      </c>
      <c r="Z24" s="12">
        <v>37</v>
      </c>
      <c r="AA24" s="12">
        <v>24</v>
      </c>
      <c r="AB24" s="12">
        <v>9</v>
      </c>
      <c r="AC24" s="12">
        <v>27</v>
      </c>
      <c r="AD24" s="12">
        <v>29</v>
      </c>
      <c r="AE24" s="12">
        <v>24</v>
      </c>
      <c r="AF24" s="12">
        <v>31</v>
      </c>
    </row>
    <row r="25" spans="1:32" ht="57">
      <c r="A25" s="23"/>
      <c r="B25" s="13" t="s">
        <v>834</v>
      </c>
      <c r="C25" s="14">
        <v>0.02</v>
      </c>
      <c r="D25" s="14">
        <v>0.01</v>
      </c>
      <c r="E25" s="14">
        <v>0.01</v>
      </c>
      <c r="F25" s="14">
        <v>0.03</v>
      </c>
      <c r="G25" s="14">
        <v>0.02</v>
      </c>
      <c r="H25" s="14">
        <v>0.01</v>
      </c>
      <c r="I25" s="14">
        <v>0.02</v>
      </c>
      <c r="J25" s="14">
        <v>0.02</v>
      </c>
      <c r="K25" s="14">
        <v>0.01</v>
      </c>
      <c r="L25" s="14">
        <v>0.02</v>
      </c>
      <c r="M25" s="14">
        <v>0.02</v>
      </c>
      <c r="N25" s="14">
        <v>0.02</v>
      </c>
      <c r="O25" s="14">
        <v>0.02</v>
      </c>
      <c r="P25" s="14">
        <v>0.01</v>
      </c>
      <c r="Q25" s="14">
        <v>0.04</v>
      </c>
      <c r="R25" s="14">
        <v>0.02</v>
      </c>
      <c r="S25" s="14">
        <v>0.03</v>
      </c>
      <c r="T25" s="14">
        <v>0.02</v>
      </c>
      <c r="U25" s="14">
        <v>0.04</v>
      </c>
      <c r="V25" s="14">
        <v>0.02</v>
      </c>
      <c r="W25" s="14">
        <v>0.05</v>
      </c>
      <c r="X25" s="14">
        <v>0.02</v>
      </c>
      <c r="Y25" s="14">
        <v>0.02</v>
      </c>
      <c r="Z25" s="14">
        <v>0.04</v>
      </c>
      <c r="AA25" s="14">
        <v>0.02</v>
      </c>
      <c r="AB25" s="14">
        <v>0.01</v>
      </c>
      <c r="AC25" s="14">
        <v>0.03</v>
      </c>
      <c r="AD25" s="14">
        <v>0.03</v>
      </c>
      <c r="AE25" s="14">
        <v>0.02</v>
      </c>
      <c r="AF25" s="14">
        <v>0.03</v>
      </c>
    </row>
    <row r="26" spans="1:32" ht="45.75">
      <c r="A26" s="23"/>
      <c r="B26" s="11" t="s">
        <v>835</v>
      </c>
      <c r="C26" s="12">
        <v>696</v>
      </c>
      <c r="D26" s="12">
        <v>33</v>
      </c>
      <c r="E26" s="12">
        <v>31</v>
      </c>
      <c r="F26" s="12">
        <v>50</v>
      </c>
      <c r="G26" s="12">
        <v>11</v>
      </c>
      <c r="H26" s="12">
        <v>19</v>
      </c>
      <c r="I26" s="12">
        <v>21</v>
      </c>
      <c r="J26" s="12">
        <v>3</v>
      </c>
      <c r="K26" s="12">
        <v>14</v>
      </c>
      <c r="L26" s="12">
        <v>20</v>
      </c>
      <c r="M26" s="12">
        <v>96</v>
      </c>
      <c r="N26" s="12">
        <v>16</v>
      </c>
      <c r="O26" s="12">
        <v>20</v>
      </c>
      <c r="P26" s="12">
        <v>35</v>
      </c>
      <c r="Q26" s="12">
        <v>51</v>
      </c>
      <c r="R26" s="12">
        <v>25</v>
      </c>
      <c r="S26" s="12">
        <v>17</v>
      </c>
      <c r="T26" s="12">
        <v>11</v>
      </c>
      <c r="U26" s="12">
        <v>6</v>
      </c>
      <c r="V26" s="12">
        <v>28</v>
      </c>
      <c r="W26" s="12">
        <v>19</v>
      </c>
      <c r="X26" s="12">
        <v>16</v>
      </c>
      <c r="Y26" s="12">
        <v>17</v>
      </c>
      <c r="Z26" s="12">
        <v>26</v>
      </c>
      <c r="AA26" s="12">
        <v>45</v>
      </c>
      <c r="AB26" s="12">
        <v>18</v>
      </c>
      <c r="AC26" s="12">
        <v>20</v>
      </c>
      <c r="AD26" s="12">
        <v>55</v>
      </c>
      <c r="AE26" s="12">
        <v>12</v>
      </c>
      <c r="AF26" s="12">
        <v>16</v>
      </c>
    </row>
    <row r="27" spans="1:32" ht="34.5">
      <c r="A27" s="23"/>
      <c r="B27" s="13" t="s">
        <v>836</v>
      </c>
      <c r="C27" s="14">
        <v>0.03</v>
      </c>
      <c r="D27" s="14">
        <v>0.03</v>
      </c>
      <c r="E27" s="14">
        <v>0.03</v>
      </c>
      <c r="F27" s="14">
        <v>0.05</v>
      </c>
      <c r="G27" s="14">
        <v>0.01</v>
      </c>
      <c r="H27" s="14">
        <v>0.02</v>
      </c>
      <c r="I27" s="14">
        <v>0.01</v>
      </c>
      <c r="J27" s="14">
        <v>0.01</v>
      </c>
      <c r="K27" s="14">
        <v>0.01</v>
      </c>
      <c r="L27" s="14">
        <v>0.02</v>
      </c>
      <c r="M27" s="14">
        <v>0.1</v>
      </c>
      <c r="N27" s="14">
        <v>0.02</v>
      </c>
      <c r="O27" s="14">
        <v>0.02</v>
      </c>
      <c r="P27" s="14">
        <v>0.03</v>
      </c>
      <c r="Q27" s="14">
        <v>0.05</v>
      </c>
      <c r="R27" s="14">
        <v>0.05</v>
      </c>
      <c r="S27" s="14">
        <v>0.02</v>
      </c>
      <c r="T27" s="14">
        <v>0.01</v>
      </c>
      <c r="U27" s="14">
        <v>0.01</v>
      </c>
      <c r="V27" s="14">
        <v>0.03</v>
      </c>
      <c r="W27" s="14">
        <v>0.04</v>
      </c>
      <c r="X27" s="14">
        <v>0.02</v>
      </c>
      <c r="Y27" s="14">
        <v>0.02</v>
      </c>
      <c r="Z27" s="14">
        <v>0.02</v>
      </c>
      <c r="AA27" s="14">
        <v>0.04</v>
      </c>
      <c r="AB27" s="14">
        <v>0.02</v>
      </c>
      <c r="AC27" s="14">
        <v>0.02</v>
      </c>
      <c r="AD27" s="14">
        <v>0.06</v>
      </c>
      <c r="AE27" s="14">
        <v>0.01</v>
      </c>
      <c r="AF27" s="14">
        <v>0.01</v>
      </c>
    </row>
    <row r="28" spans="1:32" ht="34.5">
      <c r="A28" s="23"/>
      <c r="B28" s="11" t="s">
        <v>837</v>
      </c>
      <c r="C28" s="12">
        <v>421</v>
      </c>
      <c r="D28" s="12">
        <v>9</v>
      </c>
      <c r="E28" s="12">
        <v>33</v>
      </c>
      <c r="F28" s="12">
        <v>14</v>
      </c>
      <c r="G28" s="12">
        <v>23</v>
      </c>
      <c r="H28" s="12">
        <v>21</v>
      </c>
      <c r="I28" s="12">
        <v>29</v>
      </c>
      <c r="J28" s="12">
        <v>8</v>
      </c>
      <c r="K28" s="12">
        <v>58</v>
      </c>
      <c r="L28" s="12">
        <v>13</v>
      </c>
      <c r="M28" s="12">
        <v>12</v>
      </c>
      <c r="N28" s="12">
        <v>13</v>
      </c>
      <c r="O28" s="12">
        <v>2</v>
      </c>
      <c r="P28" s="12">
        <v>13</v>
      </c>
      <c r="Q28" s="12">
        <v>11</v>
      </c>
      <c r="R28" s="12">
        <v>8</v>
      </c>
      <c r="S28" s="12">
        <v>20</v>
      </c>
      <c r="T28" s="12">
        <v>22</v>
      </c>
      <c r="U28" s="12">
        <v>1</v>
      </c>
      <c r="V28" s="12">
        <v>39</v>
      </c>
      <c r="W28" s="12">
        <v>18</v>
      </c>
      <c r="X28" s="12">
        <v>45</v>
      </c>
      <c r="Y28" s="12">
        <v>18</v>
      </c>
      <c r="Z28" s="12">
        <v>20</v>
      </c>
      <c r="AA28" s="12">
        <v>17</v>
      </c>
      <c r="AB28" s="12">
        <v>12</v>
      </c>
      <c r="AC28" s="12">
        <v>35</v>
      </c>
      <c r="AD28" s="12">
        <v>21</v>
      </c>
      <c r="AE28" s="12">
        <v>51</v>
      </c>
      <c r="AF28" s="12">
        <v>22</v>
      </c>
    </row>
    <row r="29" spans="1:32" ht="34.5">
      <c r="A29" s="23"/>
      <c r="B29" s="13" t="s">
        <v>838</v>
      </c>
      <c r="C29" s="14">
        <v>0.02</v>
      </c>
      <c r="D29" s="14">
        <v>0.01</v>
      </c>
      <c r="E29" s="14">
        <v>0.03</v>
      </c>
      <c r="F29" s="14">
        <v>0.01</v>
      </c>
      <c r="G29" s="14">
        <v>0.02</v>
      </c>
      <c r="H29" s="14">
        <v>0.02</v>
      </c>
      <c r="I29" s="14">
        <v>0.02</v>
      </c>
      <c r="J29" s="14">
        <v>0.03</v>
      </c>
      <c r="K29" s="14">
        <v>0.06</v>
      </c>
      <c r="L29" s="14">
        <v>0.01</v>
      </c>
      <c r="M29" s="14">
        <v>0.01</v>
      </c>
      <c r="N29" s="14">
        <v>0.01</v>
      </c>
      <c r="O29" s="15" t="s">
        <v>485</v>
      </c>
      <c r="P29" s="14">
        <v>0.01</v>
      </c>
      <c r="Q29" s="14">
        <v>0.01</v>
      </c>
      <c r="R29" s="14">
        <v>0.02</v>
      </c>
      <c r="S29" s="14">
        <v>0.02</v>
      </c>
      <c r="T29" s="14">
        <v>0.02</v>
      </c>
      <c r="U29" s="15" t="s">
        <v>485</v>
      </c>
      <c r="V29" s="14">
        <v>0.04</v>
      </c>
      <c r="W29" s="14">
        <v>0.04</v>
      </c>
      <c r="X29" s="14">
        <v>0.04</v>
      </c>
      <c r="Y29" s="14">
        <v>0.02</v>
      </c>
      <c r="Z29" s="14">
        <v>0.02</v>
      </c>
      <c r="AA29" s="14">
        <v>0.02</v>
      </c>
      <c r="AB29" s="14">
        <v>0.01</v>
      </c>
      <c r="AC29" s="14">
        <v>0.03</v>
      </c>
      <c r="AD29" s="14">
        <v>0.02</v>
      </c>
      <c r="AE29" s="14">
        <v>0.05</v>
      </c>
      <c r="AF29" s="14">
        <v>0.02</v>
      </c>
    </row>
    <row r="30" spans="1:32" ht="45.75">
      <c r="A30" s="23"/>
      <c r="B30" s="11" t="s">
        <v>839</v>
      </c>
      <c r="C30" s="12">
        <v>506</v>
      </c>
      <c r="D30" s="12">
        <v>8</v>
      </c>
      <c r="E30" s="12">
        <v>16</v>
      </c>
      <c r="F30" s="12">
        <v>21</v>
      </c>
      <c r="G30" s="12">
        <v>15</v>
      </c>
      <c r="H30" s="12">
        <v>5</v>
      </c>
      <c r="I30" s="12">
        <v>12</v>
      </c>
      <c r="J30" s="12">
        <v>6</v>
      </c>
      <c r="K30" s="12">
        <v>64</v>
      </c>
      <c r="L30" s="12">
        <v>58</v>
      </c>
      <c r="M30" s="12">
        <v>7</v>
      </c>
      <c r="N30" s="12">
        <v>42</v>
      </c>
      <c r="O30" s="12">
        <v>8</v>
      </c>
      <c r="P30" s="12">
        <v>27</v>
      </c>
      <c r="Q30" s="12">
        <v>8</v>
      </c>
      <c r="R30" s="12">
        <v>15</v>
      </c>
      <c r="S30" s="12">
        <v>54</v>
      </c>
      <c r="T30" s="12">
        <v>47</v>
      </c>
      <c r="U30" s="12">
        <v>5</v>
      </c>
      <c r="V30" s="12">
        <v>31</v>
      </c>
      <c r="W30" s="12">
        <v>42</v>
      </c>
      <c r="X30" s="12">
        <v>16</v>
      </c>
      <c r="Y30" s="12">
        <v>13</v>
      </c>
      <c r="Z30" s="12">
        <v>21</v>
      </c>
      <c r="AA30" s="12">
        <v>20</v>
      </c>
      <c r="AB30" s="12">
        <v>43</v>
      </c>
      <c r="AC30" s="12">
        <v>39</v>
      </c>
      <c r="AD30" s="12">
        <v>31</v>
      </c>
      <c r="AE30" s="12">
        <v>45</v>
      </c>
      <c r="AF30" s="12">
        <v>66</v>
      </c>
    </row>
    <row r="31" spans="1:32" ht="45.75">
      <c r="A31" s="23"/>
      <c r="B31" s="13" t="s">
        <v>840</v>
      </c>
      <c r="C31" s="14">
        <v>0.02</v>
      </c>
      <c r="D31" s="14">
        <v>0.01</v>
      </c>
      <c r="E31" s="14">
        <v>0.02</v>
      </c>
      <c r="F31" s="14">
        <v>0.02</v>
      </c>
      <c r="G31" s="14">
        <v>0.01</v>
      </c>
      <c r="H31" s="15" t="s">
        <v>485</v>
      </c>
      <c r="I31" s="14">
        <v>0.01</v>
      </c>
      <c r="J31" s="14">
        <v>0.02</v>
      </c>
      <c r="K31" s="14">
        <v>0.06</v>
      </c>
      <c r="L31" s="14">
        <v>0.06</v>
      </c>
      <c r="M31" s="14">
        <v>0.01</v>
      </c>
      <c r="N31" s="14">
        <v>0.04</v>
      </c>
      <c r="O31" s="14">
        <v>0.01</v>
      </c>
      <c r="P31" s="14">
        <v>0.03</v>
      </c>
      <c r="Q31" s="14">
        <v>0.01</v>
      </c>
      <c r="R31" s="14">
        <v>0.03</v>
      </c>
      <c r="S31" s="14">
        <v>0.05</v>
      </c>
      <c r="T31" s="14">
        <v>0.05</v>
      </c>
      <c r="U31" s="14">
        <v>0.01</v>
      </c>
      <c r="V31" s="14">
        <v>0.03</v>
      </c>
      <c r="W31" s="14">
        <v>0.08</v>
      </c>
      <c r="X31" s="14">
        <v>0.02</v>
      </c>
      <c r="Y31" s="14">
        <v>0.01</v>
      </c>
      <c r="Z31" s="14">
        <v>0.02</v>
      </c>
      <c r="AA31" s="14">
        <v>0.02</v>
      </c>
      <c r="AB31" s="14">
        <v>0.04</v>
      </c>
      <c r="AC31" s="14">
        <v>0.04</v>
      </c>
      <c r="AD31" s="14">
        <v>0.03</v>
      </c>
      <c r="AE31" s="14">
        <v>0.05</v>
      </c>
      <c r="AF31" s="14">
        <v>0.06</v>
      </c>
    </row>
    <row r="32" spans="1:32" ht="45.75">
      <c r="A32" s="23"/>
      <c r="B32" s="11" t="s">
        <v>841</v>
      </c>
      <c r="C32" s="12">
        <v>374</v>
      </c>
      <c r="D32" s="12">
        <v>16</v>
      </c>
      <c r="E32" s="12">
        <v>15</v>
      </c>
      <c r="F32" s="12">
        <v>5</v>
      </c>
      <c r="G32" s="12">
        <v>25</v>
      </c>
      <c r="H32" s="12">
        <v>17</v>
      </c>
      <c r="I32" s="12">
        <v>23</v>
      </c>
      <c r="J32" s="12">
        <v>6</v>
      </c>
      <c r="K32" s="12">
        <v>3</v>
      </c>
      <c r="L32" s="12">
        <v>36</v>
      </c>
      <c r="M32" s="12">
        <v>6</v>
      </c>
      <c r="N32" s="12">
        <v>7</v>
      </c>
      <c r="O32" s="12">
        <v>10</v>
      </c>
      <c r="P32" s="12">
        <v>18</v>
      </c>
      <c r="Q32" s="12">
        <v>30</v>
      </c>
      <c r="R32" s="12">
        <v>4</v>
      </c>
      <c r="S32" s="12">
        <v>8</v>
      </c>
      <c r="T32" s="12">
        <v>9</v>
      </c>
      <c r="U32" s="12">
        <v>17</v>
      </c>
      <c r="V32" s="12">
        <v>5</v>
      </c>
      <c r="W32" s="12">
        <v>41</v>
      </c>
      <c r="X32" s="12">
        <v>25</v>
      </c>
      <c r="Y32" s="12">
        <v>27</v>
      </c>
      <c r="Z32" s="12">
        <v>3</v>
      </c>
      <c r="AA32" s="12">
        <v>16</v>
      </c>
      <c r="AB32" s="12">
        <v>6</v>
      </c>
      <c r="AC32" s="12">
        <v>7</v>
      </c>
      <c r="AD32" s="12">
        <v>7</v>
      </c>
      <c r="AE32" s="12">
        <v>20</v>
      </c>
      <c r="AF32" s="12">
        <v>8</v>
      </c>
    </row>
    <row r="33" spans="1:32" ht="68.25">
      <c r="A33" s="23"/>
      <c r="B33" s="13" t="s">
        <v>842</v>
      </c>
      <c r="C33" s="14">
        <v>0.01</v>
      </c>
      <c r="D33" s="14">
        <v>0.02</v>
      </c>
      <c r="E33" s="14">
        <v>0.02</v>
      </c>
      <c r="F33" s="14">
        <v>0.01</v>
      </c>
      <c r="G33" s="14">
        <v>0.03</v>
      </c>
      <c r="H33" s="14">
        <v>0.01</v>
      </c>
      <c r="I33" s="14">
        <v>0.01</v>
      </c>
      <c r="J33" s="14">
        <v>0.02</v>
      </c>
      <c r="K33" s="15" t="s">
        <v>485</v>
      </c>
      <c r="L33" s="14">
        <v>0.04</v>
      </c>
      <c r="M33" s="14">
        <v>0.01</v>
      </c>
      <c r="N33" s="14">
        <v>0.01</v>
      </c>
      <c r="O33" s="14">
        <v>0.01</v>
      </c>
      <c r="P33" s="14">
        <v>0.02</v>
      </c>
      <c r="Q33" s="14">
        <v>0.03</v>
      </c>
      <c r="R33" s="14">
        <v>0.01</v>
      </c>
      <c r="S33" s="14">
        <v>0.01</v>
      </c>
      <c r="T33" s="14">
        <v>0.01</v>
      </c>
      <c r="U33" s="14">
        <v>0.03</v>
      </c>
      <c r="V33" s="15" t="s">
        <v>485</v>
      </c>
      <c r="W33" s="14">
        <v>0.08</v>
      </c>
      <c r="X33" s="14">
        <v>0.02</v>
      </c>
      <c r="Y33" s="14">
        <v>0.03</v>
      </c>
      <c r="Z33" s="15" t="s">
        <v>485</v>
      </c>
      <c r="AA33" s="14">
        <v>0.02</v>
      </c>
      <c r="AB33" s="14">
        <v>0.01</v>
      </c>
      <c r="AC33" s="14">
        <v>0.01</v>
      </c>
      <c r="AD33" s="14">
        <v>0.01</v>
      </c>
      <c r="AE33" s="14">
        <v>0.02</v>
      </c>
      <c r="AF33" s="14">
        <v>0.01</v>
      </c>
    </row>
    <row r="34" spans="1:32" ht="45.75">
      <c r="A34" s="23"/>
      <c r="B34" s="11" t="s">
        <v>843</v>
      </c>
      <c r="C34" s="12">
        <v>2095</v>
      </c>
      <c r="D34" s="12">
        <v>62</v>
      </c>
      <c r="E34" s="12">
        <v>64</v>
      </c>
      <c r="F34" s="12">
        <v>51</v>
      </c>
      <c r="G34" s="12">
        <v>133</v>
      </c>
      <c r="H34" s="12">
        <v>140</v>
      </c>
      <c r="I34" s="12">
        <v>167</v>
      </c>
      <c r="J34" s="12">
        <v>28</v>
      </c>
      <c r="K34" s="12">
        <v>67</v>
      </c>
      <c r="L34" s="12">
        <v>69</v>
      </c>
      <c r="M34" s="12">
        <v>37</v>
      </c>
      <c r="N34" s="12">
        <v>36</v>
      </c>
      <c r="O34" s="12">
        <v>96</v>
      </c>
      <c r="P34" s="12">
        <v>37</v>
      </c>
      <c r="Q34" s="12">
        <v>73</v>
      </c>
      <c r="R34" s="12">
        <v>46</v>
      </c>
      <c r="S34" s="12">
        <v>81</v>
      </c>
      <c r="T34" s="12">
        <v>47</v>
      </c>
      <c r="U34" s="12">
        <v>68</v>
      </c>
      <c r="V34" s="12">
        <v>35</v>
      </c>
      <c r="W34" s="12">
        <v>57</v>
      </c>
      <c r="X34" s="12">
        <v>179</v>
      </c>
      <c r="Y34" s="12">
        <v>132</v>
      </c>
      <c r="Z34" s="12">
        <v>44</v>
      </c>
      <c r="AA34" s="12">
        <v>78</v>
      </c>
      <c r="AB34" s="12">
        <v>23</v>
      </c>
      <c r="AC34" s="12">
        <v>100</v>
      </c>
      <c r="AD34" s="12">
        <v>72</v>
      </c>
      <c r="AE34" s="12">
        <v>123</v>
      </c>
      <c r="AF34" s="12">
        <v>122</v>
      </c>
    </row>
    <row r="35" spans="1:32" ht="57">
      <c r="A35" s="23"/>
      <c r="B35" s="13" t="s">
        <v>844</v>
      </c>
      <c r="C35" s="14">
        <v>0.08</v>
      </c>
      <c r="D35" s="14">
        <v>0.06</v>
      </c>
      <c r="E35" s="14">
        <v>0.06</v>
      </c>
      <c r="F35" s="14">
        <v>0.05</v>
      </c>
      <c r="G35" s="14">
        <v>0.13</v>
      </c>
      <c r="H35" s="14">
        <v>0.12</v>
      </c>
      <c r="I35" s="14">
        <v>0.11</v>
      </c>
      <c r="J35" s="14">
        <v>0.09</v>
      </c>
      <c r="K35" s="14">
        <v>7.0000000000000007E-2</v>
      </c>
      <c r="L35" s="14">
        <v>7.0000000000000007E-2</v>
      </c>
      <c r="M35" s="14">
        <v>0.04</v>
      </c>
      <c r="N35" s="14">
        <v>0.04</v>
      </c>
      <c r="O35" s="14">
        <v>0.1</v>
      </c>
      <c r="P35" s="14">
        <v>0.04</v>
      </c>
      <c r="Q35" s="14">
        <v>7.0000000000000007E-2</v>
      </c>
      <c r="R35" s="14">
        <v>0.09</v>
      </c>
      <c r="S35" s="14">
        <v>0.08</v>
      </c>
      <c r="T35" s="14">
        <v>0.05</v>
      </c>
      <c r="U35" s="14">
        <v>0.13</v>
      </c>
      <c r="V35" s="14">
        <v>0.03</v>
      </c>
      <c r="W35" s="14">
        <v>0.11</v>
      </c>
      <c r="X35" s="14">
        <v>0.18</v>
      </c>
      <c r="Y35" s="14">
        <v>0.13</v>
      </c>
      <c r="Z35" s="14">
        <v>0.04</v>
      </c>
      <c r="AA35" s="14">
        <v>0.08</v>
      </c>
      <c r="AB35" s="14">
        <v>0.02</v>
      </c>
      <c r="AC35" s="14">
        <v>0.1</v>
      </c>
      <c r="AD35" s="14">
        <v>7.0000000000000007E-2</v>
      </c>
      <c r="AE35" s="14">
        <v>0.12</v>
      </c>
      <c r="AF35" s="14">
        <v>0.11</v>
      </c>
    </row>
    <row r="36" spans="1:32" ht="34.5">
      <c r="A36" s="23"/>
      <c r="B36" s="11" t="s">
        <v>845</v>
      </c>
      <c r="C36" s="12">
        <v>2729</v>
      </c>
      <c r="D36" s="12">
        <v>144</v>
      </c>
      <c r="E36" s="12">
        <v>111</v>
      </c>
      <c r="F36" s="12">
        <v>206</v>
      </c>
      <c r="G36" s="12">
        <v>134</v>
      </c>
      <c r="H36" s="12">
        <v>109</v>
      </c>
      <c r="I36" s="12">
        <v>129</v>
      </c>
      <c r="J36" s="12">
        <v>20</v>
      </c>
      <c r="K36" s="12">
        <v>78</v>
      </c>
      <c r="L36" s="12">
        <v>116</v>
      </c>
      <c r="M36" s="12">
        <v>123</v>
      </c>
      <c r="N36" s="12">
        <v>81</v>
      </c>
      <c r="O36" s="12">
        <v>80</v>
      </c>
      <c r="P36" s="12">
        <v>116</v>
      </c>
      <c r="Q36" s="12">
        <v>135</v>
      </c>
      <c r="R36" s="12">
        <v>71</v>
      </c>
      <c r="S36" s="12">
        <v>53</v>
      </c>
      <c r="T36" s="12">
        <v>70</v>
      </c>
      <c r="U36" s="12">
        <v>78</v>
      </c>
      <c r="V36" s="12">
        <v>138</v>
      </c>
      <c r="W36" s="12">
        <v>41</v>
      </c>
      <c r="X36" s="12">
        <v>130</v>
      </c>
      <c r="Y36" s="12">
        <v>93</v>
      </c>
      <c r="Z36" s="12">
        <v>107</v>
      </c>
      <c r="AA36" s="12">
        <v>70</v>
      </c>
      <c r="AB36" s="12">
        <v>119</v>
      </c>
      <c r="AC36" s="12">
        <v>73</v>
      </c>
      <c r="AD36" s="12">
        <v>94</v>
      </c>
      <c r="AE36" s="12">
        <v>49</v>
      </c>
      <c r="AF36" s="12">
        <v>169</v>
      </c>
    </row>
    <row r="37" spans="1:32" ht="23.25">
      <c r="A37" s="23"/>
      <c r="B37" s="13" t="s">
        <v>846</v>
      </c>
      <c r="C37" s="14">
        <v>0.1</v>
      </c>
      <c r="D37" s="14">
        <v>0.14000000000000001</v>
      </c>
      <c r="E37" s="14">
        <v>0.11</v>
      </c>
      <c r="F37" s="14">
        <v>0.2</v>
      </c>
      <c r="G37" s="14">
        <v>0.13</v>
      </c>
      <c r="H37" s="14">
        <v>0.09</v>
      </c>
      <c r="I37" s="14">
        <v>0.09</v>
      </c>
      <c r="J37" s="14">
        <v>7.0000000000000007E-2</v>
      </c>
      <c r="K37" s="14">
        <v>0.08</v>
      </c>
      <c r="L37" s="14">
        <v>0.12</v>
      </c>
      <c r="M37" s="14">
        <v>0.12</v>
      </c>
      <c r="N37" s="14">
        <v>0.08</v>
      </c>
      <c r="O37" s="14">
        <v>0.08</v>
      </c>
      <c r="P37" s="14">
        <v>0.12</v>
      </c>
      <c r="Q37" s="14">
        <v>0.13</v>
      </c>
      <c r="R37" s="14">
        <v>0.14000000000000001</v>
      </c>
      <c r="S37" s="14">
        <v>0.05</v>
      </c>
      <c r="T37" s="14">
        <v>7.0000000000000007E-2</v>
      </c>
      <c r="U37" s="14">
        <v>0.16</v>
      </c>
      <c r="V37" s="14">
        <v>0.14000000000000001</v>
      </c>
      <c r="W37" s="14">
        <v>0.08</v>
      </c>
      <c r="X37" s="14">
        <v>0.13</v>
      </c>
      <c r="Y37" s="14">
        <v>0.09</v>
      </c>
      <c r="Z37" s="14">
        <v>0.1</v>
      </c>
      <c r="AA37" s="14">
        <v>7.0000000000000007E-2</v>
      </c>
      <c r="AB37" s="14">
        <v>0.11</v>
      </c>
      <c r="AC37" s="14">
        <v>7.0000000000000007E-2</v>
      </c>
      <c r="AD37" s="14">
        <v>0.09</v>
      </c>
      <c r="AE37" s="14">
        <v>0.05</v>
      </c>
      <c r="AF37" s="14">
        <v>0.16</v>
      </c>
    </row>
    <row r="38" spans="1:32" ht="57">
      <c r="A38" s="23"/>
      <c r="B38" s="11" t="s">
        <v>847</v>
      </c>
      <c r="C38" s="12">
        <v>1097</v>
      </c>
      <c r="D38" s="12">
        <v>34</v>
      </c>
      <c r="E38" s="12">
        <v>52</v>
      </c>
      <c r="F38" s="12">
        <v>53</v>
      </c>
      <c r="G38" s="12">
        <v>6</v>
      </c>
      <c r="H38" s="12">
        <v>39</v>
      </c>
      <c r="I38" s="12">
        <v>47</v>
      </c>
      <c r="J38" s="12">
        <v>9</v>
      </c>
      <c r="K38" s="12">
        <v>53</v>
      </c>
      <c r="L38" s="12">
        <v>29</v>
      </c>
      <c r="M38" s="12">
        <v>64</v>
      </c>
      <c r="N38" s="12">
        <v>40</v>
      </c>
      <c r="O38" s="12">
        <v>47</v>
      </c>
      <c r="P38" s="12">
        <v>33</v>
      </c>
      <c r="Q38" s="12">
        <v>23</v>
      </c>
      <c r="R38" s="12">
        <v>35</v>
      </c>
      <c r="S38" s="12">
        <v>36</v>
      </c>
      <c r="T38" s="12">
        <v>36</v>
      </c>
      <c r="U38" s="12">
        <v>15</v>
      </c>
      <c r="V38" s="12">
        <v>55</v>
      </c>
      <c r="W38" s="12">
        <v>20</v>
      </c>
      <c r="X38" s="12">
        <v>12</v>
      </c>
      <c r="Y38" s="12">
        <v>26</v>
      </c>
      <c r="Z38" s="12">
        <v>98</v>
      </c>
      <c r="AA38" s="12">
        <v>61</v>
      </c>
      <c r="AB38" s="12">
        <v>60</v>
      </c>
      <c r="AC38" s="12">
        <v>47</v>
      </c>
      <c r="AD38" s="12">
        <v>49</v>
      </c>
      <c r="AE38" s="12">
        <v>26</v>
      </c>
      <c r="AF38" s="12">
        <v>32</v>
      </c>
    </row>
    <row r="39" spans="1:32" ht="34.5">
      <c r="A39" s="23"/>
      <c r="B39" s="13" t="s">
        <v>848</v>
      </c>
      <c r="C39" s="14">
        <v>0.04</v>
      </c>
      <c r="D39" s="14">
        <v>0.03</v>
      </c>
      <c r="E39" s="14">
        <v>0.05</v>
      </c>
      <c r="F39" s="14">
        <v>0.05</v>
      </c>
      <c r="G39" s="14">
        <v>0.01</v>
      </c>
      <c r="H39" s="14">
        <v>0.03</v>
      </c>
      <c r="I39" s="14">
        <v>0.03</v>
      </c>
      <c r="J39" s="14">
        <v>0.03</v>
      </c>
      <c r="K39" s="14">
        <v>0.05</v>
      </c>
      <c r="L39" s="14">
        <v>0.03</v>
      </c>
      <c r="M39" s="14">
        <v>0.06</v>
      </c>
      <c r="N39" s="14">
        <v>0.04</v>
      </c>
      <c r="O39" s="14">
        <v>0.05</v>
      </c>
      <c r="P39" s="14">
        <v>0.03</v>
      </c>
      <c r="Q39" s="14">
        <v>0.02</v>
      </c>
      <c r="R39" s="14">
        <v>7.0000000000000007E-2</v>
      </c>
      <c r="S39" s="14">
        <v>0.03</v>
      </c>
      <c r="T39" s="14">
        <v>0.04</v>
      </c>
      <c r="U39" s="14">
        <v>0.03</v>
      </c>
      <c r="V39" s="14">
        <v>0.05</v>
      </c>
      <c r="W39" s="14">
        <v>0.04</v>
      </c>
      <c r="X39" s="14">
        <v>0.01</v>
      </c>
      <c r="Y39" s="14">
        <v>0.03</v>
      </c>
      <c r="Z39" s="14">
        <v>0.1</v>
      </c>
      <c r="AA39" s="14">
        <v>0.06</v>
      </c>
      <c r="AB39" s="14">
        <v>0.06</v>
      </c>
      <c r="AC39" s="14">
        <v>0.05</v>
      </c>
      <c r="AD39" s="14">
        <v>0.05</v>
      </c>
      <c r="AE39" s="14">
        <v>0.03</v>
      </c>
      <c r="AF39" s="14">
        <v>0.03</v>
      </c>
    </row>
    <row r="40" spans="1:32" ht="68.25">
      <c r="A40" s="23"/>
      <c r="B40" s="11" t="s">
        <v>849</v>
      </c>
      <c r="C40" s="12">
        <v>1806</v>
      </c>
      <c r="D40" s="12">
        <v>93</v>
      </c>
      <c r="E40" s="12">
        <v>58</v>
      </c>
      <c r="F40" s="12">
        <v>45</v>
      </c>
      <c r="G40" s="12">
        <v>65</v>
      </c>
      <c r="H40" s="12">
        <v>75</v>
      </c>
      <c r="I40" s="12">
        <v>104</v>
      </c>
      <c r="J40" s="12">
        <v>29</v>
      </c>
      <c r="K40" s="12">
        <v>95</v>
      </c>
      <c r="L40" s="12">
        <v>65</v>
      </c>
      <c r="M40" s="12">
        <v>72</v>
      </c>
      <c r="N40" s="12">
        <v>74</v>
      </c>
      <c r="O40" s="12">
        <v>96</v>
      </c>
      <c r="P40" s="12">
        <v>95</v>
      </c>
      <c r="Q40" s="12">
        <v>38</v>
      </c>
      <c r="R40" s="12">
        <v>37</v>
      </c>
      <c r="S40" s="12">
        <v>86</v>
      </c>
      <c r="T40" s="12">
        <v>85</v>
      </c>
      <c r="U40" s="12">
        <v>33</v>
      </c>
      <c r="V40" s="12">
        <v>52</v>
      </c>
      <c r="W40" s="12">
        <v>17</v>
      </c>
      <c r="X40" s="12">
        <v>74</v>
      </c>
      <c r="Y40" s="12">
        <v>81</v>
      </c>
      <c r="Z40" s="12">
        <v>41</v>
      </c>
      <c r="AA40" s="12">
        <v>91</v>
      </c>
      <c r="AB40" s="12">
        <v>69</v>
      </c>
      <c r="AC40" s="12">
        <v>68</v>
      </c>
      <c r="AD40" s="12">
        <v>100</v>
      </c>
      <c r="AE40" s="12">
        <v>93</v>
      </c>
      <c r="AF40" s="12">
        <v>98</v>
      </c>
    </row>
    <row r="41" spans="1:32" ht="45.75">
      <c r="A41" s="23"/>
      <c r="B41" s="13" t="s">
        <v>850</v>
      </c>
      <c r="C41" s="14">
        <v>7.0000000000000007E-2</v>
      </c>
      <c r="D41" s="14">
        <v>0.09</v>
      </c>
      <c r="E41" s="14">
        <v>0.06</v>
      </c>
      <c r="F41" s="14">
        <v>0.05</v>
      </c>
      <c r="G41" s="14">
        <v>0.06</v>
      </c>
      <c r="H41" s="14">
        <v>0.06</v>
      </c>
      <c r="I41" s="14">
        <v>7.0000000000000007E-2</v>
      </c>
      <c r="J41" s="14">
        <v>0.1</v>
      </c>
      <c r="K41" s="14">
        <v>0.09</v>
      </c>
      <c r="L41" s="14">
        <v>0.06</v>
      </c>
      <c r="M41" s="14">
        <v>7.0000000000000007E-2</v>
      </c>
      <c r="N41" s="14">
        <v>0.08</v>
      </c>
      <c r="O41" s="14">
        <v>0.1</v>
      </c>
      <c r="P41" s="14">
        <v>0.09</v>
      </c>
      <c r="Q41" s="14">
        <v>0.04</v>
      </c>
      <c r="R41" s="14">
        <v>7.0000000000000007E-2</v>
      </c>
      <c r="S41" s="14">
        <v>0.09</v>
      </c>
      <c r="T41" s="14">
        <v>0.08</v>
      </c>
      <c r="U41" s="14">
        <v>7.0000000000000007E-2</v>
      </c>
      <c r="V41" s="14">
        <v>0.05</v>
      </c>
      <c r="W41" s="14">
        <v>0.03</v>
      </c>
      <c r="X41" s="14">
        <v>7.0000000000000007E-2</v>
      </c>
      <c r="Y41" s="14">
        <v>0.08</v>
      </c>
      <c r="Z41" s="14">
        <v>0.04</v>
      </c>
      <c r="AA41" s="14">
        <v>0.09</v>
      </c>
      <c r="AB41" s="14">
        <v>7.0000000000000007E-2</v>
      </c>
      <c r="AC41" s="14">
        <v>7.0000000000000007E-2</v>
      </c>
      <c r="AD41" s="14">
        <v>0.1</v>
      </c>
      <c r="AE41" s="14">
        <v>0.09</v>
      </c>
      <c r="AF41" s="14">
        <v>0.09</v>
      </c>
    </row>
    <row r="42" spans="1:32" ht="23.25">
      <c r="A42" s="23"/>
      <c r="B42" s="11" t="s">
        <v>851</v>
      </c>
      <c r="C42" s="12">
        <v>389</v>
      </c>
      <c r="D42" s="12">
        <v>10</v>
      </c>
      <c r="E42" s="12">
        <v>22</v>
      </c>
      <c r="F42" s="12">
        <v>15</v>
      </c>
      <c r="G42" s="12">
        <v>6</v>
      </c>
      <c r="H42" s="12">
        <v>12</v>
      </c>
      <c r="I42" s="12">
        <v>21</v>
      </c>
      <c r="J42" s="12">
        <v>9</v>
      </c>
      <c r="K42" s="12">
        <v>21</v>
      </c>
      <c r="L42" s="12">
        <v>19</v>
      </c>
      <c r="M42" s="12">
        <v>5</v>
      </c>
      <c r="N42" s="12">
        <v>13</v>
      </c>
      <c r="O42" s="12">
        <v>16</v>
      </c>
      <c r="P42" s="12">
        <v>25</v>
      </c>
      <c r="Q42" s="12">
        <v>14</v>
      </c>
      <c r="R42" s="12">
        <v>0</v>
      </c>
      <c r="S42" s="12">
        <v>14</v>
      </c>
      <c r="T42" s="12">
        <v>20</v>
      </c>
      <c r="U42" s="12">
        <v>3</v>
      </c>
      <c r="V42" s="12">
        <v>19</v>
      </c>
      <c r="W42" s="12">
        <v>12</v>
      </c>
      <c r="X42" s="12">
        <v>15</v>
      </c>
      <c r="Y42" s="12">
        <v>27</v>
      </c>
      <c r="Z42" s="12">
        <v>9</v>
      </c>
      <c r="AA42" s="12">
        <v>13</v>
      </c>
      <c r="AB42" s="12">
        <v>40</v>
      </c>
      <c r="AC42" s="12">
        <v>16</v>
      </c>
      <c r="AD42" s="12">
        <v>12</v>
      </c>
      <c r="AE42" s="12">
        <v>5</v>
      </c>
      <c r="AF42" s="12">
        <v>14</v>
      </c>
    </row>
    <row r="43" spans="1:32" ht="23.25">
      <c r="A43" s="23"/>
      <c r="B43" s="13" t="s">
        <v>852</v>
      </c>
      <c r="C43" s="14">
        <v>0.02</v>
      </c>
      <c r="D43" s="14">
        <v>0.01</v>
      </c>
      <c r="E43" s="14">
        <v>0.02</v>
      </c>
      <c r="F43" s="14">
        <v>0.02</v>
      </c>
      <c r="G43" s="14">
        <v>0.01</v>
      </c>
      <c r="H43" s="14">
        <v>0.01</v>
      </c>
      <c r="I43" s="14">
        <v>0.01</v>
      </c>
      <c r="J43" s="14">
        <v>0.03</v>
      </c>
      <c r="K43" s="14">
        <v>0.02</v>
      </c>
      <c r="L43" s="14">
        <v>0.02</v>
      </c>
      <c r="M43" s="15" t="s">
        <v>485</v>
      </c>
      <c r="N43" s="14">
        <v>0.01</v>
      </c>
      <c r="O43" s="14">
        <v>0.01</v>
      </c>
      <c r="P43" s="14">
        <v>0.02</v>
      </c>
      <c r="Q43" s="14">
        <v>0.01</v>
      </c>
      <c r="R43" s="15" t="s">
        <v>485</v>
      </c>
      <c r="S43" s="14">
        <v>0.01</v>
      </c>
      <c r="T43" s="14">
        <v>0.02</v>
      </c>
      <c r="U43" s="14">
        <v>0.01</v>
      </c>
      <c r="V43" s="14">
        <v>0.02</v>
      </c>
      <c r="W43" s="14">
        <v>0.02</v>
      </c>
      <c r="X43" s="14">
        <v>0.01</v>
      </c>
      <c r="Y43" s="14">
        <v>0.03</v>
      </c>
      <c r="Z43" s="14">
        <v>0.01</v>
      </c>
      <c r="AA43" s="14">
        <v>0.01</v>
      </c>
      <c r="AB43" s="14">
        <v>0.04</v>
      </c>
      <c r="AC43" s="14">
        <v>0.02</v>
      </c>
      <c r="AD43" s="14">
        <v>0.01</v>
      </c>
      <c r="AE43" s="15" t="s">
        <v>485</v>
      </c>
      <c r="AF43" s="14">
        <v>0.01</v>
      </c>
    </row>
    <row r="44" spans="1:32">
      <c r="A44" s="23"/>
      <c r="B44" s="11" t="s">
        <v>853</v>
      </c>
      <c r="C44" s="12">
        <v>2821</v>
      </c>
      <c r="D44" s="12">
        <v>57</v>
      </c>
      <c r="E44" s="12">
        <v>118</v>
      </c>
      <c r="F44" s="12">
        <v>85</v>
      </c>
      <c r="G44" s="12">
        <v>95</v>
      </c>
      <c r="H44" s="12">
        <v>130</v>
      </c>
      <c r="I44" s="12">
        <v>164</v>
      </c>
      <c r="J44" s="12">
        <v>34</v>
      </c>
      <c r="K44" s="12">
        <v>96</v>
      </c>
      <c r="L44" s="12">
        <v>99</v>
      </c>
      <c r="M44" s="12">
        <v>67</v>
      </c>
      <c r="N44" s="12">
        <v>160</v>
      </c>
      <c r="O44" s="12">
        <v>80</v>
      </c>
      <c r="P44" s="12">
        <v>142</v>
      </c>
      <c r="Q44" s="12">
        <v>78</v>
      </c>
      <c r="R44" s="12">
        <v>35</v>
      </c>
      <c r="S44" s="12">
        <v>118</v>
      </c>
      <c r="T44" s="12">
        <v>114</v>
      </c>
      <c r="U44" s="12">
        <v>29</v>
      </c>
      <c r="V44" s="12">
        <v>194</v>
      </c>
      <c r="W44" s="12">
        <v>6</v>
      </c>
      <c r="X44" s="12">
        <v>18</v>
      </c>
      <c r="Y44" s="12">
        <v>95</v>
      </c>
      <c r="Z44" s="12">
        <v>199</v>
      </c>
      <c r="AA44" s="12">
        <v>106</v>
      </c>
      <c r="AB44" s="12">
        <v>168</v>
      </c>
      <c r="AC44" s="12">
        <v>76</v>
      </c>
      <c r="AD44" s="12">
        <v>81</v>
      </c>
      <c r="AE44" s="12">
        <v>75</v>
      </c>
      <c r="AF44" s="12">
        <v>40</v>
      </c>
    </row>
    <row r="45" spans="1:32" ht="23.25">
      <c r="A45" s="23"/>
      <c r="B45" s="13" t="s">
        <v>854</v>
      </c>
      <c r="C45" s="14">
        <v>0.11</v>
      </c>
      <c r="D45" s="14">
        <v>0.06</v>
      </c>
      <c r="E45" s="14">
        <v>0.11</v>
      </c>
      <c r="F45" s="14">
        <v>0.08</v>
      </c>
      <c r="G45" s="14">
        <v>0.1</v>
      </c>
      <c r="H45" s="14">
        <v>0.11</v>
      </c>
      <c r="I45" s="14">
        <v>0.11</v>
      </c>
      <c r="J45" s="14">
        <v>0.11</v>
      </c>
      <c r="K45" s="14">
        <v>0.1</v>
      </c>
      <c r="L45" s="14">
        <v>0.1</v>
      </c>
      <c r="M45" s="14">
        <v>7.0000000000000007E-2</v>
      </c>
      <c r="N45" s="14">
        <v>0.16</v>
      </c>
      <c r="O45" s="14">
        <v>0.08</v>
      </c>
      <c r="P45" s="14">
        <v>0.14000000000000001</v>
      </c>
      <c r="Q45" s="14">
        <v>0.08</v>
      </c>
      <c r="R45" s="14">
        <v>7.0000000000000007E-2</v>
      </c>
      <c r="S45" s="14">
        <v>0.12</v>
      </c>
      <c r="T45" s="14">
        <v>0.11</v>
      </c>
      <c r="U45" s="14">
        <v>0.06</v>
      </c>
      <c r="V45" s="14">
        <v>0.19</v>
      </c>
      <c r="W45" s="14">
        <v>0.01</v>
      </c>
      <c r="X45" s="14">
        <v>0.02</v>
      </c>
      <c r="Y45" s="14">
        <v>0.09</v>
      </c>
      <c r="Z45" s="14">
        <v>0.2</v>
      </c>
      <c r="AA45" s="14">
        <v>0.1</v>
      </c>
      <c r="AB45" s="14">
        <v>0.16</v>
      </c>
      <c r="AC45" s="14">
        <v>7.0000000000000007E-2</v>
      </c>
      <c r="AD45" s="14">
        <v>0.08</v>
      </c>
      <c r="AE45" s="14">
        <v>7.0000000000000007E-2</v>
      </c>
      <c r="AF45" s="14">
        <v>0.04</v>
      </c>
    </row>
    <row r="46" spans="1:32" ht="34.5">
      <c r="A46" s="23"/>
      <c r="B46" s="11" t="s">
        <v>855</v>
      </c>
      <c r="C46" s="12">
        <v>637</v>
      </c>
      <c r="D46" s="12">
        <v>17</v>
      </c>
      <c r="E46" s="12">
        <v>43</v>
      </c>
      <c r="F46" s="12">
        <v>15</v>
      </c>
      <c r="G46" s="12">
        <v>30</v>
      </c>
      <c r="H46" s="12">
        <v>33</v>
      </c>
      <c r="I46" s="12">
        <v>44</v>
      </c>
      <c r="J46" s="12">
        <v>11</v>
      </c>
      <c r="K46" s="12">
        <v>32</v>
      </c>
      <c r="L46" s="12">
        <v>45</v>
      </c>
      <c r="M46" s="12">
        <v>18</v>
      </c>
      <c r="N46" s="12">
        <v>21</v>
      </c>
      <c r="O46" s="12">
        <v>14</v>
      </c>
      <c r="P46" s="12">
        <v>22</v>
      </c>
      <c r="Q46" s="12">
        <v>45</v>
      </c>
      <c r="R46" s="12">
        <v>8</v>
      </c>
      <c r="S46" s="12">
        <v>45</v>
      </c>
      <c r="T46" s="12">
        <v>22</v>
      </c>
      <c r="U46" s="12">
        <v>5</v>
      </c>
      <c r="V46" s="12">
        <v>28</v>
      </c>
      <c r="W46" s="12">
        <v>3</v>
      </c>
      <c r="X46" s="12">
        <v>12</v>
      </c>
      <c r="Y46" s="12">
        <v>35</v>
      </c>
      <c r="Z46" s="12">
        <v>3</v>
      </c>
      <c r="AA46" s="12">
        <v>46</v>
      </c>
      <c r="AB46" s="12">
        <v>21</v>
      </c>
      <c r="AC46" s="12">
        <v>24</v>
      </c>
      <c r="AD46" s="12">
        <v>11</v>
      </c>
      <c r="AE46" s="12">
        <v>6</v>
      </c>
      <c r="AF46" s="12">
        <v>27</v>
      </c>
    </row>
    <row r="47" spans="1:32" ht="34.5">
      <c r="A47" s="23"/>
      <c r="B47" s="13" t="s">
        <v>856</v>
      </c>
      <c r="C47" s="14">
        <v>0.02</v>
      </c>
      <c r="D47" s="14">
        <v>0.02</v>
      </c>
      <c r="E47" s="14">
        <v>0.04</v>
      </c>
      <c r="F47" s="14">
        <v>0.02</v>
      </c>
      <c r="G47" s="14">
        <v>0.03</v>
      </c>
      <c r="H47" s="14">
        <v>0.03</v>
      </c>
      <c r="I47" s="14">
        <v>0.03</v>
      </c>
      <c r="J47" s="14">
        <v>0.04</v>
      </c>
      <c r="K47" s="14">
        <v>0.03</v>
      </c>
      <c r="L47" s="14">
        <v>0.04</v>
      </c>
      <c r="M47" s="14">
        <v>0.02</v>
      </c>
      <c r="N47" s="14">
        <v>0.02</v>
      </c>
      <c r="O47" s="14">
        <v>0.01</v>
      </c>
      <c r="P47" s="14">
        <v>0.02</v>
      </c>
      <c r="Q47" s="14">
        <v>0.04</v>
      </c>
      <c r="R47" s="14">
        <v>0.02</v>
      </c>
      <c r="S47" s="14">
        <v>0.04</v>
      </c>
      <c r="T47" s="14">
        <v>0.02</v>
      </c>
      <c r="U47" s="14">
        <v>0.01</v>
      </c>
      <c r="V47" s="14">
        <v>0.03</v>
      </c>
      <c r="W47" s="14">
        <v>0.01</v>
      </c>
      <c r="X47" s="14">
        <v>0.01</v>
      </c>
      <c r="Y47" s="14">
        <v>0.04</v>
      </c>
      <c r="Z47" s="15" t="s">
        <v>485</v>
      </c>
      <c r="AA47" s="14">
        <v>0.04</v>
      </c>
      <c r="AB47" s="14">
        <v>0.02</v>
      </c>
      <c r="AC47" s="14">
        <v>0.02</v>
      </c>
      <c r="AD47" s="14">
        <v>0.01</v>
      </c>
      <c r="AE47" s="14">
        <v>0.01</v>
      </c>
      <c r="AF47" s="14">
        <v>0.03</v>
      </c>
    </row>
  </sheetData>
  <mergeCells count="9">
    <mergeCell ref="B4:F4"/>
    <mergeCell ref="A10:A47"/>
    <mergeCell ref="H3:L3"/>
    <mergeCell ref="C8:AF8"/>
    <mergeCell ref="B3:F3"/>
    <mergeCell ref="B5:F5"/>
    <mergeCell ref="H5:L5"/>
    <mergeCell ref="B10:B11"/>
    <mergeCell ref="H4:L4"/>
  </mergeCells>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F17"/>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12" customHeight="1">
      <c r="B3" s="19" t="s">
        <v>101</v>
      </c>
      <c r="C3" s="19"/>
      <c r="D3" s="19"/>
      <c r="E3" s="19"/>
      <c r="F3" s="19"/>
      <c r="H3" s="19" t="s">
        <v>102</v>
      </c>
      <c r="I3" s="19"/>
      <c r="J3" s="19"/>
      <c r="K3" s="19"/>
      <c r="L3" s="19"/>
    </row>
    <row r="4" spans="1:32" ht="27" customHeight="1">
      <c r="B4" s="19"/>
      <c r="C4" s="19"/>
      <c r="D4" s="19"/>
      <c r="E4" s="19"/>
      <c r="F4" s="19"/>
      <c r="H4" s="19"/>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HYPERLINK("#Content!A52","&lt;&lt;Back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857</v>
      </c>
      <c r="C12" s="12">
        <v>1953</v>
      </c>
      <c r="D12" s="12">
        <v>57</v>
      </c>
      <c r="E12" s="12">
        <v>82</v>
      </c>
      <c r="F12" s="12">
        <v>106</v>
      </c>
      <c r="G12" s="12">
        <v>59</v>
      </c>
      <c r="H12" s="12">
        <v>63</v>
      </c>
      <c r="I12" s="12">
        <v>81</v>
      </c>
      <c r="J12" s="12">
        <v>17</v>
      </c>
      <c r="K12" s="12">
        <v>87</v>
      </c>
      <c r="L12" s="12">
        <v>63</v>
      </c>
      <c r="M12" s="12">
        <v>165</v>
      </c>
      <c r="N12" s="12">
        <v>58</v>
      </c>
      <c r="O12" s="12">
        <v>41</v>
      </c>
      <c r="P12" s="12">
        <v>72</v>
      </c>
      <c r="Q12" s="12">
        <v>113</v>
      </c>
      <c r="R12" s="12">
        <v>48</v>
      </c>
      <c r="S12" s="12">
        <v>69</v>
      </c>
      <c r="T12" s="12">
        <v>77</v>
      </c>
      <c r="U12" s="12">
        <v>28</v>
      </c>
      <c r="V12" s="12">
        <v>91</v>
      </c>
      <c r="W12" s="12">
        <v>64</v>
      </c>
      <c r="X12" s="12">
        <v>88</v>
      </c>
      <c r="Y12" s="12">
        <v>66</v>
      </c>
      <c r="Z12" s="12">
        <v>104</v>
      </c>
      <c r="AA12" s="12">
        <v>98</v>
      </c>
      <c r="AB12" s="12">
        <v>54</v>
      </c>
      <c r="AC12" s="12">
        <v>97</v>
      </c>
      <c r="AD12" s="12">
        <v>115</v>
      </c>
      <c r="AE12" s="12">
        <v>104</v>
      </c>
      <c r="AF12" s="12">
        <v>79</v>
      </c>
    </row>
    <row r="13" spans="1:32">
      <c r="A13" s="23"/>
      <c r="B13" s="13" t="s">
        <v>858</v>
      </c>
      <c r="C13" s="14">
        <v>0.08</v>
      </c>
      <c r="D13" s="14">
        <v>0.06</v>
      </c>
      <c r="E13" s="14">
        <v>0.08</v>
      </c>
      <c r="F13" s="14">
        <v>0.11</v>
      </c>
      <c r="G13" s="14">
        <v>0.06</v>
      </c>
      <c r="H13" s="14">
        <v>0.05</v>
      </c>
      <c r="I13" s="14">
        <v>0.06</v>
      </c>
      <c r="J13" s="14">
        <v>0.06</v>
      </c>
      <c r="K13" s="14">
        <v>0.09</v>
      </c>
      <c r="L13" s="14">
        <v>0.06</v>
      </c>
      <c r="M13" s="14">
        <v>0.16</v>
      </c>
      <c r="N13" s="14">
        <v>0.06</v>
      </c>
      <c r="O13" s="14">
        <v>0.04</v>
      </c>
      <c r="P13" s="14">
        <v>7.0000000000000007E-2</v>
      </c>
      <c r="Q13" s="14">
        <v>0.11</v>
      </c>
      <c r="R13" s="14">
        <v>0.1</v>
      </c>
      <c r="S13" s="14">
        <v>7.0000000000000007E-2</v>
      </c>
      <c r="T13" s="14">
        <v>0.08</v>
      </c>
      <c r="U13" s="14">
        <v>0.06</v>
      </c>
      <c r="V13" s="14">
        <v>0.09</v>
      </c>
      <c r="W13" s="14">
        <v>0.13</v>
      </c>
      <c r="X13" s="14">
        <v>0.09</v>
      </c>
      <c r="Y13" s="14">
        <v>0.06</v>
      </c>
      <c r="Z13" s="14">
        <v>0.1</v>
      </c>
      <c r="AA13" s="14">
        <v>0.09</v>
      </c>
      <c r="AB13" s="14">
        <v>0.05</v>
      </c>
      <c r="AC13" s="14">
        <v>0.1</v>
      </c>
      <c r="AD13" s="14">
        <v>0.11</v>
      </c>
      <c r="AE13" s="14">
        <v>0.1</v>
      </c>
      <c r="AF13" s="14">
        <v>7.0000000000000007E-2</v>
      </c>
    </row>
    <row r="14" spans="1:32">
      <c r="A14" s="23"/>
      <c r="B14" s="11" t="s">
        <v>859</v>
      </c>
      <c r="C14" s="12">
        <v>12456</v>
      </c>
      <c r="D14" s="12">
        <v>440</v>
      </c>
      <c r="E14" s="12">
        <v>501</v>
      </c>
      <c r="F14" s="12">
        <v>495</v>
      </c>
      <c r="G14" s="12">
        <v>508</v>
      </c>
      <c r="H14" s="12">
        <v>560</v>
      </c>
      <c r="I14" s="12">
        <v>712</v>
      </c>
      <c r="J14" s="12">
        <v>152</v>
      </c>
      <c r="K14" s="12">
        <v>507</v>
      </c>
      <c r="L14" s="12">
        <v>536</v>
      </c>
      <c r="M14" s="12">
        <v>400</v>
      </c>
      <c r="N14" s="12">
        <v>473</v>
      </c>
      <c r="O14" s="12">
        <v>448</v>
      </c>
      <c r="P14" s="12">
        <v>514</v>
      </c>
      <c r="Q14" s="12">
        <v>443</v>
      </c>
      <c r="R14" s="12">
        <v>251</v>
      </c>
      <c r="S14" s="12">
        <v>495</v>
      </c>
      <c r="T14" s="12">
        <v>450</v>
      </c>
      <c r="U14" s="12">
        <v>253</v>
      </c>
      <c r="V14" s="12">
        <v>556</v>
      </c>
      <c r="W14" s="12">
        <v>239</v>
      </c>
      <c r="X14" s="12">
        <v>481</v>
      </c>
      <c r="Y14" s="12">
        <v>530</v>
      </c>
      <c r="Z14" s="12">
        <v>526</v>
      </c>
      <c r="AA14" s="12">
        <v>501</v>
      </c>
      <c r="AB14" s="12">
        <v>550</v>
      </c>
      <c r="AC14" s="12">
        <v>451</v>
      </c>
      <c r="AD14" s="12">
        <v>456</v>
      </c>
      <c r="AE14" s="12">
        <v>440</v>
      </c>
      <c r="AF14" s="12">
        <v>576</v>
      </c>
    </row>
    <row r="15" spans="1:32">
      <c r="A15" s="23"/>
      <c r="B15" s="13" t="s">
        <v>860</v>
      </c>
      <c r="C15" s="14">
        <v>0.47</v>
      </c>
      <c r="D15" s="14">
        <v>0.44</v>
      </c>
      <c r="E15" s="14">
        <v>0.48</v>
      </c>
      <c r="F15" s="14">
        <v>0.49</v>
      </c>
      <c r="G15" s="14">
        <v>0.51</v>
      </c>
      <c r="H15" s="14">
        <v>0.46</v>
      </c>
      <c r="I15" s="14">
        <v>0.47</v>
      </c>
      <c r="J15" s="14">
        <v>0.52</v>
      </c>
      <c r="K15" s="14">
        <v>0.5</v>
      </c>
      <c r="L15" s="14">
        <v>0.53</v>
      </c>
      <c r="M15" s="14">
        <v>0.4</v>
      </c>
      <c r="N15" s="14">
        <v>0.47</v>
      </c>
      <c r="O15" s="14">
        <v>0.45</v>
      </c>
      <c r="P15" s="14">
        <v>0.51</v>
      </c>
      <c r="Q15" s="14">
        <v>0.43</v>
      </c>
      <c r="R15" s="14">
        <v>0.5</v>
      </c>
      <c r="S15" s="14">
        <v>0.49</v>
      </c>
      <c r="T15" s="14">
        <v>0.45</v>
      </c>
      <c r="U15" s="14">
        <v>0.5</v>
      </c>
      <c r="V15" s="14">
        <v>0.55000000000000004</v>
      </c>
      <c r="W15" s="14">
        <v>0.47</v>
      </c>
      <c r="X15" s="14">
        <v>0.47</v>
      </c>
      <c r="Y15" s="14">
        <v>0.53</v>
      </c>
      <c r="Z15" s="14">
        <v>0.52</v>
      </c>
      <c r="AA15" s="14">
        <v>0.48</v>
      </c>
      <c r="AB15" s="14">
        <v>0.53</v>
      </c>
      <c r="AC15" s="14">
        <v>0.45</v>
      </c>
      <c r="AD15" s="14">
        <v>0.46</v>
      </c>
      <c r="AE15" s="14">
        <v>0.44</v>
      </c>
      <c r="AF15" s="14">
        <v>0.54</v>
      </c>
    </row>
    <row r="16" spans="1:32">
      <c r="A16" s="23"/>
      <c r="B16" s="11" t="s">
        <v>861</v>
      </c>
      <c r="C16" s="12">
        <v>11946</v>
      </c>
      <c r="D16" s="12">
        <v>508</v>
      </c>
      <c r="E16" s="12">
        <v>462</v>
      </c>
      <c r="F16" s="12">
        <v>406</v>
      </c>
      <c r="G16" s="12">
        <v>437</v>
      </c>
      <c r="H16" s="12">
        <v>587</v>
      </c>
      <c r="I16" s="12">
        <v>712</v>
      </c>
      <c r="J16" s="12">
        <v>124</v>
      </c>
      <c r="K16" s="12">
        <v>409</v>
      </c>
      <c r="L16" s="12">
        <v>408</v>
      </c>
      <c r="M16" s="12">
        <v>447</v>
      </c>
      <c r="N16" s="12">
        <v>469</v>
      </c>
      <c r="O16" s="12">
        <v>517</v>
      </c>
      <c r="P16" s="12">
        <v>424</v>
      </c>
      <c r="Q16" s="12">
        <v>468</v>
      </c>
      <c r="R16" s="12">
        <v>203</v>
      </c>
      <c r="S16" s="12">
        <v>441</v>
      </c>
      <c r="T16" s="12">
        <v>477</v>
      </c>
      <c r="U16" s="12">
        <v>222</v>
      </c>
      <c r="V16" s="12">
        <v>364</v>
      </c>
      <c r="W16" s="12">
        <v>199</v>
      </c>
      <c r="X16" s="12">
        <v>447</v>
      </c>
      <c r="Y16" s="12">
        <v>411</v>
      </c>
      <c r="Z16" s="12">
        <v>388</v>
      </c>
      <c r="AA16" s="12">
        <v>441</v>
      </c>
      <c r="AB16" s="12">
        <v>427</v>
      </c>
      <c r="AC16" s="12">
        <v>457</v>
      </c>
      <c r="AD16" s="12">
        <v>432</v>
      </c>
      <c r="AE16" s="12">
        <v>464</v>
      </c>
      <c r="AF16" s="12">
        <v>418</v>
      </c>
    </row>
    <row r="17" spans="1:32">
      <c r="A17" s="23"/>
      <c r="B17" s="13" t="s">
        <v>862</v>
      </c>
      <c r="C17" s="14">
        <v>0.45</v>
      </c>
      <c r="D17" s="14">
        <v>0.5</v>
      </c>
      <c r="E17" s="14">
        <v>0.44</v>
      </c>
      <c r="F17" s="14">
        <v>0.4</v>
      </c>
      <c r="G17" s="14">
        <v>0.43</v>
      </c>
      <c r="H17" s="14">
        <v>0.49</v>
      </c>
      <c r="I17" s="14">
        <v>0.47</v>
      </c>
      <c r="J17" s="14">
        <v>0.42</v>
      </c>
      <c r="K17" s="14">
        <v>0.41</v>
      </c>
      <c r="L17" s="14">
        <v>0.41</v>
      </c>
      <c r="M17" s="14">
        <v>0.44</v>
      </c>
      <c r="N17" s="14">
        <v>0.47</v>
      </c>
      <c r="O17" s="14">
        <v>0.51</v>
      </c>
      <c r="P17" s="14">
        <v>0.42</v>
      </c>
      <c r="Q17" s="14">
        <v>0.46</v>
      </c>
      <c r="R17" s="14">
        <v>0.4</v>
      </c>
      <c r="S17" s="14">
        <v>0.44</v>
      </c>
      <c r="T17" s="14">
        <v>0.47</v>
      </c>
      <c r="U17" s="14">
        <v>0.44</v>
      </c>
      <c r="V17" s="14">
        <v>0.36</v>
      </c>
      <c r="W17" s="14">
        <v>0.4</v>
      </c>
      <c r="X17" s="14">
        <v>0.44</v>
      </c>
      <c r="Y17" s="14">
        <v>0.41</v>
      </c>
      <c r="Z17" s="14">
        <v>0.38</v>
      </c>
      <c r="AA17" s="14">
        <v>0.43</v>
      </c>
      <c r="AB17" s="14">
        <v>0.42</v>
      </c>
      <c r="AC17" s="14">
        <v>0.45</v>
      </c>
      <c r="AD17" s="14">
        <v>0.43</v>
      </c>
      <c r="AE17" s="14">
        <v>0.46</v>
      </c>
      <c r="AF17" s="14">
        <v>0.39</v>
      </c>
    </row>
  </sheetData>
  <mergeCells count="9">
    <mergeCell ref="B10:B11"/>
    <mergeCell ref="A10:A17"/>
    <mergeCell ref="H4:L4"/>
    <mergeCell ref="B4:F4"/>
    <mergeCell ref="H3:L3"/>
    <mergeCell ref="C8:AF8"/>
    <mergeCell ref="B3:F3"/>
    <mergeCell ref="B5:F5"/>
    <mergeCell ref="H5:L5"/>
  </mergeCells>
  <pageMargins left="0.75" right="0.75" top="1" bottom="1"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F27"/>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12" customHeight="1">
      <c r="B3" s="19" t="s">
        <v>103</v>
      </c>
      <c r="C3" s="19"/>
      <c r="D3" s="19"/>
      <c r="E3" s="19"/>
      <c r="F3" s="19"/>
      <c r="H3" s="19" t="s">
        <v>104</v>
      </c>
      <c r="I3" s="19"/>
      <c r="J3" s="19"/>
      <c r="K3" s="19"/>
      <c r="L3" s="19"/>
    </row>
    <row r="4" spans="1:32" ht="27" customHeight="1">
      <c r="B4" s="19"/>
      <c r="C4" s="19"/>
      <c r="D4" s="19"/>
      <c r="E4" s="19"/>
      <c r="F4" s="19"/>
      <c r="H4" s="19"/>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HYPERLINK("#Content!A53","&lt;&lt;Back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857</v>
      </c>
      <c r="C12" s="12">
        <v>1953</v>
      </c>
      <c r="D12" s="12">
        <v>57</v>
      </c>
      <c r="E12" s="12">
        <v>82</v>
      </c>
      <c r="F12" s="12">
        <v>106</v>
      </c>
      <c r="G12" s="12">
        <v>59</v>
      </c>
      <c r="H12" s="12">
        <v>63</v>
      </c>
      <c r="I12" s="12">
        <v>81</v>
      </c>
      <c r="J12" s="12">
        <v>17</v>
      </c>
      <c r="K12" s="12">
        <v>87</v>
      </c>
      <c r="L12" s="12">
        <v>63</v>
      </c>
      <c r="M12" s="12">
        <v>165</v>
      </c>
      <c r="N12" s="12">
        <v>58</v>
      </c>
      <c r="O12" s="12">
        <v>41</v>
      </c>
      <c r="P12" s="12">
        <v>72</v>
      </c>
      <c r="Q12" s="12">
        <v>113</v>
      </c>
      <c r="R12" s="12">
        <v>48</v>
      </c>
      <c r="S12" s="12">
        <v>69</v>
      </c>
      <c r="T12" s="12">
        <v>77</v>
      </c>
      <c r="U12" s="12">
        <v>28</v>
      </c>
      <c r="V12" s="12">
        <v>91</v>
      </c>
      <c r="W12" s="12">
        <v>64</v>
      </c>
      <c r="X12" s="12">
        <v>88</v>
      </c>
      <c r="Y12" s="12">
        <v>66</v>
      </c>
      <c r="Z12" s="12">
        <v>104</v>
      </c>
      <c r="AA12" s="12">
        <v>98</v>
      </c>
      <c r="AB12" s="12">
        <v>54</v>
      </c>
      <c r="AC12" s="12">
        <v>97</v>
      </c>
      <c r="AD12" s="12">
        <v>115</v>
      </c>
      <c r="AE12" s="12">
        <v>104</v>
      </c>
      <c r="AF12" s="12">
        <v>79</v>
      </c>
    </row>
    <row r="13" spans="1:32">
      <c r="A13" s="23"/>
      <c r="B13" s="13" t="s">
        <v>858</v>
      </c>
      <c r="C13" s="14">
        <v>7.0000000000000007E-2</v>
      </c>
      <c r="D13" s="14">
        <v>0.06</v>
      </c>
      <c r="E13" s="14">
        <v>0.08</v>
      </c>
      <c r="F13" s="14">
        <v>0.1</v>
      </c>
      <c r="G13" s="14">
        <v>0.06</v>
      </c>
      <c r="H13" s="14">
        <v>0.05</v>
      </c>
      <c r="I13" s="14">
        <v>0.05</v>
      </c>
      <c r="J13" s="14">
        <v>0.06</v>
      </c>
      <c r="K13" s="14">
        <v>0.09</v>
      </c>
      <c r="L13" s="14">
        <v>0.06</v>
      </c>
      <c r="M13" s="14">
        <v>0.16</v>
      </c>
      <c r="N13" s="14">
        <v>0.06</v>
      </c>
      <c r="O13" s="14">
        <v>0.04</v>
      </c>
      <c r="P13" s="14">
        <v>7.0000000000000007E-2</v>
      </c>
      <c r="Q13" s="14">
        <v>0.11</v>
      </c>
      <c r="R13" s="14">
        <v>0.09</v>
      </c>
      <c r="S13" s="14">
        <v>7.0000000000000007E-2</v>
      </c>
      <c r="T13" s="14">
        <v>0.08</v>
      </c>
      <c r="U13" s="14">
        <v>0.06</v>
      </c>
      <c r="V13" s="14">
        <v>0.09</v>
      </c>
      <c r="W13" s="14">
        <v>0.13</v>
      </c>
      <c r="X13" s="14">
        <v>0.09</v>
      </c>
      <c r="Y13" s="14">
        <v>7.0000000000000007E-2</v>
      </c>
      <c r="Z13" s="14">
        <v>0.1</v>
      </c>
      <c r="AA13" s="14">
        <v>0.09</v>
      </c>
      <c r="AB13" s="14">
        <v>0.05</v>
      </c>
      <c r="AC13" s="14">
        <v>0.1</v>
      </c>
      <c r="AD13" s="14">
        <v>0.12</v>
      </c>
      <c r="AE13" s="14">
        <v>0.1</v>
      </c>
      <c r="AF13" s="14">
        <v>7.0000000000000007E-2</v>
      </c>
    </row>
    <row r="14" spans="1:32">
      <c r="A14" s="23"/>
      <c r="B14" s="11" t="s">
        <v>863</v>
      </c>
      <c r="C14" s="12">
        <v>2975</v>
      </c>
      <c r="D14" s="12">
        <v>87</v>
      </c>
      <c r="E14" s="12">
        <v>95</v>
      </c>
      <c r="F14" s="12">
        <v>76</v>
      </c>
      <c r="G14" s="12">
        <v>173</v>
      </c>
      <c r="H14" s="12">
        <v>162</v>
      </c>
      <c r="I14" s="12">
        <v>202</v>
      </c>
      <c r="J14" s="12">
        <v>40</v>
      </c>
      <c r="K14" s="12">
        <v>133</v>
      </c>
      <c r="L14" s="12">
        <v>163</v>
      </c>
      <c r="M14" s="12">
        <v>51</v>
      </c>
      <c r="N14" s="12">
        <v>85</v>
      </c>
      <c r="O14" s="12">
        <v>114</v>
      </c>
      <c r="P14" s="12">
        <v>81</v>
      </c>
      <c r="Q14" s="12">
        <v>111</v>
      </c>
      <c r="R14" s="12">
        <v>65</v>
      </c>
      <c r="S14" s="12">
        <v>143</v>
      </c>
      <c r="T14" s="12">
        <v>103</v>
      </c>
      <c r="U14" s="12">
        <v>90</v>
      </c>
      <c r="V14" s="12">
        <v>71</v>
      </c>
      <c r="W14" s="12">
        <v>140</v>
      </c>
      <c r="X14" s="12">
        <v>219</v>
      </c>
      <c r="Y14" s="12">
        <v>173</v>
      </c>
      <c r="Z14" s="12">
        <v>68</v>
      </c>
      <c r="AA14" s="12">
        <v>114</v>
      </c>
      <c r="AB14" s="12">
        <v>72</v>
      </c>
      <c r="AC14" s="12">
        <v>146</v>
      </c>
      <c r="AD14" s="12">
        <v>109</v>
      </c>
      <c r="AE14" s="12">
        <v>188</v>
      </c>
      <c r="AF14" s="12">
        <v>196</v>
      </c>
    </row>
    <row r="15" spans="1:32">
      <c r="A15" s="23"/>
      <c r="B15" s="13" t="s">
        <v>864</v>
      </c>
      <c r="C15" s="14">
        <v>0.11</v>
      </c>
      <c r="D15" s="14">
        <v>0.09</v>
      </c>
      <c r="E15" s="14">
        <v>0.09</v>
      </c>
      <c r="F15" s="14">
        <v>0.08</v>
      </c>
      <c r="G15" s="14">
        <v>0.17</v>
      </c>
      <c r="H15" s="14">
        <v>0.13</v>
      </c>
      <c r="I15" s="14">
        <v>0.13</v>
      </c>
      <c r="J15" s="14">
        <v>0.13</v>
      </c>
      <c r="K15" s="14">
        <v>0.13</v>
      </c>
      <c r="L15" s="14">
        <v>0.16</v>
      </c>
      <c r="M15" s="14">
        <v>0.05</v>
      </c>
      <c r="N15" s="14">
        <v>0.09</v>
      </c>
      <c r="O15" s="14">
        <v>0.11</v>
      </c>
      <c r="P15" s="14">
        <v>0.08</v>
      </c>
      <c r="Q15" s="14">
        <v>0.11</v>
      </c>
      <c r="R15" s="14">
        <v>0.13</v>
      </c>
      <c r="S15" s="14">
        <v>0.14000000000000001</v>
      </c>
      <c r="T15" s="14">
        <v>0.1</v>
      </c>
      <c r="U15" s="14">
        <v>0.18</v>
      </c>
      <c r="V15" s="14">
        <v>7.0000000000000007E-2</v>
      </c>
      <c r="W15" s="14">
        <v>0.28000000000000003</v>
      </c>
      <c r="X15" s="14">
        <v>0.21</v>
      </c>
      <c r="Y15" s="14">
        <v>0.17</v>
      </c>
      <c r="Z15" s="14">
        <v>7.0000000000000007E-2</v>
      </c>
      <c r="AA15" s="14">
        <v>0.11</v>
      </c>
      <c r="AB15" s="14">
        <v>7.0000000000000007E-2</v>
      </c>
      <c r="AC15" s="14">
        <v>0.14000000000000001</v>
      </c>
      <c r="AD15" s="14">
        <v>0.11</v>
      </c>
      <c r="AE15" s="14">
        <v>0.19</v>
      </c>
      <c r="AF15" s="14">
        <v>0.18</v>
      </c>
    </row>
    <row r="16" spans="1:32">
      <c r="A16" s="23"/>
      <c r="B16" s="11" t="s">
        <v>865</v>
      </c>
      <c r="C16" s="12">
        <v>3827</v>
      </c>
      <c r="D16" s="12">
        <v>178</v>
      </c>
      <c r="E16" s="12">
        <v>164</v>
      </c>
      <c r="F16" s="12">
        <v>258</v>
      </c>
      <c r="G16" s="12">
        <v>140</v>
      </c>
      <c r="H16" s="12">
        <v>148</v>
      </c>
      <c r="I16" s="12">
        <v>176</v>
      </c>
      <c r="J16" s="12">
        <v>29</v>
      </c>
      <c r="K16" s="12">
        <v>130</v>
      </c>
      <c r="L16" s="12">
        <v>146</v>
      </c>
      <c r="M16" s="12">
        <v>187</v>
      </c>
      <c r="N16" s="12">
        <v>120</v>
      </c>
      <c r="O16" s="12">
        <v>127</v>
      </c>
      <c r="P16" s="12">
        <v>150</v>
      </c>
      <c r="Q16" s="12">
        <v>157</v>
      </c>
      <c r="R16" s="12">
        <v>106</v>
      </c>
      <c r="S16" s="12">
        <v>88</v>
      </c>
      <c r="T16" s="12">
        <v>105</v>
      </c>
      <c r="U16" s="12">
        <v>93</v>
      </c>
      <c r="V16" s="12">
        <v>193</v>
      </c>
      <c r="W16" s="12">
        <v>61</v>
      </c>
      <c r="X16" s="12">
        <v>142</v>
      </c>
      <c r="Y16" s="12">
        <v>120</v>
      </c>
      <c r="Z16" s="12">
        <v>205</v>
      </c>
      <c r="AA16" s="12">
        <v>131</v>
      </c>
      <c r="AB16" s="12">
        <v>178</v>
      </c>
      <c r="AC16" s="12">
        <v>120</v>
      </c>
      <c r="AD16" s="12">
        <v>143</v>
      </c>
      <c r="AE16" s="12">
        <v>75</v>
      </c>
      <c r="AF16" s="12">
        <v>201</v>
      </c>
    </row>
    <row r="17" spans="1:32">
      <c r="A17" s="23"/>
      <c r="B17" s="13" t="s">
        <v>866</v>
      </c>
      <c r="C17" s="14">
        <v>0.15</v>
      </c>
      <c r="D17" s="14">
        <v>0.18</v>
      </c>
      <c r="E17" s="14">
        <v>0.16</v>
      </c>
      <c r="F17" s="14">
        <v>0.26</v>
      </c>
      <c r="G17" s="14">
        <v>0.14000000000000001</v>
      </c>
      <c r="H17" s="14">
        <v>0.12</v>
      </c>
      <c r="I17" s="14">
        <v>0.12</v>
      </c>
      <c r="J17" s="14">
        <v>0.1</v>
      </c>
      <c r="K17" s="14">
        <v>0.13</v>
      </c>
      <c r="L17" s="14">
        <v>0.15</v>
      </c>
      <c r="M17" s="14">
        <v>0.19</v>
      </c>
      <c r="N17" s="14">
        <v>0.12</v>
      </c>
      <c r="O17" s="14">
        <v>0.13</v>
      </c>
      <c r="P17" s="14">
        <v>0.15</v>
      </c>
      <c r="Q17" s="14">
        <v>0.15</v>
      </c>
      <c r="R17" s="14">
        <v>0.21</v>
      </c>
      <c r="S17" s="14">
        <v>0.09</v>
      </c>
      <c r="T17" s="14">
        <v>0.1</v>
      </c>
      <c r="U17" s="14">
        <v>0.19</v>
      </c>
      <c r="V17" s="14">
        <v>0.19</v>
      </c>
      <c r="W17" s="14">
        <v>0.12</v>
      </c>
      <c r="X17" s="14">
        <v>0.14000000000000001</v>
      </c>
      <c r="Y17" s="14">
        <v>0.12</v>
      </c>
      <c r="Z17" s="14">
        <v>0.2</v>
      </c>
      <c r="AA17" s="14">
        <v>0.13</v>
      </c>
      <c r="AB17" s="14">
        <v>0.17</v>
      </c>
      <c r="AC17" s="14">
        <v>0.12</v>
      </c>
      <c r="AD17" s="14">
        <v>0.14000000000000001</v>
      </c>
      <c r="AE17" s="14">
        <v>7.0000000000000007E-2</v>
      </c>
      <c r="AF17" s="14">
        <v>0.19</v>
      </c>
    </row>
    <row r="18" spans="1:32">
      <c r="A18" s="23"/>
      <c r="B18" s="11" t="s">
        <v>867</v>
      </c>
      <c r="C18" s="12">
        <v>5653</v>
      </c>
      <c r="D18" s="12">
        <v>176</v>
      </c>
      <c r="E18" s="12">
        <v>242</v>
      </c>
      <c r="F18" s="12">
        <v>160</v>
      </c>
      <c r="G18" s="12">
        <v>195</v>
      </c>
      <c r="H18" s="12">
        <v>250</v>
      </c>
      <c r="I18" s="12">
        <v>333</v>
      </c>
      <c r="J18" s="12">
        <v>83</v>
      </c>
      <c r="K18" s="12">
        <v>244</v>
      </c>
      <c r="L18" s="12">
        <v>227</v>
      </c>
      <c r="M18" s="12">
        <v>162</v>
      </c>
      <c r="N18" s="12">
        <v>268</v>
      </c>
      <c r="O18" s="12">
        <v>207</v>
      </c>
      <c r="P18" s="12">
        <v>284</v>
      </c>
      <c r="Q18" s="12">
        <v>175</v>
      </c>
      <c r="R18" s="12">
        <v>80</v>
      </c>
      <c r="S18" s="12">
        <v>263</v>
      </c>
      <c r="T18" s="12">
        <v>241</v>
      </c>
      <c r="U18" s="12">
        <v>70</v>
      </c>
      <c r="V18" s="12">
        <v>292</v>
      </c>
      <c r="W18" s="12">
        <v>38</v>
      </c>
      <c r="X18" s="12">
        <v>120</v>
      </c>
      <c r="Y18" s="12">
        <v>237</v>
      </c>
      <c r="Z18" s="12">
        <v>252</v>
      </c>
      <c r="AA18" s="12">
        <v>256</v>
      </c>
      <c r="AB18" s="12">
        <v>299</v>
      </c>
      <c r="AC18" s="12">
        <v>185</v>
      </c>
      <c r="AD18" s="12">
        <v>204</v>
      </c>
      <c r="AE18" s="12">
        <v>178</v>
      </c>
      <c r="AF18" s="12">
        <v>179</v>
      </c>
    </row>
    <row r="19" spans="1:32">
      <c r="A19" s="23"/>
      <c r="B19" s="13" t="s">
        <v>868</v>
      </c>
      <c r="C19" s="14">
        <v>0.22</v>
      </c>
      <c r="D19" s="14">
        <v>0.17</v>
      </c>
      <c r="E19" s="14">
        <v>0.23</v>
      </c>
      <c r="F19" s="14">
        <v>0.16</v>
      </c>
      <c r="G19" s="14">
        <v>0.19</v>
      </c>
      <c r="H19" s="14">
        <v>0.21</v>
      </c>
      <c r="I19" s="14">
        <v>0.22</v>
      </c>
      <c r="J19" s="14">
        <v>0.28000000000000003</v>
      </c>
      <c r="K19" s="14">
        <v>0.24</v>
      </c>
      <c r="L19" s="14">
        <v>0.23</v>
      </c>
      <c r="M19" s="14">
        <v>0.16</v>
      </c>
      <c r="N19" s="14">
        <v>0.27</v>
      </c>
      <c r="O19" s="14">
        <v>0.21</v>
      </c>
      <c r="P19" s="14">
        <v>0.28000000000000003</v>
      </c>
      <c r="Q19" s="14">
        <v>0.17</v>
      </c>
      <c r="R19" s="14">
        <v>0.16</v>
      </c>
      <c r="S19" s="14">
        <v>0.26</v>
      </c>
      <c r="T19" s="14">
        <v>0.24</v>
      </c>
      <c r="U19" s="14">
        <v>0.14000000000000001</v>
      </c>
      <c r="V19" s="14">
        <v>0.28999999999999998</v>
      </c>
      <c r="W19" s="14">
        <v>0.08</v>
      </c>
      <c r="X19" s="14">
        <v>0.12</v>
      </c>
      <c r="Y19" s="14">
        <v>0.24</v>
      </c>
      <c r="Z19" s="14">
        <v>0.25</v>
      </c>
      <c r="AA19" s="14">
        <v>0.25</v>
      </c>
      <c r="AB19" s="14">
        <v>0.28999999999999998</v>
      </c>
      <c r="AC19" s="14">
        <v>0.18</v>
      </c>
      <c r="AD19" s="14">
        <v>0.2</v>
      </c>
      <c r="AE19" s="14">
        <v>0.18</v>
      </c>
      <c r="AF19" s="14">
        <v>0.17</v>
      </c>
    </row>
    <row r="20" spans="1:32" ht="23.25">
      <c r="A20" s="23"/>
      <c r="B20" s="11" t="s">
        <v>869</v>
      </c>
      <c r="C20" s="12">
        <v>1109</v>
      </c>
      <c r="D20" s="12">
        <v>14</v>
      </c>
      <c r="E20" s="12">
        <v>26</v>
      </c>
      <c r="F20" s="12">
        <v>22</v>
      </c>
      <c r="G20" s="12">
        <v>8</v>
      </c>
      <c r="H20" s="12">
        <v>35</v>
      </c>
      <c r="I20" s="12">
        <v>38</v>
      </c>
      <c r="J20" s="12">
        <v>4</v>
      </c>
      <c r="K20" s="12">
        <v>43</v>
      </c>
      <c r="L20" s="12">
        <v>82</v>
      </c>
      <c r="M20" s="12">
        <v>61</v>
      </c>
      <c r="N20" s="12">
        <v>84</v>
      </c>
      <c r="O20" s="12">
        <v>32</v>
      </c>
      <c r="P20" s="12">
        <v>24</v>
      </c>
      <c r="Q20" s="12">
        <v>79</v>
      </c>
      <c r="R20" s="12">
        <v>41</v>
      </c>
      <c r="S20" s="12">
        <v>36</v>
      </c>
      <c r="T20" s="12">
        <v>28</v>
      </c>
      <c r="U20" s="12">
        <v>11</v>
      </c>
      <c r="V20" s="12">
        <v>24</v>
      </c>
      <c r="W20" s="12">
        <v>78</v>
      </c>
      <c r="X20" s="12">
        <v>36</v>
      </c>
      <c r="Y20" s="12">
        <v>31</v>
      </c>
      <c r="Z20" s="12">
        <v>30</v>
      </c>
      <c r="AA20" s="12">
        <v>32</v>
      </c>
      <c r="AB20" s="12">
        <v>48</v>
      </c>
      <c r="AC20" s="12">
        <v>9</v>
      </c>
      <c r="AD20" s="12">
        <v>37</v>
      </c>
      <c r="AE20" s="12">
        <v>7</v>
      </c>
      <c r="AF20" s="12">
        <v>0</v>
      </c>
    </row>
    <row r="21" spans="1:32">
      <c r="A21" s="23"/>
      <c r="B21" s="13" t="s">
        <v>870</v>
      </c>
      <c r="C21" s="14">
        <v>0.04</v>
      </c>
      <c r="D21" s="14">
        <v>0.01</v>
      </c>
      <c r="E21" s="14">
        <v>0.03</v>
      </c>
      <c r="F21" s="14">
        <v>0.02</v>
      </c>
      <c r="G21" s="14">
        <v>0.01</v>
      </c>
      <c r="H21" s="14">
        <v>0.03</v>
      </c>
      <c r="I21" s="14">
        <v>0.03</v>
      </c>
      <c r="J21" s="14">
        <v>0.01</v>
      </c>
      <c r="K21" s="14">
        <v>0.04</v>
      </c>
      <c r="L21" s="14">
        <v>0.08</v>
      </c>
      <c r="M21" s="14">
        <v>0.06</v>
      </c>
      <c r="N21" s="14">
        <v>0.08</v>
      </c>
      <c r="O21" s="14">
        <v>0.03</v>
      </c>
      <c r="P21" s="14">
        <v>0.02</v>
      </c>
      <c r="Q21" s="14">
        <v>0.08</v>
      </c>
      <c r="R21" s="14">
        <v>0.08</v>
      </c>
      <c r="S21" s="14">
        <v>0.04</v>
      </c>
      <c r="T21" s="14">
        <v>0.03</v>
      </c>
      <c r="U21" s="14">
        <v>0.02</v>
      </c>
      <c r="V21" s="14">
        <v>0.02</v>
      </c>
      <c r="W21" s="14">
        <v>0.15</v>
      </c>
      <c r="X21" s="14">
        <v>0.03</v>
      </c>
      <c r="Y21" s="14">
        <v>0.03</v>
      </c>
      <c r="Z21" s="14">
        <v>0.03</v>
      </c>
      <c r="AA21" s="14">
        <v>0.03</v>
      </c>
      <c r="AB21" s="14">
        <v>0.05</v>
      </c>
      <c r="AC21" s="14">
        <v>0.01</v>
      </c>
      <c r="AD21" s="14">
        <v>0.04</v>
      </c>
      <c r="AE21" s="14">
        <v>0.01</v>
      </c>
      <c r="AF21" s="15" t="s">
        <v>485</v>
      </c>
    </row>
    <row r="22" spans="1:32">
      <c r="A22" s="23"/>
      <c r="B22" s="11" t="s">
        <v>871</v>
      </c>
      <c r="C22" s="12">
        <v>1144</v>
      </c>
      <c r="D22" s="12">
        <v>60</v>
      </c>
      <c r="E22" s="12">
        <v>72</v>
      </c>
      <c r="F22" s="12">
        <v>23</v>
      </c>
      <c r="G22" s="12">
        <v>39</v>
      </c>
      <c r="H22" s="12">
        <v>47</v>
      </c>
      <c r="I22" s="12">
        <v>57</v>
      </c>
      <c r="J22" s="12">
        <v>11</v>
      </c>
      <c r="K22" s="12">
        <v>49</v>
      </c>
      <c r="L22" s="12">
        <v>42</v>
      </c>
      <c r="M22" s="12">
        <v>60</v>
      </c>
      <c r="N22" s="12">
        <v>74</v>
      </c>
      <c r="O22" s="12">
        <v>74</v>
      </c>
      <c r="P22" s="12">
        <v>38</v>
      </c>
      <c r="Q22" s="12">
        <v>27</v>
      </c>
      <c r="R22" s="12">
        <v>18</v>
      </c>
      <c r="S22" s="12">
        <v>71</v>
      </c>
      <c r="T22" s="12">
        <v>83</v>
      </c>
      <c r="U22" s="12">
        <v>27</v>
      </c>
      <c r="V22" s="12">
        <v>23</v>
      </c>
      <c r="W22" s="12">
        <v>14</v>
      </c>
      <c r="X22" s="12">
        <v>17</v>
      </c>
      <c r="Y22" s="12">
        <v>40</v>
      </c>
      <c r="Z22" s="12">
        <v>16</v>
      </c>
      <c r="AA22" s="12">
        <v>46</v>
      </c>
      <c r="AB22" s="12">
        <v>15</v>
      </c>
      <c r="AC22" s="12">
        <v>20</v>
      </c>
      <c r="AD22" s="12">
        <v>37</v>
      </c>
      <c r="AE22" s="12">
        <v>50</v>
      </c>
      <c r="AF22" s="12">
        <v>36</v>
      </c>
    </row>
    <row r="23" spans="1:32">
      <c r="A23" s="23"/>
      <c r="B23" s="13" t="s">
        <v>872</v>
      </c>
      <c r="C23" s="14">
        <v>0.04</v>
      </c>
      <c r="D23" s="14">
        <v>0.06</v>
      </c>
      <c r="E23" s="14">
        <v>7.0000000000000007E-2</v>
      </c>
      <c r="F23" s="14">
        <v>0.02</v>
      </c>
      <c r="G23" s="14">
        <v>0.04</v>
      </c>
      <c r="H23" s="14">
        <v>0.04</v>
      </c>
      <c r="I23" s="14">
        <v>0.04</v>
      </c>
      <c r="J23" s="14">
        <v>0.04</v>
      </c>
      <c r="K23" s="14">
        <v>0.05</v>
      </c>
      <c r="L23" s="14">
        <v>0.04</v>
      </c>
      <c r="M23" s="14">
        <v>0.06</v>
      </c>
      <c r="N23" s="14">
        <v>7.0000000000000007E-2</v>
      </c>
      <c r="O23" s="14">
        <v>7.0000000000000007E-2</v>
      </c>
      <c r="P23" s="14">
        <v>0.04</v>
      </c>
      <c r="Q23" s="14">
        <v>0.03</v>
      </c>
      <c r="R23" s="14">
        <v>0.04</v>
      </c>
      <c r="S23" s="14">
        <v>7.0000000000000007E-2</v>
      </c>
      <c r="T23" s="14">
        <v>0.08</v>
      </c>
      <c r="U23" s="14">
        <v>0.05</v>
      </c>
      <c r="V23" s="14">
        <v>0.02</v>
      </c>
      <c r="W23" s="14">
        <v>0.03</v>
      </c>
      <c r="X23" s="14">
        <v>0.02</v>
      </c>
      <c r="Y23" s="14">
        <v>0.04</v>
      </c>
      <c r="Z23" s="14">
        <v>0.02</v>
      </c>
      <c r="AA23" s="14">
        <v>0.04</v>
      </c>
      <c r="AB23" s="14">
        <v>0.01</v>
      </c>
      <c r="AC23" s="14">
        <v>0.02</v>
      </c>
      <c r="AD23" s="14">
        <v>0.04</v>
      </c>
      <c r="AE23" s="14">
        <v>0.05</v>
      </c>
      <c r="AF23" s="14">
        <v>0.03</v>
      </c>
    </row>
    <row r="24" spans="1:32">
      <c r="A24" s="23"/>
      <c r="B24" s="11" t="s">
        <v>873</v>
      </c>
      <c r="C24" s="12">
        <v>7109</v>
      </c>
      <c r="D24" s="12">
        <v>309</v>
      </c>
      <c r="E24" s="12">
        <v>297</v>
      </c>
      <c r="F24" s="12">
        <v>274</v>
      </c>
      <c r="G24" s="12">
        <v>290</v>
      </c>
      <c r="H24" s="12">
        <v>361</v>
      </c>
      <c r="I24" s="12">
        <v>448</v>
      </c>
      <c r="J24" s="12">
        <v>87</v>
      </c>
      <c r="K24" s="12">
        <v>231</v>
      </c>
      <c r="L24" s="12">
        <v>181</v>
      </c>
      <c r="M24" s="12">
        <v>256</v>
      </c>
      <c r="N24" s="12">
        <v>212</v>
      </c>
      <c r="O24" s="12">
        <v>310</v>
      </c>
      <c r="P24" s="12">
        <v>303</v>
      </c>
      <c r="Q24" s="12">
        <v>245</v>
      </c>
      <c r="R24" s="12">
        <v>105</v>
      </c>
      <c r="S24" s="12">
        <v>267</v>
      </c>
      <c r="T24" s="12">
        <v>280</v>
      </c>
      <c r="U24" s="12">
        <v>128</v>
      </c>
      <c r="V24" s="12">
        <v>251</v>
      </c>
      <c r="W24" s="12">
        <v>65</v>
      </c>
      <c r="X24" s="12">
        <v>263</v>
      </c>
      <c r="Y24" s="12">
        <v>276</v>
      </c>
      <c r="Z24" s="12">
        <v>265</v>
      </c>
      <c r="AA24" s="12">
        <v>263</v>
      </c>
      <c r="AB24" s="12">
        <v>295</v>
      </c>
      <c r="AC24" s="12">
        <v>320</v>
      </c>
      <c r="AD24" s="12">
        <v>253</v>
      </c>
      <c r="AE24" s="12">
        <v>301</v>
      </c>
      <c r="AF24" s="12">
        <v>306</v>
      </c>
    </row>
    <row r="25" spans="1:32">
      <c r="A25" s="23"/>
      <c r="B25" s="13" t="s">
        <v>874</v>
      </c>
      <c r="C25" s="14">
        <v>0.27</v>
      </c>
      <c r="D25" s="14">
        <v>0.31</v>
      </c>
      <c r="E25" s="14">
        <v>0.28000000000000003</v>
      </c>
      <c r="F25" s="14">
        <v>0.27</v>
      </c>
      <c r="G25" s="14">
        <v>0.28999999999999998</v>
      </c>
      <c r="H25" s="14">
        <v>0.3</v>
      </c>
      <c r="I25" s="14">
        <v>0.3</v>
      </c>
      <c r="J25" s="14">
        <v>0.3</v>
      </c>
      <c r="K25" s="14">
        <v>0.23</v>
      </c>
      <c r="L25" s="14">
        <v>0.18</v>
      </c>
      <c r="M25" s="14">
        <v>0.25</v>
      </c>
      <c r="N25" s="14">
        <v>0.21</v>
      </c>
      <c r="O25" s="14">
        <v>0.31</v>
      </c>
      <c r="P25" s="14">
        <v>0.3</v>
      </c>
      <c r="Q25" s="14">
        <v>0.24</v>
      </c>
      <c r="R25" s="14">
        <v>0.21</v>
      </c>
      <c r="S25" s="14">
        <v>0.27</v>
      </c>
      <c r="T25" s="14">
        <v>0.28000000000000003</v>
      </c>
      <c r="U25" s="14">
        <v>0.25</v>
      </c>
      <c r="V25" s="14">
        <v>0.25</v>
      </c>
      <c r="W25" s="14">
        <v>0.13</v>
      </c>
      <c r="X25" s="14">
        <v>0.26</v>
      </c>
      <c r="Y25" s="14">
        <v>0.27</v>
      </c>
      <c r="Z25" s="14">
        <v>0.26</v>
      </c>
      <c r="AA25" s="14">
        <v>0.25</v>
      </c>
      <c r="AB25" s="14">
        <v>0.28999999999999998</v>
      </c>
      <c r="AC25" s="14">
        <v>0.32</v>
      </c>
      <c r="AD25" s="14">
        <v>0.25</v>
      </c>
      <c r="AE25" s="14">
        <v>0.3</v>
      </c>
      <c r="AF25" s="14">
        <v>0.28999999999999998</v>
      </c>
    </row>
    <row r="26" spans="1:32">
      <c r="A26" s="23"/>
      <c r="B26" s="11" t="s">
        <v>875</v>
      </c>
      <c r="C26" s="12">
        <v>2584</v>
      </c>
      <c r="D26" s="12">
        <v>127</v>
      </c>
      <c r="E26" s="12">
        <v>66</v>
      </c>
      <c r="F26" s="12">
        <v>87</v>
      </c>
      <c r="G26" s="12">
        <v>100</v>
      </c>
      <c r="H26" s="12">
        <v>145</v>
      </c>
      <c r="I26" s="12">
        <v>168</v>
      </c>
      <c r="J26" s="12">
        <v>23</v>
      </c>
      <c r="K26" s="12">
        <v>87</v>
      </c>
      <c r="L26" s="12">
        <v>102</v>
      </c>
      <c r="M26" s="12">
        <v>69</v>
      </c>
      <c r="N26" s="12">
        <v>99</v>
      </c>
      <c r="O26" s="12">
        <v>100</v>
      </c>
      <c r="P26" s="12">
        <v>59</v>
      </c>
      <c r="Q26" s="12">
        <v>117</v>
      </c>
      <c r="R26" s="12">
        <v>38</v>
      </c>
      <c r="S26" s="12">
        <v>66</v>
      </c>
      <c r="T26" s="12">
        <v>87</v>
      </c>
      <c r="U26" s="12">
        <v>56</v>
      </c>
      <c r="V26" s="12">
        <v>66</v>
      </c>
      <c r="W26" s="12">
        <v>43</v>
      </c>
      <c r="X26" s="12">
        <v>131</v>
      </c>
      <c r="Y26" s="12">
        <v>64</v>
      </c>
      <c r="Z26" s="12">
        <v>77</v>
      </c>
      <c r="AA26" s="12">
        <v>101</v>
      </c>
      <c r="AB26" s="12">
        <v>70</v>
      </c>
      <c r="AC26" s="12">
        <v>108</v>
      </c>
      <c r="AD26" s="12">
        <v>104</v>
      </c>
      <c r="AE26" s="12">
        <v>106</v>
      </c>
      <c r="AF26" s="12">
        <v>76</v>
      </c>
    </row>
    <row r="27" spans="1:32">
      <c r="A27" s="23"/>
      <c r="B27" s="13" t="s">
        <v>876</v>
      </c>
      <c r="C27" s="14">
        <v>0.1</v>
      </c>
      <c r="D27" s="14">
        <v>0.12</v>
      </c>
      <c r="E27" s="14">
        <v>0.06</v>
      </c>
      <c r="F27" s="14">
        <v>0.09</v>
      </c>
      <c r="G27" s="14">
        <v>0.1</v>
      </c>
      <c r="H27" s="14">
        <v>0.12</v>
      </c>
      <c r="I27" s="14">
        <v>0.11</v>
      </c>
      <c r="J27" s="14">
        <v>0.08</v>
      </c>
      <c r="K27" s="14">
        <v>0.09</v>
      </c>
      <c r="L27" s="14">
        <v>0.1</v>
      </c>
      <c r="M27" s="14">
        <v>7.0000000000000007E-2</v>
      </c>
      <c r="N27" s="14">
        <v>0.1</v>
      </c>
      <c r="O27" s="14">
        <v>0.1</v>
      </c>
      <c r="P27" s="14">
        <v>0.06</v>
      </c>
      <c r="Q27" s="14">
        <v>0.11</v>
      </c>
      <c r="R27" s="14">
        <v>0.08</v>
      </c>
      <c r="S27" s="14">
        <v>0.06</v>
      </c>
      <c r="T27" s="14">
        <v>0.09</v>
      </c>
      <c r="U27" s="14">
        <v>0.11</v>
      </c>
      <c r="V27" s="14">
        <v>7.0000000000000007E-2</v>
      </c>
      <c r="W27" s="14">
        <v>0.08</v>
      </c>
      <c r="X27" s="14">
        <v>0.13</v>
      </c>
      <c r="Y27" s="14">
        <v>0.06</v>
      </c>
      <c r="Z27" s="14">
        <v>7.0000000000000007E-2</v>
      </c>
      <c r="AA27" s="14">
        <v>0.1</v>
      </c>
      <c r="AB27" s="14">
        <v>7.0000000000000007E-2</v>
      </c>
      <c r="AC27" s="14">
        <v>0.11</v>
      </c>
      <c r="AD27" s="14">
        <v>0.1</v>
      </c>
      <c r="AE27" s="14">
        <v>0.1</v>
      </c>
      <c r="AF27" s="14">
        <v>7.0000000000000007E-2</v>
      </c>
    </row>
  </sheetData>
  <mergeCells count="9">
    <mergeCell ref="H3:L3"/>
    <mergeCell ref="C8:AF8"/>
    <mergeCell ref="B3:F3"/>
    <mergeCell ref="B5:F5"/>
    <mergeCell ref="A10:A27"/>
    <mergeCell ref="B10:B11"/>
    <mergeCell ref="H4:L4"/>
    <mergeCell ref="B4:F4"/>
    <mergeCell ref="H5:L5"/>
  </mergeCells>
  <pageMargins left="0.75" right="0.75" top="1" bottom="1"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F41"/>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105</v>
      </c>
      <c r="C3" s="19"/>
      <c r="D3" s="19"/>
      <c r="E3" s="19"/>
      <c r="F3" s="19"/>
      <c r="H3" s="19" t="s">
        <v>106</v>
      </c>
      <c r="I3" s="19"/>
      <c r="J3" s="19"/>
      <c r="K3" s="19"/>
      <c r="L3" s="19"/>
    </row>
    <row r="4" spans="1:32" ht="27" customHeight="1">
      <c r="B4" s="19"/>
      <c r="C4" s="19"/>
      <c r="D4" s="19"/>
      <c r="E4" s="19"/>
      <c r="F4" s="19"/>
      <c r="H4" s="19"/>
      <c r="I4" s="19"/>
      <c r="J4" s="19"/>
      <c r="K4" s="19"/>
      <c r="L4" s="19"/>
    </row>
    <row r="5" spans="1:32" ht="12" customHeight="1">
      <c r="B5" s="19" t="s">
        <v>877</v>
      </c>
      <c r="C5" s="19"/>
      <c r="D5" s="19"/>
      <c r="E5" s="19"/>
      <c r="F5" s="19"/>
      <c r="H5" s="19" t="s">
        <v>878</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HYPERLINK("#Content!A54","&lt;&lt;Back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11946</v>
      </c>
      <c r="D10" s="10">
        <v>508</v>
      </c>
      <c r="E10" s="10">
        <v>462</v>
      </c>
      <c r="F10" s="10">
        <v>406</v>
      </c>
      <c r="G10" s="10">
        <v>437</v>
      </c>
      <c r="H10" s="10">
        <v>587</v>
      </c>
      <c r="I10" s="10">
        <v>712</v>
      </c>
      <c r="J10" s="10">
        <v>124</v>
      </c>
      <c r="K10" s="10">
        <v>409</v>
      </c>
      <c r="L10" s="10">
        <v>408</v>
      </c>
      <c r="M10" s="10">
        <v>447</v>
      </c>
      <c r="N10" s="10">
        <v>469</v>
      </c>
      <c r="O10" s="10">
        <v>517</v>
      </c>
      <c r="P10" s="10">
        <v>424</v>
      </c>
      <c r="Q10" s="10">
        <v>468</v>
      </c>
      <c r="R10" s="10">
        <v>203</v>
      </c>
      <c r="S10" s="10">
        <v>441</v>
      </c>
      <c r="T10" s="10">
        <v>477</v>
      </c>
      <c r="U10" s="10">
        <v>222</v>
      </c>
      <c r="V10" s="10">
        <v>364</v>
      </c>
      <c r="W10" s="10">
        <v>199</v>
      </c>
      <c r="X10" s="10">
        <v>447</v>
      </c>
      <c r="Y10" s="10">
        <v>411</v>
      </c>
      <c r="Z10" s="10">
        <v>388</v>
      </c>
      <c r="AA10" s="10">
        <v>441</v>
      </c>
      <c r="AB10" s="10">
        <v>427</v>
      </c>
      <c r="AC10" s="10">
        <v>457</v>
      </c>
      <c r="AD10" s="10">
        <v>432</v>
      </c>
      <c r="AE10" s="10">
        <v>464</v>
      </c>
      <c r="AF10" s="10">
        <v>418</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829</v>
      </c>
      <c r="C12" s="12">
        <v>239</v>
      </c>
      <c r="D12" s="12">
        <v>2</v>
      </c>
      <c r="E12" s="12">
        <v>14</v>
      </c>
      <c r="F12" s="12">
        <v>2</v>
      </c>
      <c r="G12" s="12">
        <v>2</v>
      </c>
      <c r="H12" s="12">
        <v>2</v>
      </c>
      <c r="I12" s="12">
        <v>3</v>
      </c>
      <c r="J12" s="12">
        <v>1</v>
      </c>
      <c r="K12" s="12">
        <v>5</v>
      </c>
      <c r="L12" s="12">
        <v>9</v>
      </c>
      <c r="M12" s="12">
        <v>41</v>
      </c>
      <c r="N12" s="12">
        <v>16</v>
      </c>
      <c r="O12" s="12">
        <v>3</v>
      </c>
      <c r="P12" s="12">
        <v>7</v>
      </c>
      <c r="Q12" s="12">
        <v>13</v>
      </c>
      <c r="R12" s="12">
        <v>5</v>
      </c>
      <c r="S12" s="12">
        <v>2</v>
      </c>
      <c r="T12" s="12">
        <v>4</v>
      </c>
      <c r="U12" s="12">
        <v>2</v>
      </c>
      <c r="V12" s="12">
        <v>4</v>
      </c>
      <c r="W12" s="12">
        <v>2</v>
      </c>
      <c r="X12" s="12">
        <v>3</v>
      </c>
      <c r="Y12" s="12">
        <v>14</v>
      </c>
      <c r="Z12" s="12">
        <v>27</v>
      </c>
      <c r="AA12" s="12">
        <v>6</v>
      </c>
      <c r="AB12" s="12">
        <v>6</v>
      </c>
      <c r="AC12" s="12">
        <v>6</v>
      </c>
      <c r="AD12" s="12">
        <v>3</v>
      </c>
      <c r="AE12" s="12">
        <v>13</v>
      </c>
      <c r="AF12" s="12">
        <v>4</v>
      </c>
    </row>
    <row r="13" spans="1:32">
      <c r="A13" s="23"/>
      <c r="B13" s="13" t="s">
        <v>830</v>
      </c>
      <c r="C13" s="14">
        <v>0.02</v>
      </c>
      <c r="D13" s="15" t="s">
        <v>485</v>
      </c>
      <c r="E13" s="14">
        <v>0.03</v>
      </c>
      <c r="F13" s="15" t="s">
        <v>485</v>
      </c>
      <c r="G13" s="15" t="s">
        <v>485</v>
      </c>
      <c r="H13" s="15" t="s">
        <v>485</v>
      </c>
      <c r="I13" s="15" t="s">
        <v>485</v>
      </c>
      <c r="J13" s="14">
        <v>0.01</v>
      </c>
      <c r="K13" s="14">
        <v>0.01</v>
      </c>
      <c r="L13" s="14">
        <v>0.02</v>
      </c>
      <c r="M13" s="14">
        <v>0.09</v>
      </c>
      <c r="N13" s="14">
        <v>0.03</v>
      </c>
      <c r="O13" s="14">
        <v>0.01</v>
      </c>
      <c r="P13" s="14">
        <v>0.02</v>
      </c>
      <c r="Q13" s="14">
        <v>0.03</v>
      </c>
      <c r="R13" s="14">
        <v>0.02</v>
      </c>
      <c r="S13" s="14">
        <v>0.01</v>
      </c>
      <c r="T13" s="14">
        <v>0.01</v>
      </c>
      <c r="U13" s="14">
        <v>0.01</v>
      </c>
      <c r="V13" s="14">
        <v>0.01</v>
      </c>
      <c r="W13" s="14">
        <v>0.01</v>
      </c>
      <c r="X13" s="14">
        <v>0.01</v>
      </c>
      <c r="Y13" s="14">
        <v>0.03</v>
      </c>
      <c r="Z13" s="14">
        <v>7.0000000000000007E-2</v>
      </c>
      <c r="AA13" s="14">
        <v>0.02</v>
      </c>
      <c r="AB13" s="14">
        <v>0.01</v>
      </c>
      <c r="AC13" s="14">
        <v>0.01</v>
      </c>
      <c r="AD13" s="14">
        <v>0.01</v>
      </c>
      <c r="AE13" s="14">
        <v>0.03</v>
      </c>
      <c r="AF13" s="14">
        <v>0.01</v>
      </c>
    </row>
    <row r="14" spans="1:32">
      <c r="A14" s="23"/>
      <c r="B14" s="11" t="s">
        <v>831</v>
      </c>
      <c r="C14" s="12">
        <v>11</v>
      </c>
      <c r="D14" s="12">
        <v>1</v>
      </c>
      <c r="E14" s="12">
        <v>1</v>
      </c>
      <c r="F14" s="12">
        <v>0</v>
      </c>
      <c r="G14" s="12">
        <v>0</v>
      </c>
      <c r="H14" s="12">
        <v>0</v>
      </c>
      <c r="I14" s="12">
        <v>0</v>
      </c>
      <c r="J14" s="12">
        <v>0</v>
      </c>
      <c r="K14" s="12">
        <v>2</v>
      </c>
      <c r="L14" s="12">
        <v>0</v>
      </c>
      <c r="M14" s="12">
        <v>2</v>
      </c>
      <c r="N14" s="12">
        <v>2</v>
      </c>
      <c r="O14" s="12">
        <v>0</v>
      </c>
      <c r="P14" s="12">
        <v>0</v>
      </c>
      <c r="Q14" s="12">
        <v>1</v>
      </c>
      <c r="R14" s="12">
        <v>1</v>
      </c>
      <c r="S14" s="12">
        <v>0</v>
      </c>
      <c r="T14" s="12">
        <v>0</v>
      </c>
      <c r="U14" s="12">
        <v>0</v>
      </c>
      <c r="V14" s="12">
        <v>0</v>
      </c>
      <c r="W14" s="12">
        <v>1</v>
      </c>
      <c r="X14" s="12">
        <v>0</v>
      </c>
      <c r="Y14" s="12">
        <v>0</v>
      </c>
      <c r="Z14" s="12">
        <v>0</v>
      </c>
      <c r="AA14" s="12">
        <v>1</v>
      </c>
      <c r="AB14" s="12">
        <v>0</v>
      </c>
      <c r="AC14" s="12">
        <v>0</v>
      </c>
      <c r="AD14" s="12">
        <v>0</v>
      </c>
      <c r="AE14" s="12">
        <v>0</v>
      </c>
      <c r="AF14" s="12">
        <v>1</v>
      </c>
    </row>
    <row r="15" spans="1:32">
      <c r="A15" s="23"/>
      <c r="B15" s="13" t="s">
        <v>832</v>
      </c>
      <c r="C15" s="15" t="s">
        <v>485</v>
      </c>
      <c r="D15" s="15" t="s">
        <v>485</v>
      </c>
      <c r="E15" s="15" t="s">
        <v>485</v>
      </c>
      <c r="F15" s="15" t="s">
        <v>485</v>
      </c>
      <c r="G15" s="15" t="s">
        <v>485</v>
      </c>
      <c r="H15" s="15" t="s">
        <v>485</v>
      </c>
      <c r="I15" s="15" t="s">
        <v>485</v>
      </c>
      <c r="J15" s="15" t="s">
        <v>485</v>
      </c>
      <c r="K15" s="14">
        <v>0.01</v>
      </c>
      <c r="L15" s="15" t="s">
        <v>485</v>
      </c>
      <c r="M15" s="15" t="s">
        <v>485</v>
      </c>
      <c r="N15" s="15" t="s">
        <v>485</v>
      </c>
      <c r="O15" s="15" t="s">
        <v>485</v>
      </c>
      <c r="P15" s="15" t="s">
        <v>485</v>
      </c>
      <c r="Q15" s="15" t="s">
        <v>485</v>
      </c>
      <c r="R15" s="15" t="s">
        <v>485</v>
      </c>
      <c r="S15" s="15" t="s">
        <v>485</v>
      </c>
      <c r="T15" s="15" t="s">
        <v>485</v>
      </c>
      <c r="U15" s="15" t="s">
        <v>485</v>
      </c>
      <c r="V15" s="15" t="s">
        <v>485</v>
      </c>
      <c r="W15" s="15" t="s">
        <v>485</v>
      </c>
      <c r="X15" s="15" t="s">
        <v>485</v>
      </c>
      <c r="Y15" s="15" t="s">
        <v>485</v>
      </c>
      <c r="Z15" s="15" t="s">
        <v>485</v>
      </c>
      <c r="AA15" s="15" t="s">
        <v>485</v>
      </c>
      <c r="AB15" s="15" t="s">
        <v>485</v>
      </c>
      <c r="AC15" s="15" t="s">
        <v>485</v>
      </c>
      <c r="AD15" s="15" t="s">
        <v>485</v>
      </c>
      <c r="AE15" s="15" t="s">
        <v>485</v>
      </c>
      <c r="AF15" s="15" t="s">
        <v>485</v>
      </c>
    </row>
    <row r="16" spans="1:32" ht="45.75">
      <c r="A16" s="23"/>
      <c r="B16" s="11" t="s">
        <v>833</v>
      </c>
      <c r="C16" s="12">
        <v>176</v>
      </c>
      <c r="D16" s="12">
        <v>7</v>
      </c>
      <c r="E16" s="12">
        <v>5</v>
      </c>
      <c r="F16" s="12">
        <v>6</v>
      </c>
      <c r="G16" s="12">
        <v>3</v>
      </c>
      <c r="H16" s="12">
        <v>12</v>
      </c>
      <c r="I16" s="12">
        <v>17</v>
      </c>
      <c r="J16" s="12">
        <v>6</v>
      </c>
      <c r="K16" s="12">
        <v>3</v>
      </c>
      <c r="L16" s="12">
        <v>2</v>
      </c>
      <c r="M16" s="12">
        <v>6</v>
      </c>
      <c r="N16" s="12">
        <v>4</v>
      </c>
      <c r="O16" s="12">
        <v>1</v>
      </c>
      <c r="P16" s="12">
        <v>5</v>
      </c>
      <c r="Q16" s="12">
        <v>13</v>
      </c>
      <c r="R16" s="12">
        <v>1</v>
      </c>
      <c r="S16" s="12">
        <v>3</v>
      </c>
      <c r="T16" s="12">
        <v>3</v>
      </c>
      <c r="U16" s="12">
        <v>5</v>
      </c>
      <c r="V16" s="12">
        <v>4</v>
      </c>
      <c r="W16" s="12">
        <v>3</v>
      </c>
      <c r="X16" s="12">
        <v>11</v>
      </c>
      <c r="Y16" s="12">
        <v>6</v>
      </c>
      <c r="Z16" s="12">
        <v>2</v>
      </c>
      <c r="AA16" s="12">
        <v>4</v>
      </c>
      <c r="AB16" s="12">
        <v>0</v>
      </c>
      <c r="AC16" s="12">
        <v>5</v>
      </c>
      <c r="AD16" s="12">
        <v>3</v>
      </c>
      <c r="AE16" s="12">
        <v>10</v>
      </c>
      <c r="AF16" s="12">
        <v>17</v>
      </c>
    </row>
    <row r="17" spans="1:32" ht="57">
      <c r="A17" s="23"/>
      <c r="B17" s="13" t="s">
        <v>834</v>
      </c>
      <c r="C17" s="14">
        <v>0.01</v>
      </c>
      <c r="D17" s="14">
        <v>0.01</v>
      </c>
      <c r="E17" s="14">
        <v>0.01</v>
      </c>
      <c r="F17" s="14">
        <v>0.02</v>
      </c>
      <c r="G17" s="14">
        <v>0.01</v>
      </c>
      <c r="H17" s="14">
        <v>0.02</v>
      </c>
      <c r="I17" s="14">
        <v>0.02</v>
      </c>
      <c r="J17" s="14">
        <v>0.05</v>
      </c>
      <c r="K17" s="14">
        <v>0.01</v>
      </c>
      <c r="L17" s="14">
        <v>0.01</v>
      </c>
      <c r="M17" s="14">
        <v>0.01</v>
      </c>
      <c r="N17" s="14">
        <v>0.01</v>
      </c>
      <c r="O17" s="15" t="s">
        <v>485</v>
      </c>
      <c r="P17" s="14">
        <v>0.01</v>
      </c>
      <c r="Q17" s="14">
        <v>0.03</v>
      </c>
      <c r="R17" s="14">
        <v>0.01</v>
      </c>
      <c r="S17" s="14">
        <v>0.01</v>
      </c>
      <c r="T17" s="14">
        <v>0.01</v>
      </c>
      <c r="U17" s="14">
        <v>0.02</v>
      </c>
      <c r="V17" s="14">
        <v>0.01</v>
      </c>
      <c r="W17" s="14">
        <v>0.01</v>
      </c>
      <c r="X17" s="14">
        <v>0.02</v>
      </c>
      <c r="Y17" s="14">
        <v>0.01</v>
      </c>
      <c r="Z17" s="15" t="s">
        <v>485</v>
      </c>
      <c r="AA17" s="14">
        <v>0.01</v>
      </c>
      <c r="AB17" s="15" t="s">
        <v>485</v>
      </c>
      <c r="AC17" s="14">
        <v>0.01</v>
      </c>
      <c r="AD17" s="14">
        <v>0.01</v>
      </c>
      <c r="AE17" s="14">
        <v>0.02</v>
      </c>
      <c r="AF17" s="14">
        <v>0.04</v>
      </c>
    </row>
    <row r="18" spans="1:32" ht="45.75">
      <c r="A18" s="23"/>
      <c r="B18" s="11" t="s">
        <v>835</v>
      </c>
      <c r="C18" s="12">
        <v>345</v>
      </c>
      <c r="D18" s="12">
        <v>14</v>
      </c>
      <c r="E18" s="12">
        <v>3</v>
      </c>
      <c r="F18" s="12">
        <v>8</v>
      </c>
      <c r="G18" s="12">
        <v>9</v>
      </c>
      <c r="H18" s="12">
        <v>18</v>
      </c>
      <c r="I18" s="12">
        <v>21</v>
      </c>
      <c r="J18" s="12">
        <v>3</v>
      </c>
      <c r="K18" s="12">
        <v>2</v>
      </c>
      <c r="L18" s="12">
        <v>8</v>
      </c>
      <c r="M18" s="12">
        <v>41</v>
      </c>
      <c r="N18" s="12">
        <v>11</v>
      </c>
      <c r="O18" s="12">
        <v>16</v>
      </c>
      <c r="P18" s="12">
        <v>9</v>
      </c>
      <c r="Q18" s="12">
        <v>23</v>
      </c>
      <c r="R18" s="12">
        <v>5</v>
      </c>
      <c r="S18" s="12">
        <v>3</v>
      </c>
      <c r="T18" s="12">
        <v>7</v>
      </c>
      <c r="U18" s="12">
        <v>4</v>
      </c>
      <c r="V18" s="12">
        <v>3</v>
      </c>
      <c r="W18" s="12">
        <v>6</v>
      </c>
      <c r="X18" s="12">
        <v>8</v>
      </c>
      <c r="Y18" s="12">
        <v>11</v>
      </c>
      <c r="Z18" s="12">
        <v>6</v>
      </c>
      <c r="AA18" s="12">
        <v>10</v>
      </c>
      <c r="AB18" s="12">
        <v>6</v>
      </c>
      <c r="AC18" s="12">
        <v>7</v>
      </c>
      <c r="AD18" s="12">
        <v>5</v>
      </c>
      <c r="AE18" s="12">
        <v>7</v>
      </c>
      <c r="AF18" s="12">
        <v>10</v>
      </c>
    </row>
    <row r="19" spans="1:32" ht="34.5">
      <c r="A19" s="23"/>
      <c r="B19" s="13" t="s">
        <v>836</v>
      </c>
      <c r="C19" s="14">
        <v>0.03</v>
      </c>
      <c r="D19" s="14">
        <v>0.03</v>
      </c>
      <c r="E19" s="14">
        <v>0.01</v>
      </c>
      <c r="F19" s="14">
        <v>0.02</v>
      </c>
      <c r="G19" s="14">
        <v>0.02</v>
      </c>
      <c r="H19" s="14">
        <v>0.03</v>
      </c>
      <c r="I19" s="14">
        <v>0.03</v>
      </c>
      <c r="J19" s="14">
        <v>0.02</v>
      </c>
      <c r="K19" s="15" t="s">
        <v>485</v>
      </c>
      <c r="L19" s="14">
        <v>0.02</v>
      </c>
      <c r="M19" s="14">
        <v>0.09</v>
      </c>
      <c r="N19" s="14">
        <v>0.02</v>
      </c>
      <c r="O19" s="14">
        <v>0.03</v>
      </c>
      <c r="P19" s="14">
        <v>0.02</v>
      </c>
      <c r="Q19" s="14">
        <v>0.05</v>
      </c>
      <c r="R19" s="14">
        <v>0.03</v>
      </c>
      <c r="S19" s="14">
        <v>0.01</v>
      </c>
      <c r="T19" s="14">
        <v>0.02</v>
      </c>
      <c r="U19" s="14">
        <v>0.02</v>
      </c>
      <c r="V19" s="14">
        <v>0.01</v>
      </c>
      <c r="W19" s="14">
        <v>0.03</v>
      </c>
      <c r="X19" s="14">
        <v>0.02</v>
      </c>
      <c r="Y19" s="14">
        <v>0.03</v>
      </c>
      <c r="Z19" s="14">
        <v>0.02</v>
      </c>
      <c r="AA19" s="14">
        <v>0.02</v>
      </c>
      <c r="AB19" s="14">
        <v>0.01</v>
      </c>
      <c r="AC19" s="14">
        <v>0.02</v>
      </c>
      <c r="AD19" s="14">
        <v>0.01</v>
      </c>
      <c r="AE19" s="14">
        <v>0.02</v>
      </c>
      <c r="AF19" s="14">
        <v>0.02</v>
      </c>
    </row>
    <row r="20" spans="1:32" ht="34.5">
      <c r="A20" s="23"/>
      <c r="B20" s="11" t="s">
        <v>837</v>
      </c>
      <c r="C20" s="12">
        <v>189</v>
      </c>
      <c r="D20" s="12">
        <v>9</v>
      </c>
      <c r="E20" s="12">
        <v>9</v>
      </c>
      <c r="F20" s="12">
        <v>7</v>
      </c>
      <c r="G20" s="12">
        <v>11</v>
      </c>
      <c r="H20" s="12">
        <v>17</v>
      </c>
      <c r="I20" s="12">
        <v>19</v>
      </c>
      <c r="J20" s="12">
        <v>2</v>
      </c>
      <c r="K20" s="12">
        <v>13</v>
      </c>
      <c r="L20" s="12">
        <v>5</v>
      </c>
      <c r="M20" s="12">
        <v>3</v>
      </c>
      <c r="N20" s="12">
        <v>13</v>
      </c>
      <c r="O20" s="12">
        <v>3</v>
      </c>
      <c r="P20" s="12">
        <v>5</v>
      </c>
      <c r="Q20" s="12">
        <v>2</v>
      </c>
      <c r="R20" s="12">
        <v>4</v>
      </c>
      <c r="S20" s="12">
        <v>5</v>
      </c>
      <c r="T20" s="12">
        <v>2</v>
      </c>
      <c r="U20" s="12">
        <v>2</v>
      </c>
      <c r="V20" s="12">
        <v>8</v>
      </c>
      <c r="W20" s="12">
        <v>6</v>
      </c>
      <c r="X20" s="12">
        <v>12</v>
      </c>
      <c r="Y20" s="12">
        <v>8</v>
      </c>
      <c r="Z20" s="12">
        <v>3</v>
      </c>
      <c r="AA20" s="12">
        <v>2</v>
      </c>
      <c r="AB20" s="12">
        <v>1</v>
      </c>
      <c r="AC20" s="12">
        <v>13</v>
      </c>
      <c r="AD20" s="12">
        <v>1</v>
      </c>
      <c r="AE20" s="12">
        <v>24</v>
      </c>
      <c r="AF20" s="12">
        <v>8</v>
      </c>
    </row>
    <row r="21" spans="1:32" ht="34.5">
      <c r="A21" s="23"/>
      <c r="B21" s="13" t="s">
        <v>838</v>
      </c>
      <c r="C21" s="14">
        <v>0.02</v>
      </c>
      <c r="D21" s="14">
        <v>0.02</v>
      </c>
      <c r="E21" s="14">
        <v>0.02</v>
      </c>
      <c r="F21" s="14">
        <v>0.02</v>
      </c>
      <c r="G21" s="14">
        <v>0.02</v>
      </c>
      <c r="H21" s="14">
        <v>0.03</v>
      </c>
      <c r="I21" s="14">
        <v>0.03</v>
      </c>
      <c r="J21" s="14">
        <v>0.02</v>
      </c>
      <c r="K21" s="14">
        <v>0.03</v>
      </c>
      <c r="L21" s="14">
        <v>0.01</v>
      </c>
      <c r="M21" s="14">
        <v>0.01</v>
      </c>
      <c r="N21" s="14">
        <v>0.03</v>
      </c>
      <c r="O21" s="14">
        <v>0.01</v>
      </c>
      <c r="P21" s="14">
        <v>0.01</v>
      </c>
      <c r="Q21" s="14">
        <v>0.01</v>
      </c>
      <c r="R21" s="14">
        <v>0.02</v>
      </c>
      <c r="S21" s="14">
        <v>0.01</v>
      </c>
      <c r="T21" s="15" t="s">
        <v>485</v>
      </c>
      <c r="U21" s="14">
        <v>0.01</v>
      </c>
      <c r="V21" s="14">
        <v>0.02</v>
      </c>
      <c r="W21" s="14">
        <v>0.03</v>
      </c>
      <c r="X21" s="14">
        <v>0.03</v>
      </c>
      <c r="Y21" s="14">
        <v>0.02</v>
      </c>
      <c r="Z21" s="14">
        <v>0.01</v>
      </c>
      <c r="AA21" s="15" t="s">
        <v>485</v>
      </c>
      <c r="AB21" s="15" t="s">
        <v>485</v>
      </c>
      <c r="AC21" s="14">
        <v>0.03</v>
      </c>
      <c r="AD21" s="15" t="s">
        <v>485</v>
      </c>
      <c r="AE21" s="14">
        <v>0.05</v>
      </c>
      <c r="AF21" s="14">
        <v>0.02</v>
      </c>
    </row>
    <row r="22" spans="1:32" ht="45.75">
      <c r="A22" s="23"/>
      <c r="B22" s="11" t="s">
        <v>839</v>
      </c>
      <c r="C22" s="12">
        <v>222</v>
      </c>
      <c r="D22" s="12">
        <v>2</v>
      </c>
      <c r="E22" s="12">
        <v>7</v>
      </c>
      <c r="F22" s="12">
        <v>12</v>
      </c>
      <c r="G22" s="12">
        <v>7</v>
      </c>
      <c r="H22" s="12">
        <v>7</v>
      </c>
      <c r="I22" s="12">
        <v>9</v>
      </c>
      <c r="J22" s="12">
        <v>2</v>
      </c>
      <c r="K22" s="12">
        <v>30</v>
      </c>
      <c r="L22" s="12">
        <v>11</v>
      </c>
      <c r="M22" s="12">
        <v>3</v>
      </c>
      <c r="N22" s="12">
        <v>16</v>
      </c>
      <c r="O22" s="12">
        <v>5</v>
      </c>
      <c r="P22" s="12">
        <v>8</v>
      </c>
      <c r="Q22" s="12">
        <v>4</v>
      </c>
      <c r="R22" s="12">
        <v>4</v>
      </c>
      <c r="S22" s="12">
        <v>34</v>
      </c>
      <c r="T22" s="12">
        <v>25</v>
      </c>
      <c r="U22" s="12">
        <v>1</v>
      </c>
      <c r="V22" s="12">
        <v>12</v>
      </c>
      <c r="W22" s="12">
        <v>3</v>
      </c>
      <c r="X22" s="12">
        <v>22</v>
      </c>
      <c r="Y22" s="12">
        <v>2</v>
      </c>
      <c r="Z22" s="12">
        <v>8</v>
      </c>
      <c r="AA22" s="12">
        <v>3</v>
      </c>
      <c r="AB22" s="12">
        <v>8</v>
      </c>
      <c r="AC22" s="12">
        <v>12</v>
      </c>
      <c r="AD22" s="12">
        <v>6</v>
      </c>
      <c r="AE22" s="12">
        <v>22</v>
      </c>
      <c r="AF22" s="12">
        <v>30</v>
      </c>
    </row>
    <row r="23" spans="1:32" ht="45.75">
      <c r="A23" s="23"/>
      <c r="B23" s="13" t="s">
        <v>840</v>
      </c>
      <c r="C23" s="14">
        <v>0.02</v>
      </c>
      <c r="D23" s="15" t="s">
        <v>485</v>
      </c>
      <c r="E23" s="14">
        <v>0.02</v>
      </c>
      <c r="F23" s="14">
        <v>0.03</v>
      </c>
      <c r="G23" s="14">
        <v>0.02</v>
      </c>
      <c r="H23" s="14">
        <v>0.01</v>
      </c>
      <c r="I23" s="14">
        <v>0.01</v>
      </c>
      <c r="J23" s="14">
        <v>0.01</v>
      </c>
      <c r="K23" s="14">
        <v>7.0000000000000007E-2</v>
      </c>
      <c r="L23" s="14">
        <v>0.03</v>
      </c>
      <c r="M23" s="14">
        <v>0.01</v>
      </c>
      <c r="N23" s="14">
        <v>0.03</v>
      </c>
      <c r="O23" s="14">
        <v>0.01</v>
      </c>
      <c r="P23" s="14">
        <v>0.02</v>
      </c>
      <c r="Q23" s="14">
        <v>0.01</v>
      </c>
      <c r="R23" s="14">
        <v>0.02</v>
      </c>
      <c r="S23" s="14">
        <v>0.08</v>
      </c>
      <c r="T23" s="14">
        <v>0.05</v>
      </c>
      <c r="U23" s="15" t="s">
        <v>485</v>
      </c>
      <c r="V23" s="14">
        <v>0.03</v>
      </c>
      <c r="W23" s="14">
        <v>0.02</v>
      </c>
      <c r="X23" s="14">
        <v>0.05</v>
      </c>
      <c r="Y23" s="15" t="s">
        <v>485</v>
      </c>
      <c r="Z23" s="14">
        <v>0.02</v>
      </c>
      <c r="AA23" s="14">
        <v>0.01</v>
      </c>
      <c r="AB23" s="14">
        <v>0.02</v>
      </c>
      <c r="AC23" s="14">
        <v>0.03</v>
      </c>
      <c r="AD23" s="14">
        <v>0.01</v>
      </c>
      <c r="AE23" s="14">
        <v>0.05</v>
      </c>
      <c r="AF23" s="14">
        <v>7.0000000000000007E-2</v>
      </c>
    </row>
    <row r="24" spans="1:32" ht="45.75">
      <c r="A24" s="23"/>
      <c r="B24" s="11" t="s">
        <v>841</v>
      </c>
      <c r="C24" s="12">
        <v>247</v>
      </c>
      <c r="D24" s="12">
        <v>14</v>
      </c>
      <c r="E24" s="12">
        <v>1</v>
      </c>
      <c r="F24" s="12">
        <v>4</v>
      </c>
      <c r="G24" s="12">
        <v>16</v>
      </c>
      <c r="H24" s="12">
        <v>16</v>
      </c>
      <c r="I24" s="12">
        <v>19</v>
      </c>
      <c r="J24" s="12">
        <v>4</v>
      </c>
      <c r="K24" s="12">
        <v>3</v>
      </c>
      <c r="L24" s="12">
        <v>8</v>
      </c>
      <c r="M24" s="12">
        <v>2</v>
      </c>
      <c r="N24" s="12">
        <v>1</v>
      </c>
      <c r="O24" s="12">
        <v>16</v>
      </c>
      <c r="P24" s="12">
        <v>6</v>
      </c>
      <c r="Q24" s="12">
        <v>10</v>
      </c>
      <c r="R24" s="12">
        <v>6</v>
      </c>
      <c r="S24" s="12">
        <v>6</v>
      </c>
      <c r="T24" s="12">
        <v>6</v>
      </c>
      <c r="U24" s="12">
        <v>15</v>
      </c>
      <c r="V24" s="12">
        <v>2</v>
      </c>
      <c r="W24" s="12">
        <v>9</v>
      </c>
      <c r="X24" s="12">
        <v>28</v>
      </c>
      <c r="Y24" s="12">
        <v>14</v>
      </c>
      <c r="Z24" s="12">
        <v>3</v>
      </c>
      <c r="AA24" s="12">
        <v>2</v>
      </c>
      <c r="AB24" s="12">
        <v>0</v>
      </c>
      <c r="AC24" s="12">
        <v>11</v>
      </c>
      <c r="AD24" s="12">
        <v>1</v>
      </c>
      <c r="AE24" s="12">
        <v>19</v>
      </c>
      <c r="AF24" s="12">
        <v>12</v>
      </c>
    </row>
    <row r="25" spans="1:32" ht="68.25">
      <c r="A25" s="23"/>
      <c r="B25" s="13" t="s">
        <v>842</v>
      </c>
      <c r="C25" s="14">
        <v>0.02</v>
      </c>
      <c r="D25" s="14">
        <v>0.03</v>
      </c>
      <c r="E25" s="15" t="s">
        <v>485</v>
      </c>
      <c r="F25" s="14">
        <v>0.01</v>
      </c>
      <c r="G25" s="14">
        <v>0.04</v>
      </c>
      <c r="H25" s="14">
        <v>0.03</v>
      </c>
      <c r="I25" s="14">
        <v>0.03</v>
      </c>
      <c r="J25" s="14">
        <v>0.03</v>
      </c>
      <c r="K25" s="14">
        <v>0.01</v>
      </c>
      <c r="L25" s="14">
        <v>0.02</v>
      </c>
      <c r="M25" s="14">
        <v>0.01</v>
      </c>
      <c r="N25" s="15" t="s">
        <v>485</v>
      </c>
      <c r="O25" s="14">
        <v>0.03</v>
      </c>
      <c r="P25" s="14">
        <v>0.02</v>
      </c>
      <c r="Q25" s="14">
        <v>0.02</v>
      </c>
      <c r="R25" s="14">
        <v>0.03</v>
      </c>
      <c r="S25" s="14">
        <v>0.01</v>
      </c>
      <c r="T25" s="14">
        <v>0.01</v>
      </c>
      <c r="U25" s="14">
        <v>7.0000000000000007E-2</v>
      </c>
      <c r="V25" s="14">
        <v>0.01</v>
      </c>
      <c r="W25" s="14">
        <v>0.04</v>
      </c>
      <c r="X25" s="14">
        <v>0.06</v>
      </c>
      <c r="Y25" s="14">
        <v>0.03</v>
      </c>
      <c r="Z25" s="14">
        <v>0.01</v>
      </c>
      <c r="AA25" s="15" t="s">
        <v>485</v>
      </c>
      <c r="AB25" s="15" t="s">
        <v>485</v>
      </c>
      <c r="AC25" s="14">
        <v>0.02</v>
      </c>
      <c r="AD25" s="15" t="s">
        <v>485</v>
      </c>
      <c r="AE25" s="14">
        <v>0.04</v>
      </c>
      <c r="AF25" s="14">
        <v>0.03</v>
      </c>
    </row>
    <row r="26" spans="1:32" ht="45.75">
      <c r="A26" s="23"/>
      <c r="B26" s="11" t="s">
        <v>843</v>
      </c>
      <c r="C26" s="12">
        <v>1096</v>
      </c>
      <c r="D26" s="12">
        <v>67</v>
      </c>
      <c r="E26" s="12">
        <v>30</v>
      </c>
      <c r="F26" s="12">
        <v>29</v>
      </c>
      <c r="G26" s="12">
        <v>83</v>
      </c>
      <c r="H26" s="12">
        <v>74</v>
      </c>
      <c r="I26" s="12">
        <v>89</v>
      </c>
      <c r="J26" s="12">
        <v>15</v>
      </c>
      <c r="K26" s="12">
        <v>31</v>
      </c>
      <c r="L26" s="12">
        <v>23</v>
      </c>
      <c r="M26" s="12">
        <v>18</v>
      </c>
      <c r="N26" s="12">
        <v>17</v>
      </c>
      <c r="O26" s="12">
        <v>73</v>
      </c>
      <c r="P26" s="12">
        <v>20</v>
      </c>
      <c r="Q26" s="12">
        <v>14</v>
      </c>
      <c r="R26" s="12">
        <v>12</v>
      </c>
      <c r="S26" s="12">
        <v>40</v>
      </c>
      <c r="T26" s="12">
        <v>30</v>
      </c>
      <c r="U26" s="12">
        <v>38</v>
      </c>
      <c r="V26" s="12">
        <v>16</v>
      </c>
      <c r="W26" s="12">
        <v>7</v>
      </c>
      <c r="X26" s="12">
        <v>104</v>
      </c>
      <c r="Y26" s="12">
        <v>33</v>
      </c>
      <c r="Z26" s="12">
        <v>15</v>
      </c>
      <c r="AA26" s="12">
        <v>14</v>
      </c>
      <c r="AB26" s="12">
        <v>3</v>
      </c>
      <c r="AC26" s="12">
        <v>56</v>
      </c>
      <c r="AD26" s="12">
        <v>34</v>
      </c>
      <c r="AE26" s="12">
        <v>83</v>
      </c>
      <c r="AF26" s="12">
        <v>99</v>
      </c>
    </row>
    <row r="27" spans="1:32" ht="57">
      <c r="A27" s="23"/>
      <c r="B27" s="13" t="s">
        <v>844</v>
      </c>
      <c r="C27" s="14">
        <v>0.09</v>
      </c>
      <c r="D27" s="14">
        <v>0.13</v>
      </c>
      <c r="E27" s="14">
        <v>7.0000000000000007E-2</v>
      </c>
      <c r="F27" s="14">
        <v>7.0000000000000007E-2</v>
      </c>
      <c r="G27" s="14">
        <v>0.19</v>
      </c>
      <c r="H27" s="14">
        <v>0.13</v>
      </c>
      <c r="I27" s="14">
        <v>0.13</v>
      </c>
      <c r="J27" s="14">
        <v>0.12</v>
      </c>
      <c r="K27" s="14">
        <v>0.08</v>
      </c>
      <c r="L27" s="14">
        <v>0.05</v>
      </c>
      <c r="M27" s="14">
        <v>0.04</v>
      </c>
      <c r="N27" s="14">
        <v>0.04</v>
      </c>
      <c r="O27" s="14">
        <v>0.14000000000000001</v>
      </c>
      <c r="P27" s="14">
        <v>0.05</v>
      </c>
      <c r="Q27" s="14">
        <v>0.03</v>
      </c>
      <c r="R27" s="14">
        <v>0.06</v>
      </c>
      <c r="S27" s="14">
        <v>0.09</v>
      </c>
      <c r="T27" s="14">
        <v>0.06</v>
      </c>
      <c r="U27" s="14">
        <v>0.17</v>
      </c>
      <c r="V27" s="14">
        <v>0.04</v>
      </c>
      <c r="W27" s="14">
        <v>0.03</v>
      </c>
      <c r="X27" s="14">
        <v>0.23</v>
      </c>
      <c r="Y27" s="14">
        <v>0.08</v>
      </c>
      <c r="Z27" s="14">
        <v>0.04</v>
      </c>
      <c r="AA27" s="14">
        <v>0.03</v>
      </c>
      <c r="AB27" s="14">
        <v>0.01</v>
      </c>
      <c r="AC27" s="14">
        <v>0.12</v>
      </c>
      <c r="AD27" s="14">
        <v>0.08</v>
      </c>
      <c r="AE27" s="14">
        <v>0.18</v>
      </c>
      <c r="AF27" s="14">
        <v>0.24</v>
      </c>
    </row>
    <row r="28" spans="1:32" ht="34.5">
      <c r="A28" s="23"/>
      <c r="B28" s="11" t="s">
        <v>845</v>
      </c>
      <c r="C28" s="12">
        <v>1299</v>
      </c>
      <c r="D28" s="12">
        <v>65</v>
      </c>
      <c r="E28" s="12">
        <v>47</v>
      </c>
      <c r="F28" s="12">
        <v>73</v>
      </c>
      <c r="G28" s="12">
        <v>51</v>
      </c>
      <c r="H28" s="12">
        <v>78</v>
      </c>
      <c r="I28" s="12">
        <v>88</v>
      </c>
      <c r="J28" s="12">
        <v>11</v>
      </c>
      <c r="K28" s="12">
        <v>33</v>
      </c>
      <c r="L28" s="12">
        <v>57</v>
      </c>
      <c r="M28" s="12">
        <v>32</v>
      </c>
      <c r="N28" s="12">
        <v>24</v>
      </c>
      <c r="O28" s="12">
        <v>66</v>
      </c>
      <c r="P28" s="12">
        <v>65</v>
      </c>
      <c r="Q28" s="12">
        <v>56</v>
      </c>
      <c r="R28" s="12">
        <v>17</v>
      </c>
      <c r="S28" s="12">
        <v>31</v>
      </c>
      <c r="T28" s="12">
        <v>19</v>
      </c>
      <c r="U28" s="12">
        <v>44</v>
      </c>
      <c r="V28" s="12">
        <v>44</v>
      </c>
      <c r="W28" s="12">
        <v>15</v>
      </c>
      <c r="X28" s="12">
        <v>87</v>
      </c>
      <c r="Y28" s="12">
        <v>50</v>
      </c>
      <c r="Z28" s="12">
        <v>21</v>
      </c>
      <c r="AA28" s="12">
        <v>24</v>
      </c>
      <c r="AB28" s="12">
        <v>16</v>
      </c>
      <c r="AC28" s="12">
        <v>48</v>
      </c>
      <c r="AD28" s="12">
        <v>58</v>
      </c>
      <c r="AE28" s="12">
        <v>67</v>
      </c>
      <c r="AF28" s="12">
        <v>61</v>
      </c>
    </row>
    <row r="29" spans="1:32" ht="23.25">
      <c r="A29" s="23"/>
      <c r="B29" s="13" t="s">
        <v>846</v>
      </c>
      <c r="C29" s="14">
        <v>0.11</v>
      </c>
      <c r="D29" s="14">
        <v>0.13</v>
      </c>
      <c r="E29" s="14">
        <v>0.1</v>
      </c>
      <c r="F29" s="14">
        <v>0.18</v>
      </c>
      <c r="G29" s="14">
        <v>0.12</v>
      </c>
      <c r="H29" s="14">
        <v>0.13</v>
      </c>
      <c r="I29" s="14">
        <v>0.12</v>
      </c>
      <c r="J29" s="14">
        <v>0.09</v>
      </c>
      <c r="K29" s="14">
        <v>0.08</v>
      </c>
      <c r="L29" s="14">
        <v>0.14000000000000001</v>
      </c>
      <c r="M29" s="14">
        <v>7.0000000000000007E-2</v>
      </c>
      <c r="N29" s="14">
        <v>0.05</v>
      </c>
      <c r="O29" s="14">
        <v>0.13</v>
      </c>
      <c r="P29" s="14">
        <v>0.15</v>
      </c>
      <c r="Q29" s="14">
        <v>0.12</v>
      </c>
      <c r="R29" s="14">
        <v>0.08</v>
      </c>
      <c r="S29" s="14">
        <v>7.0000000000000007E-2</v>
      </c>
      <c r="T29" s="14">
        <v>0.04</v>
      </c>
      <c r="U29" s="14">
        <v>0.2</v>
      </c>
      <c r="V29" s="14">
        <v>0.12</v>
      </c>
      <c r="W29" s="14">
        <v>7.0000000000000007E-2</v>
      </c>
      <c r="X29" s="14">
        <v>0.2</v>
      </c>
      <c r="Y29" s="14">
        <v>0.12</v>
      </c>
      <c r="Z29" s="14">
        <v>0.05</v>
      </c>
      <c r="AA29" s="14">
        <v>0.06</v>
      </c>
      <c r="AB29" s="14">
        <v>0.04</v>
      </c>
      <c r="AC29" s="14">
        <v>0.11</v>
      </c>
      <c r="AD29" s="14">
        <v>0.14000000000000001</v>
      </c>
      <c r="AE29" s="14">
        <v>0.14000000000000001</v>
      </c>
      <c r="AF29" s="14">
        <v>0.15</v>
      </c>
    </row>
    <row r="30" spans="1:32" ht="57">
      <c r="A30" s="23"/>
      <c r="B30" s="11" t="s">
        <v>847</v>
      </c>
      <c r="C30" s="12">
        <v>488</v>
      </c>
      <c r="D30" s="12">
        <v>18</v>
      </c>
      <c r="E30" s="12">
        <v>22</v>
      </c>
      <c r="F30" s="12">
        <v>19</v>
      </c>
      <c r="G30" s="12">
        <v>9</v>
      </c>
      <c r="H30" s="12">
        <v>19</v>
      </c>
      <c r="I30" s="12">
        <v>23</v>
      </c>
      <c r="J30" s="12">
        <v>4</v>
      </c>
      <c r="K30" s="12">
        <v>21</v>
      </c>
      <c r="L30" s="12">
        <v>15</v>
      </c>
      <c r="M30" s="12">
        <v>45</v>
      </c>
      <c r="N30" s="12">
        <v>22</v>
      </c>
      <c r="O30" s="12">
        <v>24</v>
      </c>
      <c r="P30" s="12">
        <v>9</v>
      </c>
      <c r="Q30" s="12">
        <v>16</v>
      </c>
      <c r="R30" s="12">
        <v>29</v>
      </c>
      <c r="S30" s="12">
        <v>28</v>
      </c>
      <c r="T30" s="12">
        <v>30</v>
      </c>
      <c r="U30" s="12">
        <v>10</v>
      </c>
      <c r="V30" s="12">
        <v>13</v>
      </c>
      <c r="W30" s="12">
        <v>15</v>
      </c>
      <c r="X30" s="12">
        <v>7</v>
      </c>
      <c r="Y30" s="12">
        <v>10</v>
      </c>
      <c r="Z30" s="12">
        <v>24</v>
      </c>
      <c r="AA30" s="12">
        <v>14</v>
      </c>
      <c r="AB30" s="12">
        <v>11</v>
      </c>
      <c r="AC30" s="12">
        <v>24</v>
      </c>
      <c r="AD30" s="12">
        <v>10</v>
      </c>
      <c r="AE30" s="12">
        <v>9</v>
      </c>
      <c r="AF30" s="12">
        <v>29</v>
      </c>
    </row>
    <row r="31" spans="1:32" ht="34.5">
      <c r="A31" s="23"/>
      <c r="B31" s="13" t="s">
        <v>848</v>
      </c>
      <c r="C31" s="14">
        <v>0.04</v>
      </c>
      <c r="D31" s="14">
        <v>0.04</v>
      </c>
      <c r="E31" s="14">
        <v>0.05</v>
      </c>
      <c r="F31" s="14">
        <v>0.05</v>
      </c>
      <c r="G31" s="14">
        <v>0.02</v>
      </c>
      <c r="H31" s="14">
        <v>0.03</v>
      </c>
      <c r="I31" s="14">
        <v>0.03</v>
      </c>
      <c r="J31" s="14">
        <v>0.03</v>
      </c>
      <c r="K31" s="14">
        <v>0.05</v>
      </c>
      <c r="L31" s="14">
        <v>0.04</v>
      </c>
      <c r="M31" s="14">
        <v>0.1</v>
      </c>
      <c r="N31" s="14">
        <v>0.05</v>
      </c>
      <c r="O31" s="14">
        <v>0.05</v>
      </c>
      <c r="P31" s="14">
        <v>0.02</v>
      </c>
      <c r="Q31" s="14">
        <v>0.03</v>
      </c>
      <c r="R31" s="14">
        <v>0.14000000000000001</v>
      </c>
      <c r="S31" s="14">
        <v>0.06</v>
      </c>
      <c r="T31" s="14">
        <v>0.06</v>
      </c>
      <c r="U31" s="14">
        <v>0.04</v>
      </c>
      <c r="V31" s="14">
        <v>0.04</v>
      </c>
      <c r="W31" s="14">
        <v>0.08</v>
      </c>
      <c r="X31" s="14">
        <v>0.01</v>
      </c>
      <c r="Y31" s="14">
        <v>0.03</v>
      </c>
      <c r="Z31" s="14">
        <v>0.06</v>
      </c>
      <c r="AA31" s="14">
        <v>0.03</v>
      </c>
      <c r="AB31" s="14">
        <v>0.03</v>
      </c>
      <c r="AC31" s="14">
        <v>0.05</v>
      </c>
      <c r="AD31" s="14">
        <v>0.02</v>
      </c>
      <c r="AE31" s="14">
        <v>0.02</v>
      </c>
      <c r="AF31" s="14">
        <v>7.0000000000000007E-2</v>
      </c>
    </row>
    <row r="32" spans="1:32" ht="68.25">
      <c r="A32" s="23"/>
      <c r="B32" s="11" t="s">
        <v>849</v>
      </c>
      <c r="C32" s="12">
        <v>1185</v>
      </c>
      <c r="D32" s="12">
        <v>75</v>
      </c>
      <c r="E32" s="12">
        <v>45</v>
      </c>
      <c r="F32" s="12">
        <v>34</v>
      </c>
      <c r="G32" s="12">
        <v>67</v>
      </c>
      <c r="H32" s="12">
        <v>51</v>
      </c>
      <c r="I32" s="12">
        <v>61</v>
      </c>
      <c r="J32" s="12">
        <v>10</v>
      </c>
      <c r="K32" s="12">
        <v>46</v>
      </c>
      <c r="L32" s="12">
        <v>54</v>
      </c>
      <c r="M32" s="12">
        <v>40</v>
      </c>
      <c r="N32" s="12">
        <v>40</v>
      </c>
      <c r="O32" s="12">
        <v>81</v>
      </c>
      <c r="P32" s="12">
        <v>68</v>
      </c>
      <c r="Q32" s="12">
        <v>16</v>
      </c>
      <c r="R32" s="12">
        <v>13</v>
      </c>
      <c r="S32" s="12">
        <v>81</v>
      </c>
      <c r="T32" s="12">
        <v>73</v>
      </c>
      <c r="U32" s="12">
        <v>24</v>
      </c>
      <c r="V32" s="12">
        <v>15</v>
      </c>
      <c r="W32" s="12">
        <v>15</v>
      </c>
      <c r="X32" s="12">
        <v>72</v>
      </c>
      <c r="Y32" s="12">
        <v>52</v>
      </c>
      <c r="Z32" s="12">
        <v>24</v>
      </c>
      <c r="AA32" s="12">
        <v>62</v>
      </c>
      <c r="AB32" s="12">
        <v>9</v>
      </c>
      <c r="AC32" s="12">
        <v>59</v>
      </c>
      <c r="AD32" s="12">
        <v>75</v>
      </c>
      <c r="AE32" s="12">
        <v>72</v>
      </c>
      <c r="AF32" s="12">
        <v>76</v>
      </c>
    </row>
    <row r="33" spans="1:32" ht="45.75">
      <c r="A33" s="23"/>
      <c r="B33" s="13" t="s">
        <v>850</v>
      </c>
      <c r="C33" s="14">
        <v>0.1</v>
      </c>
      <c r="D33" s="14">
        <v>0.15</v>
      </c>
      <c r="E33" s="14">
        <v>0.1</v>
      </c>
      <c r="F33" s="14">
        <v>0.08</v>
      </c>
      <c r="G33" s="14">
        <v>0.15</v>
      </c>
      <c r="H33" s="14">
        <v>0.09</v>
      </c>
      <c r="I33" s="14">
        <v>0.09</v>
      </c>
      <c r="J33" s="14">
        <v>0.08</v>
      </c>
      <c r="K33" s="14">
        <v>0.11</v>
      </c>
      <c r="L33" s="14">
        <v>0.13</v>
      </c>
      <c r="M33" s="14">
        <v>0.09</v>
      </c>
      <c r="N33" s="14">
        <v>0.09</v>
      </c>
      <c r="O33" s="14">
        <v>0.15</v>
      </c>
      <c r="P33" s="14">
        <v>0.16</v>
      </c>
      <c r="Q33" s="14">
        <v>0.04</v>
      </c>
      <c r="R33" s="14">
        <v>0.06</v>
      </c>
      <c r="S33" s="14">
        <v>0.18</v>
      </c>
      <c r="T33" s="14">
        <v>0.15</v>
      </c>
      <c r="U33" s="14">
        <v>0.11</v>
      </c>
      <c r="V33" s="14">
        <v>0.04</v>
      </c>
      <c r="W33" s="14">
        <v>7.0000000000000007E-2</v>
      </c>
      <c r="X33" s="14">
        <v>0.16</v>
      </c>
      <c r="Y33" s="14">
        <v>0.13</v>
      </c>
      <c r="Z33" s="14">
        <v>0.06</v>
      </c>
      <c r="AA33" s="14">
        <v>0.14000000000000001</v>
      </c>
      <c r="AB33" s="14">
        <v>0.02</v>
      </c>
      <c r="AC33" s="14">
        <v>0.13</v>
      </c>
      <c r="AD33" s="14">
        <v>0.17</v>
      </c>
      <c r="AE33" s="14">
        <v>0.16</v>
      </c>
      <c r="AF33" s="14">
        <v>0.18</v>
      </c>
    </row>
    <row r="34" spans="1:32" ht="23.25">
      <c r="A34" s="23"/>
      <c r="B34" s="11" t="s">
        <v>851</v>
      </c>
      <c r="C34" s="12">
        <v>338</v>
      </c>
      <c r="D34" s="12">
        <v>13</v>
      </c>
      <c r="E34" s="12">
        <v>11</v>
      </c>
      <c r="F34" s="12">
        <v>15</v>
      </c>
      <c r="G34" s="12">
        <v>4</v>
      </c>
      <c r="H34" s="12">
        <v>25</v>
      </c>
      <c r="I34" s="12">
        <v>29</v>
      </c>
      <c r="J34" s="12">
        <v>3</v>
      </c>
      <c r="K34" s="12">
        <v>20</v>
      </c>
      <c r="L34" s="12">
        <v>16</v>
      </c>
      <c r="M34" s="12">
        <v>5</v>
      </c>
      <c r="N34" s="12">
        <v>6</v>
      </c>
      <c r="O34" s="12">
        <v>16</v>
      </c>
      <c r="P34" s="12">
        <v>29</v>
      </c>
      <c r="Q34" s="12">
        <v>10</v>
      </c>
      <c r="R34" s="12">
        <v>2</v>
      </c>
      <c r="S34" s="12">
        <v>7</v>
      </c>
      <c r="T34" s="12">
        <v>20</v>
      </c>
      <c r="U34" s="12">
        <v>1</v>
      </c>
      <c r="V34" s="12">
        <v>18</v>
      </c>
      <c r="W34" s="12">
        <v>5</v>
      </c>
      <c r="X34" s="12">
        <v>9</v>
      </c>
      <c r="Y34" s="12">
        <v>12</v>
      </c>
      <c r="Z34" s="12">
        <v>10</v>
      </c>
      <c r="AA34" s="12">
        <v>8</v>
      </c>
      <c r="AB34" s="12">
        <v>20</v>
      </c>
      <c r="AC34" s="12">
        <v>11</v>
      </c>
      <c r="AD34" s="12">
        <v>11</v>
      </c>
      <c r="AE34" s="12">
        <v>11</v>
      </c>
      <c r="AF34" s="12">
        <v>6</v>
      </c>
    </row>
    <row r="35" spans="1:32" ht="23.25">
      <c r="A35" s="23"/>
      <c r="B35" s="13" t="s">
        <v>852</v>
      </c>
      <c r="C35" s="14">
        <v>0.03</v>
      </c>
      <c r="D35" s="14">
        <v>0.02</v>
      </c>
      <c r="E35" s="14">
        <v>0.02</v>
      </c>
      <c r="F35" s="14">
        <v>0.04</v>
      </c>
      <c r="G35" s="14">
        <v>0.01</v>
      </c>
      <c r="H35" s="14">
        <v>0.04</v>
      </c>
      <c r="I35" s="14">
        <v>0.04</v>
      </c>
      <c r="J35" s="14">
        <v>0.03</v>
      </c>
      <c r="K35" s="14">
        <v>0.05</v>
      </c>
      <c r="L35" s="14">
        <v>0.04</v>
      </c>
      <c r="M35" s="14">
        <v>0.01</v>
      </c>
      <c r="N35" s="14">
        <v>0.01</v>
      </c>
      <c r="O35" s="14">
        <v>0.03</v>
      </c>
      <c r="P35" s="14">
        <v>7.0000000000000007E-2</v>
      </c>
      <c r="Q35" s="14">
        <v>0.02</v>
      </c>
      <c r="R35" s="14">
        <v>0.01</v>
      </c>
      <c r="S35" s="14">
        <v>0.02</v>
      </c>
      <c r="T35" s="14">
        <v>0.04</v>
      </c>
      <c r="U35" s="14">
        <v>0.01</v>
      </c>
      <c r="V35" s="14">
        <v>0.05</v>
      </c>
      <c r="W35" s="14">
        <v>0.03</v>
      </c>
      <c r="X35" s="14">
        <v>0.02</v>
      </c>
      <c r="Y35" s="14">
        <v>0.03</v>
      </c>
      <c r="Z35" s="14">
        <v>0.03</v>
      </c>
      <c r="AA35" s="14">
        <v>0.02</v>
      </c>
      <c r="AB35" s="14">
        <v>0.05</v>
      </c>
      <c r="AC35" s="14">
        <v>0.02</v>
      </c>
      <c r="AD35" s="14">
        <v>0.03</v>
      </c>
      <c r="AE35" s="14">
        <v>0.02</v>
      </c>
      <c r="AF35" s="14">
        <v>0.01</v>
      </c>
    </row>
    <row r="36" spans="1:32">
      <c r="A36" s="23"/>
      <c r="B36" s="11" t="s">
        <v>853</v>
      </c>
      <c r="C36" s="12">
        <v>2302</v>
      </c>
      <c r="D36" s="12">
        <v>62</v>
      </c>
      <c r="E36" s="12">
        <v>113</v>
      </c>
      <c r="F36" s="12">
        <v>99</v>
      </c>
      <c r="G36" s="12">
        <v>53</v>
      </c>
      <c r="H36" s="12">
        <v>99</v>
      </c>
      <c r="I36" s="12">
        <v>127</v>
      </c>
      <c r="J36" s="12">
        <v>28</v>
      </c>
      <c r="K36" s="12">
        <v>100</v>
      </c>
      <c r="L36" s="12">
        <v>65</v>
      </c>
      <c r="M36" s="12">
        <v>56</v>
      </c>
      <c r="N36" s="12">
        <v>115</v>
      </c>
      <c r="O36" s="12">
        <v>82</v>
      </c>
      <c r="P36" s="12">
        <v>94</v>
      </c>
      <c r="Q36" s="12">
        <v>53</v>
      </c>
      <c r="R36" s="12">
        <v>24</v>
      </c>
      <c r="S36" s="12">
        <v>88</v>
      </c>
      <c r="T36" s="12">
        <v>112</v>
      </c>
      <c r="U36" s="12">
        <v>22</v>
      </c>
      <c r="V36" s="12">
        <v>100</v>
      </c>
      <c r="W36" s="12">
        <v>34</v>
      </c>
      <c r="X36" s="12">
        <v>28</v>
      </c>
      <c r="Y36" s="12">
        <v>65</v>
      </c>
      <c r="Z36" s="12">
        <v>160</v>
      </c>
      <c r="AA36" s="12">
        <v>98</v>
      </c>
      <c r="AB36" s="12">
        <v>164</v>
      </c>
      <c r="AC36" s="12">
        <v>87</v>
      </c>
      <c r="AD36" s="12">
        <v>101</v>
      </c>
      <c r="AE36" s="12">
        <v>68</v>
      </c>
      <c r="AF36" s="12">
        <v>26</v>
      </c>
    </row>
    <row r="37" spans="1:32" ht="23.25">
      <c r="A37" s="23"/>
      <c r="B37" s="13" t="s">
        <v>854</v>
      </c>
      <c r="C37" s="14">
        <v>0.19</v>
      </c>
      <c r="D37" s="14">
        <v>0.12</v>
      </c>
      <c r="E37" s="14">
        <v>0.24</v>
      </c>
      <c r="F37" s="14">
        <v>0.24</v>
      </c>
      <c r="G37" s="14">
        <v>0.12</v>
      </c>
      <c r="H37" s="14">
        <v>0.17</v>
      </c>
      <c r="I37" s="14">
        <v>0.18</v>
      </c>
      <c r="J37" s="14">
        <v>0.22</v>
      </c>
      <c r="K37" s="14">
        <v>0.24</v>
      </c>
      <c r="L37" s="14">
        <v>0.16</v>
      </c>
      <c r="M37" s="14">
        <v>0.13</v>
      </c>
      <c r="N37" s="14">
        <v>0.25</v>
      </c>
      <c r="O37" s="14">
        <v>0.16</v>
      </c>
      <c r="P37" s="14">
        <v>0.22</v>
      </c>
      <c r="Q37" s="14">
        <v>0.11</v>
      </c>
      <c r="R37" s="14">
        <v>0.12</v>
      </c>
      <c r="S37" s="14">
        <v>0.2</v>
      </c>
      <c r="T37" s="14">
        <v>0.24</v>
      </c>
      <c r="U37" s="14">
        <v>0.1</v>
      </c>
      <c r="V37" s="14">
        <v>0.28000000000000003</v>
      </c>
      <c r="W37" s="14">
        <v>0.17</v>
      </c>
      <c r="X37" s="14">
        <v>0.06</v>
      </c>
      <c r="Y37" s="14">
        <v>0.16</v>
      </c>
      <c r="Z37" s="14">
        <v>0.41</v>
      </c>
      <c r="AA37" s="14">
        <v>0.22</v>
      </c>
      <c r="AB37" s="14">
        <v>0.38</v>
      </c>
      <c r="AC37" s="14">
        <v>0.19</v>
      </c>
      <c r="AD37" s="14">
        <v>0.23</v>
      </c>
      <c r="AE37" s="14">
        <v>0.15</v>
      </c>
      <c r="AF37" s="14">
        <v>0.06</v>
      </c>
    </row>
    <row r="38" spans="1:32" ht="34.5">
      <c r="A38" s="23"/>
      <c r="B38" s="11" t="s">
        <v>855</v>
      </c>
      <c r="C38" s="12">
        <v>1342</v>
      </c>
      <c r="D38" s="12">
        <v>54</v>
      </c>
      <c r="E38" s="12">
        <v>97</v>
      </c>
      <c r="F38" s="12">
        <v>29</v>
      </c>
      <c r="G38" s="12">
        <v>91</v>
      </c>
      <c r="H38" s="12">
        <v>61</v>
      </c>
      <c r="I38" s="12">
        <v>76</v>
      </c>
      <c r="J38" s="12">
        <v>15</v>
      </c>
      <c r="K38" s="12">
        <v>48</v>
      </c>
      <c r="L38" s="12">
        <v>82</v>
      </c>
      <c r="M38" s="12">
        <v>49</v>
      </c>
      <c r="N38" s="12">
        <v>69</v>
      </c>
      <c r="O38" s="12">
        <v>38</v>
      </c>
      <c r="P38" s="12">
        <v>35</v>
      </c>
      <c r="Q38" s="12">
        <v>63</v>
      </c>
      <c r="R38" s="12">
        <v>23</v>
      </c>
      <c r="S38" s="12">
        <v>74</v>
      </c>
      <c r="T38" s="12">
        <v>75</v>
      </c>
      <c r="U38" s="12">
        <v>12</v>
      </c>
      <c r="V38" s="12">
        <v>56</v>
      </c>
      <c r="W38" s="12">
        <v>37</v>
      </c>
      <c r="X38" s="12">
        <v>27</v>
      </c>
      <c r="Y38" s="12">
        <v>64</v>
      </c>
      <c r="Z38" s="12">
        <v>13</v>
      </c>
      <c r="AA38" s="12">
        <v>88</v>
      </c>
      <c r="AB38" s="12">
        <v>85</v>
      </c>
      <c r="AC38" s="12">
        <v>58</v>
      </c>
      <c r="AD38" s="12">
        <v>44</v>
      </c>
      <c r="AE38" s="12">
        <v>41</v>
      </c>
      <c r="AF38" s="12">
        <v>23</v>
      </c>
    </row>
    <row r="39" spans="1:32" ht="34.5">
      <c r="A39" s="23"/>
      <c r="B39" s="13" t="s">
        <v>856</v>
      </c>
      <c r="C39" s="14">
        <v>0.11</v>
      </c>
      <c r="D39" s="14">
        <v>0.11</v>
      </c>
      <c r="E39" s="14">
        <v>0.21</v>
      </c>
      <c r="F39" s="14">
        <v>7.0000000000000007E-2</v>
      </c>
      <c r="G39" s="14">
        <v>0.21</v>
      </c>
      <c r="H39" s="14">
        <v>0.1</v>
      </c>
      <c r="I39" s="14">
        <v>0.11</v>
      </c>
      <c r="J39" s="14">
        <v>0.12</v>
      </c>
      <c r="K39" s="14">
        <v>0.12</v>
      </c>
      <c r="L39" s="14">
        <v>0.2</v>
      </c>
      <c r="M39" s="14">
        <v>0.11</v>
      </c>
      <c r="N39" s="14">
        <v>0.15</v>
      </c>
      <c r="O39" s="14">
        <v>7.0000000000000007E-2</v>
      </c>
      <c r="P39" s="14">
        <v>0.08</v>
      </c>
      <c r="Q39" s="14">
        <v>0.13</v>
      </c>
      <c r="R39" s="14">
        <v>0.12</v>
      </c>
      <c r="S39" s="14">
        <v>0.17</v>
      </c>
      <c r="T39" s="14">
        <v>0.16</v>
      </c>
      <c r="U39" s="14">
        <v>0.05</v>
      </c>
      <c r="V39" s="14">
        <v>0.15</v>
      </c>
      <c r="W39" s="14">
        <v>0.19</v>
      </c>
      <c r="X39" s="14">
        <v>0.06</v>
      </c>
      <c r="Y39" s="14">
        <v>0.16</v>
      </c>
      <c r="Z39" s="14">
        <v>0.03</v>
      </c>
      <c r="AA39" s="14">
        <v>0.2</v>
      </c>
      <c r="AB39" s="14">
        <v>0.2</v>
      </c>
      <c r="AC39" s="14">
        <v>0.13</v>
      </c>
      <c r="AD39" s="14">
        <v>0.1</v>
      </c>
      <c r="AE39" s="14">
        <v>0.09</v>
      </c>
      <c r="AF39" s="14">
        <v>0.06</v>
      </c>
    </row>
    <row r="40" spans="1:32" ht="34.5">
      <c r="A40" s="23"/>
      <c r="B40" s="11" t="s">
        <v>879</v>
      </c>
      <c r="C40" s="12">
        <v>2467</v>
      </c>
      <c r="D40" s="12">
        <v>107</v>
      </c>
      <c r="E40" s="12">
        <v>55</v>
      </c>
      <c r="F40" s="12">
        <v>70</v>
      </c>
      <c r="G40" s="12">
        <v>32</v>
      </c>
      <c r="H40" s="12">
        <v>109</v>
      </c>
      <c r="I40" s="12">
        <v>130</v>
      </c>
      <c r="J40" s="12">
        <v>21</v>
      </c>
      <c r="K40" s="12">
        <v>52</v>
      </c>
      <c r="L40" s="12">
        <v>52</v>
      </c>
      <c r="M40" s="12">
        <v>103</v>
      </c>
      <c r="N40" s="12">
        <v>114</v>
      </c>
      <c r="O40" s="12">
        <v>92</v>
      </c>
      <c r="P40" s="12">
        <v>64</v>
      </c>
      <c r="Q40" s="12">
        <v>174</v>
      </c>
      <c r="R40" s="12">
        <v>57</v>
      </c>
      <c r="S40" s="12">
        <v>37</v>
      </c>
      <c r="T40" s="12">
        <v>70</v>
      </c>
      <c r="U40" s="12">
        <v>42</v>
      </c>
      <c r="V40" s="12">
        <v>68</v>
      </c>
      <c r="W40" s="12">
        <v>43</v>
      </c>
      <c r="X40" s="12">
        <v>31</v>
      </c>
      <c r="Y40" s="12">
        <v>69</v>
      </c>
      <c r="Z40" s="12">
        <v>72</v>
      </c>
      <c r="AA40" s="12">
        <v>105</v>
      </c>
      <c r="AB40" s="12">
        <v>97</v>
      </c>
      <c r="AC40" s="12">
        <v>61</v>
      </c>
      <c r="AD40" s="12">
        <v>80</v>
      </c>
      <c r="AE40" s="12">
        <v>16</v>
      </c>
      <c r="AF40" s="12">
        <v>17</v>
      </c>
    </row>
    <row r="41" spans="1:32">
      <c r="A41" s="23"/>
      <c r="B41" s="13" t="s">
        <v>880</v>
      </c>
      <c r="C41" s="14">
        <v>0.21</v>
      </c>
      <c r="D41" s="14">
        <v>0.21</v>
      </c>
      <c r="E41" s="14">
        <v>0.12</v>
      </c>
      <c r="F41" s="14">
        <v>0.17</v>
      </c>
      <c r="G41" s="14">
        <v>7.0000000000000007E-2</v>
      </c>
      <c r="H41" s="14">
        <v>0.19</v>
      </c>
      <c r="I41" s="14">
        <v>0.18</v>
      </c>
      <c r="J41" s="14">
        <v>0.17</v>
      </c>
      <c r="K41" s="14">
        <v>0.13</v>
      </c>
      <c r="L41" s="14">
        <v>0.13</v>
      </c>
      <c r="M41" s="14">
        <v>0.23</v>
      </c>
      <c r="N41" s="14">
        <v>0.24</v>
      </c>
      <c r="O41" s="14">
        <v>0.18</v>
      </c>
      <c r="P41" s="14">
        <v>0.15</v>
      </c>
      <c r="Q41" s="14">
        <v>0.37</v>
      </c>
      <c r="R41" s="14">
        <v>0.28000000000000003</v>
      </c>
      <c r="S41" s="14">
        <v>0.08</v>
      </c>
      <c r="T41" s="14">
        <v>0.15</v>
      </c>
      <c r="U41" s="14">
        <v>0.19</v>
      </c>
      <c r="V41" s="14">
        <v>0.19</v>
      </c>
      <c r="W41" s="14">
        <v>0.22</v>
      </c>
      <c r="X41" s="14">
        <v>7.0000000000000007E-2</v>
      </c>
      <c r="Y41" s="14">
        <v>0.17</v>
      </c>
      <c r="Z41" s="14">
        <v>0.19</v>
      </c>
      <c r="AA41" s="14">
        <v>0.24</v>
      </c>
      <c r="AB41" s="14">
        <v>0.23</v>
      </c>
      <c r="AC41" s="14">
        <v>0.13</v>
      </c>
      <c r="AD41" s="14">
        <v>0.19</v>
      </c>
      <c r="AE41" s="14">
        <v>0.03</v>
      </c>
      <c r="AF41" s="14">
        <v>0.04</v>
      </c>
    </row>
  </sheetData>
  <mergeCells count="9">
    <mergeCell ref="H3:L3"/>
    <mergeCell ref="C8:AF8"/>
    <mergeCell ref="B3:F3"/>
    <mergeCell ref="B5:F5"/>
    <mergeCell ref="A10:A41"/>
    <mergeCell ref="H5:L5"/>
    <mergeCell ref="B10:B11"/>
    <mergeCell ref="H4:L4"/>
    <mergeCell ref="B4:F4"/>
  </mergeCells>
  <pageMargins left="0.75" right="0.75" top="1" bottom="1"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F17"/>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12" customHeight="1">
      <c r="B3" s="19" t="s">
        <v>107</v>
      </c>
      <c r="C3" s="19"/>
      <c r="D3" s="19"/>
      <c r="E3" s="19"/>
      <c r="F3" s="19"/>
      <c r="H3" s="19" t="s">
        <v>108</v>
      </c>
      <c r="I3" s="19"/>
      <c r="J3" s="19"/>
      <c r="K3" s="19"/>
      <c r="L3" s="19"/>
    </row>
    <row r="4" spans="1:32" ht="27" customHeight="1">
      <c r="B4" s="19"/>
      <c r="C4" s="19"/>
      <c r="D4" s="19"/>
      <c r="E4" s="19"/>
      <c r="F4" s="19"/>
      <c r="H4" s="19"/>
      <c r="I4" s="19"/>
      <c r="J4" s="19"/>
      <c r="K4" s="19"/>
      <c r="L4" s="19"/>
    </row>
    <row r="5" spans="1:32" ht="12" customHeight="1">
      <c r="B5" s="19" t="s">
        <v>877</v>
      </c>
      <c r="C5" s="19"/>
      <c r="D5" s="19"/>
      <c r="E5" s="19"/>
      <c r="F5" s="19"/>
      <c r="H5" s="19" t="s">
        <v>878</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HYPERLINK("#Content!A55","&lt;&lt;Back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11946</v>
      </c>
      <c r="D10" s="10">
        <v>508</v>
      </c>
      <c r="E10" s="10">
        <v>462</v>
      </c>
      <c r="F10" s="10">
        <v>406</v>
      </c>
      <c r="G10" s="10">
        <v>437</v>
      </c>
      <c r="H10" s="10">
        <v>587</v>
      </c>
      <c r="I10" s="10">
        <v>712</v>
      </c>
      <c r="J10" s="10">
        <v>124</v>
      </c>
      <c r="K10" s="10">
        <v>409</v>
      </c>
      <c r="L10" s="10">
        <v>408</v>
      </c>
      <c r="M10" s="10">
        <v>447</v>
      </c>
      <c r="N10" s="10">
        <v>469</v>
      </c>
      <c r="O10" s="10">
        <v>517</v>
      </c>
      <c r="P10" s="10">
        <v>424</v>
      </c>
      <c r="Q10" s="10">
        <v>468</v>
      </c>
      <c r="R10" s="10">
        <v>203</v>
      </c>
      <c r="S10" s="10">
        <v>441</v>
      </c>
      <c r="T10" s="10">
        <v>477</v>
      </c>
      <c r="U10" s="10">
        <v>222</v>
      </c>
      <c r="V10" s="10">
        <v>364</v>
      </c>
      <c r="W10" s="10">
        <v>199</v>
      </c>
      <c r="X10" s="10">
        <v>447</v>
      </c>
      <c r="Y10" s="10">
        <v>411</v>
      </c>
      <c r="Z10" s="10">
        <v>388</v>
      </c>
      <c r="AA10" s="10">
        <v>441</v>
      </c>
      <c r="AB10" s="10">
        <v>427</v>
      </c>
      <c r="AC10" s="10">
        <v>457</v>
      </c>
      <c r="AD10" s="10">
        <v>432</v>
      </c>
      <c r="AE10" s="10">
        <v>464</v>
      </c>
      <c r="AF10" s="10">
        <v>418</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857</v>
      </c>
      <c r="C12" s="12">
        <v>959</v>
      </c>
      <c r="D12" s="12">
        <v>33</v>
      </c>
      <c r="E12" s="12">
        <v>32</v>
      </c>
      <c r="F12" s="12">
        <v>23</v>
      </c>
      <c r="G12" s="12">
        <v>25</v>
      </c>
      <c r="H12" s="12">
        <v>49</v>
      </c>
      <c r="I12" s="12">
        <v>60</v>
      </c>
      <c r="J12" s="12">
        <v>11</v>
      </c>
      <c r="K12" s="12">
        <v>25</v>
      </c>
      <c r="L12" s="12">
        <v>25</v>
      </c>
      <c r="M12" s="12">
        <v>92</v>
      </c>
      <c r="N12" s="12">
        <v>45</v>
      </c>
      <c r="O12" s="12">
        <v>23</v>
      </c>
      <c r="P12" s="12">
        <v>26</v>
      </c>
      <c r="Q12" s="12">
        <v>52</v>
      </c>
      <c r="R12" s="12">
        <v>16</v>
      </c>
      <c r="S12" s="12">
        <v>14</v>
      </c>
      <c r="T12" s="12">
        <v>17</v>
      </c>
      <c r="U12" s="12">
        <v>14</v>
      </c>
      <c r="V12" s="12">
        <v>19</v>
      </c>
      <c r="W12" s="12">
        <v>17</v>
      </c>
      <c r="X12" s="12">
        <v>33</v>
      </c>
      <c r="Y12" s="12">
        <v>40</v>
      </c>
      <c r="Z12" s="12">
        <v>39</v>
      </c>
      <c r="AA12" s="12">
        <v>23</v>
      </c>
      <c r="AB12" s="12">
        <v>14</v>
      </c>
      <c r="AC12" s="12">
        <v>31</v>
      </c>
      <c r="AD12" s="12">
        <v>12</v>
      </c>
      <c r="AE12" s="12">
        <v>55</v>
      </c>
      <c r="AF12" s="12">
        <v>39</v>
      </c>
    </row>
    <row r="13" spans="1:32">
      <c r="A13" s="23"/>
      <c r="B13" s="13" t="s">
        <v>858</v>
      </c>
      <c r="C13" s="14">
        <v>0.08</v>
      </c>
      <c r="D13" s="14">
        <v>0.06</v>
      </c>
      <c r="E13" s="14">
        <v>7.0000000000000007E-2</v>
      </c>
      <c r="F13" s="14">
        <v>0.06</v>
      </c>
      <c r="G13" s="14">
        <v>0.06</v>
      </c>
      <c r="H13" s="14">
        <v>0.08</v>
      </c>
      <c r="I13" s="14">
        <v>0.09</v>
      </c>
      <c r="J13" s="14">
        <v>0.09</v>
      </c>
      <c r="K13" s="14">
        <v>0.06</v>
      </c>
      <c r="L13" s="14">
        <v>0.06</v>
      </c>
      <c r="M13" s="14">
        <v>0.21</v>
      </c>
      <c r="N13" s="14">
        <v>0.1</v>
      </c>
      <c r="O13" s="14">
        <v>0.05</v>
      </c>
      <c r="P13" s="14">
        <v>0.06</v>
      </c>
      <c r="Q13" s="14">
        <v>0.11</v>
      </c>
      <c r="R13" s="14">
        <v>0.08</v>
      </c>
      <c r="S13" s="14">
        <v>0.03</v>
      </c>
      <c r="T13" s="14">
        <v>0.03</v>
      </c>
      <c r="U13" s="14">
        <v>0.06</v>
      </c>
      <c r="V13" s="14">
        <v>0.05</v>
      </c>
      <c r="W13" s="14">
        <v>0.09</v>
      </c>
      <c r="X13" s="14">
        <v>7.0000000000000007E-2</v>
      </c>
      <c r="Y13" s="14">
        <v>0.1</v>
      </c>
      <c r="Z13" s="14">
        <v>0.1</v>
      </c>
      <c r="AA13" s="14">
        <v>0.05</v>
      </c>
      <c r="AB13" s="14">
        <v>0.03</v>
      </c>
      <c r="AC13" s="14">
        <v>7.0000000000000007E-2</v>
      </c>
      <c r="AD13" s="14">
        <v>0.03</v>
      </c>
      <c r="AE13" s="14">
        <v>0.12</v>
      </c>
      <c r="AF13" s="14">
        <v>0.1</v>
      </c>
    </row>
    <row r="14" spans="1:32">
      <c r="A14" s="23"/>
      <c r="B14" s="11" t="s">
        <v>859</v>
      </c>
      <c r="C14" s="12">
        <v>8519</v>
      </c>
      <c r="D14" s="12">
        <v>369</v>
      </c>
      <c r="E14" s="12">
        <v>374</v>
      </c>
      <c r="F14" s="12">
        <v>313</v>
      </c>
      <c r="G14" s="12">
        <v>380</v>
      </c>
      <c r="H14" s="12">
        <v>430</v>
      </c>
      <c r="I14" s="12">
        <v>522</v>
      </c>
      <c r="J14" s="12">
        <v>92</v>
      </c>
      <c r="K14" s="12">
        <v>332</v>
      </c>
      <c r="L14" s="12">
        <v>331</v>
      </c>
      <c r="M14" s="12">
        <v>251</v>
      </c>
      <c r="N14" s="12">
        <v>310</v>
      </c>
      <c r="O14" s="12">
        <v>401</v>
      </c>
      <c r="P14" s="12">
        <v>333</v>
      </c>
      <c r="Q14" s="12">
        <v>242</v>
      </c>
      <c r="R14" s="12">
        <v>130</v>
      </c>
      <c r="S14" s="12">
        <v>390</v>
      </c>
      <c r="T14" s="12">
        <v>391</v>
      </c>
      <c r="U14" s="12">
        <v>166</v>
      </c>
      <c r="V14" s="12">
        <v>277</v>
      </c>
      <c r="W14" s="12">
        <v>139</v>
      </c>
      <c r="X14" s="12">
        <v>383</v>
      </c>
      <c r="Y14" s="12">
        <v>302</v>
      </c>
      <c r="Z14" s="12">
        <v>277</v>
      </c>
      <c r="AA14" s="12">
        <v>313</v>
      </c>
      <c r="AB14" s="12">
        <v>317</v>
      </c>
      <c r="AC14" s="12">
        <v>365</v>
      </c>
      <c r="AD14" s="12">
        <v>339</v>
      </c>
      <c r="AE14" s="12">
        <v>393</v>
      </c>
      <c r="AF14" s="12">
        <v>361</v>
      </c>
    </row>
    <row r="15" spans="1:32">
      <c r="A15" s="23"/>
      <c r="B15" s="13" t="s">
        <v>860</v>
      </c>
      <c r="C15" s="14">
        <v>0.71</v>
      </c>
      <c r="D15" s="14">
        <v>0.73</v>
      </c>
      <c r="E15" s="14">
        <v>0.81</v>
      </c>
      <c r="F15" s="14">
        <v>0.77</v>
      </c>
      <c r="G15" s="14">
        <v>0.87</v>
      </c>
      <c r="H15" s="14">
        <v>0.73</v>
      </c>
      <c r="I15" s="14">
        <v>0.73</v>
      </c>
      <c r="J15" s="14">
        <v>0.74</v>
      </c>
      <c r="K15" s="14">
        <v>0.81</v>
      </c>
      <c r="L15" s="14">
        <v>0.81</v>
      </c>
      <c r="M15" s="14">
        <v>0.56000000000000005</v>
      </c>
      <c r="N15" s="14">
        <v>0.66</v>
      </c>
      <c r="O15" s="14">
        <v>0.77</v>
      </c>
      <c r="P15" s="14">
        <v>0.79</v>
      </c>
      <c r="Q15" s="14">
        <v>0.52</v>
      </c>
      <c r="R15" s="14">
        <v>0.64</v>
      </c>
      <c r="S15" s="14">
        <v>0.88</v>
      </c>
      <c r="T15" s="14">
        <v>0.82000000000000006</v>
      </c>
      <c r="U15" s="14">
        <v>0.75</v>
      </c>
      <c r="V15" s="14">
        <v>0.76</v>
      </c>
      <c r="W15" s="14">
        <v>0.70000000000000007</v>
      </c>
      <c r="X15" s="14">
        <v>0.86</v>
      </c>
      <c r="Y15" s="14">
        <v>0.73</v>
      </c>
      <c r="Z15" s="14">
        <v>0.71</v>
      </c>
      <c r="AA15" s="14">
        <v>0.71</v>
      </c>
      <c r="AB15" s="14">
        <v>0.74</v>
      </c>
      <c r="AC15" s="14">
        <v>0.8</v>
      </c>
      <c r="AD15" s="14">
        <v>0.78</v>
      </c>
      <c r="AE15" s="14">
        <v>0.85</v>
      </c>
      <c r="AF15" s="14">
        <v>0.86</v>
      </c>
    </row>
    <row r="16" spans="1:32">
      <c r="A16" s="23"/>
      <c r="B16" s="11" t="s">
        <v>861</v>
      </c>
      <c r="C16" s="12">
        <v>2467</v>
      </c>
      <c r="D16" s="12">
        <v>107</v>
      </c>
      <c r="E16" s="12">
        <v>55</v>
      </c>
      <c r="F16" s="12">
        <v>70</v>
      </c>
      <c r="G16" s="12">
        <v>32</v>
      </c>
      <c r="H16" s="12">
        <v>109</v>
      </c>
      <c r="I16" s="12">
        <v>130</v>
      </c>
      <c r="J16" s="12">
        <v>21</v>
      </c>
      <c r="K16" s="12">
        <v>52</v>
      </c>
      <c r="L16" s="12">
        <v>52</v>
      </c>
      <c r="M16" s="12">
        <v>103</v>
      </c>
      <c r="N16" s="12">
        <v>114</v>
      </c>
      <c r="O16" s="12">
        <v>92</v>
      </c>
      <c r="P16" s="12">
        <v>64</v>
      </c>
      <c r="Q16" s="12">
        <v>174</v>
      </c>
      <c r="R16" s="12">
        <v>57</v>
      </c>
      <c r="S16" s="12">
        <v>37</v>
      </c>
      <c r="T16" s="12">
        <v>70</v>
      </c>
      <c r="U16" s="12">
        <v>42</v>
      </c>
      <c r="V16" s="12">
        <v>68</v>
      </c>
      <c r="W16" s="12">
        <v>43</v>
      </c>
      <c r="X16" s="12">
        <v>31</v>
      </c>
      <c r="Y16" s="12">
        <v>69</v>
      </c>
      <c r="Z16" s="12">
        <v>72</v>
      </c>
      <c r="AA16" s="12">
        <v>105</v>
      </c>
      <c r="AB16" s="12">
        <v>97</v>
      </c>
      <c r="AC16" s="12">
        <v>61</v>
      </c>
      <c r="AD16" s="12">
        <v>80</v>
      </c>
      <c r="AE16" s="12">
        <v>16</v>
      </c>
      <c r="AF16" s="12">
        <v>17</v>
      </c>
    </row>
    <row r="17" spans="1:32">
      <c r="A17" s="23"/>
      <c r="B17" s="13" t="s">
        <v>862</v>
      </c>
      <c r="C17" s="14">
        <v>0.21</v>
      </c>
      <c r="D17" s="14">
        <v>0.21</v>
      </c>
      <c r="E17" s="14">
        <v>0.12</v>
      </c>
      <c r="F17" s="14">
        <v>0.17</v>
      </c>
      <c r="G17" s="14">
        <v>7.0000000000000007E-2</v>
      </c>
      <c r="H17" s="14">
        <v>0.19</v>
      </c>
      <c r="I17" s="14">
        <v>0.18</v>
      </c>
      <c r="J17" s="14">
        <v>0.17</v>
      </c>
      <c r="K17" s="14">
        <v>0.13</v>
      </c>
      <c r="L17" s="14">
        <v>0.13</v>
      </c>
      <c r="M17" s="14">
        <v>0.23</v>
      </c>
      <c r="N17" s="14">
        <v>0.24</v>
      </c>
      <c r="O17" s="14">
        <v>0.18</v>
      </c>
      <c r="P17" s="14">
        <v>0.15</v>
      </c>
      <c r="Q17" s="14">
        <v>0.37</v>
      </c>
      <c r="R17" s="14">
        <v>0.28000000000000003</v>
      </c>
      <c r="S17" s="14">
        <v>0.09</v>
      </c>
      <c r="T17" s="14">
        <v>0.15</v>
      </c>
      <c r="U17" s="14">
        <v>0.19</v>
      </c>
      <c r="V17" s="14">
        <v>0.19</v>
      </c>
      <c r="W17" s="14">
        <v>0.21</v>
      </c>
      <c r="X17" s="14">
        <v>7.0000000000000007E-2</v>
      </c>
      <c r="Y17" s="14">
        <v>0.17</v>
      </c>
      <c r="Z17" s="14">
        <v>0.19</v>
      </c>
      <c r="AA17" s="14">
        <v>0.24</v>
      </c>
      <c r="AB17" s="14">
        <v>0.23</v>
      </c>
      <c r="AC17" s="14">
        <v>0.13</v>
      </c>
      <c r="AD17" s="14">
        <v>0.19</v>
      </c>
      <c r="AE17" s="14">
        <v>0.03</v>
      </c>
      <c r="AF17" s="14">
        <v>0.04</v>
      </c>
    </row>
  </sheetData>
  <mergeCells count="9">
    <mergeCell ref="B10:B11"/>
    <mergeCell ref="A10:A17"/>
    <mergeCell ref="H4:L4"/>
    <mergeCell ref="B4:F4"/>
    <mergeCell ref="H3:L3"/>
    <mergeCell ref="C8:AF8"/>
    <mergeCell ref="B3:F3"/>
    <mergeCell ref="B5:F5"/>
    <mergeCell ref="H5:L5"/>
  </mergeCells>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AF53"/>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109</v>
      </c>
      <c r="C3" s="19"/>
      <c r="D3" s="19"/>
      <c r="E3" s="19"/>
      <c r="F3" s="19"/>
      <c r="H3" s="19" t="s">
        <v>110</v>
      </c>
      <c r="I3" s="19"/>
      <c r="J3" s="19"/>
      <c r="K3" s="19"/>
      <c r="L3" s="19"/>
    </row>
    <row r="4" spans="1:32" ht="27" customHeight="1">
      <c r="B4" s="19"/>
      <c r="C4" s="19"/>
      <c r="D4" s="19"/>
      <c r="E4" s="19"/>
      <c r="F4" s="19"/>
      <c r="H4" s="19"/>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HYPERLINK("#Content!A56","&lt;&lt;Back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90.75">
      <c r="A12" s="23"/>
      <c r="B12" s="11" t="s">
        <v>881</v>
      </c>
      <c r="C12" s="12">
        <v>14408</v>
      </c>
      <c r="D12" s="12">
        <v>498</v>
      </c>
      <c r="E12" s="12">
        <v>582</v>
      </c>
      <c r="F12" s="12">
        <v>601</v>
      </c>
      <c r="G12" s="12">
        <v>566</v>
      </c>
      <c r="H12" s="12">
        <v>623</v>
      </c>
      <c r="I12" s="12">
        <v>792</v>
      </c>
      <c r="J12" s="12">
        <v>169</v>
      </c>
      <c r="K12" s="12">
        <v>595</v>
      </c>
      <c r="L12" s="12">
        <v>599</v>
      </c>
      <c r="M12" s="12">
        <v>564</v>
      </c>
      <c r="N12" s="12">
        <v>531</v>
      </c>
      <c r="O12" s="12">
        <v>489</v>
      </c>
      <c r="P12" s="12">
        <v>587</v>
      </c>
      <c r="Q12" s="12">
        <v>556</v>
      </c>
      <c r="R12" s="12">
        <v>299</v>
      </c>
      <c r="S12" s="12">
        <v>564</v>
      </c>
      <c r="T12" s="12">
        <v>527</v>
      </c>
      <c r="U12" s="12">
        <v>281</v>
      </c>
      <c r="V12" s="12">
        <v>647</v>
      </c>
      <c r="W12" s="12">
        <v>304</v>
      </c>
      <c r="X12" s="12">
        <v>569</v>
      </c>
      <c r="Y12" s="12">
        <v>596</v>
      </c>
      <c r="Z12" s="12">
        <v>629</v>
      </c>
      <c r="AA12" s="12">
        <v>599</v>
      </c>
      <c r="AB12" s="12">
        <v>604</v>
      </c>
      <c r="AC12" s="12">
        <v>548</v>
      </c>
      <c r="AD12" s="12">
        <v>570</v>
      </c>
      <c r="AE12" s="12">
        <v>544</v>
      </c>
      <c r="AF12" s="12">
        <v>655</v>
      </c>
    </row>
    <row r="13" spans="1:32" ht="57">
      <c r="A13" s="23"/>
      <c r="B13" s="13" t="s">
        <v>882</v>
      </c>
      <c r="C13" s="14">
        <v>0.55000000000000004</v>
      </c>
      <c r="D13" s="14">
        <v>0.5</v>
      </c>
      <c r="E13" s="14">
        <v>0.56000000000000005</v>
      </c>
      <c r="F13" s="14">
        <v>0.6</v>
      </c>
      <c r="G13" s="14">
        <v>0.56000000000000005</v>
      </c>
      <c r="H13" s="14">
        <v>0.51</v>
      </c>
      <c r="I13" s="14">
        <v>0.53</v>
      </c>
      <c r="J13" s="14">
        <v>0.57000000000000006</v>
      </c>
      <c r="K13" s="14">
        <v>0.59</v>
      </c>
      <c r="L13" s="14">
        <v>0.59</v>
      </c>
      <c r="M13" s="14">
        <v>0.56000000000000005</v>
      </c>
      <c r="N13" s="14">
        <v>0.53</v>
      </c>
      <c r="O13" s="14">
        <v>0.49</v>
      </c>
      <c r="P13" s="14">
        <v>0.57999999999999996</v>
      </c>
      <c r="Q13" s="14">
        <v>0.54</v>
      </c>
      <c r="R13" s="14">
        <v>0.59</v>
      </c>
      <c r="S13" s="14">
        <v>0.56000000000000005</v>
      </c>
      <c r="T13" s="14">
        <v>0.52</v>
      </c>
      <c r="U13" s="14">
        <v>0.56000000000000005</v>
      </c>
      <c r="V13" s="14">
        <v>0.64</v>
      </c>
      <c r="W13" s="14">
        <v>0.6</v>
      </c>
      <c r="X13" s="14">
        <v>0.56000000000000005</v>
      </c>
      <c r="Y13" s="14">
        <v>0.59</v>
      </c>
      <c r="Z13" s="14">
        <v>0.62</v>
      </c>
      <c r="AA13" s="14">
        <v>0.57999999999999996</v>
      </c>
      <c r="AB13" s="14">
        <v>0.59</v>
      </c>
      <c r="AC13" s="14">
        <v>0.55000000000000004</v>
      </c>
      <c r="AD13" s="14">
        <v>0.57000000000000006</v>
      </c>
      <c r="AE13" s="14">
        <v>0.54</v>
      </c>
      <c r="AF13" s="14">
        <v>0.61</v>
      </c>
    </row>
    <row r="14" spans="1:32" ht="34.5">
      <c r="A14" s="23"/>
      <c r="B14" s="11" t="s">
        <v>883</v>
      </c>
      <c r="C14" s="12">
        <v>6431</v>
      </c>
      <c r="D14" s="12">
        <v>225</v>
      </c>
      <c r="E14" s="12">
        <v>276</v>
      </c>
      <c r="F14" s="12">
        <v>242</v>
      </c>
      <c r="G14" s="12">
        <v>267</v>
      </c>
      <c r="H14" s="12">
        <v>322</v>
      </c>
      <c r="I14" s="12">
        <v>398</v>
      </c>
      <c r="J14" s="12">
        <v>75</v>
      </c>
      <c r="K14" s="12">
        <v>202</v>
      </c>
      <c r="L14" s="12">
        <v>198</v>
      </c>
      <c r="M14" s="12">
        <v>244</v>
      </c>
      <c r="N14" s="12">
        <v>210</v>
      </c>
      <c r="O14" s="12">
        <v>284</v>
      </c>
      <c r="P14" s="12">
        <v>258</v>
      </c>
      <c r="Q14" s="12">
        <v>223</v>
      </c>
      <c r="R14" s="12">
        <v>82</v>
      </c>
      <c r="S14" s="12">
        <v>232</v>
      </c>
      <c r="T14" s="12">
        <v>228</v>
      </c>
      <c r="U14" s="12">
        <v>117</v>
      </c>
      <c r="V14" s="12">
        <v>238</v>
      </c>
      <c r="W14" s="12">
        <v>97</v>
      </c>
      <c r="X14" s="12">
        <v>213</v>
      </c>
      <c r="Y14" s="12">
        <v>255</v>
      </c>
      <c r="Z14" s="12">
        <v>229</v>
      </c>
      <c r="AA14" s="12">
        <v>260</v>
      </c>
      <c r="AB14" s="12">
        <v>274</v>
      </c>
      <c r="AC14" s="12">
        <v>312</v>
      </c>
      <c r="AD14" s="12">
        <v>235</v>
      </c>
      <c r="AE14" s="12">
        <v>259</v>
      </c>
      <c r="AF14" s="12">
        <v>277</v>
      </c>
    </row>
    <row r="15" spans="1:32" ht="34.5">
      <c r="A15" s="23"/>
      <c r="B15" s="13" t="s">
        <v>884</v>
      </c>
      <c r="C15" s="14">
        <v>0.24</v>
      </c>
      <c r="D15" s="14">
        <v>0.22</v>
      </c>
      <c r="E15" s="14">
        <v>0.26</v>
      </c>
      <c r="F15" s="14">
        <v>0.24</v>
      </c>
      <c r="G15" s="14">
        <v>0.27</v>
      </c>
      <c r="H15" s="14">
        <v>0.27</v>
      </c>
      <c r="I15" s="14">
        <v>0.26</v>
      </c>
      <c r="J15" s="14">
        <v>0.26</v>
      </c>
      <c r="K15" s="14">
        <v>0.2</v>
      </c>
      <c r="L15" s="14">
        <v>0.2</v>
      </c>
      <c r="M15" s="14">
        <v>0.24</v>
      </c>
      <c r="N15" s="14">
        <v>0.21</v>
      </c>
      <c r="O15" s="14">
        <v>0.28000000000000003</v>
      </c>
      <c r="P15" s="14">
        <v>0.26</v>
      </c>
      <c r="Q15" s="14">
        <v>0.22</v>
      </c>
      <c r="R15" s="14">
        <v>0.16</v>
      </c>
      <c r="S15" s="14">
        <v>0.23</v>
      </c>
      <c r="T15" s="14">
        <v>0.23</v>
      </c>
      <c r="U15" s="14">
        <v>0.23</v>
      </c>
      <c r="V15" s="14">
        <v>0.24</v>
      </c>
      <c r="W15" s="14">
        <v>0.19</v>
      </c>
      <c r="X15" s="14">
        <v>0.21</v>
      </c>
      <c r="Y15" s="14">
        <v>0.25</v>
      </c>
      <c r="Z15" s="14">
        <v>0.23</v>
      </c>
      <c r="AA15" s="14">
        <v>0.25</v>
      </c>
      <c r="AB15" s="14">
        <v>0.27</v>
      </c>
      <c r="AC15" s="14">
        <v>0.31</v>
      </c>
      <c r="AD15" s="14">
        <v>0.23</v>
      </c>
      <c r="AE15" s="14">
        <v>0.26</v>
      </c>
      <c r="AF15" s="14">
        <v>0.26</v>
      </c>
    </row>
    <row r="16" spans="1:32" ht="102">
      <c r="A16" s="23"/>
      <c r="B16" s="11" t="s">
        <v>885</v>
      </c>
      <c r="C16" s="12">
        <v>907</v>
      </c>
      <c r="D16" s="12">
        <v>31</v>
      </c>
      <c r="E16" s="12">
        <v>38</v>
      </c>
      <c r="F16" s="12">
        <v>18</v>
      </c>
      <c r="G16" s="12">
        <v>35</v>
      </c>
      <c r="H16" s="12">
        <v>31</v>
      </c>
      <c r="I16" s="12">
        <v>39</v>
      </c>
      <c r="J16" s="12">
        <v>9</v>
      </c>
      <c r="K16" s="12">
        <v>42</v>
      </c>
      <c r="L16" s="12">
        <v>28</v>
      </c>
      <c r="M16" s="12">
        <v>43</v>
      </c>
      <c r="N16" s="12">
        <v>60</v>
      </c>
      <c r="O16" s="12">
        <v>57</v>
      </c>
      <c r="P16" s="12">
        <v>21</v>
      </c>
      <c r="Q16" s="12">
        <v>35</v>
      </c>
      <c r="R16" s="12">
        <v>13</v>
      </c>
      <c r="S16" s="12">
        <v>60</v>
      </c>
      <c r="T16" s="12">
        <v>46</v>
      </c>
      <c r="U16" s="12">
        <v>21</v>
      </c>
      <c r="V16" s="12">
        <v>6</v>
      </c>
      <c r="W16" s="12">
        <v>13</v>
      </c>
      <c r="X16" s="12">
        <v>32</v>
      </c>
      <c r="Y16" s="12">
        <v>25</v>
      </c>
      <c r="Z16" s="12">
        <v>11</v>
      </c>
      <c r="AA16" s="12">
        <v>33</v>
      </c>
      <c r="AB16" s="12">
        <v>12</v>
      </c>
      <c r="AC16" s="12">
        <v>13</v>
      </c>
      <c r="AD16" s="12">
        <v>21</v>
      </c>
      <c r="AE16" s="12">
        <v>46</v>
      </c>
      <c r="AF16" s="12">
        <v>31</v>
      </c>
    </row>
    <row r="17" spans="1:32" ht="68.25">
      <c r="A17" s="23"/>
      <c r="B17" s="13" t="s">
        <v>886</v>
      </c>
      <c r="C17" s="14">
        <v>0.03</v>
      </c>
      <c r="D17" s="14">
        <v>0.03</v>
      </c>
      <c r="E17" s="14">
        <v>0.04</v>
      </c>
      <c r="F17" s="14">
        <v>0.02</v>
      </c>
      <c r="G17" s="14">
        <v>0.04</v>
      </c>
      <c r="H17" s="14">
        <v>0.03</v>
      </c>
      <c r="I17" s="14">
        <v>0.03</v>
      </c>
      <c r="J17" s="14">
        <v>0.03</v>
      </c>
      <c r="K17" s="14">
        <v>0.04</v>
      </c>
      <c r="L17" s="14">
        <v>0.03</v>
      </c>
      <c r="M17" s="14">
        <v>0.04</v>
      </c>
      <c r="N17" s="14">
        <v>0.06</v>
      </c>
      <c r="O17" s="14">
        <v>0.06</v>
      </c>
      <c r="P17" s="14">
        <v>0.02</v>
      </c>
      <c r="Q17" s="14">
        <v>0.03</v>
      </c>
      <c r="R17" s="14">
        <v>0.03</v>
      </c>
      <c r="S17" s="14">
        <v>0.06</v>
      </c>
      <c r="T17" s="14">
        <v>0.05</v>
      </c>
      <c r="U17" s="14">
        <v>0.04</v>
      </c>
      <c r="V17" s="14">
        <v>0.01</v>
      </c>
      <c r="W17" s="14">
        <v>0.03</v>
      </c>
      <c r="X17" s="14">
        <v>0.03</v>
      </c>
      <c r="Y17" s="14">
        <v>0.02</v>
      </c>
      <c r="Z17" s="14">
        <v>0.01</v>
      </c>
      <c r="AA17" s="14">
        <v>0.03</v>
      </c>
      <c r="AB17" s="14">
        <v>0.01</v>
      </c>
      <c r="AC17" s="14">
        <v>0.01</v>
      </c>
      <c r="AD17" s="14">
        <v>0.02</v>
      </c>
      <c r="AE17" s="14">
        <v>0.05</v>
      </c>
      <c r="AF17" s="14">
        <v>0.03</v>
      </c>
    </row>
    <row r="18" spans="1:32" ht="315.75">
      <c r="A18" s="23"/>
      <c r="B18" s="11" t="s">
        <v>887</v>
      </c>
      <c r="C18" s="12">
        <v>553</v>
      </c>
      <c r="D18" s="12">
        <v>30</v>
      </c>
      <c r="E18" s="12">
        <v>33</v>
      </c>
      <c r="F18" s="12">
        <v>12</v>
      </c>
      <c r="G18" s="12">
        <v>12</v>
      </c>
      <c r="H18" s="12">
        <v>21</v>
      </c>
      <c r="I18" s="12">
        <v>26</v>
      </c>
      <c r="J18" s="12">
        <v>5</v>
      </c>
      <c r="K18" s="12">
        <v>26</v>
      </c>
      <c r="L18" s="12">
        <v>30</v>
      </c>
      <c r="M18" s="12">
        <v>17</v>
      </c>
      <c r="N18" s="12">
        <v>33</v>
      </c>
      <c r="O18" s="12">
        <v>21</v>
      </c>
      <c r="P18" s="12">
        <v>22</v>
      </c>
      <c r="Q18" s="12">
        <v>11</v>
      </c>
      <c r="R18" s="12">
        <v>16</v>
      </c>
      <c r="S18" s="12">
        <v>27</v>
      </c>
      <c r="T18" s="12">
        <v>25</v>
      </c>
      <c r="U18" s="12">
        <v>8</v>
      </c>
      <c r="V18" s="12">
        <v>18</v>
      </c>
      <c r="W18" s="12">
        <v>14</v>
      </c>
      <c r="X18" s="12">
        <v>28</v>
      </c>
      <c r="Y18" s="12">
        <v>21</v>
      </c>
      <c r="Z18" s="12">
        <v>30</v>
      </c>
      <c r="AA18" s="12">
        <v>16</v>
      </c>
      <c r="AB18" s="12">
        <v>22</v>
      </c>
      <c r="AC18" s="12">
        <v>7</v>
      </c>
      <c r="AD18" s="12">
        <v>26</v>
      </c>
      <c r="AE18" s="12">
        <v>25</v>
      </c>
      <c r="AF18" s="12">
        <v>16</v>
      </c>
    </row>
    <row r="19" spans="1:32" ht="192">
      <c r="A19" s="23"/>
      <c r="B19" s="13" t="s">
        <v>888</v>
      </c>
      <c r="C19" s="14">
        <v>0.02</v>
      </c>
      <c r="D19" s="14">
        <v>0.03</v>
      </c>
      <c r="E19" s="14">
        <v>0.03</v>
      </c>
      <c r="F19" s="14">
        <v>0.01</v>
      </c>
      <c r="G19" s="14">
        <v>0.01</v>
      </c>
      <c r="H19" s="14">
        <v>0.02</v>
      </c>
      <c r="I19" s="14">
        <v>0.02</v>
      </c>
      <c r="J19" s="14">
        <v>0.02</v>
      </c>
      <c r="K19" s="14">
        <v>0.03</v>
      </c>
      <c r="L19" s="14">
        <v>0.03</v>
      </c>
      <c r="M19" s="14">
        <v>0.02</v>
      </c>
      <c r="N19" s="14">
        <v>0.03</v>
      </c>
      <c r="O19" s="14">
        <v>0.02</v>
      </c>
      <c r="P19" s="14">
        <v>0.02</v>
      </c>
      <c r="Q19" s="14">
        <v>0.01</v>
      </c>
      <c r="R19" s="14">
        <v>0.03</v>
      </c>
      <c r="S19" s="14">
        <v>0.03</v>
      </c>
      <c r="T19" s="14">
        <v>0.02</v>
      </c>
      <c r="U19" s="14">
        <v>0.02</v>
      </c>
      <c r="V19" s="14">
        <v>0.02</v>
      </c>
      <c r="W19" s="14">
        <v>0.03</v>
      </c>
      <c r="X19" s="14">
        <v>0.03</v>
      </c>
      <c r="Y19" s="14">
        <v>0.02</v>
      </c>
      <c r="Z19" s="14">
        <v>0.03</v>
      </c>
      <c r="AA19" s="14">
        <v>0.02</v>
      </c>
      <c r="AB19" s="14">
        <v>0.02</v>
      </c>
      <c r="AC19" s="14">
        <v>0.01</v>
      </c>
      <c r="AD19" s="14">
        <v>0.03</v>
      </c>
      <c r="AE19" s="14">
        <v>0.02</v>
      </c>
      <c r="AF19" s="14">
        <v>0.02</v>
      </c>
    </row>
    <row r="20" spans="1:32" ht="158.25">
      <c r="A20" s="23"/>
      <c r="B20" s="11" t="s">
        <v>889</v>
      </c>
      <c r="C20" s="12">
        <v>455</v>
      </c>
      <c r="D20" s="12">
        <v>22</v>
      </c>
      <c r="E20" s="12">
        <v>13</v>
      </c>
      <c r="F20" s="12">
        <v>20</v>
      </c>
      <c r="G20" s="12">
        <v>8</v>
      </c>
      <c r="H20" s="12">
        <v>24</v>
      </c>
      <c r="I20" s="12">
        <v>29</v>
      </c>
      <c r="J20" s="12">
        <v>5</v>
      </c>
      <c r="K20" s="12">
        <v>14</v>
      </c>
      <c r="L20" s="12">
        <v>40</v>
      </c>
      <c r="M20" s="12">
        <v>22</v>
      </c>
      <c r="N20" s="12">
        <v>17</v>
      </c>
      <c r="O20" s="12">
        <v>23</v>
      </c>
      <c r="P20" s="12">
        <v>19</v>
      </c>
      <c r="Q20" s="12">
        <v>8</v>
      </c>
      <c r="R20" s="12">
        <v>20</v>
      </c>
      <c r="S20" s="12">
        <v>20</v>
      </c>
      <c r="T20" s="12">
        <v>20</v>
      </c>
      <c r="U20" s="12">
        <v>3</v>
      </c>
      <c r="V20" s="12">
        <v>9</v>
      </c>
      <c r="W20" s="12">
        <v>13</v>
      </c>
      <c r="X20" s="12">
        <v>29</v>
      </c>
      <c r="Y20" s="12">
        <v>16</v>
      </c>
      <c r="Z20" s="12">
        <v>21</v>
      </c>
      <c r="AA20" s="12">
        <v>9</v>
      </c>
      <c r="AB20" s="12">
        <v>10</v>
      </c>
      <c r="AC20" s="12">
        <v>5</v>
      </c>
      <c r="AD20" s="12">
        <v>13</v>
      </c>
      <c r="AE20" s="12">
        <v>8</v>
      </c>
      <c r="AF20" s="12">
        <v>8</v>
      </c>
    </row>
    <row r="21" spans="1:32" ht="102">
      <c r="A21" s="23"/>
      <c r="B21" s="13" t="s">
        <v>890</v>
      </c>
      <c r="C21" s="14">
        <v>0.02</v>
      </c>
      <c r="D21" s="14">
        <v>0.02</v>
      </c>
      <c r="E21" s="14">
        <v>0.01</v>
      </c>
      <c r="F21" s="14">
        <v>0.02</v>
      </c>
      <c r="G21" s="14">
        <v>0.01</v>
      </c>
      <c r="H21" s="14">
        <v>0.02</v>
      </c>
      <c r="I21" s="14">
        <v>0.02</v>
      </c>
      <c r="J21" s="14">
        <v>0.02</v>
      </c>
      <c r="K21" s="14">
        <v>0.02</v>
      </c>
      <c r="L21" s="14">
        <v>0.04</v>
      </c>
      <c r="M21" s="14">
        <v>0.02</v>
      </c>
      <c r="N21" s="14">
        <v>0.02</v>
      </c>
      <c r="O21" s="14">
        <v>0.02</v>
      </c>
      <c r="P21" s="14">
        <v>0.02</v>
      </c>
      <c r="Q21" s="14">
        <v>0.01</v>
      </c>
      <c r="R21" s="14">
        <v>0.04</v>
      </c>
      <c r="S21" s="14">
        <v>0.02</v>
      </c>
      <c r="T21" s="14">
        <v>0.02</v>
      </c>
      <c r="U21" s="14">
        <v>0.01</v>
      </c>
      <c r="V21" s="14">
        <v>0.01</v>
      </c>
      <c r="W21" s="14">
        <v>0.03</v>
      </c>
      <c r="X21" s="14">
        <v>0.03</v>
      </c>
      <c r="Y21" s="14">
        <v>0.02</v>
      </c>
      <c r="Z21" s="14">
        <v>0.02</v>
      </c>
      <c r="AA21" s="14">
        <v>0.01</v>
      </c>
      <c r="AB21" s="14">
        <v>0.01</v>
      </c>
      <c r="AC21" s="15" t="s">
        <v>485</v>
      </c>
      <c r="AD21" s="14">
        <v>0.01</v>
      </c>
      <c r="AE21" s="14">
        <v>0.01</v>
      </c>
      <c r="AF21" s="14">
        <v>0.01</v>
      </c>
    </row>
    <row r="22" spans="1:32" ht="34.5">
      <c r="A22" s="23"/>
      <c r="B22" s="11" t="s">
        <v>891</v>
      </c>
      <c r="C22" s="12">
        <v>465</v>
      </c>
      <c r="D22" s="12">
        <v>53</v>
      </c>
      <c r="E22" s="12">
        <v>19</v>
      </c>
      <c r="F22" s="12">
        <v>26</v>
      </c>
      <c r="G22" s="12">
        <v>12</v>
      </c>
      <c r="H22" s="12">
        <v>35</v>
      </c>
      <c r="I22" s="12">
        <v>42</v>
      </c>
      <c r="J22" s="12">
        <v>7</v>
      </c>
      <c r="K22" s="12">
        <v>27</v>
      </c>
      <c r="L22" s="12">
        <v>12</v>
      </c>
      <c r="M22" s="12">
        <v>7</v>
      </c>
      <c r="N22" s="12">
        <v>15</v>
      </c>
      <c r="O22" s="12">
        <v>22</v>
      </c>
      <c r="P22" s="12">
        <v>20</v>
      </c>
      <c r="Q22" s="12">
        <v>4</v>
      </c>
      <c r="R22" s="12">
        <v>4</v>
      </c>
      <c r="S22" s="12">
        <v>20</v>
      </c>
      <c r="T22" s="12">
        <v>47</v>
      </c>
      <c r="U22" s="12">
        <v>6</v>
      </c>
      <c r="V22" s="12">
        <v>9</v>
      </c>
      <c r="W22" s="12">
        <v>4</v>
      </c>
      <c r="X22" s="12">
        <v>27</v>
      </c>
      <c r="Y22" s="12">
        <v>6</v>
      </c>
      <c r="Z22" s="12">
        <v>12</v>
      </c>
      <c r="AA22" s="12">
        <v>13</v>
      </c>
      <c r="AB22" s="12">
        <v>9</v>
      </c>
      <c r="AC22" s="12">
        <v>5</v>
      </c>
      <c r="AD22" s="12">
        <v>12</v>
      </c>
      <c r="AE22" s="12">
        <v>22</v>
      </c>
      <c r="AF22" s="12">
        <v>7</v>
      </c>
    </row>
    <row r="23" spans="1:32" ht="45.75">
      <c r="A23" s="23"/>
      <c r="B23" s="13" t="s">
        <v>892</v>
      </c>
      <c r="C23" s="14">
        <v>0.02</v>
      </c>
      <c r="D23" s="14">
        <v>0.05</v>
      </c>
      <c r="E23" s="14">
        <v>0.02</v>
      </c>
      <c r="F23" s="14">
        <v>0.03</v>
      </c>
      <c r="G23" s="14">
        <v>0.01</v>
      </c>
      <c r="H23" s="14">
        <v>0.03</v>
      </c>
      <c r="I23" s="14">
        <v>0.03</v>
      </c>
      <c r="J23" s="14">
        <v>0.02</v>
      </c>
      <c r="K23" s="14">
        <v>0.03</v>
      </c>
      <c r="L23" s="14">
        <v>0.01</v>
      </c>
      <c r="M23" s="14">
        <v>0.01</v>
      </c>
      <c r="N23" s="14">
        <v>0.01</v>
      </c>
      <c r="O23" s="14">
        <v>0.02</v>
      </c>
      <c r="P23" s="14">
        <v>0.02</v>
      </c>
      <c r="Q23" s="14">
        <v>0.01</v>
      </c>
      <c r="R23" s="14">
        <v>0.01</v>
      </c>
      <c r="S23" s="14">
        <v>0.02</v>
      </c>
      <c r="T23" s="14">
        <v>0.05</v>
      </c>
      <c r="U23" s="14">
        <v>0.01</v>
      </c>
      <c r="V23" s="14">
        <v>0.01</v>
      </c>
      <c r="W23" s="14">
        <v>0.01</v>
      </c>
      <c r="X23" s="14">
        <v>0.03</v>
      </c>
      <c r="Y23" s="14">
        <v>0.01</v>
      </c>
      <c r="Z23" s="14">
        <v>0.01</v>
      </c>
      <c r="AA23" s="14">
        <v>0.01</v>
      </c>
      <c r="AB23" s="14">
        <v>0.01</v>
      </c>
      <c r="AC23" s="15" t="s">
        <v>485</v>
      </c>
      <c r="AD23" s="14">
        <v>0.01</v>
      </c>
      <c r="AE23" s="14">
        <v>0.02</v>
      </c>
      <c r="AF23" s="14">
        <v>0.01</v>
      </c>
    </row>
    <row r="24" spans="1:32" ht="34.5">
      <c r="A24" s="23"/>
      <c r="B24" s="11" t="s">
        <v>893</v>
      </c>
      <c r="C24" s="12">
        <v>517</v>
      </c>
      <c r="D24" s="12">
        <v>37</v>
      </c>
      <c r="E24" s="12">
        <v>26</v>
      </c>
      <c r="F24" s="12">
        <v>16</v>
      </c>
      <c r="G24" s="12">
        <v>62</v>
      </c>
      <c r="H24" s="12">
        <v>33</v>
      </c>
      <c r="I24" s="12">
        <v>34</v>
      </c>
      <c r="J24" s="12">
        <v>2</v>
      </c>
      <c r="K24" s="12">
        <v>32</v>
      </c>
      <c r="L24" s="12">
        <v>38</v>
      </c>
      <c r="M24" s="12">
        <v>8</v>
      </c>
      <c r="N24" s="12">
        <v>15</v>
      </c>
      <c r="O24" s="12">
        <v>13</v>
      </c>
      <c r="P24" s="12">
        <v>16</v>
      </c>
      <c r="Q24" s="12">
        <v>7</v>
      </c>
      <c r="R24" s="12">
        <v>5</v>
      </c>
      <c r="S24" s="12">
        <v>35</v>
      </c>
      <c r="T24" s="12">
        <v>20</v>
      </c>
      <c r="U24" s="12">
        <v>24</v>
      </c>
      <c r="V24" s="12">
        <v>10</v>
      </c>
      <c r="W24" s="12">
        <v>13</v>
      </c>
      <c r="X24" s="12">
        <v>77</v>
      </c>
      <c r="Y24" s="12">
        <v>14</v>
      </c>
      <c r="Z24" s="12">
        <v>11</v>
      </c>
      <c r="AA24" s="12">
        <v>3</v>
      </c>
      <c r="AB24" s="12">
        <v>1</v>
      </c>
      <c r="AC24" s="12">
        <v>49</v>
      </c>
      <c r="AD24" s="12">
        <v>31</v>
      </c>
      <c r="AE24" s="12">
        <v>75</v>
      </c>
      <c r="AF24" s="12">
        <v>56</v>
      </c>
    </row>
    <row r="25" spans="1:32" ht="45.75">
      <c r="A25" s="23"/>
      <c r="B25" s="13" t="s">
        <v>894</v>
      </c>
      <c r="C25" s="14">
        <v>0.02</v>
      </c>
      <c r="D25" s="14">
        <v>0.04</v>
      </c>
      <c r="E25" s="14">
        <v>0.03</v>
      </c>
      <c r="F25" s="14">
        <v>0.01</v>
      </c>
      <c r="G25" s="14">
        <v>0.06</v>
      </c>
      <c r="H25" s="14">
        <v>0.03</v>
      </c>
      <c r="I25" s="14">
        <v>0.02</v>
      </c>
      <c r="J25" s="15" t="s">
        <v>485</v>
      </c>
      <c r="K25" s="14">
        <v>0.03</v>
      </c>
      <c r="L25" s="14">
        <v>0.04</v>
      </c>
      <c r="M25" s="14">
        <v>0.01</v>
      </c>
      <c r="N25" s="14">
        <v>0.02</v>
      </c>
      <c r="O25" s="14">
        <v>0.01</v>
      </c>
      <c r="P25" s="14">
        <v>0.02</v>
      </c>
      <c r="Q25" s="14">
        <v>0.01</v>
      </c>
      <c r="R25" s="14">
        <v>0.01</v>
      </c>
      <c r="S25" s="14">
        <v>0.04</v>
      </c>
      <c r="T25" s="14">
        <v>0.02</v>
      </c>
      <c r="U25" s="14">
        <v>0.05</v>
      </c>
      <c r="V25" s="14">
        <v>0.01</v>
      </c>
      <c r="W25" s="14">
        <v>0.03</v>
      </c>
      <c r="X25" s="14">
        <v>7.0000000000000007E-2</v>
      </c>
      <c r="Y25" s="14">
        <v>0.01</v>
      </c>
      <c r="Z25" s="14">
        <v>0.01</v>
      </c>
      <c r="AA25" s="15" t="s">
        <v>485</v>
      </c>
      <c r="AB25" s="15" t="s">
        <v>485</v>
      </c>
      <c r="AC25" s="14">
        <v>0.05</v>
      </c>
      <c r="AD25" s="14">
        <v>0.03</v>
      </c>
      <c r="AE25" s="14">
        <v>7.0000000000000007E-2</v>
      </c>
      <c r="AF25" s="14">
        <v>0.05</v>
      </c>
    </row>
    <row r="26" spans="1:32" ht="45.75">
      <c r="A26" s="23"/>
      <c r="B26" s="11" t="s">
        <v>895</v>
      </c>
      <c r="C26" s="12">
        <v>1644</v>
      </c>
      <c r="D26" s="12">
        <v>65</v>
      </c>
      <c r="E26" s="12">
        <v>38</v>
      </c>
      <c r="F26" s="12">
        <v>59</v>
      </c>
      <c r="G26" s="12">
        <v>22</v>
      </c>
      <c r="H26" s="12">
        <v>87</v>
      </c>
      <c r="I26" s="12">
        <v>100</v>
      </c>
      <c r="J26" s="12">
        <v>14</v>
      </c>
      <c r="K26" s="12">
        <v>39</v>
      </c>
      <c r="L26" s="12">
        <v>28</v>
      </c>
      <c r="M26" s="12">
        <v>56</v>
      </c>
      <c r="N26" s="12">
        <v>65</v>
      </c>
      <c r="O26" s="12">
        <v>66</v>
      </c>
      <c r="P26" s="12">
        <v>35</v>
      </c>
      <c r="Q26" s="12">
        <v>105</v>
      </c>
      <c r="R26" s="12">
        <v>31</v>
      </c>
      <c r="S26" s="12">
        <v>29</v>
      </c>
      <c r="T26" s="12">
        <v>61</v>
      </c>
      <c r="U26" s="12">
        <v>34</v>
      </c>
      <c r="V26" s="12">
        <v>54</v>
      </c>
      <c r="W26" s="12">
        <v>26</v>
      </c>
      <c r="X26" s="12">
        <v>16</v>
      </c>
      <c r="Y26" s="12">
        <v>47</v>
      </c>
      <c r="Z26" s="12">
        <v>42</v>
      </c>
      <c r="AA26" s="12">
        <v>96</v>
      </c>
      <c r="AB26" s="12">
        <v>65</v>
      </c>
      <c r="AC26" s="12">
        <v>44</v>
      </c>
      <c r="AD26" s="12">
        <v>65</v>
      </c>
      <c r="AE26" s="12">
        <v>8</v>
      </c>
      <c r="AF26" s="12">
        <v>14</v>
      </c>
    </row>
    <row r="27" spans="1:32" ht="34.5">
      <c r="A27" s="23"/>
      <c r="B27" s="13" t="s">
        <v>896</v>
      </c>
      <c r="C27" s="14">
        <v>0.06</v>
      </c>
      <c r="D27" s="14">
        <v>7.0000000000000007E-2</v>
      </c>
      <c r="E27" s="14">
        <v>0.04</v>
      </c>
      <c r="F27" s="14">
        <v>0.06</v>
      </c>
      <c r="G27" s="14">
        <v>0.02</v>
      </c>
      <c r="H27" s="14">
        <v>7.0000000000000007E-2</v>
      </c>
      <c r="I27" s="14">
        <v>7.0000000000000007E-2</v>
      </c>
      <c r="J27" s="14">
        <v>0.05</v>
      </c>
      <c r="K27" s="14">
        <v>0.04</v>
      </c>
      <c r="L27" s="14">
        <v>0.03</v>
      </c>
      <c r="M27" s="14">
        <v>0.05</v>
      </c>
      <c r="N27" s="14">
        <v>0.06</v>
      </c>
      <c r="O27" s="14">
        <v>7.0000000000000007E-2</v>
      </c>
      <c r="P27" s="14">
        <v>0.03</v>
      </c>
      <c r="Q27" s="14">
        <v>0.1</v>
      </c>
      <c r="R27" s="14">
        <v>0.06</v>
      </c>
      <c r="S27" s="14">
        <v>0.03</v>
      </c>
      <c r="T27" s="14">
        <v>0.06</v>
      </c>
      <c r="U27" s="14">
        <v>7.0000000000000007E-2</v>
      </c>
      <c r="V27" s="14">
        <v>0.05</v>
      </c>
      <c r="W27" s="14">
        <v>0.05</v>
      </c>
      <c r="X27" s="14">
        <v>0.02</v>
      </c>
      <c r="Y27" s="14">
        <v>0.05</v>
      </c>
      <c r="Z27" s="14">
        <v>0.04</v>
      </c>
      <c r="AA27" s="14">
        <v>0.09</v>
      </c>
      <c r="AB27" s="14">
        <v>0.06</v>
      </c>
      <c r="AC27" s="14">
        <v>0.04</v>
      </c>
      <c r="AD27" s="14">
        <v>7.0000000000000007E-2</v>
      </c>
      <c r="AE27" s="14">
        <v>0.01</v>
      </c>
      <c r="AF27" s="14">
        <v>0.01</v>
      </c>
    </row>
    <row r="28" spans="1:32" ht="147">
      <c r="A28" s="23"/>
      <c r="B28" s="11" t="s">
        <v>897</v>
      </c>
      <c r="C28" s="12">
        <v>259</v>
      </c>
      <c r="D28" s="12">
        <v>10</v>
      </c>
      <c r="E28" s="12">
        <v>4</v>
      </c>
      <c r="F28" s="12">
        <v>2</v>
      </c>
      <c r="G28" s="12">
        <v>0</v>
      </c>
      <c r="H28" s="12">
        <v>5</v>
      </c>
      <c r="I28" s="12">
        <v>6</v>
      </c>
      <c r="J28" s="12">
        <v>1</v>
      </c>
      <c r="K28" s="12">
        <v>2</v>
      </c>
      <c r="L28" s="12">
        <v>7</v>
      </c>
      <c r="M28" s="12">
        <v>31</v>
      </c>
      <c r="N28" s="12">
        <v>11</v>
      </c>
      <c r="O28" s="12">
        <v>4</v>
      </c>
      <c r="P28" s="12">
        <v>11</v>
      </c>
      <c r="Q28" s="12">
        <v>34</v>
      </c>
      <c r="R28" s="12">
        <v>14</v>
      </c>
      <c r="S28" s="12">
        <v>1</v>
      </c>
      <c r="T28" s="12">
        <v>3</v>
      </c>
      <c r="U28" s="12">
        <v>1</v>
      </c>
      <c r="V28" s="12">
        <v>3</v>
      </c>
      <c r="W28" s="12">
        <v>11</v>
      </c>
      <c r="X28" s="12">
        <v>4</v>
      </c>
      <c r="Y28" s="12">
        <v>2</v>
      </c>
      <c r="Z28" s="12">
        <v>5</v>
      </c>
      <c r="AA28" s="12">
        <v>2</v>
      </c>
      <c r="AB28" s="12">
        <v>15</v>
      </c>
      <c r="AC28" s="12">
        <v>1</v>
      </c>
      <c r="AD28" s="12">
        <v>5</v>
      </c>
      <c r="AE28" s="12">
        <v>4</v>
      </c>
      <c r="AF28" s="12">
        <v>0</v>
      </c>
    </row>
    <row r="29" spans="1:32" ht="90.75">
      <c r="A29" s="23"/>
      <c r="B29" s="13" t="s">
        <v>898</v>
      </c>
      <c r="C29" s="14">
        <v>0.01</v>
      </c>
      <c r="D29" s="14">
        <v>0.01</v>
      </c>
      <c r="E29" s="15" t="s">
        <v>485</v>
      </c>
      <c r="F29" s="15" t="s">
        <v>485</v>
      </c>
      <c r="G29" s="15" t="s">
        <v>485</v>
      </c>
      <c r="H29" s="15" t="s">
        <v>485</v>
      </c>
      <c r="I29" s="15" t="s">
        <v>485</v>
      </c>
      <c r="J29" s="15" t="s">
        <v>485</v>
      </c>
      <c r="K29" s="15" t="s">
        <v>485</v>
      </c>
      <c r="L29" s="14">
        <v>0.01</v>
      </c>
      <c r="M29" s="14">
        <v>0.03</v>
      </c>
      <c r="N29" s="14">
        <v>0.01</v>
      </c>
      <c r="O29" s="15" t="s">
        <v>485</v>
      </c>
      <c r="P29" s="14">
        <v>0.01</v>
      </c>
      <c r="Q29" s="14">
        <v>0.03</v>
      </c>
      <c r="R29" s="14">
        <v>0.03</v>
      </c>
      <c r="S29" s="15" t="s">
        <v>485</v>
      </c>
      <c r="T29" s="15" t="s">
        <v>485</v>
      </c>
      <c r="U29" s="15" t="s">
        <v>485</v>
      </c>
      <c r="V29" s="15" t="s">
        <v>485</v>
      </c>
      <c r="W29" s="14">
        <v>0.02</v>
      </c>
      <c r="X29" s="15" t="s">
        <v>485</v>
      </c>
      <c r="Y29" s="15" t="s">
        <v>485</v>
      </c>
      <c r="Z29" s="15" t="s">
        <v>485</v>
      </c>
      <c r="AA29" s="15" t="s">
        <v>485</v>
      </c>
      <c r="AB29" s="14">
        <v>0.02</v>
      </c>
      <c r="AC29" s="15" t="s">
        <v>485</v>
      </c>
      <c r="AD29" s="14">
        <v>0.01</v>
      </c>
      <c r="AE29" s="15" t="s">
        <v>485</v>
      </c>
      <c r="AF29" s="15" t="s">
        <v>485</v>
      </c>
    </row>
    <row r="30" spans="1:32" ht="45.75">
      <c r="A30" s="23"/>
      <c r="B30" s="11" t="s">
        <v>899</v>
      </c>
      <c r="C30" s="12">
        <v>273</v>
      </c>
      <c r="D30" s="12">
        <v>20</v>
      </c>
      <c r="E30" s="12">
        <v>11</v>
      </c>
      <c r="F30" s="12">
        <v>8</v>
      </c>
      <c r="G30" s="12">
        <v>7</v>
      </c>
      <c r="H30" s="12">
        <v>10</v>
      </c>
      <c r="I30" s="12">
        <v>15</v>
      </c>
      <c r="J30" s="12">
        <v>5</v>
      </c>
      <c r="K30" s="12">
        <v>6</v>
      </c>
      <c r="L30" s="12">
        <v>10</v>
      </c>
      <c r="M30" s="12">
        <v>10</v>
      </c>
      <c r="N30" s="12">
        <v>8</v>
      </c>
      <c r="O30" s="12">
        <v>9</v>
      </c>
      <c r="P30" s="12">
        <v>8</v>
      </c>
      <c r="Q30" s="12">
        <v>15</v>
      </c>
      <c r="R30" s="12">
        <v>3</v>
      </c>
      <c r="S30" s="12">
        <v>4</v>
      </c>
      <c r="T30" s="12">
        <v>3</v>
      </c>
      <c r="U30" s="12">
        <v>3</v>
      </c>
      <c r="V30" s="12">
        <v>11</v>
      </c>
      <c r="W30" s="12">
        <v>0</v>
      </c>
      <c r="X30" s="12">
        <v>6</v>
      </c>
      <c r="Y30" s="12">
        <v>5</v>
      </c>
      <c r="Z30" s="12">
        <v>20</v>
      </c>
      <c r="AA30" s="12">
        <v>1</v>
      </c>
      <c r="AB30" s="12">
        <v>13</v>
      </c>
      <c r="AC30" s="12">
        <v>7</v>
      </c>
      <c r="AD30" s="12">
        <v>7</v>
      </c>
      <c r="AE30" s="12">
        <v>3</v>
      </c>
      <c r="AF30" s="12">
        <v>3</v>
      </c>
    </row>
    <row r="31" spans="1:32" ht="34.5">
      <c r="A31" s="23"/>
      <c r="B31" s="13" t="s">
        <v>900</v>
      </c>
      <c r="C31" s="14">
        <v>0.01</v>
      </c>
      <c r="D31" s="14">
        <v>0.02</v>
      </c>
      <c r="E31" s="14">
        <v>0.01</v>
      </c>
      <c r="F31" s="14">
        <v>0.01</v>
      </c>
      <c r="G31" s="14">
        <v>0.01</v>
      </c>
      <c r="H31" s="14">
        <v>0.01</v>
      </c>
      <c r="I31" s="14">
        <v>0.01</v>
      </c>
      <c r="J31" s="14">
        <v>0.02</v>
      </c>
      <c r="K31" s="14">
        <v>0.01</v>
      </c>
      <c r="L31" s="14">
        <v>0.01</v>
      </c>
      <c r="M31" s="14">
        <v>0.01</v>
      </c>
      <c r="N31" s="14">
        <v>0.01</v>
      </c>
      <c r="O31" s="14">
        <v>0.01</v>
      </c>
      <c r="P31" s="14">
        <v>0.01</v>
      </c>
      <c r="Q31" s="14">
        <v>0.02</v>
      </c>
      <c r="R31" s="14">
        <v>0.01</v>
      </c>
      <c r="S31" s="15" t="s">
        <v>485</v>
      </c>
      <c r="T31" s="15" t="s">
        <v>485</v>
      </c>
      <c r="U31" s="14">
        <v>0.01</v>
      </c>
      <c r="V31" s="14">
        <v>0.01</v>
      </c>
      <c r="W31" s="15" t="s">
        <v>485</v>
      </c>
      <c r="X31" s="14">
        <v>0.01</v>
      </c>
      <c r="Y31" s="14">
        <v>0.01</v>
      </c>
      <c r="Z31" s="14">
        <v>0.02</v>
      </c>
      <c r="AA31" s="15" t="s">
        <v>485</v>
      </c>
      <c r="AB31" s="14">
        <v>0.01</v>
      </c>
      <c r="AC31" s="14">
        <v>0.01</v>
      </c>
      <c r="AD31" s="14">
        <v>0.01</v>
      </c>
      <c r="AE31" s="15" t="s">
        <v>485</v>
      </c>
      <c r="AF31" s="15" t="s">
        <v>485</v>
      </c>
    </row>
    <row r="32" spans="1:32" ht="34.5">
      <c r="A32" s="23"/>
      <c r="B32" s="11" t="s">
        <v>901</v>
      </c>
      <c r="C32" s="12">
        <v>172</v>
      </c>
      <c r="D32" s="12">
        <v>9</v>
      </c>
      <c r="E32" s="12">
        <v>2</v>
      </c>
      <c r="F32" s="12">
        <v>1</v>
      </c>
      <c r="G32" s="12">
        <v>4</v>
      </c>
      <c r="H32" s="12">
        <v>4</v>
      </c>
      <c r="I32" s="12">
        <v>5</v>
      </c>
      <c r="J32" s="12">
        <v>0</v>
      </c>
      <c r="K32" s="12">
        <v>3</v>
      </c>
      <c r="L32" s="12">
        <v>0</v>
      </c>
      <c r="M32" s="12">
        <v>0</v>
      </c>
      <c r="N32" s="12">
        <v>16</v>
      </c>
      <c r="O32" s="12">
        <v>11</v>
      </c>
      <c r="P32" s="12">
        <v>4</v>
      </c>
      <c r="Q32" s="12">
        <v>9</v>
      </c>
      <c r="R32" s="12">
        <v>5</v>
      </c>
      <c r="S32" s="12">
        <v>1</v>
      </c>
      <c r="T32" s="12">
        <v>2</v>
      </c>
      <c r="U32" s="12">
        <v>2</v>
      </c>
      <c r="V32" s="12">
        <v>0</v>
      </c>
      <c r="W32" s="12">
        <v>4</v>
      </c>
      <c r="X32" s="12">
        <v>3</v>
      </c>
      <c r="Y32" s="12">
        <v>3</v>
      </c>
      <c r="Z32" s="12">
        <v>5</v>
      </c>
      <c r="AA32" s="12">
        <v>4</v>
      </c>
      <c r="AB32" s="12">
        <v>4</v>
      </c>
      <c r="AC32" s="12">
        <v>7</v>
      </c>
      <c r="AD32" s="12">
        <v>2</v>
      </c>
      <c r="AE32" s="12">
        <v>1</v>
      </c>
      <c r="AF32" s="12">
        <v>0</v>
      </c>
    </row>
    <row r="33" spans="1:32" ht="45.75">
      <c r="A33" s="23"/>
      <c r="B33" s="13" t="s">
        <v>902</v>
      </c>
      <c r="C33" s="14">
        <v>0.01</v>
      </c>
      <c r="D33" s="14">
        <v>0.01</v>
      </c>
      <c r="E33" s="15" t="s">
        <v>485</v>
      </c>
      <c r="F33" s="15" t="s">
        <v>485</v>
      </c>
      <c r="G33" s="15" t="s">
        <v>485</v>
      </c>
      <c r="H33" s="15" t="s">
        <v>485</v>
      </c>
      <c r="I33" s="15" t="s">
        <v>485</v>
      </c>
      <c r="J33" s="15" t="s">
        <v>485</v>
      </c>
      <c r="K33" s="15" t="s">
        <v>485</v>
      </c>
      <c r="L33" s="15" t="s">
        <v>485</v>
      </c>
      <c r="M33" s="15" t="s">
        <v>485</v>
      </c>
      <c r="N33" s="14">
        <v>0.02</v>
      </c>
      <c r="O33" s="14">
        <v>0.01</v>
      </c>
      <c r="P33" s="15" t="s">
        <v>485</v>
      </c>
      <c r="Q33" s="14">
        <v>0.01</v>
      </c>
      <c r="R33" s="14">
        <v>0.01</v>
      </c>
      <c r="S33" s="15" t="s">
        <v>485</v>
      </c>
      <c r="T33" s="15" t="s">
        <v>485</v>
      </c>
      <c r="U33" s="15" t="s">
        <v>485</v>
      </c>
      <c r="V33" s="15" t="s">
        <v>485</v>
      </c>
      <c r="W33" s="14">
        <v>0.01</v>
      </c>
      <c r="X33" s="15" t="s">
        <v>485</v>
      </c>
      <c r="Y33" s="15" t="s">
        <v>485</v>
      </c>
      <c r="Z33" s="14">
        <v>0.01</v>
      </c>
      <c r="AA33" s="15" t="s">
        <v>485</v>
      </c>
      <c r="AB33" s="15" t="s">
        <v>485</v>
      </c>
      <c r="AC33" s="14">
        <v>0.01</v>
      </c>
      <c r="AD33" s="15" t="s">
        <v>485</v>
      </c>
      <c r="AE33" s="15" t="s">
        <v>485</v>
      </c>
      <c r="AF33" s="15" t="s">
        <v>485</v>
      </c>
    </row>
    <row r="34" spans="1:32">
      <c r="A34" s="23"/>
      <c r="B34" s="11" t="s">
        <v>550</v>
      </c>
      <c r="C34" s="12">
        <v>239</v>
      </c>
      <c r="D34" s="12">
        <v>3</v>
      </c>
      <c r="E34" s="12">
        <v>2</v>
      </c>
      <c r="F34" s="12">
        <v>2</v>
      </c>
      <c r="G34" s="12">
        <v>7</v>
      </c>
      <c r="H34" s="12">
        <v>13</v>
      </c>
      <c r="I34" s="12">
        <v>15</v>
      </c>
      <c r="J34" s="12">
        <v>2</v>
      </c>
      <c r="K34" s="12">
        <v>13</v>
      </c>
      <c r="L34" s="12">
        <v>9</v>
      </c>
      <c r="M34" s="12">
        <v>8</v>
      </c>
      <c r="N34" s="12">
        <v>19</v>
      </c>
      <c r="O34" s="12">
        <v>6</v>
      </c>
      <c r="P34" s="12">
        <v>8</v>
      </c>
      <c r="Q34" s="12">
        <v>14</v>
      </c>
      <c r="R34" s="12">
        <v>8</v>
      </c>
      <c r="S34" s="12">
        <v>11</v>
      </c>
      <c r="T34" s="12">
        <v>16</v>
      </c>
      <c r="U34" s="12">
        <v>2</v>
      </c>
      <c r="V34" s="12">
        <v>4</v>
      </c>
      <c r="W34" s="12">
        <v>1</v>
      </c>
      <c r="X34" s="12">
        <v>11</v>
      </c>
      <c r="Y34" s="12">
        <v>17</v>
      </c>
      <c r="Z34" s="12">
        <v>2</v>
      </c>
      <c r="AA34" s="12">
        <v>5</v>
      </c>
      <c r="AB34" s="12">
        <v>2</v>
      </c>
      <c r="AC34" s="12">
        <v>7</v>
      </c>
      <c r="AD34" s="12">
        <v>15</v>
      </c>
      <c r="AE34" s="12">
        <v>7</v>
      </c>
      <c r="AF34" s="12">
        <v>5</v>
      </c>
    </row>
    <row r="35" spans="1:32">
      <c r="A35" s="23"/>
      <c r="B35" s="13" t="s">
        <v>551</v>
      </c>
      <c r="C35" s="14">
        <v>0.01</v>
      </c>
      <c r="D35" s="15" t="s">
        <v>485</v>
      </c>
      <c r="E35" s="15" t="s">
        <v>485</v>
      </c>
      <c r="F35" s="15" t="s">
        <v>485</v>
      </c>
      <c r="G35" s="14">
        <v>0.01</v>
      </c>
      <c r="H35" s="14">
        <v>0.01</v>
      </c>
      <c r="I35" s="14">
        <v>0.01</v>
      </c>
      <c r="J35" s="14">
        <v>0.01</v>
      </c>
      <c r="K35" s="14">
        <v>0.01</v>
      </c>
      <c r="L35" s="14">
        <v>0.01</v>
      </c>
      <c r="M35" s="14">
        <v>0.01</v>
      </c>
      <c r="N35" s="14">
        <v>0.02</v>
      </c>
      <c r="O35" s="14">
        <v>0.01</v>
      </c>
      <c r="P35" s="14">
        <v>0.01</v>
      </c>
      <c r="Q35" s="14">
        <v>0.01</v>
      </c>
      <c r="R35" s="14">
        <v>0.02</v>
      </c>
      <c r="S35" s="14">
        <v>0.01</v>
      </c>
      <c r="T35" s="14">
        <v>0.02</v>
      </c>
      <c r="U35" s="15" t="s">
        <v>485</v>
      </c>
      <c r="V35" s="15" t="s">
        <v>485</v>
      </c>
      <c r="W35" s="15" t="s">
        <v>485</v>
      </c>
      <c r="X35" s="14">
        <v>0.01</v>
      </c>
      <c r="Y35" s="14">
        <v>0.02</v>
      </c>
      <c r="Z35" s="15" t="s">
        <v>485</v>
      </c>
      <c r="AA35" s="14">
        <v>0.01</v>
      </c>
      <c r="AB35" s="15" t="s">
        <v>485</v>
      </c>
      <c r="AC35" s="14">
        <v>0.01</v>
      </c>
      <c r="AD35" s="14">
        <v>0.01</v>
      </c>
      <c r="AE35" s="14">
        <v>0.01</v>
      </c>
      <c r="AF35" s="15" t="s">
        <v>485</v>
      </c>
    </row>
    <row r="36" spans="1:32">
      <c r="A36" s="23"/>
      <c r="B36" s="11" t="s">
        <v>497</v>
      </c>
      <c r="C36" s="12">
        <v>29</v>
      </c>
      <c r="D36" s="12">
        <v>3</v>
      </c>
      <c r="E36" s="12">
        <v>1</v>
      </c>
      <c r="F36" s="12">
        <v>0</v>
      </c>
      <c r="G36" s="12">
        <v>0</v>
      </c>
      <c r="H36" s="12">
        <v>2</v>
      </c>
      <c r="I36" s="12">
        <v>2</v>
      </c>
      <c r="J36" s="12">
        <v>0</v>
      </c>
      <c r="K36" s="12">
        <v>2</v>
      </c>
      <c r="L36" s="12">
        <v>6</v>
      </c>
      <c r="M36" s="12">
        <v>0</v>
      </c>
      <c r="N36" s="12">
        <v>1</v>
      </c>
      <c r="O36" s="12">
        <v>1</v>
      </c>
      <c r="P36" s="12">
        <v>2</v>
      </c>
      <c r="Q36" s="12">
        <v>2</v>
      </c>
      <c r="R36" s="12">
        <v>3</v>
      </c>
      <c r="S36" s="12">
        <v>1</v>
      </c>
      <c r="T36" s="12">
        <v>5</v>
      </c>
      <c r="U36" s="12">
        <v>1</v>
      </c>
      <c r="V36" s="12">
        <v>0</v>
      </c>
      <c r="W36" s="12">
        <v>3</v>
      </c>
      <c r="X36" s="12">
        <v>1</v>
      </c>
      <c r="Y36" s="12">
        <v>0</v>
      </c>
      <c r="Z36" s="12">
        <v>0</v>
      </c>
      <c r="AA36" s="12">
        <v>1</v>
      </c>
      <c r="AB36" s="12">
        <v>0</v>
      </c>
      <c r="AC36" s="12">
        <v>0</v>
      </c>
      <c r="AD36" s="12">
        <v>0</v>
      </c>
      <c r="AE36" s="12">
        <v>6</v>
      </c>
      <c r="AF36" s="12">
        <v>1</v>
      </c>
    </row>
    <row r="37" spans="1:32">
      <c r="A37" s="23"/>
      <c r="B37" s="13" t="s">
        <v>498</v>
      </c>
      <c r="C37" s="15" t="s">
        <v>485</v>
      </c>
      <c r="D37" s="15" t="s">
        <v>485</v>
      </c>
      <c r="E37" s="15" t="s">
        <v>485</v>
      </c>
      <c r="F37" s="15" t="s">
        <v>485</v>
      </c>
      <c r="G37" s="15" t="s">
        <v>485</v>
      </c>
      <c r="H37" s="15" t="s">
        <v>485</v>
      </c>
      <c r="I37" s="15" t="s">
        <v>485</v>
      </c>
      <c r="J37" s="15" t="s">
        <v>485</v>
      </c>
      <c r="K37" s="15" t="s">
        <v>485</v>
      </c>
      <c r="L37" s="15" t="s">
        <v>485</v>
      </c>
      <c r="M37" s="15" t="s">
        <v>485</v>
      </c>
      <c r="N37" s="15" t="s">
        <v>485</v>
      </c>
      <c r="O37" s="15" t="s">
        <v>485</v>
      </c>
      <c r="P37" s="15" t="s">
        <v>485</v>
      </c>
      <c r="Q37" s="15" t="s">
        <v>485</v>
      </c>
      <c r="R37" s="15" t="s">
        <v>485</v>
      </c>
      <c r="S37" s="15" t="s">
        <v>485</v>
      </c>
      <c r="T37" s="14">
        <v>0.01</v>
      </c>
      <c r="U37" s="15" t="s">
        <v>485</v>
      </c>
      <c r="V37" s="15" t="s">
        <v>485</v>
      </c>
      <c r="W37" s="15" t="s">
        <v>485</v>
      </c>
      <c r="X37" s="15" t="s">
        <v>485</v>
      </c>
      <c r="Y37" s="15" t="s">
        <v>485</v>
      </c>
      <c r="Z37" s="15" t="s">
        <v>485</v>
      </c>
      <c r="AA37" s="15" t="s">
        <v>485</v>
      </c>
      <c r="AB37" s="15" t="s">
        <v>485</v>
      </c>
      <c r="AC37" s="15" t="s">
        <v>485</v>
      </c>
      <c r="AD37" s="15" t="s">
        <v>485</v>
      </c>
      <c r="AE37" s="14">
        <v>0.01</v>
      </c>
      <c r="AF37" s="15" t="s">
        <v>485</v>
      </c>
    </row>
    <row r="38" spans="1:32" ht="23.25">
      <c r="A38" s="23"/>
      <c r="B38" s="11" t="s">
        <v>903</v>
      </c>
      <c r="C38" s="12">
        <v>15315</v>
      </c>
      <c r="D38" s="12">
        <v>529</v>
      </c>
      <c r="E38" s="12">
        <v>620</v>
      </c>
      <c r="F38" s="12">
        <v>619</v>
      </c>
      <c r="G38" s="12">
        <v>601</v>
      </c>
      <c r="H38" s="12">
        <v>654</v>
      </c>
      <c r="I38" s="12">
        <v>831</v>
      </c>
      <c r="J38" s="12">
        <v>178</v>
      </c>
      <c r="K38" s="12">
        <v>637</v>
      </c>
      <c r="L38" s="12">
        <v>627</v>
      </c>
      <c r="M38" s="12">
        <v>607</v>
      </c>
      <c r="N38" s="12">
        <v>591</v>
      </c>
      <c r="O38" s="12">
        <v>546</v>
      </c>
      <c r="P38" s="12">
        <v>608</v>
      </c>
      <c r="Q38" s="12">
        <v>591</v>
      </c>
      <c r="R38" s="12">
        <v>312</v>
      </c>
      <c r="S38" s="12">
        <v>624</v>
      </c>
      <c r="T38" s="12">
        <v>573</v>
      </c>
      <c r="U38" s="12">
        <v>302</v>
      </c>
      <c r="V38" s="12">
        <v>653</v>
      </c>
      <c r="W38" s="12">
        <v>317</v>
      </c>
      <c r="X38" s="12">
        <v>601</v>
      </c>
      <c r="Y38" s="12">
        <v>621</v>
      </c>
      <c r="Z38" s="12">
        <v>640</v>
      </c>
      <c r="AA38" s="12">
        <v>632</v>
      </c>
      <c r="AB38" s="12">
        <v>616</v>
      </c>
      <c r="AC38" s="12">
        <v>561</v>
      </c>
      <c r="AD38" s="12">
        <v>591</v>
      </c>
      <c r="AE38" s="12">
        <v>590</v>
      </c>
      <c r="AF38" s="12">
        <v>686</v>
      </c>
    </row>
    <row r="39" spans="1:32" ht="23.25">
      <c r="A39" s="23"/>
      <c r="B39" s="13" t="s">
        <v>904</v>
      </c>
      <c r="C39" s="14">
        <v>0.57999999999999996</v>
      </c>
      <c r="D39" s="14">
        <v>0.53</v>
      </c>
      <c r="E39" s="14">
        <v>0.6</v>
      </c>
      <c r="F39" s="14">
        <v>0.62</v>
      </c>
      <c r="G39" s="14">
        <v>0.6</v>
      </c>
      <c r="H39" s="14">
        <v>0.54</v>
      </c>
      <c r="I39" s="14">
        <v>0.56000000000000005</v>
      </c>
      <c r="J39" s="14">
        <v>0.6</v>
      </c>
      <c r="K39" s="14">
        <v>0.63</v>
      </c>
      <c r="L39" s="14">
        <v>0.62</v>
      </c>
      <c r="M39" s="14">
        <v>0.6</v>
      </c>
      <c r="N39" s="14">
        <v>0.59</v>
      </c>
      <c r="O39" s="14">
        <v>0.55000000000000004</v>
      </c>
      <c r="P39" s="14">
        <v>0.6</v>
      </c>
      <c r="Q39" s="14">
        <v>0.57000000000000006</v>
      </c>
      <c r="R39" s="14">
        <v>0.62</v>
      </c>
      <c r="S39" s="14">
        <v>0.62</v>
      </c>
      <c r="T39" s="14">
        <v>0.57000000000000006</v>
      </c>
      <c r="U39" s="14">
        <v>0.6</v>
      </c>
      <c r="V39" s="14">
        <v>0.65</v>
      </c>
      <c r="W39" s="14">
        <v>0.63</v>
      </c>
      <c r="X39" s="14">
        <v>0.59</v>
      </c>
      <c r="Y39" s="14">
        <v>0.61</v>
      </c>
      <c r="Z39" s="14">
        <v>0.63</v>
      </c>
      <c r="AA39" s="14">
        <v>0.61</v>
      </c>
      <c r="AB39" s="14">
        <v>0.6</v>
      </c>
      <c r="AC39" s="14">
        <v>0.56000000000000005</v>
      </c>
      <c r="AD39" s="14">
        <v>0.59</v>
      </c>
      <c r="AE39" s="14">
        <v>0.59</v>
      </c>
      <c r="AF39" s="14">
        <v>0.64</v>
      </c>
    </row>
    <row r="40" spans="1:32" ht="57">
      <c r="A40" s="23"/>
      <c r="B40" s="11" t="s">
        <v>905</v>
      </c>
      <c r="C40" s="12">
        <v>18302</v>
      </c>
      <c r="D40" s="12">
        <v>681</v>
      </c>
      <c r="E40" s="12">
        <v>728</v>
      </c>
      <c r="F40" s="12">
        <v>714</v>
      </c>
      <c r="G40" s="12">
        <v>704</v>
      </c>
      <c r="H40" s="12">
        <v>805</v>
      </c>
      <c r="I40" s="12">
        <v>1006</v>
      </c>
      <c r="J40" s="12">
        <v>204</v>
      </c>
      <c r="K40" s="12">
        <v>740</v>
      </c>
      <c r="L40" s="12">
        <v>733</v>
      </c>
      <c r="M40" s="12">
        <v>698</v>
      </c>
      <c r="N40" s="12">
        <v>712</v>
      </c>
      <c r="O40" s="12">
        <v>655</v>
      </c>
      <c r="P40" s="12">
        <v>689</v>
      </c>
      <c r="Q40" s="12">
        <v>729</v>
      </c>
      <c r="R40" s="12">
        <v>367</v>
      </c>
      <c r="S40" s="12">
        <v>719</v>
      </c>
      <c r="T40" s="12">
        <v>682</v>
      </c>
      <c r="U40" s="12">
        <v>371</v>
      </c>
      <c r="V40" s="12">
        <v>746</v>
      </c>
      <c r="W40" s="12">
        <v>370</v>
      </c>
      <c r="X40" s="12">
        <v>728</v>
      </c>
      <c r="Y40" s="12">
        <v>708</v>
      </c>
      <c r="Z40" s="12">
        <v>743</v>
      </c>
      <c r="AA40" s="12">
        <v>748</v>
      </c>
      <c r="AB40" s="12">
        <v>717</v>
      </c>
      <c r="AC40" s="12">
        <v>668</v>
      </c>
      <c r="AD40" s="12">
        <v>720</v>
      </c>
      <c r="AE40" s="12">
        <v>701</v>
      </c>
      <c r="AF40" s="12">
        <v>775</v>
      </c>
    </row>
    <row r="41" spans="1:32" ht="34.5">
      <c r="A41" s="23"/>
      <c r="B41" s="13" t="s">
        <v>906</v>
      </c>
      <c r="C41" s="14">
        <v>0.69000000000000006</v>
      </c>
      <c r="D41" s="14">
        <v>0.69000000000000006</v>
      </c>
      <c r="E41" s="14">
        <v>0.71</v>
      </c>
      <c r="F41" s="14">
        <v>0.71</v>
      </c>
      <c r="G41" s="14">
        <v>0.70000000000000007</v>
      </c>
      <c r="H41" s="14">
        <v>0.67</v>
      </c>
      <c r="I41" s="14">
        <v>0.68</v>
      </c>
      <c r="J41" s="14">
        <v>0.69000000000000006</v>
      </c>
      <c r="K41" s="14">
        <v>0.74</v>
      </c>
      <c r="L41" s="14">
        <v>0.73</v>
      </c>
      <c r="M41" s="14">
        <v>0.69000000000000006</v>
      </c>
      <c r="N41" s="14">
        <v>0.71</v>
      </c>
      <c r="O41" s="14">
        <v>0.66</v>
      </c>
      <c r="P41" s="14">
        <v>0.68</v>
      </c>
      <c r="Q41" s="14">
        <v>0.71</v>
      </c>
      <c r="R41" s="14">
        <v>0.73</v>
      </c>
      <c r="S41" s="14">
        <v>0.72</v>
      </c>
      <c r="T41" s="14">
        <v>0.67</v>
      </c>
      <c r="U41" s="14">
        <v>0.75</v>
      </c>
      <c r="V41" s="14">
        <v>0.74</v>
      </c>
      <c r="W41" s="14">
        <v>0.74</v>
      </c>
      <c r="X41" s="14">
        <v>0.72</v>
      </c>
      <c r="Y41" s="14">
        <v>0.70000000000000007</v>
      </c>
      <c r="Z41" s="14">
        <v>0.73</v>
      </c>
      <c r="AA41" s="14">
        <v>0.72</v>
      </c>
      <c r="AB41" s="14">
        <v>0.69000000000000006</v>
      </c>
      <c r="AC41" s="14">
        <v>0.67</v>
      </c>
      <c r="AD41" s="14">
        <v>0.73</v>
      </c>
      <c r="AE41" s="14">
        <v>0.69000000000000006</v>
      </c>
      <c r="AF41" s="14">
        <v>0.72</v>
      </c>
    </row>
    <row r="42" spans="1:32" ht="34.5">
      <c r="A42" s="23"/>
      <c r="B42" s="11" t="s">
        <v>907</v>
      </c>
      <c r="C42" s="12">
        <v>23736</v>
      </c>
      <c r="D42" s="12">
        <v>896</v>
      </c>
      <c r="E42" s="12">
        <v>987</v>
      </c>
      <c r="F42" s="12">
        <v>935</v>
      </c>
      <c r="G42" s="12">
        <v>962</v>
      </c>
      <c r="H42" s="12">
        <v>1089</v>
      </c>
      <c r="I42" s="12">
        <v>1360</v>
      </c>
      <c r="J42" s="12">
        <v>272</v>
      </c>
      <c r="K42" s="12">
        <v>938</v>
      </c>
      <c r="L42" s="12">
        <v>945</v>
      </c>
      <c r="M42" s="12">
        <v>905</v>
      </c>
      <c r="N42" s="12">
        <v>881</v>
      </c>
      <c r="O42" s="12">
        <v>909</v>
      </c>
      <c r="P42" s="12">
        <v>943</v>
      </c>
      <c r="Q42" s="12">
        <v>844</v>
      </c>
      <c r="R42" s="12">
        <v>439</v>
      </c>
      <c r="S42" s="12">
        <v>958</v>
      </c>
      <c r="T42" s="12">
        <v>913</v>
      </c>
      <c r="U42" s="12">
        <v>460</v>
      </c>
      <c r="V42" s="12">
        <v>937</v>
      </c>
      <c r="W42" s="12">
        <v>458</v>
      </c>
      <c r="X42" s="12">
        <v>975</v>
      </c>
      <c r="Y42" s="12">
        <v>933</v>
      </c>
      <c r="Z42" s="12">
        <v>943</v>
      </c>
      <c r="AA42" s="12">
        <v>933</v>
      </c>
      <c r="AB42" s="12">
        <v>932</v>
      </c>
      <c r="AC42" s="12">
        <v>939</v>
      </c>
      <c r="AD42" s="12">
        <v>908</v>
      </c>
      <c r="AE42" s="12">
        <v>979</v>
      </c>
      <c r="AF42" s="12">
        <v>1050</v>
      </c>
    </row>
    <row r="43" spans="1:32" ht="23.25">
      <c r="A43" s="23"/>
      <c r="B43" s="13" t="s">
        <v>908</v>
      </c>
      <c r="C43" s="14">
        <v>0.9</v>
      </c>
      <c r="D43" s="14">
        <v>0.89</v>
      </c>
      <c r="E43" s="14">
        <v>0.95000000000000007</v>
      </c>
      <c r="F43" s="14">
        <v>0.93</v>
      </c>
      <c r="G43" s="14">
        <v>0.96</v>
      </c>
      <c r="H43" s="14">
        <v>0.91</v>
      </c>
      <c r="I43" s="14">
        <v>0.91</v>
      </c>
      <c r="J43" s="14">
        <v>0.92</v>
      </c>
      <c r="K43" s="14">
        <v>0.94000000000000006</v>
      </c>
      <c r="L43" s="14">
        <v>0.94000000000000006</v>
      </c>
      <c r="M43" s="14">
        <v>0.9</v>
      </c>
      <c r="N43" s="14">
        <v>0.88</v>
      </c>
      <c r="O43" s="14">
        <v>0.9</v>
      </c>
      <c r="P43" s="14">
        <v>0.94000000000000006</v>
      </c>
      <c r="Q43" s="14">
        <v>0.83000000000000007</v>
      </c>
      <c r="R43" s="14">
        <v>0.87</v>
      </c>
      <c r="S43" s="14">
        <v>0.96</v>
      </c>
      <c r="T43" s="14">
        <v>0.91</v>
      </c>
      <c r="U43" s="14">
        <v>0.92</v>
      </c>
      <c r="V43" s="14">
        <v>0.94000000000000006</v>
      </c>
      <c r="W43" s="14">
        <v>0.92</v>
      </c>
      <c r="X43" s="14">
        <v>0.96</v>
      </c>
      <c r="Y43" s="14">
        <v>0.92</v>
      </c>
      <c r="Z43" s="14">
        <v>0.93</v>
      </c>
      <c r="AA43" s="14">
        <v>0.9</v>
      </c>
      <c r="AB43" s="14">
        <v>0.91</v>
      </c>
      <c r="AC43" s="14">
        <v>0.93</v>
      </c>
      <c r="AD43" s="14">
        <v>0.9</v>
      </c>
      <c r="AE43" s="14">
        <v>0.97</v>
      </c>
      <c r="AF43" s="14">
        <v>0.99</v>
      </c>
    </row>
    <row r="44" spans="1:32" ht="23.25">
      <c r="A44" s="23"/>
      <c r="B44" s="11" t="s">
        <v>909</v>
      </c>
      <c r="C44" s="12">
        <v>907</v>
      </c>
      <c r="D44" s="12">
        <v>31</v>
      </c>
      <c r="E44" s="12">
        <v>38</v>
      </c>
      <c r="F44" s="12">
        <v>18</v>
      </c>
      <c r="G44" s="12">
        <v>35</v>
      </c>
      <c r="H44" s="12">
        <v>31</v>
      </c>
      <c r="I44" s="12">
        <v>39</v>
      </c>
      <c r="J44" s="12">
        <v>9</v>
      </c>
      <c r="K44" s="12">
        <v>42</v>
      </c>
      <c r="L44" s="12">
        <v>28</v>
      </c>
      <c r="M44" s="12">
        <v>43</v>
      </c>
      <c r="N44" s="12">
        <v>60</v>
      </c>
      <c r="O44" s="12">
        <v>57</v>
      </c>
      <c r="P44" s="12">
        <v>21</v>
      </c>
      <c r="Q44" s="12">
        <v>35</v>
      </c>
      <c r="R44" s="12">
        <v>13</v>
      </c>
      <c r="S44" s="12">
        <v>60</v>
      </c>
      <c r="T44" s="12">
        <v>46</v>
      </c>
      <c r="U44" s="12">
        <v>21</v>
      </c>
      <c r="V44" s="12">
        <v>6</v>
      </c>
      <c r="W44" s="12">
        <v>13</v>
      </c>
      <c r="X44" s="12">
        <v>32</v>
      </c>
      <c r="Y44" s="12">
        <v>25</v>
      </c>
      <c r="Z44" s="12">
        <v>11</v>
      </c>
      <c r="AA44" s="12">
        <v>33</v>
      </c>
      <c r="AB44" s="12">
        <v>12</v>
      </c>
      <c r="AC44" s="12">
        <v>13</v>
      </c>
      <c r="AD44" s="12">
        <v>21</v>
      </c>
      <c r="AE44" s="12">
        <v>46</v>
      </c>
      <c r="AF44" s="12">
        <v>31</v>
      </c>
    </row>
    <row r="45" spans="1:32" ht="23.25">
      <c r="A45" s="23"/>
      <c r="B45" s="13" t="s">
        <v>910</v>
      </c>
      <c r="C45" s="14">
        <v>0.03</v>
      </c>
      <c r="D45" s="14">
        <v>0.03</v>
      </c>
      <c r="E45" s="14">
        <v>0.04</v>
      </c>
      <c r="F45" s="14">
        <v>0.02</v>
      </c>
      <c r="G45" s="14">
        <v>0.04</v>
      </c>
      <c r="H45" s="14">
        <v>0.03</v>
      </c>
      <c r="I45" s="14">
        <v>0.03</v>
      </c>
      <c r="J45" s="14">
        <v>0.03</v>
      </c>
      <c r="K45" s="14">
        <v>0.04</v>
      </c>
      <c r="L45" s="14">
        <v>0.03</v>
      </c>
      <c r="M45" s="14">
        <v>0.04</v>
      </c>
      <c r="N45" s="14">
        <v>0.06</v>
      </c>
      <c r="O45" s="14">
        <v>0.06</v>
      </c>
      <c r="P45" s="14">
        <v>0.02</v>
      </c>
      <c r="Q45" s="14">
        <v>0.03</v>
      </c>
      <c r="R45" s="14">
        <v>0.03</v>
      </c>
      <c r="S45" s="14">
        <v>0.06</v>
      </c>
      <c r="T45" s="14">
        <v>0.05</v>
      </c>
      <c r="U45" s="14">
        <v>0.04</v>
      </c>
      <c r="V45" s="14">
        <v>0.01</v>
      </c>
      <c r="W45" s="14">
        <v>0.03</v>
      </c>
      <c r="X45" s="14">
        <v>0.03</v>
      </c>
      <c r="Y45" s="14">
        <v>0.02</v>
      </c>
      <c r="Z45" s="14">
        <v>0.01</v>
      </c>
      <c r="AA45" s="14">
        <v>0.03</v>
      </c>
      <c r="AB45" s="14">
        <v>0.01</v>
      </c>
      <c r="AC45" s="14">
        <v>0.01</v>
      </c>
      <c r="AD45" s="14">
        <v>0.02</v>
      </c>
      <c r="AE45" s="14">
        <v>0.05</v>
      </c>
      <c r="AF45" s="14">
        <v>0.03</v>
      </c>
    </row>
    <row r="46" spans="1:32" ht="23.25">
      <c r="A46" s="23"/>
      <c r="B46" s="11" t="s">
        <v>911</v>
      </c>
      <c r="C46" s="12">
        <v>11676</v>
      </c>
      <c r="D46" s="12">
        <v>502</v>
      </c>
      <c r="E46" s="12">
        <v>460</v>
      </c>
      <c r="F46" s="12">
        <v>404</v>
      </c>
      <c r="G46" s="12">
        <v>429</v>
      </c>
      <c r="H46" s="12">
        <v>572</v>
      </c>
      <c r="I46" s="12">
        <v>694</v>
      </c>
      <c r="J46" s="12">
        <v>123</v>
      </c>
      <c r="K46" s="12">
        <v>393</v>
      </c>
      <c r="L46" s="12">
        <v>391</v>
      </c>
      <c r="M46" s="12">
        <v>438</v>
      </c>
      <c r="N46" s="12">
        <v>450</v>
      </c>
      <c r="O46" s="12">
        <v>510</v>
      </c>
      <c r="P46" s="12">
        <v>414</v>
      </c>
      <c r="Q46" s="12">
        <v>451</v>
      </c>
      <c r="R46" s="12">
        <v>193</v>
      </c>
      <c r="S46" s="12">
        <v>429</v>
      </c>
      <c r="T46" s="12">
        <v>455</v>
      </c>
      <c r="U46" s="12">
        <v>219</v>
      </c>
      <c r="V46" s="12">
        <v>358</v>
      </c>
      <c r="W46" s="12">
        <v>195</v>
      </c>
      <c r="X46" s="12">
        <v>435</v>
      </c>
      <c r="Y46" s="12">
        <v>394</v>
      </c>
      <c r="Z46" s="12">
        <v>386</v>
      </c>
      <c r="AA46" s="12">
        <v>437</v>
      </c>
      <c r="AB46" s="12">
        <v>425</v>
      </c>
      <c r="AC46" s="12">
        <v>450</v>
      </c>
      <c r="AD46" s="12">
        <v>417</v>
      </c>
      <c r="AE46" s="12">
        <v>451</v>
      </c>
      <c r="AF46" s="12">
        <v>412</v>
      </c>
    </row>
    <row r="47" spans="1:32" ht="23.25">
      <c r="A47" s="23"/>
      <c r="B47" s="13" t="s">
        <v>912</v>
      </c>
      <c r="C47" s="14">
        <v>0.44</v>
      </c>
      <c r="D47" s="14">
        <v>0.5</v>
      </c>
      <c r="E47" s="14">
        <v>0.44</v>
      </c>
      <c r="F47" s="14">
        <v>0.4</v>
      </c>
      <c r="G47" s="14">
        <v>0.43</v>
      </c>
      <c r="H47" s="14">
        <v>0.48</v>
      </c>
      <c r="I47" s="14">
        <v>0.46</v>
      </c>
      <c r="J47" s="14">
        <v>0.42</v>
      </c>
      <c r="K47" s="14">
        <v>0.4</v>
      </c>
      <c r="L47" s="14">
        <v>0.4</v>
      </c>
      <c r="M47" s="14">
        <v>0.43</v>
      </c>
      <c r="N47" s="14">
        <v>0.45</v>
      </c>
      <c r="O47" s="14">
        <v>0.5</v>
      </c>
      <c r="P47" s="14">
        <v>0.41</v>
      </c>
      <c r="Q47" s="14">
        <v>0.45</v>
      </c>
      <c r="R47" s="14">
        <v>0.39</v>
      </c>
      <c r="S47" s="14">
        <v>0.43</v>
      </c>
      <c r="T47" s="14">
        <v>0.45</v>
      </c>
      <c r="U47" s="14">
        <v>0.44</v>
      </c>
      <c r="V47" s="14">
        <v>0.36</v>
      </c>
      <c r="W47" s="14">
        <v>0.4</v>
      </c>
      <c r="X47" s="14">
        <v>0.43</v>
      </c>
      <c r="Y47" s="14">
        <v>0.39</v>
      </c>
      <c r="Z47" s="14">
        <v>0.38</v>
      </c>
      <c r="AA47" s="14">
        <v>0.41</v>
      </c>
      <c r="AB47" s="14">
        <v>0.41</v>
      </c>
      <c r="AC47" s="14">
        <v>0.44</v>
      </c>
      <c r="AD47" s="14">
        <v>0.42</v>
      </c>
      <c r="AE47" s="14">
        <v>0.44</v>
      </c>
      <c r="AF47" s="14">
        <v>0.39</v>
      </c>
    </row>
    <row r="48" spans="1:32" ht="45.75">
      <c r="A48" s="23"/>
      <c r="B48" s="11" t="s">
        <v>913</v>
      </c>
      <c r="C48" s="12">
        <v>3894</v>
      </c>
      <c r="D48" s="12">
        <v>183</v>
      </c>
      <c r="E48" s="12">
        <v>146</v>
      </c>
      <c r="F48" s="12">
        <v>113</v>
      </c>
      <c r="G48" s="12">
        <v>138</v>
      </c>
      <c r="H48" s="12">
        <v>182</v>
      </c>
      <c r="I48" s="12">
        <v>214</v>
      </c>
      <c r="J48" s="12">
        <v>35</v>
      </c>
      <c r="K48" s="12">
        <v>145</v>
      </c>
      <c r="L48" s="12">
        <v>134</v>
      </c>
      <c r="M48" s="12">
        <v>134</v>
      </c>
      <c r="N48" s="12">
        <v>181</v>
      </c>
      <c r="O48" s="12">
        <v>166</v>
      </c>
      <c r="P48" s="12">
        <v>102</v>
      </c>
      <c r="Q48" s="12">
        <v>173</v>
      </c>
      <c r="R48" s="12">
        <v>68</v>
      </c>
      <c r="S48" s="12">
        <v>155</v>
      </c>
      <c r="T48" s="12">
        <v>155</v>
      </c>
      <c r="U48" s="12">
        <v>90</v>
      </c>
      <c r="V48" s="12">
        <v>99</v>
      </c>
      <c r="W48" s="12">
        <v>66</v>
      </c>
      <c r="X48" s="12">
        <v>159</v>
      </c>
      <c r="Y48" s="12">
        <v>112</v>
      </c>
      <c r="Z48" s="12">
        <v>114</v>
      </c>
      <c r="AA48" s="12">
        <v>149</v>
      </c>
      <c r="AB48" s="12">
        <v>113</v>
      </c>
      <c r="AC48" s="12">
        <v>120</v>
      </c>
      <c r="AD48" s="12">
        <v>150</v>
      </c>
      <c r="AE48" s="12">
        <v>157</v>
      </c>
      <c r="AF48" s="12">
        <v>120</v>
      </c>
    </row>
    <row r="49" spans="1:32" ht="34.5">
      <c r="A49" s="23"/>
      <c r="B49" s="13" t="s">
        <v>914</v>
      </c>
      <c r="C49" s="14">
        <v>0.14000000000000001</v>
      </c>
      <c r="D49" s="14">
        <v>0.19</v>
      </c>
      <c r="E49" s="14">
        <v>0.15</v>
      </c>
      <c r="F49" s="14">
        <v>0.11</v>
      </c>
      <c r="G49" s="14">
        <v>0.14000000000000001</v>
      </c>
      <c r="H49" s="14">
        <v>0.16</v>
      </c>
      <c r="I49" s="14">
        <v>0.15</v>
      </c>
      <c r="J49" s="14">
        <v>0.12</v>
      </c>
      <c r="K49" s="14">
        <v>0.15</v>
      </c>
      <c r="L49" s="14">
        <v>0.14000000000000001</v>
      </c>
      <c r="M49" s="14">
        <v>0.13</v>
      </c>
      <c r="N49" s="14">
        <v>0.18</v>
      </c>
      <c r="O49" s="14">
        <v>0.17</v>
      </c>
      <c r="P49" s="14">
        <v>0.1</v>
      </c>
      <c r="Q49" s="14">
        <v>0.17</v>
      </c>
      <c r="R49" s="14">
        <v>0.14000000000000001</v>
      </c>
      <c r="S49" s="14">
        <v>0.16</v>
      </c>
      <c r="T49" s="14">
        <v>0.15</v>
      </c>
      <c r="U49" s="14">
        <v>0.19</v>
      </c>
      <c r="V49" s="14">
        <v>0.1</v>
      </c>
      <c r="W49" s="14">
        <v>0.14000000000000001</v>
      </c>
      <c r="X49" s="14">
        <v>0.16</v>
      </c>
      <c r="Y49" s="14">
        <v>0.11</v>
      </c>
      <c r="Z49" s="14">
        <v>0.11</v>
      </c>
      <c r="AA49" s="14">
        <v>0.14000000000000001</v>
      </c>
      <c r="AB49" s="14">
        <v>0.1</v>
      </c>
      <c r="AC49" s="14">
        <v>0.12</v>
      </c>
      <c r="AD49" s="14">
        <v>0.16</v>
      </c>
      <c r="AE49" s="14">
        <v>0.15</v>
      </c>
      <c r="AF49" s="14">
        <v>0.11</v>
      </c>
    </row>
    <row r="50" spans="1:32" ht="34.5">
      <c r="A50" s="23"/>
      <c r="B50" s="11" t="s">
        <v>915</v>
      </c>
      <c r="C50" s="12">
        <v>7782</v>
      </c>
      <c r="D50" s="12">
        <v>319</v>
      </c>
      <c r="E50" s="12">
        <v>314</v>
      </c>
      <c r="F50" s="12">
        <v>291</v>
      </c>
      <c r="G50" s="12">
        <v>291</v>
      </c>
      <c r="H50" s="12">
        <v>390</v>
      </c>
      <c r="I50" s="12">
        <v>480</v>
      </c>
      <c r="J50" s="12">
        <v>88</v>
      </c>
      <c r="K50" s="12">
        <v>248</v>
      </c>
      <c r="L50" s="12">
        <v>257</v>
      </c>
      <c r="M50" s="12">
        <v>304</v>
      </c>
      <c r="N50" s="12">
        <v>269</v>
      </c>
      <c r="O50" s="12">
        <v>344</v>
      </c>
      <c r="P50" s="12">
        <v>312</v>
      </c>
      <c r="Q50" s="12">
        <v>278</v>
      </c>
      <c r="R50" s="12">
        <v>125</v>
      </c>
      <c r="S50" s="12">
        <v>274</v>
      </c>
      <c r="T50" s="12">
        <v>300</v>
      </c>
      <c r="U50" s="12">
        <v>129</v>
      </c>
      <c r="V50" s="12">
        <v>259</v>
      </c>
      <c r="W50" s="12">
        <v>129</v>
      </c>
      <c r="X50" s="12">
        <v>276</v>
      </c>
      <c r="Y50" s="12">
        <v>282</v>
      </c>
      <c r="Z50" s="12">
        <v>272</v>
      </c>
      <c r="AA50" s="12">
        <v>288</v>
      </c>
      <c r="AB50" s="12">
        <v>312</v>
      </c>
      <c r="AC50" s="12">
        <v>330</v>
      </c>
      <c r="AD50" s="12">
        <v>267</v>
      </c>
      <c r="AE50" s="12">
        <v>294</v>
      </c>
      <c r="AF50" s="12">
        <v>292</v>
      </c>
    </row>
    <row r="51" spans="1:32" ht="23.25">
      <c r="A51" s="23"/>
      <c r="B51" s="13" t="s">
        <v>916</v>
      </c>
      <c r="C51" s="14">
        <v>0.3</v>
      </c>
      <c r="D51" s="14">
        <v>0.31</v>
      </c>
      <c r="E51" s="14">
        <v>0.28999999999999998</v>
      </c>
      <c r="F51" s="14">
        <v>0.28999999999999998</v>
      </c>
      <c r="G51" s="14">
        <v>0.28999999999999998</v>
      </c>
      <c r="H51" s="14">
        <v>0.32</v>
      </c>
      <c r="I51" s="14">
        <v>0.31</v>
      </c>
      <c r="J51" s="14">
        <v>0.3</v>
      </c>
      <c r="K51" s="14">
        <v>0.25</v>
      </c>
      <c r="L51" s="14">
        <v>0.26</v>
      </c>
      <c r="M51" s="14">
        <v>0.3</v>
      </c>
      <c r="N51" s="14">
        <v>0.27</v>
      </c>
      <c r="O51" s="14">
        <v>0.33</v>
      </c>
      <c r="P51" s="14">
        <v>0.31</v>
      </c>
      <c r="Q51" s="14">
        <v>0.28000000000000003</v>
      </c>
      <c r="R51" s="14">
        <v>0.25</v>
      </c>
      <c r="S51" s="14">
        <v>0.27</v>
      </c>
      <c r="T51" s="14">
        <v>0.3</v>
      </c>
      <c r="U51" s="14">
        <v>0.25</v>
      </c>
      <c r="V51" s="14">
        <v>0.26</v>
      </c>
      <c r="W51" s="14">
        <v>0.26</v>
      </c>
      <c r="X51" s="14">
        <v>0.27</v>
      </c>
      <c r="Y51" s="14">
        <v>0.28000000000000003</v>
      </c>
      <c r="Z51" s="14">
        <v>0.27</v>
      </c>
      <c r="AA51" s="14">
        <v>0.27</v>
      </c>
      <c r="AB51" s="14">
        <v>0.31</v>
      </c>
      <c r="AC51" s="14">
        <v>0.32</v>
      </c>
      <c r="AD51" s="14">
        <v>0.26</v>
      </c>
      <c r="AE51" s="14">
        <v>0.28999999999999998</v>
      </c>
      <c r="AF51" s="14">
        <v>0.28000000000000003</v>
      </c>
    </row>
    <row r="52" spans="1:32" ht="23.25">
      <c r="A52" s="23"/>
      <c r="B52" s="11" t="s">
        <v>917</v>
      </c>
      <c r="C52" s="12">
        <v>2161</v>
      </c>
      <c r="D52" s="12">
        <v>102</v>
      </c>
      <c r="E52" s="12">
        <v>64</v>
      </c>
      <c r="F52" s="12">
        <v>75</v>
      </c>
      <c r="G52" s="12">
        <v>84</v>
      </c>
      <c r="H52" s="12">
        <v>120</v>
      </c>
      <c r="I52" s="12">
        <v>134</v>
      </c>
      <c r="J52" s="12">
        <v>16</v>
      </c>
      <c r="K52" s="12">
        <v>71</v>
      </c>
      <c r="L52" s="12">
        <v>66</v>
      </c>
      <c r="M52" s="12">
        <v>64</v>
      </c>
      <c r="N52" s="12">
        <v>80</v>
      </c>
      <c r="O52" s="12">
        <v>79</v>
      </c>
      <c r="P52" s="12">
        <v>51</v>
      </c>
      <c r="Q52" s="12">
        <v>112</v>
      </c>
      <c r="R52" s="12">
        <v>36</v>
      </c>
      <c r="S52" s="12">
        <v>64</v>
      </c>
      <c r="T52" s="12">
        <v>81</v>
      </c>
      <c r="U52" s="12">
        <v>58</v>
      </c>
      <c r="V52" s="12">
        <v>64</v>
      </c>
      <c r="W52" s="12">
        <v>39</v>
      </c>
      <c r="X52" s="12">
        <v>93</v>
      </c>
      <c r="Y52" s="12">
        <v>61</v>
      </c>
      <c r="Z52" s="12">
        <v>53</v>
      </c>
      <c r="AA52" s="12">
        <v>99</v>
      </c>
      <c r="AB52" s="12">
        <v>66</v>
      </c>
      <c r="AC52" s="12">
        <v>93</v>
      </c>
      <c r="AD52" s="12">
        <v>96</v>
      </c>
      <c r="AE52" s="12">
        <v>83</v>
      </c>
      <c r="AF52" s="12">
        <v>70</v>
      </c>
    </row>
    <row r="53" spans="1:32" ht="23.25">
      <c r="A53" s="23"/>
      <c r="B53" s="13" t="s">
        <v>918</v>
      </c>
      <c r="C53" s="14">
        <v>0.08</v>
      </c>
      <c r="D53" s="14">
        <v>0.11</v>
      </c>
      <c r="E53" s="14">
        <v>7.0000000000000007E-2</v>
      </c>
      <c r="F53" s="14">
        <v>7.0000000000000007E-2</v>
      </c>
      <c r="G53" s="14">
        <v>0.08</v>
      </c>
      <c r="H53" s="14">
        <v>0.1</v>
      </c>
      <c r="I53" s="14">
        <v>0.09</v>
      </c>
      <c r="J53" s="14">
        <v>0.05</v>
      </c>
      <c r="K53" s="14">
        <v>7.0000000000000007E-2</v>
      </c>
      <c r="L53" s="14">
        <v>7.0000000000000007E-2</v>
      </c>
      <c r="M53" s="14">
        <v>0.06</v>
      </c>
      <c r="N53" s="14">
        <v>0.08</v>
      </c>
      <c r="O53" s="14">
        <v>0.08</v>
      </c>
      <c r="P53" s="14">
        <v>0.05</v>
      </c>
      <c r="Q53" s="14">
        <v>0.11</v>
      </c>
      <c r="R53" s="14">
        <v>7.0000000000000007E-2</v>
      </c>
      <c r="S53" s="14">
        <v>7.0000000000000007E-2</v>
      </c>
      <c r="T53" s="14">
        <v>0.08</v>
      </c>
      <c r="U53" s="14">
        <v>0.12</v>
      </c>
      <c r="V53" s="14">
        <v>0.06</v>
      </c>
      <c r="W53" s="14">
        <v>0.08</v>
      </c>
      <c r="X53" s="14">
        <v>0.09</v>
      </c>
      <c r="Y53" s="14">
        <v>0.06</v>
      </c>
      <c r="Z53" s="14">
        <v>0.05</v>
      </c>
      <c r="AA53" s="14">
        <v>0.09</v>
      </c>
      <c r="AB53" s="14">
        <v>0.06</v>
      </c>
      <c r="AC53" s="14">
        <v>0.09</v>
      </c>
      <c r="AD53" s="14">
        <v>0.1</v>
      </c>
      <c r="AE53" s="14">
        <v>0.08</v>
      </c>
      <c r="AF53" s="14">
        <v>0.06</v>
      </c>
    </row>
  </sheetData>
  <mergeCells count="10">
    <mergeCell ref="B4:F4"/>
    <mergeCell ref="H3:L3"/>
    <mergeCell ref="C8:AF8"/>
    <mergeCell ref="A38:A53"/>
    <mergeCell ref="B3:F3"/>
    <mergeCell ref="B5:F5"/>
    <mergeCell ref="A10:A37"/>
    <mergeCell ref="H5:L5"/>
    <mergeCell ref="B10:B11"/>
    <mergeCell ref="H4:L4"/>
  </mergeCells>
  <pageMargins left="0.75" right="0.75" top="1" bottom="1"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111</v>
      </c>
      <c r="C3" s="19"/>
      <c r="D3" s="19"/>
      <c r="E3" s="19"/>
      <c r="F3" s="19"/>
      <c r="H3" s="19" t="s">
        <v>112</v>
      </c>
      <c r="I3" s="19"/>
      <c r="J3" s="19"/>
      <c r="K3" s="19"/>
      <c r="L3" s="19"/>
    </row>
    <row r="4" spans="1:32" ht="27" customHeight="1">
      <c r="B4" s="19"/>
      <c r="C4" s="19"/>
      <c r="D4" s="19"/>
      <c r="E4" s="19"/>
      <c r="F4" s="19"/>
      <c r="H4" s="19"/>
      <c r="I4" s="19"/>
      <c r="J4" s="19"/>
      <c r="K4" s="19"/>
      <c r="L4" s="19"/>
    </row>
    <row r="5" spans="1:32" ht="12" customHeight="1">
      <c r="B5" s="19" t="s">
        <v>919</v>
      </c>
      <c r="C5" s="19"/>
      <c r="D5" s="19"/>
      <c r="E5" s="19"/>
      <c r="F5" s="19"/>
      <c r="H5" s="19" t="s">
        <v>920</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HYPERLINK("#Content!A57","&lt;&lt;Back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14408</v>
      </c>
      <c r="D10" s="10">
        <v>498</v>
      </c>
      <c r="E10" s="10">
        <v>582</v>
      </c>
      <c r="F10" s="10">
        <v>601</v>
      </c>
      <c r="G10" s="10">
        <v>566</v>
      </c>
      <c r="H10" s="10">
        <v>623</v>
      </c>
      <c r="I10" s="10">
        <v>792</v>
      </c>
      <c r="J10" s="10">
        <v>169</v>
      </c>
      <c r="K10" s="10">
        <v>595</v>
      </c>
      <c r="L10" s="10">
        <v>599</v>
      </c>
      <c r="M10" s="10">
        <v>564</v>
      </c>
      <c r="N10" s="10">
        <v>531</v>
      </c>
      <c r="O10" s="10">
        <v>489</v>
      </c>
      <c r="P10" s="10">
        <v>587</v>
      </c>
      <c r="Q10" s="10">
        <v>556</v>
      </c>
      <c r="R10" s="10">
        <v>299</v>
      </c>
      <c r="S10" s="10">
        <v>564</v>
      </c>
      <c r="T10" s="10">
        <v>527</v>
      </c>
      <c r="U10" s="10">
        <v>281</v>
      </c>
      <c r="V10" s="10">
        <v>647</v>
      </c>
      <c r="W10" s="10">
        <v>304</v>
      </c>
      <c r="X10" s="10">
        <v>569</v>
      </c>
      <c r="Y10" s="10">
        <v>596</v>
      </c>
      <c r="Z10" s="10">
        <v>629</v>
      </c>
      <c r="AA10" s="10">
        <v>599</v>
      </c>
      <c r="AB10" s="10">
        <v>604</v>
      </c>
      <c r="AC10" s="10">
        <v>548</v>
      </c>
      <c r="AD10" s="10">
        <v>570</v>
      </c>
      <c r="AE10" s="10">
        <v>544</v>
      </c>
      <c r="AF10" s="10">
        <v>655</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921</v>
      </c>
      <c r="C12" s="12">
        <v>3999</v>
      </c>
      <c r="D12" s="12">
        <v>117</v>
      </c>
      <c r="E12" s="12">
        <v>121</v>
      </c>
      <c r="F12" s="12">
        <v>144</v>
      </c>
      <c r="G12" s="12">
        <v>412</v>
      </c>
      <c r="H12" s="12">
        <v>208</v>
      </c>
      <c r="I12" s="12">
        <v>278</v>
      </c>
      <c r="J12" s="12">
        <v>70</v>
      </c>
      <c r="K12" s="12">
        <v>154</v>
      </c>
      <c r="L12" s="12">
        <v>273</v>
      </c>
      <c r="M12" s="12">
        <v>74</v>
      </c>
      <c r="N12" s="12">
        <v>180</v>
      </c>
      <c r="O12" s="12">
        <v>118</v>
      </c>
      <c r="P12" s="12">
        <v>121</v>
      </c>
      <c r="Q12" s="12">
        <v>89</v>
      </c>
      <c r="R12" s="12">
        <v>85</v>
      </c>
      <c r="S12" s="12">
        <v>207</v>
      </c>
      <c r="T12" s="12">
        <v>118</v>
      </c>
      <c r="U12" s="12">
        <v>114</v>
      </c>
      <c r="V12" s="12">
        <v>133</v>
      </c>
      <c r="W12" s="12">
        <v>129</v>
      </c>
      <c r="X12" s="12">
        <v>312</v>
      </c>
      <c r="Y12" s="12">
        <v>283</v>
      </c>
      <c r="Z12" s="12">
        <v>83</v>
      </c>
      <c r="AA12" s="12">
        <v>158</v>
      </c>
      <c r="AB12" s="12">
        <v>71</v>
      </c>
      <c r="AC12" s="12">
        <v>183</v>
      </c>
      <c r="AD12" s="12">
        <v>119</v>
      </c>
      <c r="AE12" s="12">
        <v>206</v>
      </c>
      <c r="AF12" s="12">
        <v>335</v>
      </c>
    </row>
    <row r="13" spans="1:32">
      <c r="A13" s="23"/>
      <c r="B13" s="13" t="s">
        <v>922</v>
      </c>
      <c r="C13" s="14">
        <v>0.28000000000000003</v>
      </c>
      <c r="D13" s="14">
        <v>0.23</v>
      </c>
      <c r="E13" s="14">
        <v>0.21</v>
      </c>
      <c r="F13" s="14">
        <v>0.24</v>
      </c>
      <c r="G13" s="14">
        <v>0.73</v>
      </c>
      <c r="H13" s="14">
        <v>0.33</v>
      </c>
      <c r="I13" s="14">
        <v>0.35</v>
      </c>
      <c r="J13" s="14">
        <v>0.41</v>
      </c>
      <c r="K13" s="14">
        <v>0.26</v>
      </c>
      <c r="L13" s="14">
        <v>0.46</v>
      </c>
      <c r="M13" s="14">
        <v>0.13</v>
      </c>
      <c r="N13" s="14">
        <v>0.34</v>
      </c>
      <c r="O13" s="14">
        <v>0.24</v>
      </c>
      <c r="P13" s="14">
        <v>0.21</v>
      </c>
      <c r="Q13" s="14">
        <v>0.16</v>
      </c>
      <c r="R13" s="14">
        <v>0.28000000000000003</v>
      </c>
      <c r="S13" s="14">
        <v>0.37</v>
      </c>
      <c r="T13" s="14">
        <v>0.23</v>
      </c>
      <c r="U13" s="14">
        <v>0.41</v>
      </c>
      <c r="V13" s="14">
        <v>0.2</v>
      </c>
      <c r="W13" s="14">
        <v>0.42</v>
      </c>
      <c r="X13" s="14">
        <v>0.55000000000000004</v>
      </c>
      <c r="Y13" s="14">
        <v>0.48</v>
      </c>
      <c r="Z13" s="14">
        <v>0.13</v>
      </c>
      <c r="AA13" s="14">
        <v>0.26</v>
      </c>
      <c r="AB13" s="14">
        <v>0.12</v>
      </c>
      <c r="AC13" s="14">
        <v>0.33</v>
      </c>
      <c r="AD13" s="14">
        <v>0.21</v>
      </c>
      <c r="AE13" s="14">
        <v>0.38</v>
      </c>
      <c r="AF13" s="14">
        <v>0.51</v>
      </c>
    </row>
    <row r="14" spans="1:32">
      <c r="A14" s="23"/>
      <c r="B14" s="11" t="s">
        <v>923</v>
      </c>
      <c r="C14" s="12">
        <v>8301</v>
      </c>
      <c r="D14" s="12">
        <v>308</v>
      </c>
      <c r="E14" s="12">
        <v>351</v>
      </c>
      <c r="F14" s="12">
        <v>397</v>
      </c>
      <c r="G14" s="12">
        <v>122</v>
      </c>
      <c r="H14" s="12">
        <v>348</v>
      </c>
      <c r="I14" s="12">
        <v>422</v>
      </c>
      <c r="J14" s="12">
        <v>74</v>
      </c>
      <c r="K14" s="12">
        <v>327</v>
      </c>
      <c r="L14" s="12">
        <v>284</v>
      </c>
      <c r="M14" s="12">
        <v>325</v>
      </c>
      <c r="N14" s="12">
        <v>277</v>
      </c>
      <c r="O14" s="12">
        <v>286</v>
      </c>
      <c r="P14" s="12">
        <v>320</v>
      </c>
      <c r="Q14" s="12">
        <v>372</v>
      </c>
      <c r="R14" s="12">
        <v>159</v>
      </c>
      <c r="S14" s="12">
        <v>291</v>
      </c>
      <c r="T14" s="12">
        <v>325</v>
      </c>
      <c r="U14" s="12">
        <v>138</v>
      </c>
      <c r="V14" s="12">
        <v>431</v>
      </c>
      <c r="W14" s="12">
        <v>148</v>
      </c>
      <c r="X14" s="12">
        <v>215</v>
      </c>
      <c r="Y14" s="12">
        <v>237</v>
      </c>
      <c r="Z14" s="12">
        <v>490</v>
      </c>
      <c r="AA14" s="12">
        <v>346</v>
      </c>
      <c r="AB14" s="12">
        <v>324</v>
      </c>
      <c r="AC14" s="12">
        <v>292</v>
      </c>
      <c r="AD14" s="12">
        <v>379</v>
      </c>
      <c r="AE14" s="12">
        <v>300</v>
      </c>
      <c r="AF14" s="12">
        <v>269</v>
      </c>
    </row>
    <row r="15" spans="1:32">
      <c r="A15" s="23"/>
      <c r="B15" s="13" t="s">
        <v>924</v>
      </c>
      <c r="C15" s="14">
        <v>0.57000000000000006</v>
      </c>
      <c r="D15" s="14">
        <v>0.62</v>
      </c>
      <c r="E15" s="14">
        <v>0.6</v>
      </c>
      <c r="F15" s="14">
        <v>0.66</v>
      </c>
      <c r="G15" s="14">
        <v>0.21</v>
      </c>
      <c r="H15" s="14">
        <v>0.56000000000000005</v>
      </c>
      <c r="I15" s="14">
        <v>0.53</v>
      </c>
      <c r="J15" s="14">
        <v>0.44</v>
      </c>
      <c r="K15" s="14">
        <v>0.55000000000000004</v>
      </c>
      <c r="L15" s="14">
        <v>0.47</v>
      </c>
      <c r="M15" s="14">
        <v>0.57999999999999996</v>
      </c>
      <c r="N15" s="14">
        <v>0.52</v>
      </c>
      <c r="O15" s="14">
        <v>0.59</v>
      </c>
      <c r="P15" s="14">
        <v>0.54</v>
      </c>
      <c r="Q15" s="14">
        <v>0.67</v>
      </c>
      <c r="R15" s="14">
        <v>0.53</v>
      </c>
      <c r="S15" s="14">
        <v>0.51</v>
      </c>
      <c r="T15" s="14">
        <v>0.62</v>
      </c>
      <c r="U15" s="14">
        <v>0.49</v>
      </c>
      <c r="V15" s="14">
        <v>0.67</v>
      </c>
      <c r="W15" s="14">
        <v>0.49</v>
      </c>
      <c r="X15" s="14">
        <v>0.38</v>
      </c>
      <c r="Y15" s="14">
        <v>0.4</v>
      </c>
      <c r="Z15" s="14">
        <v>0.78</v>
      </c>
      <c r="AA15" s="14">
        <v>0.57999999999999996</v>
      </c>
      <c r="AB15" s="14">
        <v>0.54</v>
      </c>
      <c r="AC15" s="14">
        <v>0.53</v>
      </c>
      <c r="AD15" s="14">
        <v>0.66</v>
      </c>
      <c r="AE15" s="14">
        <v>0.55000000000000004</v>
      </c>
      <c r="AF15" s="14">
        <v>0.41</v>
      </c>
    </row>
    <row r="16" spans="1:32">
      <c r="A16" s="23"/>
      <c r="B16" s="11" t="s">
        <v>925</v>
      </c>
      <c r="C16" s="12">
        <v>1839</v>
      </c>
      <c r="D16" s="12">
        <v>70</v>
      </c>
      <c r="E16" s="12">
        <v>96</v>
      </c>
      <c r="F16" s="12">
        <v>53</v>
      </c>
      <c r="G16" s="12">
        <v>21</v>
      </c>
      <c r="H16" s="12">
        <v>61</v>
      </c>
      <c r="I16" s="12">
        <v>84</v>
      </c>
      <c r="J16" s="12">
        <v>23</v>
      </c>
      <c r="K16" s="12">
        <v>95</v>
      </c>
      <c r="L16" s="12">
        <v>33</v>
      </c>
      <c r="M16" s="12">
        <v>146</v>
      </c>
      <c r="N16" s="12">
        <v>65</v>
      </c>
      <c r="O16" s="12">
        <v>75</v>
      </c>
      <c r="P16" s="12">
        <v>129</v>
      </c>
      <c r="Q16" s="12">
        <v>81</v>
      </c>
      <c r="R16" s="12">
        <v>47</v>
      </c>
      <c r="S16" s="12">
        <v>55</v>
      </c>
      <c r="T16" s="12">
        <v>80</v>
      </c>
      <c r="U16" s="12">
        <v>22</v>
      </c>
      <c r="V16" s="12">
        <v>76</v>
      </c>
      <c r="W16" s="12">
        <v>22</v>
      </c>
      <c r="X16" s="12">
        <v>27</v>
      </c>
      <c r="Y16" s="12">
        <v>62</v>
      </c>
      <c r="Z16" s="12">
        <v>50</v>
      </c>
      <c r="AA16" s="12">
        <v>86</v>
      </c>
      <c r="AB16" s="12">
        <v>184</v>
      </c>
      <c r="AC16" s="12">
        <v>64</v>
      </c>
      <c r="AD16" s="12">
        <v>67</v>
      </c>
      <c r="AE16" s="12">
        <v>31</v>
      </c>
      <c r="AF16" s="12">
        <v>39</v>
      </c>
    </row>
    <row r="17" spans="1:32">
      <c r="A17" s="23"/>
      <c r="B17" s="13" t="s">
        <v>926</v>
      </c>
      <c r="C17" s="14">
        <v>0.13</v>
      </c>
      <c r="D17" s="14">
        <v>0.14000000000000001</v>
      </c>
      <c r="E17" s="14">
        <v>0.17</v>
      </c>
      <c r="F17" s="14">
        <v>0.09</v>
      </c>
      <c r="G17" s="14">
        <v>0.04</v>
      </c>
      <c r="H17" s="14">
        <v>0.1</v>
      </c>
      <c r="I17" s="14">
        <v>0.11</v>
      </c>
      <c r="J17" s="14">
        <v>0.13</v>
      </c>
      <c r="K17" s="14">
        <v>0.16</v>
      </c>
      <c r="L17" s="14">
        <v>0.06</v>
      </c>
      <c r="M17" s="14">
        <v>0.26</v>
      </c>
      <c r="N17" s="14">
        <v>0.12</v>
      </c>
      <c r="O17" s="14">
        <v>0.15</v>
      </c>
      <c r="P17" s="14">
        <v>0.22</v>
      </c>
      <c r="Q17" s="14">
        <v>0.14000000000000001</v>
      </c>
      <c r="R17" s="14">
        <v>0.16</v>
      </c>
      <c r="S17" s="14">
        <v>0.1</v>
      </c>
      <c r="T17" s="14">
        <v>0.15</v>
      </c>
      <c r="U17" s="14">
        <v>0.08</v>
      </c>
      <c r="V17" s="14">
        <v>0.12</v>
      </c>
      <c r="W17" s="14">
        <v>7.0000000000000007E-2</v>
      </c>
      <c r="X17" s="14">
        <v>0.04</v>
      </c>
      <c r="Y17" s="14">
        <v>0.1</v>
      </c>
      <c r="Z17" s="14">
        <v>0.08</v>
      </c>
      <c r="AA17" s="14">
        <v>0.15</v>
      </c>
      <c r="AB17" s="14">
        <v>0.3</v>
      </c>
      <c r="AC17" s="14">
        <v>0.12</v>
      </c>
      <c r="AD17" s="14">
        <v>0.12</v>
      </c>
      <c r="AE17" s="14">
        <v>0.06</v>
      </c>
      <c r="AF17" s="14">
        <v>0.06</v>
      </c>
    </row>
    <row r="18" spans="1:32">
      <c r="A18" s="23"/>
      <c r="B18" s="11" t="s">
        <v>927</v>
      </c>
      <c r="C18" s="12">
        <v>238</v>
      </c>
      <c r="D18" s="12">
        <v>3</v>
      </c>
      <c r="E18" s="12">
        <v>12</v>
      </c>
      <c r="F18" s="12">
        <v>4</v>
      </c>
      <c r="G18" s="12">
        <v>7</v>
      </c>
      <c r="H18" s="12">
        <v>6</v>
      </c>
      <c r="I18" s="12">
        <v>8</v>
      </c>
      <c r="J18" s="12">
        <v>1</v>
      </c>
      <c r="K18" s="12">
        <v>15</v>
      </c>
      <c r="L18" s="12">
        <v>7</v>
      </c>
      <c r="M18" s="12">
        <v>19</v>
      </c>
      <c r="N18" s="12">
        <v>9</v>
      </c>
      <c r="O18" s="12">
        <v>11</v>
      </c>
      <c r="P18" s="12">
        <v>15</v>
      </c>
      <c r="Q18" s="12">
        <v>15</v>
      </c>
      <c r="R18" s="12">
        <v>8</v>
      </c>
      <c r="S18" s="12">
        <v>11</v>
      </c>
      <c r="T18" s="12">
        <v>2</v>
      </c>
      <c r="U18" s="12">
        <v>6</v>
      </c>
      <c r="V18" s="12">
        <v>5</v>
      </c>
      <c r="W18" s="12">
        <v>4</v>
      </c>
      <c r="X18" s="12">
        <v>11</v>
      </c>
      <c r="Y18" s="12">
        <v>11</v>
      </c>
      <c r="Z18" s="12">
        <v>2</v>
      </c>
      <c r="AA18" s="12">
        <v>6</v>
      </c>
      <c r="AB18" s="12">
        <v>24</v>
      </c>
      <c r="AC18" s="12">
        <v>8</v>
      </c>
      <c r="AD18" s="12">
        <v>3</v>
      </c>
      <c r="AE18" s="12">
        <v>3</v>
      </c>
      <c r="AF18" s="12">
        <v>9</v>
      </c>
    </row>
    <row r="19" spans="1:32">
      <c r="A19" s="23"/>
      <c r="B19" s="13" t="s">
        <v>928</v>
      </c>
      <c r="C19" s="14">
        <v>0.02</v>
      </c>
      <c r="D19" s="14">
        <v>0.01</v>
      </c>
      <c r="E19" s="14">
        <v>0.02</v>
      </c>
      <c r="F19" s="14">
        <v>0.01</v>
      </c>
      <c r="G19" s="14">
        <v>0.01</v>
      </c>
      <c r="H19" s="14">
        <v>0.01</v>
      </c>
      <c r="I19" s="14">
        <v>0.01</v>
      </c>
      <c r="J19" s="14">
        <v>0.01</v>
      </c>
      <c r="K19" s="14">
        <v>0.02</v>
      </c>
      <c r="L19" s="14">
        <v>0.01</v>
      </c>
      <c r="M19" s="14">
        <v>0.03</v>
      </c>
      <c r="N19" s="14">
        <v>0.02</v>
      </c>
      <c r="O19" s="14">
        <v>0.02</v>
      </c>
      <c r="P19" s="14">
        <v>0.03</v>
      </c>
      <c r="Q19" s="14">
        <v>0.03</v>
      </c>
      <c r="R19" s="14">
        <v>0.03</v>
      </c>
      <c r="S19" s="14">
        <v>0.02</v>
      </c>
      <c r="T19" s="15" t="s">
        <v>485</v>
      </c>
      <c r="U19" s="14">
        <v>0.02</v>
      </c>
      <c r="V19" s="14">
        <v>0.01</v>
      </c>
      <c r="W19" s="14">
        <v>0.02</v>
      </c>
      <c r="X19" s="14">
        <v>0.02</v>
      </c>
      <c r="Y19" s="14">
        <v>0.02</v>
      </c>
      <c r="Z19" s="15" t="s">
        <v>485</v>
      </c>
      <c r="AA19" s="14">
        <v>0.01</v>
      </c>
      <c r="AB19" s="14">
        <v>0.04</v>
      </c>
      <c r="AC19" s="14">
        <v>0.02</v>
      </c>
      <c r="AD19" s="14">
        <v>0.01</v>
      </c>
      <c r="AE19" s="15" t="s">
        <v>485</v>
      </c>
      <c r="AF19" s="14">
        <v>0.01</v>
      </c>
    </row>
    <row r="20" spans="1:32">
      <c r="A20" s="23"/>
      <c r="B20" s="11" t="s">
        <v>497</v>
      </c>
      <c r="C20" s="12">
        <v>31</v>
      </c>
      <c r="D20" s="12">
        <v>0</v>
      </c>
      <c r="E20" s="12">
        <v>2</v>
      </c>
      <c r="F20" s="12">
        <v>3</v>
      </c>
      <c r="G20" s="12">
        <v>5</v>
      </c>
      <c r="H20" s="12">
        <v>0</v>
      </c>
      <c r="I20" s="12">
        <v>1</v>
      </c>
      <c r="J20" s="12">
        <v>1</v>
      </c>
      <c r="K20" s="12">
        <v>4</v>
      </c>
      <c r="L20" s="12">
        <v>2</v>
      </c>
      <c r="M20" s="12">
        <v>0</v>
      </c>
      <c r="N20" s="12">
        <v>0</v>
      </c>
      <c r="O20" s="12">
        <v>0</v>
      </c>
      <c r="P20" s="12">
        <v>2</v>
      </c>
      <c r="Q20" s="12">
        <v>0</v>
      </c>
      <c r="R20" s="12">
        <v>0</v>
      </c>
      <c r="S20" s="12">
        <v>1</v>
      </c>
      <c r="T20" s="12">
        <v>1</v>
      </c>
      <c r="U20" s="12">
        <v>0</v>
      </c>
      <c r="V20" s="12">
        <v>1</v>
      </c>
      <c r="W20" s="12">
        <v>0</v>
      </c>
      <c r="X20" s="12">
        <v>4</v>
      </c>
      <c r="Y20" s="12">
        <v>3</v>
      </c>
      <c r="Z20" s="12">
        <v>4</v>
      </c>
      <c r="AA20" s="12">
        <v>2</v>
      </c>
      <c r="AB20" s="12">
        <v>1</v>
      </c>
      <c r="AC20" s="12">
        <v>2</v>
      </c>
      <c r="AD20" s="12">
        <v>2</v>
      </c>
      <c r="AE20" s="12">
        <v>4</v>
      </c>
      <c r="AF20" s="12">
        <v>3</v>
      </c>
    </row>
    <row r="21" spans="1:32">
      <c r="A21" s="23"/>
      <c r="B21" s="13" t="s">
        <v>498</v>
      </c>
      <c r="C21" s="15" t="s">
        <v>485</v>
      </c>
      <c r="D21" s="15" t="s">
        <v>485</v>
      </c>
      <c r="E21" s="15" t="s">
        <v>485</v>
      </c>
      <c r="F21" s="15" t="s">
        <v>485</v>
      </c>
      <c r="G21" s="14">
        <v>0.01</v>
      </c>
      <c r="H21" s="15" t="s">
        <v>485</v>
      </c>
      <c r="I21" s="15" t="s">
        <v>485</v>
      </c>
      <c r="J21" s="14">
        <v>0.01</v>
      </c>
      <c r="K21" s="14">
        <v>0.01</v>
      </c>
      <c r="L21" s="15" t="s">
        <v>485</v>
      </c>
      <c r="M21" s="15" t="s">
        <v>485</v>
      </c>
      <c r="N21" s="15" t="s">
        <v>485</v>
      </c>
      <c r="O21" s="15" t="s">
        <v>485</v>
      </c>
      <c r="P21" s="15" t="s">
        <v>485</v>
      </c>
      <c r="Q21" s="15" t="s">
        <v>485</v>
      </c>
      <c r="R21" s="15" t="s">
        <v>485</v>
      </c>
      <c r="S21" s="15" t="s">
        <v>485</v>
      </c>
      <c r="T21" s="15" t="s">
        <v>485</v>
      </c>
      <c r="U21" s="15" t="s">
        <v>485</v>
      </c>
      <c r="V21" s="15" t="s">
        <v>485</v>
      </c>
      <c r="W21" s="15" t="s">
        <v>485</v>
      </c>
      <c r="X21" s="14">
        <v>0.01</v>
      </c>
      <c r="Y21" s="15" t="s">
        <v>485</v>
      </c>
      <c r="Z21" s="14">
        <v>0.01</v>
      </c>
      <c r="AA21" s="15" t="s">
        <v>485</v>
      </c>
      <c r="AB21" s="15" t="s">
        <v>485</v>
      </c>
      <c r="AC21" s="15" t="s">
        <v>485</v>
      </c>
      <c r="AD21" s="15" t="s">
        <v>485</v>
      </c>
      <c r="AE21" s="14">
        <v>0.01</v>
      </c>
      <c r="AF21" s="14">
        <v>0.01</v>
      </c>
    </row>
    <row r="22" spans="1:32">
      <c r="A22" s="23"/>
      <c r="B22" s="11" t="s">
        <v>929</v>
      </c>
      <c r="C22" s="12">
        <v>12300</v>
      </c>
      <c r="D22" s="12">
        <v>425</v>
      </c>
      <c r="E22" s="12">
        <v>472</v>
      </c>
      <c r="F22" s="12">
        <v>541</v>
      </c>
      <c r="G22" s="12">
        <v>534</v>
      </c>
      <c r="H22" s="12">
        <v>556</v>
      </c>
      <c r="I22" s="12">
        <v>700</v>
      </c>
      <c r="J22" s="12">
        <v>144</v>
      </c>
      <c r="K22" s="12">
        <v>481</v>
      </c>
      <c r="L22" s="12">
        <v>557</v>
      </c>
      <c r="M22" s="12">
        <v>399</v>
      </c>
      <c r="N22" s="12">
        <v>457</v>
      </c>
      <c r="O22" s="12">
        <v>404</v>
      </c>
      <c r="P22" s="12">
        <v>441</v>
      </c>
      <c r="Q22" s="12">
        <v>461</v>
      </c>
      <c r="R22" s="12">
        <v>244</v>
      </c>
      <c r="S22" s="12">
        <v>498</v>
      </c>
      <c r="T22" s="12">
        <v>443</v>
      </c>
      <c r="U22" s="12">
        <v>252</v>
      </c>
      <c r="V22" s="12">
        <v>564</v>
      </c>
      <c r="W22" s="12">
        <v>277</v>
      </c>
      <c r="X22" s="12">
        <v>527</v>
      </c>
      <c r="Y22" s="12">
        <v>520</v>
      </c>
      <c r="Z22" s="12">
        <v>573</v>
      </c>
      <c r="AA22" s="12">
        <v>504</v>
      </c>
      <c r="AB22" s="12">
        <v>395</v>
      </c>
      <c r="AC22" s="12">
        <v>475</v>
      </c>
      <c r="AD22" s="12">
        <v>498</v>
      </c>
      <c r="AE22" s="12">
        <v>506</v>
      </c>
      <c r="AF22" s="12">
        <v>604</v>
      </c>
    </row>
    <row r="23" spans="1:32">
      <c r="A23" s="23"/>
      <c r="B23" s="13" t="s">
        <v>930</v>
      </c>
      <c r="C23" s="14">
        <v>0.85</v>
      </c>
      <c r="D23" s="14">
        <v>0.85</v>
      </c>
      <c r="E23" s="14">
        <v>0.81</v>
      </c>
      <c r="F23" s="14">
        <v>0.9</v>
      </c>
      <c r="G23" s="14">
        <v>0.94000000000000006</v>
      </c>
      <c r="H23" s="14">
        <v>0.89</v>
      </c>
      <c r="I23" s="14">
        <v>0.88</v>
      </c>
      <c r="J23" s="14">
        <v>0.85</v>
      </c>
      <c r="K23" s="14">
        <v>0.81</v>
      </c>
      <c r="L23" s="14">
        <v>0.93</v>
      </c>
      <c r="M23" s="14">
        <v>0.71</v>
      </c>
      <c r="N23" s="14">
        <v>0.86</v>
      </c>
      <c r="O23" s="14">
        <v>0.83000000000000007</v>
      </c>
      <c r="P23" s="14">
        <v>0.75</v>
      </c>
      <c r="Q23" s="14">
        <v>0.83000000000000007</v>
      </c>
      <c r="R23" s="14">
        <v>0.81</v>
      </c>
      <c r="S23" s="14">
        <v>0.88</v>
      </c>
      <c r="T23" s="14">
        <v>0.85</v>
      </c>
      <c r="U23" s="14">
        <v>0.9</v>
      </c>
      <c r="V23" s="14">
        <v>0.87</v>
      </c>
      <c r="W23" s="14">
        <v>0.91</v>
      </c>
      <c r="X23" s="14">
        <v>0.93</v>
      </c>
      <c r="Y23" s="14">
        <v>0.88</v>
      </c>
      <c r="Z23" s="14">
        <v>0.91</v>
      </c>
      <c r="AA23" s="14">
        <v>0.84</v>
      </c>
      <c r="AB23" s="14">
        <v>0.66</v>
      </c>
      <c r="AC23" s="14">
        <v>0.86</v>
      </c>
      <c r="AD23" s="14">
        <v>0.87</v>
      </c>
      <c r="AE23" s="14">
        <v>0.93</v>
      </c>
      <c r="AF23" s="14">
        <v>0.92</v>
      </c>
    </row>
    <row r="24" spans="1:32">
      <c r="A24" s="23"/>
      <c r="B24" s="11" t="s">
        <v>931</v>
      </c>
      <c r="C24" s="12">
        <v>2077</v>
      </c>
      <c r="D24" s="12">
        <v>73</v>
      </c>
      <c r="E24" s="12">
        <v>108</v>
      </c>
      <c r="F24" s="12">
        <v>57</v>
      </c>
      <c r="G24" s="12">
        <v>28</v>
      </c>
      <c r="H24" s="12">
        <v>67</v>
      </c>
      <c r="I24" s="12">
        <v>92</v>
      </c>
      <c r="J24" s="12">
        <v>24</v>
      </c>
      <c r="K24" s="12">
        <v>110</v>
      </c>
      <c r="L24" s="12">
        <v>40</v>
      </c>
      <c r="M24" s="12">
        <v>165</v>
      </c>
      <c r="N24" s="12">
        <v>74</v>
      </c>
      <c r="O24" s="12">
        <v>86</v>
      </c>
      <c r="P24" s="12">
        <v>144</v>
      </c>
      <c r="Q24" s="12">
        <v>96</v>
      </c>
      <c r="R24" s="12">
        <v>55</v>
      </c>
      <c r="S24" s="12">
        <v>66</v>
      </c>
      <c r="T24" s="12">
        <v>82</v>
      </c>
      <c r="U24" s="12">
        <v>28</v>
      </c>
      <c r="V24" s="12">
        <v>81</v>
      </c>
      <c r="W24" s="12">
        <v>26</v>
      </c>
      <c r="X24" s="12">
        <v>38</v>
      </c>
      <c r="Y24" s="12">
        <v>73</v>
      </c>
      <c r="Z24" s="12">
        <v>52</v>
      </c>
      <c r="AA24" s="12">
        <v>92</v>
      </c>
      <c r="AB24" s="12">
        <v>208</v>
      </c>
      <c r="AC24" s="12">
        <v>72</v>
      </c>
      <c r="AD24" s="12">
        <v>70</v>
      </c>
      <c r="AE24" s="12">
        <v>34</v>
      </c>
      <c r="AF24" s="12">
        <v>48</v>
      </c>
    </row>
    <row r="25" spans="1:32">
      <c r="A25" s="23"/>
      <c r="B25" s="13" t="s">
        <v>932</v>
      </c>
      <c r="C25" s="14">
        <v>0.15</v>
      </c>
      <c r="D25" s="14">
        <v>0.15</v>
      </c>
      <c r="E25" s="14">
        <v>0.19</v>
      </c>
      <c r="F25" s="14">
        <v>0.1</v>
      </c>
      <c r="G25" s="14">
        <v>0.05</v>
      </c>
      <c r="H25" s="14">
        <v>0.11</v>
      </c>
      <c r="I25" s="14">
        <v>0.12</v>
      </c>
      <c r="J25" s="14">
        <v>0.14000000000000001</v>
      </c>
      <c r="K25" s="14">
        <v>0.18</v>
      </c>
      <c r="L25" s="14">
        <v>7.0000000000000007E-2</v>
      </c>
      <c r="M25" s="14">
        <v>0.28999999999999998</v>
      </c>
      <c r="N25" s="14">
        <v>0.14000000000000001</v>
      </c>
      <c r="O25" s="14">
        <v>0.17</v>
      </c>
      <c r="P25" s="14">
        <v>0.25</v>
      </c>
      <c r="Q25" s="14">
        <v>0.17</v>
      </c>
      <c r="R25" s="14">
        <v>0.19</v>
      </c>
      <c r="S25" s="14">
        <v>0.12</v>
      </c>
      <c r="T25" s="14">
        <v>0.15</v>
      </c>
      <c r="U25" s="14">
        <v>0.1</v>
      </c>
      <c r="V25" s="14">
        <v>0.13</v>
      </c>
      <c r="W25" s="14">
        <v>0.09</v>
      </c>
      <c r="X25" s="14">
        <v>0.06</v>
      </c>
      <c r="Y25" s="14">
        <v>0.12</v>
      </c>
      <c r="Z25" s="14">
        <v>0.08</v>
      </c>
      <c r="AA25" s="14">
        <v>0.16</v>
      </c>
      <c r="AB25" s="14">
        <v>0.34</v>
      </c>
      <c r="AC25" s="14">
        <v>0.14000000000000001</v>
      </c>
      <c r="AD25" s="14">
        <v>0.13</v>
      </c>
      <c r="AE25" s="14">
        <v>0.06</v>
      </c>
      <c r="AF25" s="14">
        <v>7.0000000000000007E-2</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933</v>
      </c>
      <c r="C3" s="19"/>
      <c r="D3" s="19"/>
      <c r="E3" s="19"/>
      <c r="F3" s="19"/>
      <c r="H3" s="19" t="s">
        <v>934</v>
      </c>
      <c r="I3" s="19"/>
      <c r="J3" s="19"/>
      <c r="K3" s="19"/>
      <c r="L3" s="19"/>
    </row>
    <row r="4" spans="1:32" ht="27" customHeight="1">
      <c r="B4" s="19" t="s">
        <v>935</v>
      </c>
      <c r="C4" s="19"/>
      <c r="D4" s="19"/>
      <c r="E4" s="19"/>
      <c r="F4" s="19"/>
      <c r="H4" s="19" t="s">
        <v>936</v>
      </c>
      <c r="I4" s="19"/>
      <c r="J4" s="19"/>
      <c r="K4" s="19"/>
      <c r="L4" s="19"/>
    </row>
    <row r="5" spans="1:32" ht="12" customHeight="1">
      <c r="B5" s="19" t="s">
        <v>919</v>
      </c>
      <c r="C5" s="19"/>
      <c r="D5" s="19"/>
      <c r="E5" s="19"/>
      <c r="F5" s="19"/>
      <c r="H5" s="19" t="s">
        <v>920</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HYPERLINK("#Content!A58","&lt;&lt;Back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14408</v>
      </c>
      <c r="D10" s="10">
        <v>498</v>
      </c>
      <c r="E10" s="10">
        <v>582</v>
      </c>
      <c r="F10" s="10">
        <v>601</v>
      </c>
      <c r="G10" s="10">
        <v>566</v>
      </c>
      <c r="H10" s="10">
        <v>623</v>
      </c>
      <c r="I10" s="10">
        <v>792</v>
      </c>
      <c r="J10" s="10">
        <v>169</v>
      </c>
      <c r="K10" s="10">
        <v>595</v>
      </c>
      <c r="L10" s="10">
        <v>599</v>
      </c>
      <c r="M10" s="10">
        <v>564</v>
      </c>
      <c r="N10" s="10">
        <v>531</v>
      </c>
      <c r="O10" s="10">
        <v>489</v>
      </c>
      <c r="P10" s="10">
        <v>587</v>
      </c>
      <c r="Q10" s="10">
        <v>556</v>
      </c>
      <c r="R10" s="10">
        <v>299</v>
      </c>
      <c r="S10" s="10">
        <v>564</v>
      </c>
      <c r="T10" s="10">
        <v>527</v>
      </c>
      <c r="U10" s="10">
        <v>281</v>
      </c>
      <c r="V10" s="10">
        <v>647</v>
      </c>
      <c r="W10" s="10">
        <v>304</v>
      </c>
      <c r="X10" s="10">
        <v>569</v>
      </c>
      <c r="Y10" s="10">
        <v>596</v>
      </c>
      <c r="Z10" s="10">
        <v>629</v>
      </c>
      <c r="AA10" s="10">
        <v>599</v>
      </c>
      <c r="AB10" s="10">
        <v>604</v>
      </c>
      <c r="AC10" s="10">
        <v>548</v>
      </c>
      <c r="AD10" s="10">
        <v>570</v>
      </c>
      <c r="AE10" s="10">
        <v>544</v>
      </c>
      <c r="AF10" s="10">
        <v>655</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937</v>
      </c>
      <c r="C12" s="12">
        <v>4789</v>
      </c>
      <c r="D12" s="12">
        <v>129</v>
      </c>
      <c r="E12" s="12">
        <v>223</v>
      </c>
      <c r="F12" s="12">
        <v>145</v>
      </c>
      <c r="G12" s="12">
        <v>194</v>
      </c>
      <c r="H12" s="12">
        <v>233</v>
      </c>
      <c r="I12" s="12">
        <v>303</v>
      </c>
      <c r="J12" s="12">
        <v>70</v>
      </c>
      <c r="K12" s="12">
        <v>182</v>
      </c>
      <c r="L12" s="12">
        <v>326</v>
      </c>
      <c r="M12" s="12">
        <v>176</v>
      </c>
      <c r="N12" s="12">
        <v>227</v>
      </c>
      <c r="O12" s="12">
        <v>165</v>
      </c>
      <c r="P12" s="12">
        <v>232</v>
      </c>
      <c r="Q12" s="12">
        <v>190</v>
      </c>
      <c r="R12" s="12">
        <v>154</v>
      </c>
      <c r="S12" s="12">
        <v>184</v>
      </c>
      <c r="T12" s="12">
        <v>169</v>
      </c>
      <c r="U12" s="12">
        <v>153</v>
      </c>
      <c r="V12" s="12">
        <v>154</v>
      </c>
      <c r="W12" s="12">
        <v>178</v>
      </c>
      <c r="X12" s="12">
        <v>163</v>
      </c>
      <c r="Y12" s="12">
        <v>275</v>
      </c>
      <c r="Z12" s="12">
        <v>108</v>
      </c>
      <c r="AA12" s="12">
        <v>131</v>
      </c>
      <c r="AB12" s="12">
        <v>175</v>
      </c>
      <c r="AC12" s="12">
        <v>210</v>
      </c>
      <c r="AD12" s="12">
        <v>208</v>
      </c>
      <c r="AE12" s="12">
        <v>163</v>
      </c>
      <c r="AF12" s="12">
        <v>204</v>
      </c>
    </row>
    <row r="13" spans="1:32">
      <c r="A13" s="23"/>
      <c r="B13" s="13" t="s">
        <v>938</v>
      </c>
      <c r="C13" s="14">
        <v>0.33</v>
      </c>
      <c r="D13" s="14">
        <v>0.26</v>
      </c>
      <c r="E13" s="14">
        <v>0.38</v>
      </c>
      <c r="F13" s="14">
        <v>0.24</v>
      </c>
      <c r="G13" s="14">
        <v>0.34</v>
      </c>
      <c r="H13" s="14">
        <v>0.38</v>
      </c>
      <c r="I13" s="14">
        <v>0.38</v>
      </c>
      <c r="J13" s="14">
        <v>0.42</v>
      </c>
      <c r="K13" s="14">
        <v>0.31</v>
      </c>
      <c r="L13" s="14">
        <v>0.54</v>
      </c>
      <c r="M13" s="14">
        <v>0.31</v>
      </c>
      <c r="N13" s="14">
        <v>0.43</v>
      </c>
      <c r="O13" s="14">
        <v>0.34</v>
      </c>
      <c r="P13" s="14">
        <v>0.4</v>
      </c>
      <c r="Q13" s="14">
        <v>0.34</v>
      </c>
      <c r="R13" s="14">
        <v>0.51</v>
      </c>
      <c r="S13" s="14">
        <v>0.33</v>
      </c>
      <c r="T13" s="14">
        <v>0.32</v>
      </c>
      <c r="U13" s="14">
        <v>0.54</v>
      </c>
      <c r="V13" s="14">
        <v>0.24</v>
      </c>
      <c r="W13" s="14">
        <v>0.59</v>
      </c>
      <c r="X13" s="14">
        <v>0.28999999999999998</v>
      </c>
      <c r="Y13" s="14">
        <v>0.46</v>
      </c>
      <c r="Z13" s="14">
        <v>0.17</v>
      </c>
      <c r="AA13" s="14">
        <v>0.22</v>
      </c>
      <c r="AB13" s="14">
        <v>0.28999999999999998</v>
      </c>
      <c r="AC13" s="14">
        <v>0.39</v>
      </c>
      <c r="AD13" s="14">
        <v>0.37</v>
      </c>
      <c r="AE13" s="14">
        <v>0.3</v>
      </c>
      <c r="AF13" s="14">
        <v>0.31</v>
      </c>
    </row>
    <row r="14" spans="1:32">
      <c r="A14" s="23"/>
      <c r="B14" s="11" t="s">
        <v>939</v>
      </c>
      <c r="C14" s="12">
        <v>6781</v>
      </c>
      <c r="D14" s="12">
        <v>271</v>
      </c>
      <c r="E14" s="12">
        <v>251</v>
      </c>
      <c r="F14" s="12">
        <v>312</v>
      </c>
      <c r="G14" s="12">
        <v>200</v>
      </c>
      <c r="H14" s="12">
        <v>298</v>
      </c>
      <c r="I14" s="12">
        <v>367</v>
      </c>
      <c r="J14" s="12">
        <v>69</v>
      </c>
      <c r="K14" s="12">
        <v>236</v>
      </c>
      <c r="L14" s="12">
        <v>200</v>
      </c>
      <c r="M14" s="12">
        <v>248</v>
      </c>
      <c r="N14" s="12">
        <v>225</v>
      </c>
      <c r="O14" s="12">
        <v>206</v>
      </c>
      <c r="P14" s="12">
        <v>272</v>
      </c>
      <c r="Q14" s="12">
        <v>293</v>
      </c>
      <c r="R14" s="12">
        <v>77</v>
      </c>
      <c r="S14" s="12">
        <v>210</v>
      </c>
      <c r="T14" s="12">
        <v>222</v>
      </c>
      <c r="U14" s="12">
        <v>87</v>
      </c>
      <c r="V14" s="12">
        <v>355</v>
      </c>
      <c r="W14" s="12">
        <v>97</v>
      </c>
      <c r="X14" s="12">
        <v>193</v>
      </c>
      <c r="Y14" s="12">
        <v>214</v>
      </c>
      <c r="Z14" s="12">
        <v>405</v>
      </c>
      <c r="AA14" s="12">
        <v>293</v>
      </c>
      <c r="AB14" s="12">
        <v>309</v>
      </c>
      <c r="AC14" s="12">
        <v>215</v>
      </c>
      <c r="AD14" s="12">
        <v>265</v>
      </c>
      <c r="AE14" s="12">
        <v>218</v>
      </c>
      <c r="AF14" s="12">
        <v>247</v>
      </c>
    </row>
    <row r="15" spans="1:32">
      <c r="A15" s="23"/>
      <c r="B15" s="13" t="s">
        <v>940</v>
      </c>
      <c r="C15" s="14">
        <v>0.47</v>
      </c>
      <c r="D15" s="14">
        <v>0.54</v>
      </c>
      <c r="E15" s="14">
        <v>0.43</v>
      </c>
      <c r="F15" s="14">
        <v>0.52</v>
      </c>
      <c r="G15" s="14">
        <v>0.35</v>
      </c>
      <c r="H15" s="14">
        <v>0.48</v>
      </c>
      <c r="I15" s="14">
        <v>0.46</v>
      </c>
      <c r="J15" s="14">
        <v>0.4</v>
      </c>
      <c r="K15" s="14">
        <v>0.4</v>
      </c>
      <c r="L15" s="14">
        <v>0.33</v>
      </c>
      <c r="M15" s="14">
        <v>0.44</v>
      </c>
      <c r="N15" s="14">
        <v>0.42</v>
      </c>
      <c r="O15" s="14">
        <v>0.42</v>
      </c>
      <c r="P15" s="14">
        <v>0.46</v>
      </c>
      <c r="Q15" s="14">
        <v>0.53</v>
      </c>
      <c r="R15" s="14">
        <v>0.26</v>
      </c>
      <c r="S15" s="14">
        <v>0.37</v>
      </c>
      <c r="T15" s="14">
        <v>0.42</v>
      </c>
      <c r="U15" s="14">
        <v>0.31</v>
      </c>
      <c r="V15" s="14">
        <v>0.55000000000000004</v>
      </c>
      <c r="W15" s="14">
        <v>0.32</v>
      </c>
      <c r="X15" s="14">
        <v>0.34</v>
      </c>
      <c r="Y15" s="14">
        <v>0.36</v>
      </c>
      <c r="Z15" s="14">
        <v>0.64</v>
      </c>
      <c r="AA15" s="14">
        <v>0.49</v>
      </c>
      <c r="AB15" s="14">
        <v>0.51</v>
      </c>
      <c r="AC15" s="14">
        <v>0.39</v>
      </c>
      <c r="AD15" s="14">
        <v>0.46</v>
      </c>
      <c r="AE15" s="14">
        <v>0.4</v>
      </c>
      <c r="AF15" s="14">
        <v>0.38</v>
      </c>
    </row>
    <row r="16" spans="1:32">
      <c r="A16" s="23"/>
      <c r="B16" s="11" t="s">
        <v>941</v>
      </c>
      <c r="C16" s="12">
        <v>2087</v>
      </c>
      <c r="D16" s="12">
        <v>73</v>
      </c>
      <c r="E16" s="12">
        <v>71</v>
      </c>
      <c r="F16" s="12">
        <v>102</v>
      </c>
      <c r="G16" s="12">
        <v>116</v>
      </c>
      <c r="H16" s="12">
        <v>71</v>
      </c>
      <c r="I16" s="12">
        <v>95</v>
      </c>
      <c r="J16" s="12">
        <v>25</v>
      </c>
      <c r="K16" s="12">
        <v>116</v>
      </c>
      <c r="L16" s="12">
        <v>52</v>
      </c>
      <c r="M16" s="12">
        <v>108</v>
      </c>
      <c r="N16" s="12">
        <v>56</v>
      </c>
      <c r="O16" s="12">
        <v>76</v>
      </c>
      <c r="P16" s="12">
        <v>64</v>
      </c>
      <c r="Q16" s="12">
        <v>58</v>
      </c>
      <c r="R16" s="12">
        <v>43</v>
      </c>
      <c r="S16" s="12">
        <v>119</v>
      </c>
      <c r="T16" s="12">
        <v>93</v>
      </c>
      <c r="U16" s="12">
        <v>27</v>
      </c>
      <c r="V16" s="12">
        <v>94</v>
      </c>
      <c r="W16" s="12">
        <v>13</v>
      </c>
      <c r="X16" s="12">
        <v>163</v>
      </c>
      <c r="Y16" s="12">
        <v>68</v>
      </c>
      <c r="Z16" s="12">
        <v>92</v>
      </c>
      <c r="AA16" s="12">
        <v>150</v>
      </c>
      <c r="AB16" s="12">
        <v>97</v>
      </c>
      <c r="AC16" s="12">
        <v>73</v>
      </c>
      <c r="AD16" s="12">
        <v>62</v>
      </c>
      <c r="AE16" s="12">
        <v>121</v>
      </c>
      <c r="AF16" s="12">
        <v>143</v>
      </c>
    </row>
    <row r="17" spans="1:32">
      <c r="A17" s="23"/>
      <c r="B17" s="13" t="s">
        <v>942</v>
      </c>
      <c r="C17" s="14">
        <v>0.15</v>
      </c>
      <c r="D17" s="14">
        <v>0.15</v>
      </c>
      <c r="E17" s="14">
        <v>0.12</v>
      </c>
      <c r="F17" s="14">
        <v>0.17</v>
      </c>
      <c r="G17" s="14">
        <v>0.21</v>
      </c>
      <c r="H17" s="14">
        <v>0.11</v>
      </c>
      <c r="I17" s="14">
        <v>0.12</v>
      </c>
      <c r="J17" s="14">
        <v>0.15</v>
      </c>
      <c r="K17" s="14">
        <v>0.19</v>
      </c>
      <c r="L17" s="14">
        <v>0.09</v>
      </c>
      <c r="M17" s="14">
        <v>0.19</v>
      </c>
      <c r="N17" s="14">
        <v>0.11</v>
      </c>
      <c r="O17" s="14">
        <v>0.16</v>
      </c>
      <c r="P17" s="14">
        <v>0.11</v>
      </c>
      <c r="Q17" s="14">
        <v>0.1</v>
      </c>
      <c r="R17" s="14">
        <v>0.14000000000000001</v>
      </c>
      <c r="S17" s="14">
        <v>0.21</v>
      </c>
      <c r="T17" s="14">
        <v>0.18</v>
      </c>
      <c r="U17" s="14">
        <v>0.1</v>
      </c>
      <c r="V17" s="14">
        <v>0.14000000000000001</v>
      </c>
      <c r="W17" s="14">
        <v>0.04</v>
      </c>
      <c r="X17" s="14">
        <v>0.28999999999999998</v>
      </c>
      <c r="Y17" s="14">
        <v>0.11</v>
      </c>
      <c r="Z17" s="14">
        <v>0.15</v>
      </c>
      <c r="AA17" s="14">
        <v>0.25</v>
      </c>
      <c r="AB17" s="14">
        <v>0.16</v>
      </c>
      <c r="AC17" s="14">
        <v>0.13</v>
      </c>
      <c r="AD17" s="14">
        <v>0.11</v>
      </c>
      <c r="AE17" s="14">
        <v>0.22</v>
      </c>
      <c r="AF17" s="14">
        <v>0.22</v>
      </c>
    </row>
    <row r="18" spans="1:32">
      <c r="A18" s="23"/>
      <c r="B18" s="11" t="s">
        <v>943</v>
      </c>
      <c r="C18" s="12">
        <v>690</v>
      </c>
      <c r="D18" s="12">
        <v>24</v>
      </c>
      <c r="E18" s="12">
        <v>27</v>
      </c>
      <c r="F18" s="12">
        <v>36</v>
      </c>
      <c r="G18" s="12">
        <v>51</v>
      </c>
      <c r="H18" s="12">
        <v>20</v>
      </c>
      <c r="I18" s="12">
        <v>24</v>
      </c>
      <c r="J18" s="12">
        <v>4</v>
      </c>
      <c r="K18" s="12">
        <v>50</v>
      </c>
      <c r="L18" s="12">
        <v>15</v>
      </c>
      <c r="M18" s="12">
        <v>33</v>
      </c>
      <c r="N18" s="12">
        <v>23</v>
      </c>
      <c r="O18" s="12">
        <v>40</v>
      </c>
      <c r="P18" s="12">
        <v>18</v>
      </c>
      <c r="Q18" s="12">
        <v>14</v>
      </c>
      <c r="R18" s="12">
        <v>26</v>
      </c>
      <c r="S18" s="12">
        <v>52</v>
      </c>
      <c r="T18" s="12">
        <v>42</v>
      </c>
      <c r="U18" s="12">
        <v>13</v>
      </c>
      <c r="V18" s="12">
        <v>39</v>
      </c>
      <c r="W18" s="12">
        <v>16</v>
      </c>
      <c r="X18" s="12">
        <v>47</v>
      </c>
      <c r="Y18" s="12">
        <v>36</v>
      </c>
      <c r="Z18" s="12">
        <v>18</v>
      </c>
      <c r="AA18" s="12">
        <v>22</v>
      </c>
      <c r="AB18" s="12">
        <v>21</v>
      </c>
      <c r="AC18" s="12">
        <v>49</v>
      </c>
      <c r="AD18" s="12">
        <v>23</v>
      </c>
      <c r="AE18" s="12">
        <v>39</v>
      </c>
      <c r="AF18" s="12">
        <v>60</v>
      </c>
    </row>
    <row r="19" spans="1:32">
      <c r="A19" s="23"/>
      <c r="B19" s="13" t="s">
        <v>944</v>
      </c>
      <c r="C19" s="14">
        <v>0.05</v>
      </c>
      <c r="D19" s="14">
        <v>0.05</v>
      </c>
      <c r="E19" s="14">
        <v>0.05</v>
      </c>
      <c r="F19" s="14">
        <v>0.06</v>
      </c>
      <c r="G19" s="14">
        <v>0.09</v>
      </c>
      <c r="H19" s="14">
        <v>0.03</v>
      </c>
      <c r="I19" s="14">
        <v>0.03</v>
      </c>
      <c r="J19" s="14">
        <v>0.02</v>
      </c>
      <c r="K19" s="14">
        <v>0.08</v>
      </c>
      <c r="L19" s="14">
        <v>0.03</v>
      </c>
      <c r="M19" s="14">
        <v>0.06</v>
      </c>
      <c r="N19" s="14">
        <v>0.04</v>
      </c>
      <c r="O19" s="14">
        <v>0.08</v>
      </c>
      <c r="P19" s="14">
        <v>0.03</v>
      </c>
      <c r="Q19" s="14">
        <v>0.03</v>
      </c>
      <c r="R19" s="14">
        <v>0.09</v>
      </c>
      <c r="S19" s="14">
        <v>0.09</v>
      </c>
      <c r="T19" s="14">
        <v>0.08</v>
      </c>
      <c r="U19" s="14">
        <v>0.05</v>
      </c>
      <c r="V19" s="14">
        <v>0.06</v>
      </c>
      <c r="W19" s="14">
        <v>0.05</v>
      </c>
      <c r="X19" s="14">
        <v>0.08</v>
      </c>
      <c r="Y19" s="14">
        <v>0.06</v>
      </c>
      <c r="Z19" s="14">
        <v>0.03</v>
      </c>
      <c r="AA19" s="14">
        <v>0.03</v>
      </c>
      <c r="AB19" s="14">
        <v>0.04</v>
      </c>
      <c r="AC19" s="14">
        <v>0.09</v>
      </c>
      <c r="AD19" s="14">
        <v>0.04</v>
      </c>
      <c r="AE19" s="14">
        <v>7.0000000000000007E-2</v>
      </c>
      <c r="AF19" s="14">
        <v>0.09</v>
      </c>
    </row>
    <row r="20" spans="1:32">
      <c r="A20" s="23"/>
      <c r="B20" s="11" t="s">
        <v>497</v>
      </c>
      <c r="C20" s="12">
        <v>63</v>
      </c>
      <c r="D20" s="12">
        <v>0</v>
      </c>
      <c r="E20" s="12">
        <v>10</v>
      </c>
      <c r="F20" s="12">
        <v>6</v>
      </c>
      <c r="G20" s="12">
        <v>5</v>
      </c>
      <c r="H20" s="12">
        <v>2</v>
      </c>
      <c r="I20" s="12">
        <v>3</v>
      </c>
      <c r="J20" s="12">
        <v>1</v>
      </c>
      <c r="K20" s="12">
        <v>12</v>
      </c>
      <c r="L20" s="12">
        <v>6</v>
      </c>
      <c r="M20" s="12">
        <v>0</v>
      </c>
      <c r="N20" s="12">
        <v>0</v>
      </c>
      <c r="O20" s="12">
        <v>2</v>
      </c>
      <c r="P20" s="12">
        <v>1</v>
      </c>
      <c r="Q20" s="12">
        <v>1</v>
      </c>
      <c r="R20" s="12">
        <v>0</v>
      </c>
      <c r="S20" s="12">
        <v>0</v>
      </c>
      <c r="T20" s="12">
        <v>1</v>
      </c>
      <c r="U20" s="12">
        <v>1</v>
      </c>
      <c r="V20" s="12">
        <v>4</v>
      </c>
      <c r="W20" s="12">
        <v>0</v>
      </c>
      <c r="X20" s="12">
        <v>3</v>
      </c>
      <c r="Y20" s="12">
        <v>3</v>
      </c>
      <c r="Z20" s="12">
        <v>6</v>
      </c>
      <c r="AA20" s="12">
        <v>4</v>
      </c>
      <c r="AB20" s="12">
        <v>2</v>
      </c>
      <c r="AC20" s="12">
        <v>1</v>
      </c>
      <c r="AD20" s="12">
        <v>13</v>
      </c>
      <c r="AE20" s="12">
        <v>3</v>
      </c>
      <c r="AF20" s="12">
        <v>0</v>
      </c>
    </row>
    <row r="21" spans="1:32">
      <c r="A21" s="23"/>
      <c r="B21" s="13" t="s">
        <v>498</v>
      </c>
      <c r="C21" s="15" t="s">
        <v>485</v>
      </c>
      <c r="D21" s="15" t="s">
        <v>485</v>
      </c>
      <c r="E21" s="14">
        <v>0.02</v>
      </c>
      <c r="F21" s="14">
        <v>0.01</v>
      </c>
      <c r="G21" s="14">
        <v>0.01</v>
      </c>
      <c r="H21" s="15" t="s">
        <v>485</v>
      </c>
      <c r="I21" s="14">
        <v>0.01</v>
      </c>
      <c r="J21" s="14">
        <v>0.01</v>
      </c>
      <c r="K21" s="14">
        <v>0.02</v>
      </c>
      <c r="L21" s="14">
        <v>0.01</v>
      </c>
      <c r="M21" s="15" t="s">
        <v>485</v>
      </c>
      <c r="N21" s="15" t="s">
        <v>485</v>
      </c>
      <c r="O21" s="15" t="s">
        <v>485</v>
      </c>
      <c r="P21" s="15" t="s">
        <v>485</v>
      </c>
      <c r="Q21" s="15" t="s">
        <v>485</v>
      </c>
      <c r="R21" s="15" t="s">
        <v>485</v>
      </c>
      <c r="S21" s="15" t="s">
        <v>485</v>
      </c>
      <c r="T21" s="15" t="s">
        <v>485</v>
      </c>
      <c r="U21" s="15" t="s">
        <v>485</v>
      </c>
      <c r="V21" s="14">
        <v>0.01</v>
      </c>
      <c r="W21" s="15" t="s">
        <v>485</v>
      </c>
      <c r="X21" s="15" t="s">
        <v>485</v>
      </c>
      <c r="Y21" s="14">
        <v>0.01</v>
      </c>
      <c r="Z21" s="14">
        <v>0.01</v>
      </c>
      <c r="AA21" s="14">
        <v>0.01</v>
      </c>
      <c r="AB21" s="15" t="s">
        <v>485</v>
      </c>
      <c r="AC21" s="15" t="s">
        <v>485</v>
      </c>
      <c r="AD21" s="14">
        <v>0.02</v>
      </c>
      <c r="AE21" s="14">
        <v>0.01</v>
      </c>
      <c r="AF21" s="15" t="s">
        <v>485</v>
      </c>
    </row>
    <row r="22" spans="1:32">
      <c r="A22" s="23"/>
      <c r="B22" s="11" t="s">
        <v>945</v>
      </c>
      <c r="C22" s="12">
        <v>11570</v>
      </c>
      <c r="D22" s="12">
        <v>400</v>
      </c>
      <c r="E22" s="12">
        <v>474</v>
      </c>
      <c r="F22" s="12">
        <v>457</v>
      </c>
      <c r="G22" s="12">
        <v>394</v>
      </c>
      <c r="H22" s="12">
        <v>531</v>
      </c>
      <c r="I22" s="12">
        <v>670</v>
      </c>
      <c r="J22" s="12">
        <v>139</v>
      </c>
      <c r="K22" s="12">
        <v>418</v>
      </c>
      <c r="L22" s="12">
        <v>526</v>
      </c>
      <c r="M22" s="12">
        <v>424</v>
      </c>
      <c r="N22" s="12">
        <v>452</v>
      </c>
      <c r="O22" s="12">
        <v>371</v>
      </c>
      <c r="P22" s="12">
        <v>504</v>
      </c>
      <c r="Q22" s="12">
        <v>483</v>
      </c>
      <c r="R22" s="12">
        <v>231</v>
      </c>
      <c r="S22" s="12">
        <v>394</v>
      </c>
      <c r="T22" s="12">
        <v>391</v>
      </c>
      <c r="U22" s="12">
        <v>240</v>
      </c>
      <c r="V22" s="12">
        <v>509</v>
      </c>
      <c r="W22" s="12">
        <v>275</v>
      </c>
      <c r="X22" s="12">
        <v>356</v>
      </c>
      <c r="Y22" s="12">
        <v>489</v>
      </c>
      <c r="Z22" s="12">
        <v>513</v>
      </c>
      <c r="AA22" s="12">
        <v>424</v>
      </c>
      <c r="AB22" s="12">
        <v>484</v>
      </c>
      <c r="AC22" s="12">
        <v>425</v>
      </c>
      <c r="AD22" s="12">
        <v>473</v>
      </c>
      <c r="AE22" s="12">
        <v>381</v>
      </c>
      <c r="AF22" s="12">
        <v>451</v>
      </c>
    </row>
    <row r="23" spans="1:32">
      <c r="A23" s="23"/>
      <c r="B23" s="13" t="s">
        <v>945</v>
      </c>
      <c r="C23" s="14">
        <v>0.8</v>
      </c>
      <c r="D23" s="14">
        <v>0.8</v>
      </c>
      <c r="E23" s="14">
        <v>0.81</v>
      </c>
      <c r="F23" s="14">
        <v>0.76</v>
      </c>
      <c r="G23" s="14">
        <v>0.69000000000000006</v>
      </c>
      <c r="H23" s="14">
        <v>0.86</v>
      </c>
      <c r="I23" s="14">
        <v>0.84</v>
      </c>
      <c r="J23" s="14">
        <v>0.82000000000000006</v>
      </c>
      <c r="K23" s="14">
        <v>0.71</v>
      </c>
      <c r="L23" s="14">
        <v>0.87</v>
      </c>
      <c r="M23" s="14">
        <v>0.75</v>
      </c>
      <c r="N23" s="14">
        <v>0.85</v>
      </c>
      <c r="O23" s="14">
        <v>0.76</v>
      </c>
      <c r="P23" s="14">
        <v>0.86</v>
      </c>
      <c r="Q23" s="14">
        <v>0.87</v>
      </c>
      <c r="R23" s="14">
        <v>0.77</v>
      </c>
      <c r="S23" s="14">
        <v>0.70000000000000007</v>
      </c>
      <c r="T23" s="14">
        <v>0.74</v>
      </c>
      <c r="U23" s="14">
        <v>0.85</v>
      </c>
      <c r="V23" s="14">
        <v>0.79</v>
      </c>
      <c r="W23" s="14">
        <v>0.91</v>
      </c>
      <c r="X23" s="14">
        <v>0.63</v>
      </c>
      <c r="Y23" s="14">
        <v>0.82000000000000006</v>
      </c>
      <c r="Z23" s="14">
        <v>0.81</v>
      </c>
      <c r="AA23" s="14">
        <v>0.71</v>
      </c>
      <c r="AB23" s="14">
        <v>0.8</v>
      </c>
      <c r="AC23" s="14">
        <v>0.78</v>
      </c>
      <c r="AD23" s="14">
        <v>0.83000000000000007</v>
      </c>
      <c r="AE23" s="14">
        <v>0.70000000000000007</v>
      </c>
      <c r="AF23" s="14">
        <v>0.69000000000000006</v>
      </c>
    </row>
    <row r="24" spans="1:32">
      <c r="A24" s="23"/>
      <c r="B24" s="11" t="s">
        <v>946</v>
      </c>
      <c r="C24" s="12">
        <v>2777</v>
      </c>
      <c r="D24" s="12">
        <v>97</v>
      </c>
      <c r="E24" s="12">
        <v>98</v>
      </c>
      <c r="F24" s="12">
        <v>138</v>
      </c>
      <c r="G24" s="12">
        <v>167</v>
      </c>
      <c r="H24" s="12">
        <v>91</v>
      </c>
      <c r="I24" s="12">
        <v>119</v>
      </c>
      <c r="J24" s="12">
        <v>29</v>
      </c>
      <c r="K24" s="12">
        <v>166</v>
      </c>
      <c r="L24" s="12">
        <v>67</v>
      </c>
      <c r="M24" s="12">
        <v>141</v>
      </c>
      <c r="N24" s="12">
        <v>79</v>
      </c>
      <c r="O24" s="12">
        <v>116</v>
      </c>
      <c r="P24" s="12">
        <v>82</v>
      </c>
      <c r="Q24" s="12">
        <v>72</v>
      </c>
      <c r="R24" s="12">
        <v>69</v>
      </c>
      <c r="S24" s="12">
        <v>171</v>
      </c>
      <c r="T24" s="12">
        <v>135</v>
      </c>
      <c r="U24" s="12">
        <v>40</v>
      </c>
      <c r="V24" s="12">
        <v>133</v>
      </c>
      <c r="W24" s="12">
        <v>29</v>
      </c>
      <c r="X24" s="12">
        <v>210</v>
      </c>
      <c r="Y24" s="12">
        <v>104</v>
      </c>
      <c r="Z24" s="12">
        <v>110</v>
      </c>
      <c r="AA24" s="12">
        <v>172</v>
      </c>
      <c r="AB24" s="12">
        <v>118</v>
      </c>
      <c r="AC24" s="12">
        <v>122</v>
      </c>
      <c r="AD24" s="12">
        <v>85</v>
      </c>
      <c r="AE24" s="12">
        <v>160</v>
      </c>
      <c r="AF24" s="12">
        <v>203</v>
      </c>
    </row>
    <row r="25" spans="1:32">
      <c r="A25" s="23"/>
      <c r="B25" s="13" t="s">
        <v>947</v>
      </c>
      <c r="C25" s="14">
        <v>0.2</v>
      </c>
      <c r="D25" s="14">
        <v>0.2</v>
      </c>
      <c r="E25" s="14">
        <v>0.17</v>
      </c>
      <c r="F25" s="14">
        <v>0.23</v>
      </c>
      <c r="G25" s="14">
        <v>0.3</v>
      </c>
      <c r="H25" s="14">
        <v>0.14000000000000001</v>
      </c>
      <c r="I25" s="14">
        <v>0.15</v>
      </c>
      <c r="J25" s="14">
        <v>0.17</v>
      </c>
      <c r="K25" s="14">
        <v>0.27</v>
      </c>
      <c r="L25" s="14">
        <v>0.12</v>
      </c>
      <c r="M25" s="14">
        <v>0.25</v>
      </c>
      <c r="N25" s="14">
        <v>0.15</v>
      </c>
      <c r="O25" s="14">
        <v>0.24</v>
      </c>
      <c r="P25" s="14">
        <v>0.14000000000000001</v>
      </c>
      <c r="Q25" s="14">
        <v>0.13</v>
      </c>
      <c r="R25" s="14">
        <v>0.23</v>
      </c>
      <c r="S25" s="14">
        <v>0.3</v>
      </c>
      <c r="T25" s="14">
        <v>0.26</v>
      </c>
      <c r="U25" s="14">
        <v>0.15</v>
      </c>
      <c r="V25" s="14">
        <v>0.2</v>
      </c>
      <c r="W25" s="14">
        <v>0.09</v>
      </c>
      <c r="X25" s="14">
        <v>0.37</v>
      </c>
      <c r="Y25" s="14">
        <v>0.17</v>
      </c>
      <c r="Z25" s="14">
        <v>0.18</v>
      </c>
      <c r="AA25" s="14">
        <v>0.28000000000000003</v>
      </c>
      <c r="AB25" s="14">
        <v>0.2</v>
      </c>
      <c r="AC25" s="14">
        <v>0.22</v>
      </c>
      <c r="AD25" s="14">
        <v>0.15</v>
      </c>
      <c r="AE25" s="14">
        <v>0.28999999999999998</v>
      </c>
      <c r="AF25" s="14">
        <v>0.31</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948</v>
      </c>
      <c r="C3" s="19"/>
      <c r="D3" s="19"/>
      <c r="E3" s="19"/>
      <c r="F3" s="19"/>
      <c r="H3" s="19" t="s">
        <v>949</v>
      </c>
      <c r="I3" s="19"/>
      <c r="J3" s="19"/>
      <c r="K3" s="19"/>
      <c r="L3" s="19"/>
    </row>
    <row r="4" spans="1:32" ht="27" customHeight="1">
      <c r="B4" s="19" t="s">
        <v>950</v>
      </c>
      <c r="C4" s="19"/>
      <c r="D4" s="19"/>
      <c r="E4" s="19"/>
      <c r="F4" s="19"/>
      <c r="H4" s="19" t="s">
        <v>951</v>
      </c>
      <c r="I4" s="19"/>
      <c r="J4" s="19"/>
      <c r="K4" s="19"/>
      <c r="L4" s="19"/>
    </row>
    <row r="5" spans="1:32" ht="12" customHeight="1">
      <c r="B5" s="19" t="s">
        <v>919</v>
      </c>
      <c r="C5" s="19"/>
      <c r="D5" s="19"/>
      <c r="E5" s="19"/>
      <c r="F5" s="19"/>
      <c r="H5" s="19" t="s">
        <v>920</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HYPERLINK("#Content!A59","&lt;&lt;Back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14408</v>
      </c>
      <c r="D10" s="10">
        <v>498</v>
      </c>
      <c r="E10" s="10">
        <v>582</v>
      </c>
      <c r="F10" s="10">
        <v>601</v>
      </c>
      <c r="G10" s="10">
        <v>566</v>
      </c>
      <c r="H10" s="10">
        <v>623</v>
      </c>
      <c r="I10" s="10">
        <v>792</v>
      </c>
      <c r="J10" s="10">
        <v>169</v>
      </c>
      <c r="K10" s="10">
        <v>595</v>
      </c>
      <c r="L10" s="10">
        <v>599</v>
      </c>
      <c r="M10" s="10">
        <v>564</v>
      </c>
      <c r="N10" s="10">
        <v>531</v>
      </c>
      <c r="O10" s="10">
        <v>489</v>
      </c>
      <c r="P10" s="10">
        <v>587</v>
      </c>
      <c r="Q10" s="10">
        <v>556</v>
      </c>
      <c r="R10" s="10">
        <v>299</v>
      </c>
      <c r="S10" s="10">
        <v>564</v>
      </c>
      <c r="T10" s="10">
        <v>527</v>
      </c>
      <c r="U10" s="10">
        <v>281</v>
      </c>
      <c r="V10" s="10">
        <v>647</v>
      </c>
      <c r="W10" s="10">
        <v>304</v>
      </c>
      <c r="X10" s="10">
        <v>569</v>
      </c>
      <c r="Y10" s="10">
        <v>596</v>
      </c>
      <c r="Z10" s="10">
        <v>629</v>
      </c>
      <c r="AA10" s="10">
        <v>599</v>
      </c>
      <c r="AB10" s="10">
        <v>604</v>
      </c>
      <c r="AC10" s="10">
        <v>548</v>
      </c>
      <c r="AD10" s="10">
        <v>570</v>
      </c>
      <c r="AE10" s="10">
        <v>544</v>
      </c>
      <c r="AF10" s="10">
        <v>655</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937</v>
      </c>
      <c r="C12" s="12">
        <v>5039</v>
      </c>
      <c r="D12" s="12">
        <v>158</v>
      </c>
      <c r="E12" s="12">
        <v>223</v>
      </c>
      <c r="F12" s="12">
        <v>148</v>
      </c>
      <c r="G12" s="12">
        <v>221</v>
      </c>
      <c r="H12" s="12">
        <v>239</v>
      </c>
      <c r="I12" s="12">
        <v>308</v>
      </c>
      <c r="J12" s="12">
        <v>68</v>
      </c>
      <c r="K12" s="12">
        <v>172</v>
      </c>
      <c r="L12" s="12">
        <v>312</v>
      </c>
      <c r="M12" s="12">
        <v>175</v>
      </c>
      <c r="N12" s="12">
        <v>224</v>
      </c>
      <c r="O12" s="12">
        <v>160</v>
      </c>
      <c r="P12" s="12">
        <v>246</v>
      </c>
      <c r="Q12" s="12">
        <v>230</v>
      </c>
      <c r="R12" s="12">
        <v>143</v>
      </c>
      <c r="S12" s="12">
        <v>172</v>
      </c>
      <c r="T12" s="12">
        <v>148</v>
      </c>
      <c r="U12" s="12">
        <v>155</v>
      </c>
      <c r="V12" s="12">
        <v>201</v>
      </c>
      <c r="W12" s="12">
        <v>163</v>
      </c>
      <c r="X12" s="12">
        <v>162</v>
      </c>
      <c r="Y12" s="12">
        <v>279</v>
      </c>
      <c r="Z12" s="12">
        <v>121</v>
      </c>
      <c r="AA12" s="12">
        <v>160</v>
      </c>
      <c r="AB12" s="12">
        <v>164</v>
      </c>
      <c r="AC12" s="12">
        <v>209</v>
      </c>
      <c r="AD12" s="12">
        <v>225</v>
      </c>
      <c r="AE12" s="12">
        <v>146</v>
      </c>
      <c r="AF12" s="12">
        <v>271</v>
      </c>
    </row>
    <row r="13" spans="1:32">
      <c r="A13" s="23"/>
      <c r="B13" s="13" t="s">
        <v>938</v>
      </c>
      <c r="C13" s="14">
        <v>0.35</v>
      </c>
      <c r="D13" s="14">
        <v>0.32</v>
      </c>
      <c r="E13" s="14">
        <v>0.38</v>
      </c>
      <c r="F13" s="14">
        <v>0.25</v>
      </c>
      <c r="G13" s="14">
        <v>0.39</v>
      </c>
      <c r="H13" s="14">
        <v>0.38</v>
      </c>
      <c r="I13" s="14">
        <v>0.39</v>
      </c>
      <c r="J13" s="14">
        <v>0.4</v>
      </c>
      <c r="K13" s="14">
        <v>0.28999999999999998</v>
      </c>
      <c r="L13" s="14">
        <v>0.52</v>
      </c>
      <c r="M13" s="14">
        <v>0.31</v>
      </c>
      <c r="N13" s="14">
        <v>0.42</v>
      </c>
      <c r="O13" s="14">
        <v>0.33</v>
      </c>
      <c r="P13" s="14">
        <v>0.42</v>
      </c>
      <c r="Q13" s="14">
        <v>0.41</v>
      </c>
      <c r="R13" s="14">
        <v>0.48</v>
      </c>
      <c r="S13" s="14">
        <v>0.31</v>
      </c>
      <c r="T13" s="14">
        <v>0.28000000000000003</v>
      </c>
      <c r="U13" s="14">
        <v>0.55000000000000004</v>
      </c>
      <c r="V13" s="14">
        <v>0.31</v>
      </c>
      <c r="W13" s="14">
        <v>0.53</v>
      </c>
      <c r="X13" s="14">
        <v>0.28999999999999998</v>
      </c>
      <c r="Y13" s="14">
        <v>0.47</v>
      </c>
      <c r="Z13" s="14">
        <v>0.19</v>
      </c>
      <c r="AA13" s="14">
        <v>0.27</v>
      </c>
      <c r="AB13" s="14">
        <v>0.27</v>
      </c>
      <c r="AC13" s="14">
        <v>0.38</v>
      </c>
      <c r="AD13" s="14">
        <v>0.39</v>
      </c>
      <c r="AE13" s="14">
        <v>0.27</v>
      </c>
      <c r="AF13" s="14">
        <v>0.41</v>
      </c>
    </row>
    <row r="14" spans="1:32">
      <c r="A14" s="23"/>
      <c r="B14" s="11" t="s">
        <v>939</v>
      </c>
      <c r="C14" s="12">
        <v>6344</v>
      </c>
      <c r="D14" s="12">
        <v>243</v>
      </c>
      <c r="E14" s="12">
        <v>214</v>
      </c>
      <c r="F14" s="12">
        <v>309</v>
      </c>
      <c r="G14" s="12">
        <v>191</v>
      </c>
      <c r="H14" s="12">
        <v>265</v>
      </c>
      <c r="I14" s="12">
        <v>332</v>
      </c>
      <c r="J14" s="12">
        <v>67</v>
      </c>
      <c r="K14" s="12">
        <v>236</v>
      </c>
      <c r="L14" s="12">
        <v>197</v>
      </c>
      <c r="M14" s="12">
        <v>222</v>
      </c>
      <c r="N14" s="12">
        <v>231</v>
      </c>
      <c r="O14" s="12">
        <v>218</v>
      </c>
      <c r="P14" s="12">
        <v>236</v>
      </c>
      <c r="Q14" s="12">
        <v>255</v>
      </c>
      <c r="R14" s="12">
        <v>82</v>
      </c>
      <c r="S14" s="12">
        <v>192</v>
      </c>
      <c r="T14" s="12">
        <v>225</v>
      </c>
      <c r="U14" s="12">
        <v>82</v>
      </c>
      <c r="V14" s="12">
        <v>296</v>
      </c>
      <c r="W14" s="12">
        <v>98</v>
      </c>
      <c r="X14" s="12">
        <v>171</v>
      </c>
      <c r="Y14" s="12">
        <v>197</v>
      </c>
      <c r="Z14" s="12">
        <v>352</v>
      </c>
      <c r="AA14" s="12">
        <v>281</v>
      </c>
      <c r="AB14" s="12">
        <v>308</v>
      </c>
      <c r="AC14" s="12">
        <v>218</v>
      </c>
      <c r="AD14" s="12">
        <v>247</v>
      </c>
      <c r="AE14" s="12">
        <v>253</v>
      </c>
      <c r="AF14" s="12">
        <v>227</v>
      </c>
    </row>
    <row r="15" spans="1:32">
      <c r="A15" s="23"/>
      <c r="B15" s="13" t="s">
        <v>940</v>
      </c>
      <c r="C15" s="14">
        <v>0.44</v>
      </c>
      <c r="D15" s="14">
        <v>0.49</v>
      </c>
      <c r="E15" s="14">
        <v>0.37</v>
      </c>
      <c r="F15" s="14">
        <v>0.51</v>
      </c>
      <c r="G15" s="14">
        <v>0.34</v>
      </c>
      <c r="H15" s="14">
        <v>0.43</v>
      </c>
      <c r="I15" s="14">
        <v>0.42</v>
      </c>
      <c r="J15" s="14">
        <v>0.4</v>
      </c>
      <c r="K15" s="14">
        <v>0.4</v>
      </c>
      <c r="L15" s="14">
        <v>0.33</v>
      </c>
      <c r="M15" s="14">
        <v>0.4</v>
      </c>
      <c r="N15" s="14">
        <v>0.44</v>
      </c>
      <c r="O15" s="14">
        <v>0.44</v>
      </c>
      <c r="P15" s="14">
        <v>0.4</v>
      </c>
      <c r="Q15" s="14">
        <v>0.46</v>
      </c>
      <c r="R15" s="14">
        <v>0.27</v>
      </c>
      <c r="S15" s="14">
        <v>0.34</v>
      </c>
      <c r="T15" s="14">
        <v>0.43</v>
      </c>
      <c r="U15" s="14">
        <v>0.28999999999999998</v>
      </c>
      <c r="V15" s="14">
        <v>0.46</v>
      </c>
      <c r="W15" s="14">
        <v>0.32</v>
      </c>
      <c r="X15" s="14">
        <v>0.3</v>
      </c>
      <c r="Y15" s="14">
        <v>0.33</v>
      </c>
      <c r="Z15" s="14">
        <v>0.56000000000000005</v>
      </c>
      <c r="AA15" s="14">
        <v>0.47</v>
      </c>
      <c r="AB15" s="14">
        <v>0.51</v>
      </c>
      <c r="AC15" s="14">
        <v>0.4</v>
      </c>
      <c r="AD15" s="14">
        <v>0.43</v>
      </c>
      <c r="AE15" s="14">
        <v>0.47</v>
      </c>
      <c r="AF15" s="14">
        <v>0.35</v>
      </c>
    </row>
    <row r="16" spans="1:32">
      <c r="A16" s="23"/>
      <c r="B16" s="11" t="s">
        <v>941</v>
      </c>
      <c r="C16" s="12">
        <v>2214</v>
      </c>
      <c r="D16" s="12">
        <v>86</v>
      </c>
      <c r="E16" s="12">
        <v>101</v>
      </c>
      <c r="F16" s="12">
        <v>108</v>
      </c>
      <c r="G16" s="12">
        <v>98</v>
      </c>
      <c r="H16" s="12">
        <v>93</v>
      </c>
      <c r="I16" s="12">
        <v>122</v>
      </c>
      <c r="J16" s="12">
        <v>29</v>
      </c>
      <c r="K16" s="12">
        <v>132</v>
      </c>
      <c r="L16" s="12">
        <v>60</v>
      </c>
      <c r="M16" s="12">
        <v>125</v>
      </c>
      <c r="N16" s="12">
        <v>54</v>
      </c>
      <c r="O16" s="12">
        <v>63</v>
      </c>
      <c r="P16" s="12">
        <v>86</v>
      </c>
      <c r="Q16" s="12">
        <v>53</v>
      </c>
      <c r="R16" s="12">
        <v>53</v>
      </c>
      <c r="S16" s="12">
        <v>124</v>
      </c>
      <c r="T16" s="12">
        <v>112</v>
      </c>
      <c r="U16" s="12">
        <v>30</v>
      </c>
      <c r="V16" s="12">
        <v>111</v>
      </c>
      <c r="W16" s="12">
        <v>29</v>
      </c>
      <c r="X16" s="12">
        <v>184</v>
      </c>
      <c r="Y16" s="12">
        <v>81</v>
      </c>
      <c r="Z16" s="12">
        <v>123</v>
      </c>
      <c r="AA16" s="12">
        <v>124</v>
      </c>
      <c r="AB16" s="12">
        <v>98</v>
      </c>
      <c r="AC16" s="12">
        <v>80</v>
      </c>
      <c r="AD16" s="12">
        <v>78</v>
      </c>
      <c r="AE16" s="12">
        <v>115</v>
      </c>
      <c r="AF16" s="12">
        <v>106</v>
      </c>
    </row>
    <row r="17" spans="1:32">
      <c r="A17" s="23"/>
      <c r="B17" s="13" t="s">
        <v>942</v>
      </c>
      <c r="C17" s="14">
        <v>0.15</v>
      </c>
      <c r="D17" s="14">
        <v>0.17</v>
      </c>
      <c r="E17" s="14">
        <v>0.17</v>
      </c>
      <c r="F17" s="14">
        <v>0.18</v>
      </c>
      <c r="G17" s="14">
        <v>0.17</v>
      </c>
      <c r="H17" s="14">
        <v>0.15</v>
      </c>
      <c r="I17" s="14">
        <v>0.15</v>
      </c>
      <c r="J17" s="14">
        <v>0.17</v>
      </c>
      <c r="K17" s="14">
        <v>0.22</v>
      </c>
      <c r="L17" s="14">
        <v>0.1</v>
      </c>
      <c r="M17" s="14">
        <v>0.22</v>
      </c>
      <c r="N17" s="14">
        <v>0.1</v>
      </c>
      <c r="O17" s="14">
        <v>0.13</v>
      </c>
      <c r="P17" s="14">
        <v>0.15</v>
      </c>
      <c r="Q17" s="14">
        <v>0.1</v>
      </c>
      <c r="R17" s="14">
        <v>0.18</v>
      </c>
      <c r="S17" s="14">
        <v>0.22</v>
      </c>
      <c r="T17" s="14">
        <v>0.21</v>
      </c>
      <c r="U17" s="14">
        <v>0.11</v>
      </c>
      <c r="V17" s="14">
        <v>0.17</v>
      </c>
      <c r="W17" s="14">
        <v>0.1</v>
      </c>
      <c r="X17" s="14">
        <v>0.32</v>
      </c>
      <c r="Y17" s="14">
        <v>0.14000000000000001</v>
      </c>
      <c r="Z17" s="14">
        <v>0.2</v>
      </c>
      <c r="AA17" s="14">
        <v>0.21</v>
      </c>
      <c r="AB17" s="14">
        <v>0.16</v>
      </c>
      <c r="AC17" s="14">
        <v>0.15</v>
      </c>
      <c r="AD17" s="14">
        <v>0.14000000000000001</v>
      </c>
      <c r="AE17" s="14">
        <v>0.21</v>
      </c>
      <c r="AF17" s="14">
        <v>0.16</v>
      </c>
    </row>
    <row r="18" spans="1:32">
      <c r="A18" s="23"/>
      <c r="B18" s="11" t="s">
        <v>943</v>
      </c>
      <c r="C18" s="12">
        <v>740</v>
      </c>
      <c r="D18" s="12">
        <v>9</v>
      </c>
      <c r="E18" s="12">
        <v>40</v>
      </c>
      <c r="F18" s="12">
        <v>33</v>
      </c>
      <c r="G18" s="12">
        <v>51</v>
      </c>
      <c r="H18" s="12">
        <v>21</v>
      </c>
      <c r="I18" s="12">
        <v>25</v>
      </c>
      <c r="J18" s="12">
        <v>5</v>
      </c>
      <c r="K18" s="12">
        <v>49</v>
      </c>
      <c r="L18" s="12">
        <v>22</v>
      </c>
      <c r="M18" s="12">
        <v>41</v>
      </c>
      <c r="N18" s="12">
        <v>21</v>
      </c>
      <c r="O18" s="12">
        <v>44</v>
      </c>
      <c r="P18" s="12">
        <v>15</v>
      </c>
      <c r="Q18" s="12">
        <v>18</v>
      </c>
      <c r="R18" s="12">
        <v>22</v>
      </c>
      <c r="S18" s="12">
        <v>75</v>
      </c>
      <c r="T18" s="12">
        <v>40</v>
      </c>
      <c r="U18" s="12">
        <v>14</v>
      </c>
      <c r="V18" s="12">
        <v>37</v>
      </c>
      <c r="W18" s="12">
        <v>14</v>
      </c>
      <c r="X18" s="12">
        <v>45</v>
      </c>
      <c r="Y18" s="12">
        <v>39</v>
      </c>
      <c r="Z18" s="12">
        <v>26</v>
      </c>
      <c r="AA18" s="12">
        <v>27</v>
      </c>
      <c r="AB18" s="12">
        <v>33</v>
      </c>
      <c r="AC18" s="12">
        <v>38</v>
      </c>
      <c r="AD18" s="12">
        <v>18</v>
      </c>
      <c r="AE18" s="12">
        <v>28</v>
      </c>
      <c r="AF18" s="12">
        <v>51</v>
      </c>
    </row>
    <row r="19" spans="1:32">
      <c r="A19" s="23"/>
      <c r="B19" s="13" t="s">
        <v>944</v>
      </c>
      <c r="C19" s="14">
        <v>0.05</v>
      </c>
      <c r="D19" s="14">
        <v>0.02</v>
      </c>
      <c r="E19" s="14">
        <v>7.0000000000000007E-2</v>
      </c>
      <c r="F19" s="14">
        <v>0.05</v>
      </c>
      <c r="G19" s="14">
        <v>0.09</v>
      </c>
      <c r="H19" s="14">
        <v>0.03</v>
      </c>
      <c r="I19" s="14">
        <v>0.03</v>
      </c>
      <c r="J19" s="14">
        <v>0.03</v>
      </c>
      <c r="K19" s="14">
        <v>0.08</v>
      </c>
      <c r="L19" s="14">
        <v>0.04</v>
      </c>
      <c r="M19" s="14">
        <v>7.0000000000000007E-2</v>
      </c>
      <c r="N19" s="14">
        <v>0.04</v>
      </c>
      <c r="O19" s="14">
        <v>0.09</v>
      </c>
      <c r="P19" s="14">
        <v>0.03</v>
      </c>
      <c r="Q19" s="14">
        <v>0.03</v>
      </c>
      <c r="R19" s="14">
        <v>7.0000000000000007E-2</v>
      </c>
      <c r="S19" s="14">
        <v>0.13</v>
      </c>
      <c r="T19" s="14">
        <v>0.08</v>
      </c>
      <c r="U19" s="14">
        <v>0.05</v>
      </c>
      <c r="V19" s="14">
        <v>0.06</v>
      </c>
      <c r="W19" s="14">
        <v>0.05</v>
      </c>
      <c r="X19" s="14">
        <v>0.08</v>
      </c>
      <c r="Y19" s="14">
        <v>0.06</v>
      </c>
      <c r="Z19" s="14">
        <v>0.04</v>
      </c>
      <c r="AA19" s="14">
        <v>0.04</v>
      </c>
      <c r="AB19" s="14">
        <v>0.06</v>
      </c>
      <c r="AC19" s="14">
        <v>7.0000000000000007E-2</v>
      </c>
      <c r="AD19" s="14">
        <v>0.03</v>
      </c>
      <c r="AE19" s="14">
        <v>0.05</v>
      </c>
      <c r="AF19" s="14">
        <v>0.08</v>
      </c>
    </row>
    <row r="20" spans="1:32">
      <c r="A20" s="23"/>
      <c r="B20" s="11" t="s">
        <v>497</v>
      </c>
      <c r="C20" s="12">
        <v>71</v>
      </c>
      <c r="D20" s="12">
        <v>2</v>
      </c>
      <c r="E20" s="12">
        <v>4</v>
      </c>
      <c r="F20" s="12">
        <v>4</v>
      </c>
      <c r="G20" s="12">
        <v>5</v>
      </c>
      <c r="H20" s="12">
        <v>5</v>
      </c>
      <c r="I20" s="12">
        <v>5</v>
      </c>
      <c r="J20" s="12">
        <v>0</v>
      </c>
      <c r="K20" s="12">
        <v>6</v>
      </c>
      <c r="L20" s="12">
        <v>7</v>
      </c>
      <c r="M20" s="12">
        <v>1</v>
      </c>
      <c r="N20" s="12">
        <v>0</v>
      </c>
      <c r="O20" s="12">
        <v>3</v>
      </c>
      <c r="P20" s="12">
        <v>3</v>
      </c>
      <c r="Q20" s="12">
        <v>0</v>
      </c>
      <c r="R20" s="12">
        <v>0</v>
      </c>
      <c r="S20" s="12">
        <v>1</v>
      </c>
      <c r="T20" s="12">
        <v>1</v>
      </c>
      <c r="U20" s="12">
        <v>1</v>
      </c>
      <c r="V20" s="12">
        <v>1</v>
      </c>
      <c r="W20" s="12">
        <v>0</v>
      </c>
      <c r="X20" s="12">
        <v>6</v>
      </c>
      <c r="Y20" s="12">
        <v>0</v>
      </c>
      <c r="Z20" s="12">
        <v>7</v>
      </c>
      <c r="AA20" s="12">
        <v>6</v>
      </c>
      <c r="AB20" s="12">
        <v>1</v>
      </c>
      <c r="AC20" s="12">
        <v>3</v>
      </c>
      <c r="AD20" s="12">
        <v>4</v>
      </c>
      <c r="AE20" s="12">
        <v>2</v>
      </c>
      <c r="AF20" s="12">
        <v>0</v>
      </c>
    </row>
    <row r="21" spans="1:32">
      <c r="A21" s="23"/>
      <c r="B21" s="13" t="s">
        <v>498</v>
      </c>
      <c r="C21" s="14">
        <v>0.01</v>
      </c>
      <c r="D21" s="15" t="s">
        <v>485</v>
      </c>
      <c r="E21" s="14">
        <v>0.01</v>
      </c>
      <c r="F21" s="14">
        <v>0.01</v>
      </c>
      <c r="G21" s="14">
        <v>0.01</v>
      </c>
      <c r="H21" s="14">
        <v>0.01</v>
      </c>
      <c r="I21" s="14">
        <v>0.01</v>
      </c>
      <c r="J21" s="15" t="s">
        <v>485</v>
      </c>
      <c r="K21" s="14">
        <v>0.01</v>
      </c>
      <c r="L21" s="14">
        <v>0.01</v>
      </c>
      <c r="M21" s="15" t="s">
        <v>485</v>
      </c>
      <c r="N21" s="15" t="s">
        <v>485</v>
      </c>
      <c r="O21" s="14">
        <v>0.01</v>
      </c>
      <c r="P21" s="15" t="s">
        <v>485</v>
      </c>
      <c r="Q21" s="15" t="s">
        <v>485</v>
      </c>
      <c r="R21" s="15" t="s">
        <v>485</v>
      </c>
      <c r="S21" s="15" t="s">
        <v>485</v>
      </c>
      <c r="T21" s="15" t="s">
        <v>485</v>
      </c>
      <c r="U21" s="15" t="s">
        <v>485</v>
      </c>
      <c r="V21" s="15" t="s">
        <v>485</v>
      </c>
      <c r="W21" s="15" t="s">
        <v>485</v>
      </c>
      <c r="X21" s="14">
        <v>0.01</v>
      </c>
      <c r="Y21" s="15" t="s">
        <v>485</v>
      </c>
      <c r="Z21" s="14">
        <v>0.01</v>
      </c>
      <c r="AA21" s="14">
        <v>0.01</v>
      </c>
      <c r="AB21" s="15" t="s">
        <v>485</v>
      </c>
      <c r="AC21" s="15" t="s">
        <v>485</v>
      </c>
      <c r="AD21" s="14">
        <v>0.01</v>
      </c>
      <c r="AE21" s="15" t="s">
        <v>485</v>
      </c>
      <c r="AF21" s="15" t="s">
        <v>485</v>
      </c>
    </row>
    <row r="22" spans="1:32">
      <c r="A22" s="23"/>
      <c r="B22" s="11" t="s">
        <v>945</v>
      </c>
      <c r="C22" s="12">
        <v>11383</v>
      </c>
      <c r="D22" s="12">
        <v>401</v>
      </c>
      <c r="E22" s="12">
        <v>437</v>
      </c>
      <c r="F22" s="12">
        <v>457</v>
      </c>
      <c r="G22" s="12">
        <v>412</v>
      </c>
      <c r="H22" s="12">
        <v>504</v>
      </c>
      <c r="I22" s="12">
        <v>640</v>
      </c>
      <c r="J22" s="12">
        <v>135</v>
      </c>
      <c r="K22" s="12">
        <v>408</v>
      </c>
      <c r="L22" s="12">
        <v>509</v>
      </c>
      <c r="M22" s="12">
        <v>397</v>
      </c>
      <c r="N22" s="12">
        <v>455</v>
      </c>
      <c r="O22" s="12">
        <v>378</v>
      </c>
      <c r="P22" s="12">
        <v>482</v>
      </c>
      <c r="Q22" s="12">
        <v>485</v>
      </c>
      <c r="R22" s="12">
        <v>225</v>
      </c>
      <c r="S22" s="12">
        <v>364</v>
      </c>
      <c r="T22" s="12">
        <v>373</v>
      </c>
      <c r="U22" s="12">
        <v>237</v>
      </c>
      <c r="V22" s="12">
        <v>497</v>
      </c>
      <c r="W22" s="12">
        <v>261</v>
      </c>
      <c r="X22" s="12">
        <v>333</v>
      </c>
      <c r="Y22" s="12">
        <v>476</v>
      </c>
      <c r="Z22" s="12">
        <v>473</v>
      </c>
      <c r="AA22" s="12">
        <v>441</v>
      </c>
      <c r="AB22" s="12">
        <v>472</v>
      </c>
      <c r="AC22" s="12">
        <v>427</v>
      </c>
      <c r="AD22" s="12">
        <v>472</v>
      </c>
      <c r="AE22" s="12">
        <v>399</v>
      </c>
      <c r="AF22" s="12">
        <v>498</v>
      </c>
    </row>
    <row r="23" spans="1:32">
      <c r="A23" s="23"/>
      <c r="B23" s="13" t="s">
        <v>945</v>
      </c>
      <c r="C23" s="14">
        <v>0.79</v>
      </c>
      <c r="D23" s="14">
        <v>0.81</v>
      </c>
      <c r="E23" s="14">
        <v>0.75</v>
      </c>
      <c r="F23" s="14">
        <v>0.76</v>
      </c>
      <c r="G23" s="14">
        <v>0.73</v>
      </c>
      <c r="H23" s="14">
        <v>0.81</v>
      </c>
      <c r="I23" s="14">
        <v>0.81</v>
      </c>
      <c r="J23" s="14">
        <v>0.8</v>
      </c>
      <c r="K23" s="14">
        <v>0.69000000000000006</v>
      </c>
      <c r="L23" s="14">
        <v>0.85</v>
      </c>
      <c r="M23" s="14">
        <v>0.71</v>
      </c>
      <c r="N23" s="14">
        <v>0.86</v>
      </c>
      <c r="O23" s="14">
        <v>0.77</v>
      </c>
      <c r="P23" s="14">
        <v>0.82000000000000006</v>
      </c>
      <c r="Q23" s="14">
        <v>0.87</v>
      </c>
      <c r="R23" s="14">
        <v>0.75</v>
      </c>
      <c r="S23" s="14">
        <v>0.65</v>
      </c>
      <c r="T23" s="14">
        <v>0.71</v>
      </c>
      <c r="U23" s="14">
        <v>0.84</v>
      </c>
      <c r="V23" s="14">
        <v>0.77</v>
      </c>
      <c r="W23" s="14">
        <v>0.85</v>
      </c>
      <c r="X23" s="14">
        <v>0.59</v>
      </c>
      <c r="Y23" s="14">
        <v>0.8</v>
      </c>
      <c r="Z23" s="14">
        <v>0.75</v>
      </c>
      <c r="AA23" s="14">
        <v>0.74</v>
      </c>
      <c r="AB23" s="14">
        <v>0.78</v>
      </c>
      <c r="AC23" s="14">
        <v>0.78</v>
      </c>
      <c r="AD23" s="14">
        <v>0.82000000000000006</v>
      </c>
      <c r="AE23" s="14">
        <v>0.74</v>
      </c>
      <c r="AF23" s="14">
        <v>0.76</v>
      </c>
    </row>
    <row r="24" spans="1:32">
      <c r="A24" s="23"/>
      <c r="B24" s="11" t="s">
        <v>946</v>
      </c>
      <c r="C24" s="12">
        <v>2954</v>
      </c>
      <c r="D24" s="12">
        <v>95</v>
      </c>
      <c r="E24" s="12">
        <v>141</v>
      </c>
      <c r="F24" s="12">
        <v>141</v>
      </c>
      <c r="G24" s="12">
        <v>149</v>
      </c>
      <c r="H24" s="12">
        <v>114</v>
      </c>
      <c r="I24" s="12">
        <v>147</v>
      </c>
      <c r="J24" s="12">
        <v>34</v>
      </c>
      <c r="K24" s="12">
        <v>181</v>
      </c>
      <c r="L24" s="12">
        <v>82</v>
      </c>
      <c r="M24" s="12">
        <v>166</v>
      </c>
      <c r="N24" s="12">
        <v>75</v>
      </c>
      <c r="O24" s="12">
        <v>107</v>
      </c>
      <c r="P24" s="12">
        <v>101</v>
      </c>
      <c r="Q24" s="12">
        <v>71</v>
      </c>
      <c r="R24" s="12">
        <v>75</v>
      </c>
      <c r="S24" s="12">
        <v>199</v>
      </c>
      <c r="T24" s="12">
        <v>152</v>
      </c>
      <c r="U24" s="12">
        <v>44</v>
      </c>
      <c r="V24" s="12">
        <v>148</v>
      </c>
      <c r="W24" s="12">
        <v>43</v>
      </c>
      <c r="X24" s="12">
        <v>229</v>
      </c>
      <c r="Y24" s="12">
        <v>120</v>
      </c>
      <c r="Z24" s="12">
        <v>149</v>
      </c>
      <c r="AA24" s="12">
        <v>151</v>
      </c>
      <c r="AB24" s="12">
        <v>131</v>
      </c>
      <c r="AC24" s="12">
        <v>118</v>
      </c>
      <c r="AD24" s="12">
        <v>96</v>
      </c>
      <c r="AE24" s="12">
        <v>143</v>
      </c>
      <c r="AF24" s="12">
        <v>157</v>
      </c>
    </row>
    <row r="25" spans="1:32">
      <c r="A25" s="23"/>
      <c r="B25" s="13" t="s">
        <v>947</v>
      </c>
      <c r="C25" s="14">
        <v>0.2</v>
      </c>
      <c r="D25" s="14">
        <v>0.19</v>
      </c>
      <c r="E25" s="14">
        <v>0.24</v>
      </c>
      <c r="F25" s="14">
        <v>0.23</v>
      </c>
      <c r="G25" s="14">
        <v>0.26</v>
      </c>
      <c r="H25" s="14">
        <v>0.18</v>
      </c>
      <c r="I25" s="14">
        <v>0.18</v>
      </c>
      <c r="J25" s="14">
        <v>0.2</v>
      </c>
      <c r="K25" s="14">
        <v>0.3</v>
      </c>
      <c r="L25" s="14">
        <v>0.14000000000000001</v>
      </c>
      <c r="M25" s="14">
        <v>0.28999999999999998</v>
      </c>
      <c r="N25" s="14">
        <v>0.14000000000000001</v>
      </c>
      <c r="O25" s="14">
        <v>0.22</v>
      </c>
      <c r="P25" s="14">
        <v>0.18</v>
      </c>
      <c r="Q25" s="14">
        <v>0.13</v>
      </c>
      <c r="R25" s="14">
        <v>0.25</v>
      </c>
      <c r="S25" s="14">
        <v>0.35</v>
      </c>
      <c r="T25" s="14">
        <v>0.28999999999999998</v>
      </c>
      <c r="U25" s="14">
        <v>0.16</v>
      </c>
      <c r="V25" s="14">
        <v>0.23</v>
      </c>
      <c r="W25" s="14">
        <v>0.15</v>
      </c>
      <c r="X25" s="14">
        <v>0.4</v>
      </c>
      <c r="Y25" s="14">
        <v>0.2</v>
      </c>
      <c r="Z25" s="14">
        <v>0.24</v>
      </c>
      <c r="AA25" s="14">
        <v>0.25</v>
      </c>
      <c r="AB25" s="14">
        <v>0.22</v>
      </c>
      <c r="AC25" s="14">
        <v>0.22</v>
      </c>
      <c r="AD25" s="14">
        <v>0.17</v>
      </c>
      <c r="AE25" s="14">
        <v>0.26</v>
      </c>
      <c r="AF25" s="14">
        <v>0.24</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952</v>
      </c>
      <c r="C3" s="19"/>
      <c r="D3" s="19"/>
      <c r="E3" s="19"/>
      <c r="F3" s="19"/>
      <c r="H3" s="19" t="s">
        <v>953</v>
      </c>
      <c r="I3" s="19"/>
      <c r="J3" s="19"/>
      <c r="K3" s="19"/>
      <c r="L3" s="19"/>
    </row>
    <row r="4" spans="1:32" ht="27" customHeight="1">
      <c r="B4" s="19" t="s">
        <v>954</v>
      </c>
      <c r="C4" s="19"/>
      <c r="D4" s="19"/>
      <c r="E4" s="19"/>
      <c r="F4" s="19"/>
      <c r="H4" s="19" t="s">
        <v>955</v>
      </c>
      <c r="I4" s="19"/>
      <c r="J4" s="19"/>
      <c r="K4" s="19"/>
      <c r="L4" s="19"/>
    </row>
    <row r="5" spans="1:32" ht="12" customHeight="1">
      <c r="B5" s="19" t="s">
        <v>919</v>
      </c>
      <c r="C5" s="19"/>
      <c r="D5" s="19"/>
      <c r="E5" s="19"/>
      <c r="F5" s="19"/>
      <c r="H5" s="19" t="s">
        <v>920</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HYPERLINK("#Content!A60","&lt;&lt;Back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14408</v>
      </c>
      <c r="D10" s="10">
        <v>498</v>
      </c>
      <c r="E10" s="10">
        <v>582</v>
      </c>
      <c r="F10" s="10">
        <v>601</v>
      </c>
      <c r="G10" s="10">
        <v>566</v>
      </c>
      <c r="H10" s="10">
        <v>623</v>
      </c>
      <c r="I10" s="10">
        <v>792</v>
      </c>
      <c r="J10" s="10">
        <v>169</v>
      </c>
      <c r="K10" s="10">
        <v>595</v>
      </c>
      <c r="L10" s="10">
        <v>599</v>
      </c>
      <c r="M10" s="10">
        <v>564</v>
      </c>
      <c r="N10" s="10">
        <v>531</v>
      </c>
      <c r="O10" s="10">
        <v>489</v>
      </c>
      <c r="P10" s="10">
        <v>587</v>
      </c>
      <c r="Q10" s="10">
        <v>556</v>
      </c>
      <c r="R10" s="10">
        <v>299</v>
      </c>
      <c r="S10" s="10">
        <v>564</v>
      </c>
      <c r="T10" s="10">
        <v>527</v>
      </c>
      <c r="U10" s="10">
        <v>281</v>
      </c>
      <c r="V10" s="10">
        <v>647</v>
      </c>
      <c r="W10" s="10">
        <v>304</v>
      </c>
      <c r="X10" s="10">
        <v>569</v>
      </c>
      <c r="Y10" s="10">
        <v>596</v>
      </c>
      <c r="Z10" s="10">
        <v>629</v>
      </c>
      <c r="AA10" s="10">
        <v>599</v>
      </c>
      <c r="AB10" s="10">
        <v>604</v>
      </c>
      <c r="AC10" s="10">
        <v>548</v>
      </c>
      <c r="AD10" s="10">
        <v>570</v>
      </c>
      <c r="AE10" s="10">
        <v>544</v>
      </c>
      <c r="AF10" s="10">
        <v>655</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937</v>
      </c>
      <c r="C12" s="12">
        <v>5225</v>
      </c>
      <c r="D12" s="12">
        <v>146</v>
      </c>
      <c r="E12" s="12">
        <v>270</v>
      </c>
      <c r="F12" s="12">
        <v>216</v>
      </c>
      <c r="G12" s="12">
        <v>237</v>
      </c>
      <c r="H12" s="12">
        <v>220</v>
      </c>
      <c r="I12" s="12">
        <v>269</v>
      </c>
      <c r="J12" s="12">
        <v>49</v>
      </c>
      <c r="K12" s="12">
        <v>221</v>
      </c>
      <c r="L12" s="12">
        <v>312</v>
      </c>
      <c r="M12" s="12">
        <v>251</v>
      </c>
      <c r="N12" s="12">
        <v>215</v>
      </c>
      <c r="O12" s="12">
        <v>191</v>
      </c>
      <c r="P12" s="12">
        <v>253</v>
      </c>
      <c r="Q12" s="12">
        <v>240</v>
      </c>
      <c r="R12" s="12">
        <v>167</v>
      </c>
      <c r="S12" s="12">
        <v>257</v>
      </c>
      <c r="T12" s="12">
        <v>209</v>
      </c>
      <c r="U12" s="12">
        <v>165</v>
      </c>
      <c r="V12" s="12">
        <v>192</v>
      </c>
      <c r="W12" s="12">
        <v>178</v>
      </c>
      <c r="X12" s="12">
        <v>107</v>
      </c>
      <c r="Y12" s="12">
        <v>260</v>
      </c>
      <c r="Z12" s="12">
        <v>139</v>
      </c>
      <c r="AA12" s="12">
        <v>170</v>
      </c>
      <c r="AB12" s="12">
        <v>187</v>
      </c>
      <c r="AC12" s="12">
        <v>216</v>
      </c>
      <c r="AD12" s="12">
        <v>245</v>
      </c>
      <c r="AE12" s="12">
        <v>241</v>
      </c>
      <c r="AF12" s="12">
        <v>310</v>
      </c>
    </row>
    <row r="13" spans="1:32">
      <c r="A13" s="23"/>
      <c r="B13" s="13" t="s">
        <v>938</v>
      </c>
      <c r="C13" s="14">
        <v>0.36</v>
      </c>
      <c r="D13" s="14">
        <v>0.28999999999999998</v>
      </c>
      <c r="E13" s="14">
        <v>0.46</v>
      </c>
      <c r="F13" s="14">
        <v>0.36</v>
      </c>
      <c r="G13" s="14">
        <v>0.42</v>
      </c>
      <c r="H13" s="14">
        <v>0.35</v>
      </c>
      <c r="I13" s="14">
        <v>0.34</v>
      </c>
      <c r="J13" s="14">
        <v>0.28999999999999998</v>
      </c>
      <c r="K13" s="14">
        <v>0.37</v>
      </c>
      <c r="L13" s="14">
        <v>0.52</v>
      </c>
      <c r="M13" s="14">
        <v>0.45</v>
      </c>
      <c r="N13" s="14">
        <v>0.4</v>
      </c>
      <c r="O13" s="14">
        <v>0.39</v>
      </c>
      <c r="P13" s="14">
        <v>0.43</v>
      </c>
      <c r="Q13" s="14">
        <v>0.43</v>
      </c>
      <c r="R13" s="14">
        <v>0.56000000000000005</v>
      </c>
      <c r="S13" s="14">
        <v>0.46</v>
      </c>
      <c r="T13" s="14">
        <v>0.4</v>
      </c>
      <c r="U13" s="14">
        <v>0.59</v>
      </c>
      <c r="V13" s="14">
        <v>0.3</v>
      </c>
      <c r="W13" s="14">
        <v>0.59</v>
      </c>
      <c r="X13" s="14">
        <v>0.19</v>
      </c>
      <c r="Y13" s="14">
        <v>0.44</v>
      </c>
      <c r="Z13" s="14">
        <v>0.22</v>
      </c>
      <c r="AA13" s="14">
        <v>0.28000000000000003</v>
      </c>
      <c r="AB13" s="14">
        <v>0.31</v>
      </c>
      <c r="AC13" s="14">
        <v>0.39</v>
      </c>
      <c r="AD13" s="14">
        <v>0.43</v>
      </c>
      <c r="AE13" s="14">
        <v>0.44</v>
      </c>
      <c r="AF13" s="14">
        <v>0.47</v>
      </c>
    </row>
    <row r="14" spans="1:32">
      <c r="A14" s="23"/>
      <c r="B14" s="11" t="s">
        <v>939</v>
      </c>
      <c r="C14" s="12">
        <v>6236</v>
      </c>
      <c r="D14" s="12">
        <v>252</v>
      </c>
      <c r="E14" s="12">
        <v>227</v>
      </c>
      <c r="F14" s="12">
        <v>263</v>
      </c>
      <c r="G14" s="12">
        <v>164</v>
      </c>
      <c r="H14" s="12">
        <v>268</v>
      </c>
      <c r="I14" s="12">
        <v>339</v>
      </c>
      <c r="J14" s="12">
        <v>71</v>
      </c>
      <c r="K14" s="12">
        <v>242</v>
      </c>
      <c r="L14" s="12">
        <v>190</v>
      </c>
      <c r="M14" s="12">
        <v>211</v>
      </c>
      <c r="N14" s="12">
        <v>233</v>
      </c>
      <c r="O14" s="12">
        <v>210</v>
      </c>
      <c r="P14" s="12">
        <v>235</v>
      </c>
      <c r="Q14" s="12">
        <v>252</v>
      </c>
      <c r="R14" s="12">
        <v>69</v>
      </c>
      <c r="S14" s="12">
        <v>158</v>
      </c>
      <c r="T14" s="12">
        <v>216</v>
      </c>
      <c r="U14" s="12">
        <v>75</v>
      </c>
      <c r="V14" s="12">
        <v>314</v>
      </c>
      <c r="W14" s="12">
        <v>77</v>
      </c>
      <c r="X14" s="12">
        <v>181</v>
      </c>
      <c r="Y14" s="12">
        <v>213</v>
      </c>
      <c r="Z14" s="12">
        <v>358</v>
      </c>
      <c r="AA14" s="12">
        <v>274</v>
      </c>
      <c r="AB14" s="12">
        <v>292</v>
      </c>
      <c r="AC14" s="12">
        <v>202</v>
      </c>
      <c r="AD14" s="12">
        <v>236</v>
      </c>
      <c r="AE14" s="12">
        <v>166</v>
      </c>
      <c r="AF14" s="12">
        <v>168</v>
      </c>
    </row>
    <row r="15" spans="1:32">
      <c r="A15" s="23"/>
      <c r="B15" s="13" t="s">
        <v>940</v>
      </c>
      <c r="C15" s="14">
        <v>0.43</v>
      </c>
      <c r="D15" s="14">
        <v>0.51</v>
      </c>
      <c r="E15" s="14">
        <v>0.39</v>
      </c>
      <c r="F15" s="14">
        <v>0.44</v>
      </c>
      <c r="G15" s="14">
        <v>0.28999999999999998</v>
      </c>
      <c r="H15" s="14">
        <v>0.43</v>
      </c>
      <c r="I15" s="14">
        <v>0.43</v>
      </c>
      <c r="J15" s="14">
        <v>0.42</v>
      </c>
      <c r="K15" s="14">
        <v>0.41</v>
      </c>
      <c r="L15" s="14">
        <v>0.32</v>
      </c>
      <c r="M15" s="14">
        <v>0.37</v>
      </c>
      <c r="N15" s="14">
        <v>0.44</v>
      </c>
      <c r="O15" s="14">
        <v>0.43</v>
      </c>
      <c r="P15" s="14">
        <v>0.4</v>
      </c>
      <c r="Q15" s="14">
        <v>0.45</v>
      </c>
      <c r="R15" s="14">
        <v>0.23</v>
      </c>
      <c r="S15" s="14">
        <v>0.28000000000000003</v>
      </c>
      <c r="T15" s="14">
        <v>0.41</v>
      </c>
      <c r="U15" s="14">
        <v>0.27</v>
      </c>
      <c r="V15" s="14">
        <v>0.48</v>
      </c>
      <c r="W15" s="14">
        <v>0.25</v>
      </c>
      <c r="X15" s="14">
        <v>0.32</v>
      </c>
      <c r="Y15" s="14">
        <v>0.36</v>
      </c>
      <c r="Z15" s="14">
        <v>0.57000000000000006</v>
      </c>
      <c r="AA15" s="14">
        <v>0.46</v>
      </c>
      <c r="AB15" s="14">
        <v>0.48</v>
      </c>
      <c r="AC15" s="14">
        <v>0.37</v>
      </c>
      <c r="AD15" s="14">
        <v>0.41</v>
      </c>
      <c r="AE15" s="14">
        <v>0.31</v>
      </c>
      <c r="AF15" s="14">
        <v>0.26</v>
      </c>
    </row>
    <row r="16" spans="1:32">
      <c r="A16" s="23"/>
      <c r="B16" s="11" t="s">
        <v>941</v>
      </c>
      <c r="C16" s="12">
        <v>2086</v>
      </c>
      <c r="D16" s="12">
        <v>77</v>
      </c>
      <c r="E16" s="12">
        <v>49</v>
      </c>
      <c r="F16" s="12">
        <v>83</v>
      </c>
      <c r="G16" s="12">
        <v>103</v>
      </c>
      <c r="H16" s="12">
        <v>97</v>
      </c>
      <c r="I16" s="12">
        <v>130</v>
      </c>
      <c r="J16" s="12">
        <v>33</v>
      </c>
      <c r="K16" s="12">
        <v>78</v>
      </c>
      <c r="L16" s="12">
        <v>71</v>
      </c>
      <c r="M16" s="12">
        <v>78</v>
      </c>
      <c r="N16" s="12">
        <v>54</v>
      </c>
      <c r="O16" s="12">
        <v>51</v>
      </c>
      <c r="P16" s="12">
        <v>85</v>
      </c>
      <c r="Q16" s="12">
        <v>53</v>
      </c>
      <c r="R16" s="12">
        <v>36</v>
      </c>
      <c r="S16" s="12">
        <v>98</v>
      </c>
      <c r="T16" s="12">
        <v>72</v>
      </c>
      <c r="U16" s="12">
        <v>22</v>
      </c>
      <c r="V16" s="12">
        <v>105</v>
      </c>
      <c r="W16" s="12">
        <v>29</v>
      </c>
      <c r="X16" s="12">
        <v>215</v>
      </c>
      <c r="Y16" s="12">
        <v>71</v>
      </c>
      <c r="Z16" s="12">
        <v>96</v>
      </c>
      <c r="AA16" s="12">
        <v>133</v>
      </c>
      <c r="AB16" s="12">
        <v>99</v>
      </c>
      <c r="AC16" s="12">
        <v>72</v>
      </c>
      <c r="AD16" s="12">
        <v>60</v>
      </c>
      <c r="AE16" s="12">
        <v>96</v>
      </c>
      <c r="AF16" s="12">
        <v>124</v>
      </c>
    </row>
    <row r="17" spans="1:32">
      <c r="A17" s="23"/>
      <c r="B17" s="13" t="s">
        <v>942</v>
      </c>
      <c r="C17" s="14">
        <v>0.15</v>
      </c>
      <c r="D17" s="14">
        <v>0.16</v>
      </c>
      <c r="E17" s="14">
        <v>0.09</v>
      </c>
      <c r="F17" s="14">
        <v>0.14000000000000001</v>
      </c>
      <c r="G17" s="14">
        <v>0.18</v>
      </c>
      <c r="H17" s="14">
        <v>0.16</v>
      </c>
      <c r="I17" s="14">
        <v>0.16</v>
      </c>
      <c r="J17" s="14">
        <v>0.2</v>
      </c>
      <c r="K17" s="14">
        <v>0.13</v>
      </c>
      <c r="L17" s="14">
        <v>0.12</v>
      </c>
      <c r="M17" s="14">
        <v>0.14000000000000001</v>
      </c>
      <c r="N17" s="14">
        <v>0.1</v>
      </c>
      <c r="O17" s="14">
        <v>0.11</v>
      </c>
      <c r="P17" s="14">
        <v>0.14000000000000001</v>
      </c>
      <c r="Q17" s="14">
        <v>0.1</v>
      </c>
      <c r="R17" s="14">
        <v>0.12</v>
      </c>
      <c r="S17" s="14">
        <v>0.17</v>
      </c>
      <c r="T17" s="14">
        <v>0.14000000000000001</v>
      </c>
      <c r="U17" s="14">
        <v>0.08</v>
      </c>
      <c r="V17" s="14">
        <v>0.16</v>
      </c>
      <c r="W17" s="14">
        <v>0.09</v>
      </c>
      <c r="X17" s="14">
        <v>0.38</v>
      </c>
      <c r="Y17" s="14">
        <v>0.12</v>
      </c>
      <c r="Z17" s="14">
        <v>0.15</v>
      </c>
      <c r="AA17" s="14">
        <v>0.22</v>
      </c>
      <c r="AB17" s="14">
        <v>0.16</v>
      </c>
      <c r="AC17" s="14">
        <v>0.13</v>
      </c>
      <c r="AD17" s="14">
        <v>0.11</v>
      </c>
      <c r="AE17" s="14">
        <v>0.18</v>
      </c>
      <c r="AF17" s="14">
        <v>0.19</v>
      </c>
    </row>
    <row r="18" spans="1:32">
      <c r="A18" s="23"/>
      <c r="B18" s="11" t="s">
        <v>943</v>
      </c>
      <c r="C18" s="12">
        <v>765</v>
      </c>
      <c r="D18" s="12">
        <v>20</v>
      </c>
      <c r="E18" s="12">
        <v>19</v>
      </c>
      <c r="F18" s="12">
        <v>35</v>
      </c>
      <c r="G18" s="12">
        <v>56</v>
      </c>
      <c r="H18" s="12">
        <v>33</v>
      </c>
      <c r="I18" s="12">
        <v>49</v>
      </c>
      <c r="J18" s="12">
        <v>15</v>
      </c>
      <c r="K18" s="12">
        <v>50</v>
      </c>
      <c r="L18" s="12">
        <v>23</v>
      </c>
      <c r="M18" s="12">
        <v>22</v>
      </c>
      <c r="N18" s="12">
        <v>25</v>
      </c>
      <c r="O18" s="12">
        <v>36</v>
      </c>
      <c r="P18" s="12">
        <v>10</v>
      </c>
      <c r="Q18" s="12">
        <v>12</v>
      </c>
      <c r="R18" s="12">
        <v>25</v>
      </c>
      <c r="S18" s="12">
        <v>49</v>
      </c>
      <c r="T18" s="12">
        <v>29</v>
      </c>
      <c r="U18" s="12">
        <v>14</v>
      </c>
      <c r="V18" s="12">
        <v>33</v>
      </c>
      <c r="W18" s="12">
        <v>20</v>
      </c>
      <c r="X18" s="12">
        <v>61</v>
      </c>
      <c r="Y18" s="12">
        <v>49</v>
      </c>
      <c r="Z18" s="12">
        <v>23</v>
      </c>
      <c r="AA18" s="12">
        <v>16</v>
      </c>
      <c r="AB18" s="12">
        <v>27</v>
      </c>
      <c r="AC18" s="12">
        <v>55</v>
      </c>
      <c r="AD18" s="12">
        <v>21</v>
      </c>
      <c r="AE18" s="12">
        <v>37</v>
      </c>
      <c r="AF18" s="12">
        <v>50</v>
      </c>
    </row>
    <row r="19" spans="1:32">
      <c r="A19" s="23"/>
      <c r="B19" s="13" t="s">
        <v>944</v>
      </c>
      <c r="C19" s="14">
        <v>0.05</v>
      </c>
      <c r="D19" s="14">
        <v>0.04</v>
      </c>
      <c r="E19" s="14">
        <v>0.03</v>
      </c>
      <c r="F19" s="14">
        <v>0.06</v>
      </c>
      <c r="G19" s="14">
        <v>0.1</v>
      </c>
      <c r="H19" s="14">
        <v>0.05</v>
      </c>
      <c r="I19" s="14">
        <v>0.06</v>
      </c>
      <c r="J19" s="14">
        <v>0.09</v>
      </c>
      <c r="K19" s="14">
        <v>0.08</v>
      </c>
      <c r="L19" s="14">
        <v>0.04</v>
      </c>
      <c r="M19" s="14">
        <v>0.04</v>
      </c>
      <c r="N19" s="14">
        <v>0.05</v>
      </c>
      <c r="O19" s="14">
        <v>7.0000000000000007E-2</v>
      </c>
      <c r="P19" s="14">
        <v>0.02</v>
      </c>
      <c r="Q19" s="14">
        <v>0.02</v>
      </c>
      <c r="R19" s="14">
        <v>0.09</v>
      </c>
      <c r="S19" s="14">
        <v>0.09</v>
      </c>
      <c r="T19" s="14">
        <v>0.05</v>
      </c>
      <c r="U19" s="14">
        <v>0.05</v>
      </c>
      <c r="V19" s="14">
        <v>0.05</v>
      </c>
      <c r="W19" s="14">
        <v>7.0000000000000007E-2</v>
      </c>
      <c r="X19" s="14">
        <v>0.11</v>
      </c>
      <c r="Y19" s="14">
        <v>0.08</v>
      </c>
      <c r="Z19" s="14">
        <v>0.04</v>
      </c>
      <c r="AA19" s="14">
        <v>0.03</v>
      </c>
      <c r="AB19" s="14">
        <v>0.05</v>
      </c>
      <c r="AC19" s="14">
        <v>0.1</v>
      </c>
      <c r="AD19" s="14">
        <v>0.04</v>
      </c>
      <c r="AE19" s="14">
        <v>7.0000000000000007E-2</v>
      </c>
      <c r="AF19" s="14">
        <v>0.08</v>
      </c>
    </row>
    <row r="20" spans="1:32">
      <c r="A20" s="23"/>
      <c r="B20" s="11" t="s">
        <v>497</v>
      </c>
      <c r="C20" s="12">
        <v>96</v>
      </c>
      <c r="D20" s="12">
        <v>2</v>
      </c>
      <c r="E20" s="12">
        <v>17</v>
      </c>
      <c r="F20" s="12">
        <v>4</v>
      </c>
      <c r="G20" s="12">
        <v>5</v>
      </c>
      <c r="H20" s="12">
        <v>6</v>
      </c>
      <c r="I20" s="12">
        <v>6</v>
      </c>
      <c r="J20" s="12">
        <v>0</v>
      </c>
      <c r="K20" s="12">
        <v>5</v>
      </c>
      <c r="L20" s="12">
        <v>4</v>
      </c>
      <c r="M20" s="12">
        <v>2</v>
      </c>
      <c r="N20" s="12">
        <v>4</v>
      </c>
      <c r="O20" s="12">
        <v>1</v>
      </c>
      <c r="P20" s="12">
        <v>4</v>
      </c>
      <c r="Q20" s="12">
        <v>0</v>
      </c>
      <c r="R20" s="12">
        <v>1</v>
      </c>
      <c r="S20" s="12">
        <v>2</v>
      </c>
      <c r="T20" s="12">
        <v>1</v>
      </c>
      <c r="U20" s="12">
        <v>4</v>
      </c>
      <c r="V20" s="12">
        <v>4</v>
      </c>
      <c r="W20" s="12">
        <v>0</v>
      </c>
      <c r="X20" s="12">
        <v>4</v>
      </c>
      <c r="Y20" s="12">
        <v>2</v>
      </c>
      <c r="Z20" s="12">
        <v>13</v>
      </c>
      <c r="AA20" s="12">
        <v>6</v>
      </c>
      <c r="AB20" s="12">
        <v>0</v>
      </c>
      <c r="AC20" s="12">
        <v>4</v>
      </c>
      <c r="AD20" s="12">
        <v>8</v>
      </c>
      <c r="AE20" s="12">
        <v>3</v>
      </c>
      <c r="AF20" s="12">
        <v>3</v>
      </c>
    </row>
    <row r="21" spans="1:32">
      <c r="A21" s="23"/>
      <c r="B21" s="13" t="s">
        <v>498</v>
      </c>
      <c r="C21" s="14">
        <v>0.01</v>
      </c>
      <c r="D21" s="15" t="s">
        <v>485</v>
      </c>
      <c r="E21" s="14">
        <v>0.03</v>
      </c>
      <c r="F21" s="15" t="s">
        <v>485</v>
      </c>
      <c r="G21" s="14">
        <v>0.01</v>
      </c>
      <c r="H21" s="14">
        <v>0.01</v>
      </c>
      <c r="I21" s="14">
        <v>0.01</v>
      </c>
      <c r="J21" s="15" t="s">
        <v>485</v>
      </c>
      <c r="K21" s="14">
        <v>0.01</v>
      </c>
      <c r="L21" s="15" t="s">
        <v>485</v>
      </c>
      <c r="M21" s="15" t="s">
        <v>485</v>
      </c>
      <c r="N21" s="14">
        <v>0.01</v>
      </c>
      <c r="O21" s="15" t="s">
        <v>485</v>
      </c>
      <c r="P21" s="14">
        <v>0.01</v>
      </c>
      <c r="Q21" s="15" t="s">
        <v>485</v>
      </c>
      <c r="R21" s="15" t="s">
        <v>485</v>
      </c>
      <c r="S21" s="15" t="s">
        <v>485</v>
      </c>
      <c r="T21" s="15" t="s">
        <v>485</v>
      </c>
      <c r="U21" s="14">
        <v>0.01</v>
      </c>
      <c r="V21" s="14">
        <v>0.01</v>
      </c>
      <c r="W21" s="15" t="s">
        <v>485</v>
      </c>
      <c r="X21" s="15" t="s">
        <v>485</v>
      </c>
      <c r="Y21" s="15" t="s">
        <v>485</v>
      </c>
      <c r="Z21" s="14">
        <v>0.02</v>
      </c>
      <c r="AA21" s="14">
        <v>0.01</v>
      </c>
      <c r="AB21" s="15" t="s">
        <v>485</v>
      </c>
      <c r="AC21" s="14">
        <v>0.01</v>
      </c>
      <c r="AD21" s="14">
        <v>0.01</v>
      </c>
      <c r="AE21" s="15" t="s">
        <v>485</v>
      </c>
      <c r="AF21" s="15" t="s">
        <v>485</v>
      </c>
    </row>
    <row r="22" spans="1:32">
      <c r="A22" s="23"/>
      <c r="B22" s="11" t="s">
        <v>945</v>
      </c>
      <c r="C22" s="12">
        <v>11461</v>
      </c>
      <c r="D22" s="12">
        <v>398</v>
      </c>
      <c r="E22" s="12">
        <v>497</v>
      </c>
      <c r="F22" s="12">
        <v>479</v>
      </c>
      <c r="G22" s="12">
        <v>401</v>
      </c>
      <c r="H22" s="12">
        <v>488</v>
      </c>
      <c r="I22" s="12">
        <v>608</v>
      </c>
      <c r="J22" s="12">
        <v>120</v>
      </c>
      <c r="K22" s="12">
        <v>463</v>
      </c>
      <c r="L22" s="12">
        <v>502</v>
      </c>
      <c r="M22" s="12">
        <v>462</v>
      </c>
      <c r="N22" s="12">
        <v>448</v>
      </c>
      <c r="O22" s="12">
        <v>401</v>
      </c>
      <c r="P22" s="12">
        <v>488</v>
      </c>
      <c r="Q22" s="12">
        <v>492</v>
      </c>
      <c r="R22" s="12">
        <v>236</v>
      </c>
      <c r="S22" s="12">
        <v>415</v>
      </c>
      <c r="T22" s="12">
        <v>425</v>
      </c>
      <c r="U22" s="12">
        <v>240</v>
      </c>
      <c r="V22" s="12">
        <v>506</v>
      </c>
      <c r="W22" s="12">
        <v>255</v>
      </c>
      <c r="X22" s="12">
        <v>288</v>
      </c>
      <c r="Y22" s="12">
        <v>473</v>
      </c>
      <c r="Z22" s="12">
        <v>497</v>
      </c>
      <c r="AA22" s="12">
        <v>444</v>
      </c>
      <c r="AB22" s="12">
        <v>479</v>
      </c>
      <c r="AC22" s="12">
        <v>418</v>
      </c>
      <c r="AD22" s="12">
        <v>481</v>
      </c>
      <c r="AE22" s="12">
        <v>407</v>
      </c>
      <c r="AF22" s="12">
        <v>478</v>
      </c>
    </row>
    <row r="23" spans="1:32">
      <c r="A23" s="23"/>
      <c r="B23" s="13" t="s">
        <v>945</v>
      </c>
      <c r="C23" s="14">
        <v>0.79</v>
      </c>
      <c r="D23" s="14">
        <v>0.8</v>
      </c>
      <c r="E23" s="14">
        <v>0.85</v>
      </c>
      <c r="F23" s="14">
        <v>0.8</v>
      </c>
      <c r="G23" s="14">
        <v>0.71</v>
      </c>
      <c r="H23" s="14">
        <v>0.78</v>
      </c>
      <c r="I23" s="14">
        <v>0.77</v>
      </c>
      <c r="J23" s="14">
        <v>0.71</v>
      </c>
      <c r="K23" s="14">
        <v>0.78</v>
      </c>
      <c r="L23" s="14">
        <v>0.84</v>
      </c>
      <c r="M23" s="14">
        <v>0.82000000000000006</v>
      </c>
      <c r="N23" s="14">
        <v>0.84</v>
      </c>
      <c r="O23" s="14">
        <v>0.82000000000000006</v>
      </c>
      <c r="P23" s="14">
        <v>0.83000000000000007</v>
      </c>
      <c r="Q23" s="14">
        <v>0.88</v>
      </c>
      <c r="R23" s="14">
        <v>0.79</v>
      </c>
      <c r="S23" s="14">
        <v>0.74</v>
      </c>
      <c r="T23" s="14">
        <v>0.81</v>
      </c>
      <c r="U23" s="14">
        <v>0.86</v>
      </c>
      <c r="V23" s="14">
        <v>0.78</v>
      </c>
      <c r="W23" s="14">
        <v>0.84</v>
      </c>
      <c r="X23" s="14">
        <v>0.51</v>
      </c>
      <c r="Y23" s="14">
        <v>0.8</v>
      </c>
      <c r="Z23" s="14">
        <v>0.79</v>
      </c>
      <c r="AA23" s="14">
        <v>0.74</v>
      </c>
      <c r="AB23" s="14">
        <v>0.79</v>
      </c>
      <c r="AC23" s="14">
        <v>0.76</v>
      </c>
      <c r="AD23" s="14">
        <v>0.84</v>
      </c>
      <c r="AE23" s="14">
        <v>0.75</v>
      </c>
      <c r="AF23" s="14">
        <v>0.73</v>
      </c>
    </row>
    <row r="24" spans="1:32">
      <c r="A24" s="23"/>
      <c r="B24" s="11" t="s">
        <v>946</v>
      </c>
      <c r="C24" s="12">
        <v>2851</v>
      </c>
      <c r="D24" s="12">
        <v>97</v>
      </c>
      <c r="E24" s="12">
        <v>68</v>
      </c>
      <c r="F24" s="12">
        <v>118</v>
      </c>
      <c r="G24" s="12">
        <v>159</v>
      </c>
      <c r="H24" s="12">
        <v>130</v>
      </c>
      <c r="I24" s="12">
        <v>179</v>
      </c>
      <c r="J24" s="12">
        <v>48</v>
      </c>
      <c r="K24" s="12">
        <v>128</v>
      </c>
      <c r="L24" s="12">
        <v>94</v>
      </c>
      <c r="M24" s="12">
        <v>100</v>
      </c>
      <c r="N24" s="12">
        <v>79</v>
      </c>
      <c r="O24" s="12">
        <v>87</v>
      </c>
      <c r="P24" s="12">
        <v>95</v>
      </c>
      <c r="Q24" s="12">
        <v>65</v>
      </c>
      <c r="R24" s="12">
        <v>61</v>
      </c>
      <c r="S24" s="12">
        <v>147</v>
      </c>
      <c r="T24" s="12">
        <v>101</v>
      </c>
      <c r="U24" s="12">
        <v>36</v>
      </c>
      <c r="V24" s="12">
        <v>138</v>
      </c>
      <c r="W24" s="12">
        <v>49</v>
      </c>
      <c r="X24" s="12">
        <v>276</v>
      </c>
      <c r="Y24" s="12">
        <v>120</v>
      </c>
      <c r="Z24" s="12">
        <v>119</v>
      </c>
      <c r="AA24" s="12">
        <v>149</v>
      </c>
      <c r="AB24" s="12">
        <v>126</v>
      </c>
      <c r="AC24" s="12">
        <v>127</v>
      </c>
      <c r="AD24" s="12">
        <v>81</v>
      </c>
      <c r="AE24" s="12">
        <v>133</v>
      </c>
      <c r="AF24" s="12">
        <v>174</v>
      </c>
    </row>
    <row r="25" spans="1:32">
      <c r="A25" s="23"/>
      <c r="B25" s="13" t="s">
        <v>947</v>
      </c>
      <c r="C25" s="14">
        <v>0.2</v>
      </c>
      <c r="D25" s="14">
        <v>0.2</v>
      </c>
      <c r="E25" s="14">
        <v>0.12</v>
      </c>
      <c r="F25" s="14">
        <v>0.2</v>
      </c>
      <c r="G25" s="14">
        <v>0.28000000000000003</v>
      </c>
      <c r="H25" s="14">
        <v>0.21</v>
      </c>
      <c r="I25" s="14">
        <v>0.22</v>
      </c>
      <c r="J25" s="14">
        <v>0.28999999999999998</v>
      </c>
      <c r="K25" s="14">
        <v>0.21</v>
      </c>
      <c r="L25" s="14">
        <v>0.16</v>
      </c>
      <c r="M25" s="14">
        <v>0.18</v>
      </c>
      <c r="N25" s="14">
        <v>0.15</v>
      </c>
      <c r="O25" s="14">
        <v>0.18</v>
      </c>
      <c r="P25" s="14">
        <v>0.16</v>
      </c>
      <c r="Q25" s="14">
        <v>0.12</v>
      </c>
      <c r="R25" s="14">
        <v>0.21</v>
      </c>
      <c r="S25" s="14">
        <v>0.26</v>
      </c>
      <c r="T25" s="14">
        <v>0.19</v>
      </c>
      <c r="U25" s="14">
        <v>0.13</v>
      </c>
      <c r="V25" s="14">
        <v>0.21</v>
      </c>
      <c r="W25" s="14">
        <v>0.16</v>
      </c>
      <c r="X25" s="14">
        <v>0.49</v>
      </c>
      <c r="Y25" s="14">
        <v>0.2</v>
      </c>
      <c r="Z25" s="14">
        <v>0.19</v>
      </c>
      <c r="AA25" s="14">
        <v>0.25</v>
      </c>
      <c r="AB25" s="14">
        <v>0.21</v>
      </c>
      <c r="AC25" s="14">
        <v>0.23</v>
      </c>
      <c r="AD25" s="14">
        <v>0.15</v>
      </c>
      <c r="AE25" s="14">
        <v>0.25</v>
      </c>
      <c r="AF25" s="14">
        <v>0.27</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956</v>
      </c>
      <c r="C3" s="19"/>
      <c r="D3" s="19"/>
      <c r="E3" s="19"/>
      <c r="F3" s="19"/>
      <c r="H3" s="19" t="s">
        <v>957</v>
      </c>
      <c r="I3" s="19"/>
      <c r="J3" s="19"/>
      <c r="K3" s="19"/>
      <c r="L3" s="19"/>
    </row>
    <row r="4" spans="1:32" ht="27" customHeight="1">
      <c r="B4" s="19" t="s">
        <v>935</v>
      </c>
      <c r="C4" s="19"/>
      <c r="D4" s="19"/>
      <c r="E4" s="19"/>
      <c r="F4" s="19"/>
      <c r="H4" s="19" t="s">
        <v>936</v>
      </c>
      <c r="I4" s="19"/>
      <c r="J4" s="19"/>
      <c r="K4" s="19"/>
      <c r="L4" s="19"/>
    </row>
    <row r="5" spans="1:32" ht="24" customHeight="1">
      <c r="B5" s="19" t="s">
        <v>958</v>
      </c>
      <c r="C5" s="19"/>
      <c r="D5" s="19"/>
      <c r="E5" s="19"/>
      <c r="F5" s="19"/>
      <c r="H5" s="19" t="s">
        <v>959</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HYPERLINK("#Content!A61","&lt;&lt;Back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3895</v>
      </c>
      <c r="D10" s="10">
        <v>184</v>
      </c>
      <c r="E10" s="10">
        <v>145</v>
      </c>
      <c r="F10" s="10">
        <v>113</v>
      </c>
      <c r="G10" s="10">
        <v>138</v>
      </c>
      <c r="H10" s="10">
        <v>181</v>
      </c>
      <c r="I10" s="10">
        <v>216</v>
      </c>
      <c r="J10" s="10">
        <v>34</v>
      </c>
      <c r="K10" s="10">
        <v>146</v>
      </c>
      <c r="L10" s="10">
        <v>134</v>
      </c>
      <c r="M10" s="10">
        <v>135</v>
      </c>
      <c r="N10" s="10">
        <v>180</v>
      </c>
      <c r="O10" s="10">
        <v>166</v>
      </c>
      <c r="P10" s="10">
        <v>103</v>
      </c>
      <c r="Q10" s="10">
        <v>173</v>
      </c>
      <c r="R10" s="10">
        <v>68</v>
      </c>
      <c r="S10" s="10">
        <v>155</v>
      </c>
      <c r="T10" s="10">
        <v>155</v>
      </c>
      <c r="U10" s="10">
        <v>90</v>
      </c>
      <c r="V10" s="10">
        <v>99</v>
      </c>
      <c r="W10" s="10">
        <v>66</v>
      </c>
      <c r="X10" s="10">
        <v>159</v>
      </c>
      <c r="Y10" s="10">
        <v>111</v>
      </c>
      <c r="Z10" s="10">
        <v>115</v>
      </c>
      <c r="AA10" s="10">
        <v>148</v>
      </c>
      <c r="AB10" s="10">
        <v>113</v>
      </c>
      <c r="AC10" s="10">
        <v>120</v>
      </c>
      <c r="AD10" s="10">
        <v>149</v>
      </c>
      <c r="AE10" s="10">
        <v>157</v>
      </c>
      <c r="AF10" s="10">
        <v>120</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937</v>
      </c>
      <c r="C12" s="12">
        <v>2053</v>
      </c>
      <c r="D12" s="12">
        <v>88</v>
      </c>
      <c r="E12" s="12">
        <v>86</v>
      </c>
      <c r="F12" s="12">
        <v>57</v>
      </c>
      <c r="G12" s="12">
        <v>79</v>
      </c>
      <c r="H12" s="12">
        <v>95</v>
      </c>
      <c r="I12" s="12">
        <v>114</v>
      </c>
      <c r="J12" s="12">
        <v>19</v>
      </c>
      <c r="K12" s="12">
        <v>72</v>
      </c>
      <c r="L12" s="12">
        <v>102</v>
      </c>
      <c r="M12" s="12">
        <v>81</v>
      </c>
      <c r="N12" s="12">
        <v>114</v>
      </c>
      <c r="O12" s="12">
        <v>78</v>
      </c>
      <c r="P12" s="12">
        <v>69</v>
      </c>
      <c r="Q12" s="12">
        <v>99</v>
      </c>
      <c r="R12" s="12">
        <v>45</v>
      </c>
      <c r="S12" s="12">
        <v>94</v>
      </c>
      <c r="T12" s="12">
        <v>80</v>
      </c>
      <c r="U12" s="12">
        <v>57</v>
      </c>
      <c r="V12" s="12">
        <v>46</v>
      </c>
      <c r="W12" s="12">
        <v>42</v>
      </c>
      <c r="X12" s="12">
        <v>89</v>
      </c>
      <c r="Y12" s="12">
        <v>79</v>
      </c>
      <c r="Z12" s="12">
        <v>35</v>
      </c>
      <c r="AA12" s="12">
        <v>70</v>
      </c>
      <c r="AB12" s="12">
        <v>30</v>
      </c>
      <c r="AC12" s="12">
        <v>79</v>
      </c>
      <c r="AD12" s="12">
        <v>97</v>
      </c>
      <c r="AE12" s="12">
        <v>105</v>
      </c>
      <c r="AF12" s="12">
        <v>57</v>
      </c>
    </row>
    <row r="13" spans="1:32">
      <c r="A13" s="23"/>
      <c r="B13" s="13" t="s">
        <v>938</v>
      </c>
      <c r="C13" s="14">
        <v>0.53</v>
      </c>
      <c r="D13" s="14">
        <v>0.48</v>
      </c>
      <c r="E13" s="14">
        <v>0.59</v>
      </c>
      <c r="F13" s="14">
        <v>0.51</v>
      </c>
      <c r="G13" s="14">
        <v>0.57000000000000006</v>
      </c>
      <c r="H13" s="14">
        <v>0.53</v>
      </c>
      <c r="I13" s="14">
        <v>0.53</v>
      </c>
      <c r="J13" s="14">
        <v>0.57000000000000006</v>
      </c>
      <c r="K13" s="14">
        <v>0.49</v>
      </c>
      <c r="L13" s="14">
        <v>0.76</v>
      </c>
      <c r="M13" s="14">
        <v>0.6</v>
      </c>
      <c r="N13" s="14">
        <v>0.63</v>
      </c>
      <c r="O13" s="14">
        <v>0.47</v>
      </c>
      <c r="P13" s="14">
        <v>0.67</v>
      </c>
      <c r="Q13" s="14">
        <v>0.57000000000000006</v>
      </c>
      <c r="R13" s="14">
        <v>0.67</v>
      </c>
      <c r="S13" s="14">
        <v>0.61</v>
      </c>
      <c r="T13" s="14">
        <v>0.52</v>
      </c>
      <c r="U13" s="14">
        <v>0.63</v>
      </c>
      <c r="V13" s="14">
        <v>0.46</v>
      </c>
      <c r="W13" s="14">
        <v>0.64</v>
      </c>
      <c r="X13" s="14">
        <v>0.56000000000000005</v>
      </c>
      <c r="Y13" s="14">
        <v>0.71</v>
      </c>
      <c r="Z13" s="14">
        <v>0.3</v>
      </c>
      <c r="AA13" s="14">
        <v>0.47</v>
      </c>
      <c r="AB13" s="14">
        <v>0.27</v>
      </c>
      <c r="AC13" s="14">
        <v>0.66</v>
      </c>
      <c r="AD13" s="14">
        <v>0.65</v>
      </c>
      <c r="AE13" s="14">
        <v>0.67</v>
      </c>
      <c r="AF13" s="14">
        <v>0.47</v>
      </c>
    </row>
    <row r="14" spans="1:32">
      <c r="A14" s="23"/>
      <c r="B14" s="11" t="s">
        <v>939</v>
      </c>
      <c r="C14" s="12">
        <v>1381</v>
      </c>
      <c r="D14" s="12">
        <v>78</v>
      </c>
      <c r="E14" s="12">
        <v>36</v>
      </c>
      <c r="F14" s="12">
        <v>42</v>
      </c>
      <c r="G14" s="12">
        <v>39</v>
      </c>
      <c r="H14" s="12">
        <v>69</v>
      </c>
      <c r="I14" s="12">
        <v>79</v>
      </c>
      <c r="J14" s="12">
        <v>10</v>
      </c>
      <c r="K14" s="12">
        <v>58</v>
      </c>
      <c r="L14" s="12">
        <v>26</v>
      </c>
      <c r="M14" s="12">
        <v>43</v>
      </c>
      <c r="N14" s="12">
        <v>49</v>
      </c>
      <c r="O14" s="12">
        <v>66</v>
      </c>
      <c r="P14" s="12">
        <v>30</v>
      </c>
      <c r="Q14" s="12">
        <v>65</v>
      </c>
      <c r="R14" s="12">
        <v>11</v>
      </c>
      <c r="S14" s="12">
        <v>31</v>
      </c>
      <c r="T14" s="12">
        <v>57</v>
      </c>
      <c r="U14" s="12">
        <v>26</v>
      </c>
      <c r="V14" s="12">
        <v>43</v>
      </c>
      <c r="W14" s="12">
        <v>11</v>
      </c>
      <c r="X14" s="12">
        <v>40</v>
      </c>
      <c r="Y14" s="12">
        <v>26</v>
      </c>
      <c r="Z14" s="12">
        <v>60</v>
      </c>
      <c r="AA14" s="12">
        <v>59</v>
      </c>
      <c r="AB14" s="12">
        <v>38</v>
      </c>
      <c r="AC14" s="12">
        <v>32</v>
      </c>
      <c r="AD14" s="12">
        <v>44</v>
      </c>
      <c r="AE14" s="12">
        <v>26</v>
      </c>
      <c r="AF14" s="12">
        <v>33</v>
      </c>
    </row>
    <row r="15" spans="1:32">
      <c r="A15" s="23"/>
      <c r="B15" s="13" t="s">
        <v>940</v>
      </c>
      <c r="C15" s="14">
        <v>0.36</v>
      </c>
      <c r="D15" s="14">
        <v>0.42</v>
      </c>
      <c r="E15" s="14">
        <v>0.25</v>
      </c>
      <c r="F15" s="14">
        <v>0.37</v>
      </c>
      <c r="G15" s="14">
        <v>0.28000000000000003</v>
      </c>
      <c r="H15" s="14">
        <v>0.38</v>
      </c>
      <c r="I15" s="14">
        <v>0.37</v>
      </c>
      <c r="J15" s="14">
        <v>0.3</v>
      </c>
      <c r="K15" s="14">
        <v>0.4</v>
      </c>
      <c r="L15" s="14">
        <v>0.19</v>
      </c>
      <c r="M15" s="14">
        <v>0.32</v>
      </c>
      <c r="N15" s="14">
        <v>0.27</v>
      </c>
      <c r="O15" s="14">
        <v>0.4</v>
      </c>
      <c r="P15" s="14">
        <v>0.28999999999999998</v>
      </c>
      <c r="Q15" s="14">
        <v>0.38</v>
      </c>
      <c r="R15" s="14">
        <v>0.16</v>
      </c>
      <c r="S15" s="14">
        <v>0.2</v>
      </c>
      <c r="T15" s="14">
        <v>0.37</v>
      </c>
      <c r="U15" s="14">
        <v>0.28999999999999998</v>
      </c>
      <c r="V15" s="14">
        <v>0.44</v>
      </c>
      <c r="W15" s="14">
        <v>0.16</v>
      </c>
      <c r="X15" s="14">
        <v>0.25</v>
      </c>
      <c r="Y15" s="14">
        <v>0.24</v>
      </c>
      <c r="Z15" s="14">
        <v>0.52</v>
      </c>
      <c r="AA15" s="14">
        <v>0.4</v>
      </c>
      <c r="AB15" s="14">
        <v>0.33</v>
      </c>
      <c r="AC15" s="14">
        <v>0.27</v>
      </c>
      <c r="AD15" s="14">
        <v>0.3</v>
      </c>
      <c r="AE15" s="14">
        <v>0.17</v>
      </c>
      <c r="AF15" s="14">
        <v>0.28000000000000003</v>
      </c>
    </row>
    <row r="16" spans="1:32">
      <c r="A16" s="23"/>
      <c r="B16" s="11" t="s">
        <v>941</v>
      </c>
      <c r="C16" s="12">
        <v>326</v>
      </c>
      <c r="D16" s="12">
        <v>14</v>
      </c>
      <c r="E16" s="12">
        <v>15</v>
      </c>
      <c r="F16" s="12">
        <v>12</v>
      </c>
      <c r="G16" s="12">
        <v>15</v>
      </c>
      <c r="H16" s="12">
        <v>16</v>
      </c>
      <c r="I16" s="12">
        <v>20</v>
      </c>
      <c r="J16" s="12">
        <v>4</v>
      </c>
      <c r="K16" s="12">
        <v>10</v>
      </c>
      <c r="L16" s="12">
        <v>4</v>
      </c>
      <c r="M16" s="12">
        <v>9</v>
      </c>
      <c r="N16" s="12">
        <v>10</v>
      </c>
      <c r="O16" s="12">
        <v>12</v>
      </c>
      <c r="P16" s="12">
        <v>3</v>
      </c>
      <c r="Q16" s="12">
        <v>7</v>
      </c>
      <c r="R16" s="12">
        <v>2</v>
      </c>
      <c r="S16" s="12">
        <v>21</v>
      </c>
      <c r="T16" s="12">
        <v>14</v>
      </c>
      <c r="U16" s="12">
        <v>4</v>
      </c>
      <c r="V16" s="12">
        <v>9</v>
      </c>
      <c r="W16" s="12">
        <v>6</v>
      </c>
      <c r="X16" s="12">
        <v>24</v>
      </c>
      <c r="Y16" s="12">
        <v>6</v>
      </c>
      <c r="Z16" s="12">
        <v>11</v>
      </c>
      <c r="AA16" s="12">
        <v>16</v>
      </c>
      <c r="AB16" s="12">
        <v>33</v>
      </c>
      <c r="AC16" s="12">
        <v>4</v>
      </c>
      <c r="AD16" s="12">
        <v>5</v>
      </c>
      <c r="AE16" s="12">
        <v>11</v>
      </c>
      <c r="AF16" s="12">
        <v>20</v>
      </c>
    </row>
    <row r="17" spans="1:32">
      <c r="A17" s="23"/>
      <c r="B17" s="13" t="s">
        <v>942</v>
      </c>
      <c r="C17" s="14">
        <v>0.08</v>
      </c>
      <c r="D17" s="14">
        <v>0.08</v>
      </c>
      <c r="E17" s="14">
        <v>0.1</v>
      </c>
      <c r="F17" s="14">
        <v>0.1</v>
      </c>
      <c r="G17" s="14">
        <v>0.11</v>
      </c>
      <c r="H17" s="14">
        <v>0.09</v>
      </c>
      <c r="I17" s="14">
        <v>0.09</v>
      </c>
      <c r="J17" s="14">
        <v>0.11</v>
      </c>
      <c r="K17" s="14">
        <v>7.0000000000000007E-2</v>
      </c>
      <c r="L17" s="14">
        <v>0.03</v>
      </c>
      <c r="M17" s="14">
        <v>7.0000000000000007E-2</v>
      </c>
      <c r="N17" s="14">
        <v>0.05</v>
      </c>
      <c r="O17" s="14">
        <v>7.0000000000000007E-2</v>
      </c>
      <c r="P17" s="14">
        <v>0.04</v>
      </c>
      <c r="Q17" s="14">
        <v>0.04</v>
      </c>
      <c r="R17" s="14">
        <v>0.03</v>
      </c>
      <c r="S17" s="14">
        <v>0.14000000000000001</v>
      </c>
      <c r="T17" s="14">
        <v>0.09</v>
      </c>
      <c r="U17" s="14">
        <v>0.05</v>
      </c>
      <c r="V17" s="14">
        <v>0.09</v>
      </c>
      <c r="W17" s="14">
        <v>0.09</v>
      </c>
      <c r="X17" s="14">
        <v>0.15</v>
      </c>
      <c r="Y17" s="14">
        <v>0.05</v>
      </c>
      <c r="Z17" s="14">
        <v>0.1</v>
      </c>
      <c r="AA17" s="14">
        <v>0.11</v>
      </c>
      <c r="AB17" s="14">
        <v>0.28999999999999998</v>
      </c>
      <c r="AC17" s="14">
        <v>0.04</v>
      </c>
      <c r="AD17" s="14">
        <v>0.03</v>
      </c>
      <c r="AE17" s="14">
        <v>7.0000000000000007E-2</v>
      </c>
      <c r="AF17" s="14">
        <v>0.16</v>
      </c>
    </row>
    <row r="18" spans="1:32">
      <c r="A18" s="23"/>
      <c r="B18" s="11" t="s">
        <v>943</v>
      </c>
      <c r="C18" s="12">
        <v>119</v>
      </c>
      <c r="D18" s="12">
        <v>4</v>
      </c>
      <c r="E18" s="12">
        <v>7</v>
      </c>
      <c r="F18" s="12">
        <v>3</v>
      </c>
      <c r="G18" s="12">
        <v>4</v>
      </c>
      <c r="H18" s="12">
        <v>1</v>
      </c>
      <c r="I18" s="12">
        <v>2</v>
      </c>
      <c r="J18" s="12">
        <v>1</v>
      </c>
      <c r="K18" s="12">
        <v>5</v>
      </c>
      <c r="L18" s="12">
        <v>1</v>
      </c>
      <c r="M18" s="12">
        <v>2</v>
      </c>
      <c r="N18" s="12">
        <v>6</v>
      </c>
      <c r="O18" s="12">
        <v>8</v>
      </c>
      <c r="P18" s="12">
        <v>0</v>
      </c>
      <c r="Q18" s="12">
        <v>2</v>
      </c>
      <c r="R18" s="12">
        <v>9</v>
      </c>
      <c r="S18" s="12">
        <v>8</v>
      </c>
      <c r="T18" s="12">
        <v>4</v>
      </c>
      <c r="U18" s="12">
        <v>3</v>
      </c>
      <c r="V18" s="12">
        <v>1</v>
      </c>
      <c r="W18" s="12">
        <v>6</v>
      </c>
      <c r="X18" s="12">
        <v>6</v>
      </c>
      <c r="Y18" s="12">
        <v>0</v>
      </c>
      <c r="Z18" s="12">
        <v>6</v>
      </c>
      <c r="AA18" s="12">
        <v>3</v>
      </c>
      <c r="AB18" s="12">
        <v>13</v>
      </c>
      <c r="AC18" s="12">
        <v>4</v>
      </c>
      <c r="AD18" s="12">
        <v>2</v>
      </c>
      <c r="AE18" s="12">
        <v>13</v>
      </c>
      <c r="AF18" s="12">
        <v>9</v>
      </c>
    </row>
    <row r="19" spans="1:32">
      <c r="A19" s="23"/>
      <c r="B19" s="13" t="s">
        <v>944</v>
      </c>
      <c r="C19" s="14">
        <v>0.03</v>
      </c>
      <c r="D19" s="14">
        <v>0.02</v>
      </c>
      <c r="E19" s="14">
        <v>0.05</v>
      </c>
      <c r="F19" s="14">
        <v>0.02</v>
      </c>
      <c r="G19" s="14">
        <v>0.03</v>
      </c>
      <c r="H19" s="15" t="s">
        <v>485</v>
      </c>
      <c r="I19" s="14">
        <v>0.01</v>
      </c>
      <c r="J19" s="14">
        <v>0.02</v>
      </c>
      <c r="K19" s="14">
        <v>0.04</v>
      </c>
      <c r="L19" s="14">
        <v>0.01</v>
      </c>
      <c r="M19" s="14">
        <v>0.01</v>
      </c>
      <c r="N19" s="14">
        <v>0.04</v>
      </c>
      <c r="O19" s="14">
        <v>0.05</v>
      </c>
      <c r="P19" s="15" t="s">
        <v>485</v>
      </c>
      <c r="Q19" s="14">
        <v>0.01</v>
      </c>
      <c r="R19" s="14">
        <v>0.14000000000000001</v>
      </c>
      <c r="S19" s="14">
        <v>0.05</v>
      </c>
      <c r="T19" s="14">
        <v>0.02</v>
      </c>
      <c r="U19" s="14">
        <v>0.03</v>
      </c>
      <c r="V19" s="14">
        <v>0.01</v>
      </c>
      <c r="W19" s="14">
        <v>0.09</v>
      </c>
      <c r="X19" s="14">
        <v>0.04</v>
      </c>
      <c r="Y19" s="15" t="s">
        <v>485</v>
      </c>
      <c r="Z19" s="14">
        <v>0.06</v>
      </c>
      <c r="AA19" s="14">
        <v>0.02</v>
      </c>
      <c r="AB19" s="14">
        <v>0.11</v>
      </c>
      <c r="AC19" s="14">
        <v>0.03</v>
      </c>
      <c r="AD19" s="14">
        <v>0.01</v>
      </c>
      <c r="AE19" s="14">
        <v>0.08</v>
      </c>
      <c r="AF19" s="14">
        <v>0.08</v>
      </c>
    </row>
    <row r="20" spans="1:32">
      <c r="A20" s="23"/>
      <c r="B20" s="11" t="s">
        <v>497</v>
      </c>
      <c r="C20" s="12">
        <v>17</v>
      </c>
      <c r="D20" s="12">
        <v>0</v>
      </c>
      <c r="E20" s="12">
        <v>1</v>
      </c>
      <c r="F20" s="12">
        <v>0</v>
      </c>
      <c r="G20" s="12">
        <v>1</v>
      </c>
      <c r="H20" s="12">
        <v>0</v>
      </c>
      <c r="I20" s="12">
        <v>0</v>
      </c>
      <c r="J20" s="12">
        <v>0</v>
      </c>
      <c r="K20" s="12">
        <v>1</v>
      </c>
      <c r="L20" s="12">
        <v>1</v>
      </c>
      <c r="M20" s="12">
        <v>0</v>
      </c>
      <c r="N20" s="12">
        <v>1</v>
      </c>
      <c r="O20" s="12">
        <v>2</v>
      </c>
      <c r="P20" s="12">
        <v>0</v>
      </c>
      <c r="Q20" s="12">
        <v>0</v>
      </c>
      <c r="R20" s="12">
        <v>0</v>
      </c>
      <c r="S20" s="12">
        <v>1</v>
      </c>
      <c r="T20" s="12">
        <v>0</v>
      </c>
      <c r="U20" s="12">
        <v>0</v>
      </c>
      <c r="V20" s="12">
        <v>0</v>
      </c>
      <c r="W20" s="12">
        <v>1</v>
      </c>
      <c r="X20" s="12">
        <v>0</v>
      </c>
      <c r="Y20" s="12">
        <v>0</v>
      </c>
      <c r="Z20" s="12">
        <v>3</v>
      </c>
      <c r="AA20" s="12">
        <v>0</v>
      </c>
      <c r="AB20" s="12">
        <v>0</v>
      </c>
      <c r="AC20" s="12">
        <v>0</v>
      </c>
      <c r="AD20" s="12">
        <v>1</v>
      </c>
      <c r="AE20" s="12">
        <v>1</v>
      </c>
      <c r="AF20" s="12">
        <v>1</v>
      </c>
    </row>
    <row r="21" spans="1:32">
      <c r="A21" s="23"/>
      <c r="B21" s="13" t="s">
        <v>498</v>
      </c>
      <c r="C21" s="15" t="s">
        <v>485</v>
      </c>
      <c r="D21" s="15" t="s">
        <v>485</v>
      </c>
      <c r="E21" s="14">
        <v>0.01</v>
      </c>
      <c r="F21" s="15" t="s">
        <v>485</v>
      </c>
      <c r="G21" s="14">
        <v>0.01</v>
      </c>
      <c r="H21" s="15" t="s">
        <v>485</v>
      </c>
      <c r="I21" s="15" t="s">
        <v>485</v>
      </c>
      <c r="J21" s="15" t="s">
        <v>485</v>
      </c>
      <c r="K21" s="15" t="s">
        <v>485</v>
      </c>
      <c r="L21" s="14">
        <v>0.01</v>
      </c>
      <c r="M21" s="15" t="s">
        <v>485</v>
      </c>
      <c r="N21" s="14">
        <v>0.01</v>
      </c>
      <c r="O21" s="14">
        <v>0.01</v>
      </c>
      <c r="P21" s="15" t="s">
        <v>485</v>
      </c>
      <c r="Q21" s="15" t="s">
        <v>485</v>
      </c>
      <c r="R21" s="15" t="s">
        <v>485</v>
      </c>
      <c r="S21" s="15" t="s">
        <v>485</v>
      </c>
      <c r="T21" s="15" t="s">
        <v>485</v>
      </c>
      <c r="U21" s="15" t="s">
        <v>485</v>
      </c>
      <c r="V21" s="15" t="s">
        <v>485</v>
      </c>
      <c r="W21" s="14">
        <v>0.02</v>
      </c>
      <c r="X21" s="15" t="s">
        <v>485</v>
      </c>
      <c r="Y21" s="15" t="s">
        <v>485</v>
      </c>
      <c r="Z21" s="14">
        <v>0.02</v>
      </c>
      <c r="AA21" s="15" t="s">
        <v>485</v>
      </c>
      <c r="AB21" s="15" t="s">
        <v>485</v>
      </c>
      <c r="AC21" s="15" t="s">
        <v>485</v>
      </c>
      <c r="AD21" s="14">
        <v>0.01</v>
      </c>
      <c r="AE21" s="14">
        <v>0.01</v>
      </c>
      <c r="AF21" s="14">
        <v>0.01</v>
      </c>
    </row>
    <row r="22" spans="1:32">
      <c r="A22" s="23"/>
      <c r="B22" s="11" t="s">
        <v>945</v>
      </c>
      <c r="C22" s="12">
        <v>3434</v>
      </c>
      <c r="D22" s="12">
        <v>166</v>
      </c>
      <c r="E22" s="12">
        <v>122</v>
      </c>
      <c r="F22" s="12">
        <v>99</v>
      </c>
      <c r="G22" s="12">
        <v>118</v>
      </c>
      <c r="H22" s="12">
        <v>164</v>
      </c>
      <c r="I22" s="12">
        <v>193</v>
      </c>
      <c r="J22" s="12">
        <v>29</v>
      </c>
      <c r="K22" s="12">
        <v>130</v>
      </c>
      <c r="L22" s="12">
        <v>128</v>
      </c>
      <c r="M22" s="12">
        <v>124</v>
      </c>
      <c r="N22" s="12">
        <v>163</v>
      </c>
      <c r="O22" s="12">
        <v>144</v>
      </c>
      <c r="P22" s="12">
        <v>99</v>
      </c>
      <c r="Q22" s="12">
        <v>164</v>
      </c>
      <c r="R22" s="12">
        <v>56</v>
      </c>
      <c r="S22" s="12">
        <v>125</v>
      </c>
      <c r="T22" s="12">
        <v>137</v>
      </c>
      <c r="U22" s="12">
        <v>83</v>
      </c>
      <c r="V22" s="12">
        <v>89</v>
      </c>
      <c r="W22" s="12">
        <v>53</v>
      </c>
      <c r="X22" s="12">
        <v>129</v>
      </c>
      <c r="Y22" s="12">
        <v>105</v>
      </c>
      <c r="Z22" s="12">
        <v>95</v>
      </c>
      <c r="AA22" s="12">
        <v>129</v>
      </c>
      <c r="AB22" s="12">
        <v>68</v>
      </c>
      <c r="AC22" s="12">
        <v>111</v>
      </c>
      <c r="AD22" s="12">
        <v>141</v>
      </c>
      <c r="AE22" s="12">
        <v>131</v>
      </c>
      <c r="AF22" s="12">
        <v>90</v>
      </c>
    </row>
    <row r="23" spans="1:32">
      <c r="A23" s="23"/>
      <c r="B23" s="13" t="s">
        <v>945</v>
      </c>
      <c r="C23" s="14">
        <v>0.89</v>
      </c>
      <c r="D23" s="14">
        <v>0.9</v>
      </c>
      <c r="E23" s="14">
        <v>0.84</v>
      </c>
      <c r="F23" s="14">
        <v>0.88</v>
      </c>
      <c r="G23" s="14">
        <v>0.85</v>
      </c>
      <c r="H23" s="14">
        <v>0.91</v>
      </c>
      <c r="I23" s="14">
        <v>0.9</v>
      </c>
      <c r="J23" s="14">
        <v>0.87</v>
      </c>
      <c r="K23" s="14">
        <v>0.89</v>
      </c>
      <c r="L23" s="14">
        <v>0.95000000000000007</v>
      </c>
      <c r="M23" s="14">
        <v>0.92</v>
      </c>
      <c r="N23" s="14">
        <v>0.9</v>
      </c>
      <c r="O23" s="14">
        <v>0.87</v>
      </c>
      <c r="P23" s="14">
        <v>0.96</v>
      </c>
      <c r="Q23" s="14">
        <v>0.95000000000000007</v>
      </c>
      <c r="R23" s="14">
        <v>0.83000000000000007</v>
      </c>
      <c r="S23" s="14">
        <v>0.81</v>
      </c>
      <c r="T23" s="14">
        <v>0.89</v>
      </c>
      <c r="U23" s="14">
        <v>0.92</v>
      </c>
      <c r="V23" s="14">
        <v>0.9</v>
      </c>
      <c r="W23" s="14">
        <v>0.8</v>
      </c>
      <c r="X23" s="14">
        <v>0.81</v>
      </c>
      <c r="Y23" s="14">
        <v>0.95000000000000007</v>
      </c>
      <c r="Z23" s="14">
        <v>0.82000000000000006</v>
      </c>
      <c r="AA23" s="14">
        <v>0.87</v>
      </c>
      <c r="AB23" s="14">
        <v>0.6</v>
      </c>
      <c r="AC23" s="14">
        <v>0.93</v>
      </c>
      <c r="AD23" s="14">
        <v>0.95000000000000007</v>
      </c>
      <c r="AE23" s="14">
        <v>0.84</v>
      </c>
      <c r="AF23" s="14">
        <v>0.75</v>
      </c>
    </row>
    <row r="24" spans="1:32">
      <c r="A24" s="23"/>
      <c r="B24" s="11" t="s">
        <v>946</v>
      </c>
      <c r="C24" s="12">
        <v>445</v>
      </c>
      <c r="D24" s="12">
        <v>18</v>
      </c>
      <c r="E24" s="12">
        <v>22</v>
      </c>
      <c r="F24" s="12">
        <v>15</v>
      </c>
      <c r="G24" s="12">
        <v>19</v>
      </c>
      <c r="H24" s="12">
        <v>17</v>
      </c>
      <c r="I24" s="12">
        <v>22</v>
      </c>
      <c r="J24" s="12">
        <v>5</v>
      </c>
      <c r="K24" s="12">
        <v>15</v>
      </c>
      <c r="L24" s="12">
        <v>5</v>
      </c>
      <c r="M24" s="12">
        <v>11</v>
      </c>
      <c r="N24" s="12">
        <v>16</v>
      </c>
      <c r="O24" s="12">
        <v>20</v>
      </c>
      <c r="P24" s="12">
        <v>3</v>
      </c>
      <c r="Q24" s="12">
        <v>9</v>
      </c>
      <c r="R24" s="12">
        <v>11</v>
      </c>
      <c r="S24" s="12">
        <v>29</v>
      </c>
      <c r="T24" s="12">
        <v>18</v>
      </c>
      <c r="U24" s="12">
        <v>7</v>
      </c>
      <c r="V24" s="12">
        <v>10</v>
      </c>
      <c r="W24" s="12">
        <v>12</v>
      </c>
      <c r="X24" s="12">
        <v>30</v>
      </c>
      <c r="Y24" s="12">
        <v>6</v>
      </c>
      <c r="Z24" s="12">
        <v>17</v>
      </c>
      <c r="AA24" s="12">
        <v>19</v>
      </c>
      <c r="AB24" s="12">
        <v>46</v>
      </c>
      <c r="AC24" s="12">
        <v>8</v>
      </c>
      <c r="AD24" s="12">
        <v>7</v>
      </c>
      <c r="AE24" s="12">
        <v>24</v>
      </c>
      <c r="AF24" s="12">
        <v>29</v>
      </c>
    </row>
    <row r="25" spans="1:32">
      <c r="A25" s="23"/>
      <c r="B25" s="13" t="s">
        <v>947</v>
      </c>
      <c r="C25" s="14">
        <v>0.11</v>
      </c>
      <c r="D25" s="14">
        <v>0.1</v>
      </c>
      <c r="E25" s="14">
        <v>0.15</v>
      </c>
      <c r="F25" s="14">
        <v>0.12</v>
      </c>
      <c r="G25" s="14">
        <v>0.14000000000000001</v>
      </c>
      <c r="H25" s="14">
        <v>0.09</v>
      </c>
      <c r="I25" s="14">
        <v>0.1</v>
      </c>
      <c r="J25" s="14">
        <v>0.13</v>
      </c>
      <c r="K25" s="14">
        <v>0.11</v>
      </c>
      <c r="L25" s="14">
        <v>0.04</v>
      </c>
      <c r="M25" s="14">
        <v>0.08</v>
      </c>
      <c r="N25" s="14">
        <v>0.09</v>
      </c>
      <c r="O25" s="14">
        <v>0.12</v>
      </c>
      <c r="P25" s="14">
        <v>0.04</v>
      </c>
      <c r="Q25" s="14">
        <v>0.05</v>
      </c>
      <c r="R25" s="14">
        <v>0.17</v>
      </c>
      <c r="S25" s="14">
        <v>0.19</v>
      </c>
      <c r="T25" s="14">
        <v>0.11</v>
      </c>
      <c r="U25" s="14">
        <v>0.08</v>
      </c>
      <c r="V25" s="14">
        <v>0.1</v>
      </c>
      <c r="W25" s="14">
        <v>0.18</v>
      </c>
      <c r="X25" s="14">
        <v>0.19</v>
      </c>
      <c r="Y25" s="14">
        <v>0.05</v>
      </c>
      <c r="Z25" s="14">
        <v>0.16</v>
      </c>
      <c r="AA25" s="14">
        <v>0.13</v>
      </c>
      <c r="AB25" s="14">
        <v>0.4</v>
      </c>
      <c r="AC25" s="14">
        <v>7.0000000000000007E-2</v>
      </c>
      <c r="AD25" s="14">
        <v>0.04</v>
      </c>
      <c r="AE25" s="14">
        <v>0.15</v>
      </c>
      <c r="AF25" s="14">
        <v>0.24</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960</v>
      </c>
      <c r="C3" s="19"/>
      <c r="D3" s="19"/>
      <c r="E3" s="19"/>
      <c r="F3" s="19"/>
      <c r="H3" s="19" t="s">
        <v>961</v>
      </c>
      <c r="I3" s="19"/>
      <c r="J3" s="19"/>
      <c r="K3" s="19"/>
      <c r="L3" s="19"/>
    </row>
    <row r="4" spans="1:32" ht="27" customHeight="1">
      <c r="B4" s="19" t="s">
        <v>954</v>
      </c>
      <c r="C4" s="19"/>
      <c r="D4" s="19"/>
      <c r="E4" s="19"/>
      <c r="F4" s="19"/>
      <c r="H4" s="19" t="s">
        <v>962</v>
      </c>
      <c r="I4" s="19"/>
      <c r="J4" s="19"/>
      <c r="K4" s="19"/>
      <c r="L4" s="19"/>
    </row>
    <row r="5" spans="1:32" ht="24" customHeight="1">
      <c r="B5" s="19" t="s">
        <v>958</v>
      </c>
      <c r="C5" s="19"/>
      <c r="D5" s="19"/>
      <c r="E5" s="19"/>
      <c r="F5" s="19"/>
      <c r="H5" s="19" t="s">
        <v>959</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HYPERLINK("#Content!A62","&lt;&lt;Back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3895</v>
      </c>
      <c r="D10" s="10">
        <v>184</v>
      </c>
      <c r="E10" s="10">
        <v>145</v>
      </c>
      <c r="F10" s="10">
        <v>113</v>
      </c>
      <c r="G10" s="10">
        <v>138</v>
      </c>
      <c r="H10" s="10">
        <v>181</v>
      </c>
      <c r="I10" s="10">
        <v>216</v>
      </c>
      <c r="J10" s="10">
        <v>34</v>
      </c>
      <c r="K10" s="10">
        <v>146</v>
      </c>
      <c r="L10" s="10">
        <v>134</v>
      </c>
      <c r="M10" s="10">
        <v>135</v>
      </c>
      <c r="N10" s="10">
        <v>180</v>
      </c>
      <c r="O10" s="10">
        <v>166</v>
      </c>
      <c r="P10" s="10">
        <v>103</v>
      </c>
      <c r="Q10" s="10">
        <v>173</v>
      </c>
      <c r="R10" s="10">
        <v>68</v>
      </c>
      <c r="S10" s="10">
        <v>155</v>
      </c>
      <c r="T10" s="10">
        <v>155</v>
      </c>
      <c r="U10" s="10">
        <v>90</v>
      </c>
      <c r="V10" s="10">
        <v>99</v>
      </c>
      <c r="W10" s="10">
        <v>66</v>
      </c>
      <c r="X10" s="10">
        <v>159</v>
      </c>
      <c r="Y10" s="10">
        <v>111</v>
      </c>
      <c r="Z10" s="10">
        <v>115</v>
      </c>
      <c r="AA10" s="10">
        <v>148</v>
      </c>
      <c r="AB10" s="10">
        <v>113</v>
      </c>
      <c r="AC10" s="10">
        <v>120</v>
      </c>
      <c r="AD10" s="10">
        <v>149</v>
      </c>
      <c r="AE10" s="10">
        <v>157</v>
      </c>
      <c r="AF10" s="10">
        <v>120</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937</v>
      </c>
      <c r="C12" s="12">
        <v>1821</v>
      </c>
      <c r="D12" s="12">
        <v>70</v>
      </c>
      <c r="E12" s="12">
        <v>77</v>
      </c>
      <c r="F12" s="12">
        <v>45</v>
      </c>
      <c r="G12" s="12">
        <v>63</v>
      </c>
      <c r="H12" s="12">
        <v>75</v>
      </c>
      <c r="I12" s="12">
        <v>89</v>
      </c>
      <c r="J12" s="12">
        <v>14</v>
      </c>
      <c r="K12" s="12">
        <v>60</v>
      </c>
      <c r="L12" s="12">
        <v>95</v>
      </c>
      <c r="M12" s="12">
        <v>92</v>
      </c>
      <c r="N12" s="12">
        <v>90</v>
      </c>
      <c r="O12" s="12">
        <v>80</v>
      </c>
      <c r="P12" s="12">
        <v>66</v>
      </c>
      <c r="Q12" s="12">
        <v>100</v>
      </c>
      <c r="R12" s="12">
        <v>43</v>
      </c>
      <c r="S12" s="12">
        <v>89</v>
      </c>
      <c r="T12" s="12">
        <v>83</v>
      </c>
      <c r="U12" s="12">
        <v>66</v>
      </c>
      <c r="V12" s="12">
        <v>46</v>
      </c>
      <c r="W12" s="12">
        <v>45</v>
      </c>
      <c r="X12" s="12">
        <v>39</v>
      </c>
      <c r="Y12" s="12">
        <v>82</v>
      </c>
      <c r="Z12" s="12">
        <v>33</v>
      </c>
      <c r="AA12" s="12">
        <v>62</v>
      </c>
      <c r="AB12" s="12">
        <v>40</v>
      </c>
      <c r="AC12" s="12">
        <v>66</v>
      </c>
      <c r="AD12" s="12">
        <v>85</v>
      </c>
      <c r="AE12" s="12">
        <v>69</v>
      </c>
      <c r="AF12" s="12">
        <v>50</v>
      </c>
    </row>
    <row r="13" spans="1:32">
      <c r="A13" s="23"/>
      <c r="B13" s="13" t="s">
        <v>938</v>
      </c>
      <c r="C13" s="14">
        <v>0.47</v>
      </c>
      <c r="D13" s="14">
        <v>0.38</v>
      </c>
      <c r="E13" s="14">
        <v>0.53</v>
      </c>
      <c r="F13" s="14">
        <v>0.4</v>
      </c>
      <c r="G13" s="14">
        <v>0.46</v>
      </c>
      <c r="H13" s="14">
        <v>0.41</v>
      </c>
      <c r="I13" s="14">
        <v>0.41</v>
      </c>
      <c r="J13" s="14">
        <v>0.41</v>
      </c>
      <c r="K13" s="14">
        <v>0.41</v>
      </c>
      <c r="L13" s="14">
        <v>0.71</v>
      </c>
      <c r="M13" s="14">
        <v>0.68</v>
      </c>
      <c r="N13" s="14">
        <v>0.5</v>
      </c>
      <c r="O13" s="14">
        <v>0.49</v>
      </c>
      <c r="P13" s="14">
        <v>0.64</v>
      </c>
      <c r="Q13" s="14">
        <v>0.57999999999999996</v>
      </c>
      <c r="R13" s="14">
        <v>0.64</v>
      </c>
      <c r="S13" s="14">
        <v>0.57000000000000006</v>
      </c>
      <c r="T13" s="14">
        <v>0.54</v>
      </c>
      <c r="U13" s="14">
        <v>0.73</v>
      </c>
      <c r="V13" s="14">
        <v>0.46</v>
      </c>
      <c r="W13" s="14">
        <v>0.67</v>
      </c>
      <c r="X13" s="14">
        <v>0.25</v>
      </c>
      <c r="Y13" s="14">
        <v>0.74</v>
      </c>
      <c r="Z13" s="14">
        <v>0.28999999999999998</v>
      </c>
      <c r="AA13" s="14">
        <v>0.42</v>
      </c>
      <c r="AB13" s="14">
        <v>0.35</v>
      </c>
      <c r="AC13" s="14">
        <v>0.55000000000000004</v>
      </c>
      <c r="AD13" s="14">
        <v>0.57000000000000006</v>
      </c>
      <c r="AE13" s="14">
        <v>0.44</v>
      </c>
      <c r="AF13" s="14">
        <v>0.42</v>
      </c>
    </row>
    <row r="14" spans="1:32">
      <c r="A14" s="23"/>
      <c r="B14" s="11" t="s">
        <v>939</v>
      </c>
      <c r="C14" s="12">
        <v>1423</v>
      </c>
      <c r="D14" s="12">
        <v>78</v>
      </c>
      <c r="E14" s="12">
        <v>47</v>
      </c>
      <c r="F14" s="12">
        <v>51</v>
      </c>
      <c r="G14" s="12">
        <v>51</v>
      </c>
      <c r="H14" s="12">
        <v>74</v>
      </c>
      <c r="I14" s="12">
        <v>88</v>
      </c>
      <c r="J14" s="12">
        <v>14</v>
      </c>
      <c r="K14" s="12">
        <v>65</v>
      </c>
      <c r="L14" s="12">
        <v>32</v>
      </c>
      <c r="M14" s="12">
        <v>35</v>
      </c>
      <c r="N14" s="12">
        <v>61</v>
      </c>
      <c r="O14" s="12">
        <v>52</v>
      </c>
      <c r="P14" s="12">
        <v>30</v>
      </c>
      <c r="Q14" s="12">
        <v>62</v>
      </c>
      <c r="R14" s="12">
        <v>13</v>
      </c>
      <c r="S14" s="12">
        <v>41</v>
      </c>
      <c r="T14" s="12">
        <v>43</v>
      </c>
      <c r="U14" s="12">
        <v>16</v>
      </c>
      <c r="V14" s="12">
        <v>39</v>
      </c>
      <c r="W14" s="12">
        <v>14</v>
      </c>
      <c r="X14" s="12">
        <v>70</v>
      </c>
      <c r="Y14" s="12">
        <v>24</v>
      </c>
      <c r="Z14" s="12">
        <v>59</v>
      </c>
      <c r="AA14" s="12">
        <v>57</v>
      </c>
      <c r="AB14" s="12">
        <v>38</v>
      </c>
      <c r="AC14" s="12">
        <v>43</v>
      </c>
      <c r="AD14" s="12">
        <v>53</v>
      </c>
      <c r="AE14" s="12">
        <v>51</v>
      </c>
      <c r="AF14" s="12">
        <v>38</v>
      </c>
    </row>
    <row r="15" spans="1:32">
      <c r="A15" s="23"/>
      <c r="B15" s="13" t="s">
        <v>940</v>
      </c>
      <c r="C15" s="14">
        <v>0.36</v>
      </c>
      <c r="D15" s="14">
        <v>0.43</v>
      </c>
      <c r="E15" s="14">
        <v>0.32</v>
      </c>
      <c r="F15" s="14">
        <v>0.45</v>
      </c>
      <c r="G15" s="14">
        <v>0.37</v>
      </c>
      <c r="H15" s="14">
        <v>0.41</v>
      </c>
      <c r="I15" s="14">
        <v>0.41</v>
      </c>
      <c r="J15" s="14">
        <v>0.4</v>
      </c>
      <c r="K15" s="14">
        <v>0.45</v>
      </c>
      <c r="L15" s="14">
        <v>0.23</v>
      </c>
      <c r="M15" s="14">
        <v>0.26</v>
      </c>
      <c r="N15" s="14">
        <v>0.34</v>
      </c>
      <c r="O15" s="14">
        <v>0.31</v>
      </c>
      <c r="P15" s="14">
        <v>0.3</v>
      </c>
      <c r="Q15" s="14">
        <v>0.36</v>
      </c>
      <c r="R15" s="14">
        <v>0.19</v>
      </c>
      <c r="S15" s="14">
        <v>0.26</v>
      </c>
      <c r="T15" s="14">
        <v>0.28000000000000003</v>
      </c>
      <c r="U15" s="14">
        <v>0.17</v>
      </c>
      <c r="V15" s="14">
        <v>0.39</v>
      </c>
      <c r="W15" s="14">
        <v>0.21</v>
      </c>
      <c r="X15" s="14">
        <v>0.44</v>
      </c>
      <c r="Y15" s="14">
        <v>0.21</v>
      </c>
      <c r="Z15" s="14">
        <v>0.51</v>
      </c>
      <c r="AA15" s="14">
        <v>0.39</v>
      </c>
      <c r="AB15" s="14">
        <v>0.34</v>
      </c>
      <c r="AC15" s="14">
        <v>0.36</v>
      </c>
      <c r="AD15" s="14">
        <v>0.35</v>
      </c>
      <c r="AE15" s="14">
        <v>0.32</v>
      </c>
      <c r="AF15" s="14">
        <v>0.32</v>
      </c>
    </row>
    <row r="16" spans="1:32">
      <c r="A16" s="23"/>
      <c r="B16" s="11" t="s">
        <v>941</v>
      </c>
      <c r="C16" s="12">
        <v>477</v>
      </c>
      <c r="D16" s="12">
        <v>27</v>
      </c>
      <c r="E16" s="12">
        <v>12</v>
      </c>
      <c r="F16" s="12">
        <v>12</v>
      </c>
      <c r="G16" s="12">
        <v>18</v>
      </c>
      <c r="H16" s="12">
        <v>27</v>
      </c>
      <c r="I16" s="12">
        <v>32</v>
      </c>
      <c r="J16" s="12">
        <v>5</v>
      </c>
      <c r="K16" s="12">
        <v>15</v>
      </c>
      <c r="L16" s="12">
        <v>5</v>
      </c>
      <c r="M16" s="12">
        <v>4</v>
      </c>
      <c r="N16" s="12">
        <v>21</v>
      </c>
      <c r="O16" s="12">
        <v>25</v>
      </c>
      <c r="P16" s="12">
        <v>6</v>
      </c>
      <c r="Q16" s="12">
        <v>9</v>
      </c>
      <c r="R16" s="12">
        <v>3</v>
      </c>
      <c r="S16" s="12">
        <v>18</v>
      </c>
      <c r="T16" s="12">
        <v>14</v>
      </c>
      <c r="U16" s="12">
        <v>4</v>
      </c>
      <c r="V16" s="12">
        <v>11</v>
      </c>
      <c r="W16" s="12">
        <v>2</v>
      </c>
      <c r="X16" s="12">
        <v>43</v>
      </c>
      <c r="Y16" s="12">
        <v>2</v>
      </c>
      <c r="Z16" s="12">
        <v>14</v>
      </c>
      <c r="AA16" s="12">
        <v>22</v>
      </c>
      <c r="AB16" s="12">
        <v>25</v>
      </c>
      <c r="AC16" s="12">
        <v>7</v>
      </c>
      <c r="AD16" s="12">
        <v>7</v>
      </c>
      <c r="AE16" s="12">
        <v>18</v>
      </c>
      <c r="AF16" s="12">
        <v>17</v>
      </c>
    </row>
    <row r="17" spans="1:32">
      <c r="A17" s="23"/>
      <c r="B17" s="13" t="s">
        <v>942</v>
      </c>
      <c r="C17" s="14">
        <v>0.12</v>
      </c>
      <c r="D17" s="14">
        <v>0.14000000000000001</v>
      </c>
      <c r="E17" s="14">
        <v>0.08</v>
      </c>
      <c r="F17" s="14">
        <v>0.1</v>
      </c>
      <c r="G17" s="14">
        <v>0.13</v>
      </c>
      <c r="H17" s="14">
        <v>0.15</v>
      </c>
      <c r="I17" s="14">
        <v>0.15</v>
      </c>
      <c r="J17" s="14">
        <v>0.13</v>
      </c>
      <c r="K17" s="14">
        <v>0.1</v>
      </c>
      <c r="L17" s="14">
        <v>0.04</v>
      </c>
      <c r="M17" s="14">
        <v>0.03</v>
      </c>
      <c r="N17" s="14">
        <v>0.11</v>
      </c>
      <c r="O17" s="14">
        <v>0.15</v>
      </c>
      <c r="P17" s="14">
        <v>0.06</v>
      </c>
      <c r="Q17" s="14">
        <v>0.05</v>
      </c>
      <c r="R17" s="14">
        <v>0.05</v>
      </c>
      <c r="S17" s="14">
        <v>0.12</v>
      </c>
      <c r="T17" s="14">
        <v>0.09</v>
      </c>
      <c r="U17" s="14">
        <v>0.05</v>
      </c>
      <c r="V17" s="14">
        <v>0.11</v>
      </c>
      <c r="W17" s="14">
        <v>0.03</v>
      </c>
      <c r="X17" s="14">
        <v>0.27</v>
      </c>
      <c r="Y17" s="14">
        <v>0.01</v>
      </c>
      <c r="Z17" s="14">
        <v>0.12</v>
      </c>
      <c r="AA17" s="14">
        <v>0.15</v>
      </c>
      <c r="AB17" s="14">
        <v>0.22</v>
      </c>
      <c r="AC17" s="14">
        <v>0.06</v>
      </c>
      <c r="AD17" s="14">
        <v>0.05</v>
      </c>
      <c r="AE17" s="14">
        <v>0.12</v>
      </c>
      <c r="AF17" s="14">
        <v>0.14000000000000001</v>
      </c>
    </row>
    <row r="18" spans="1:32">
      <c r="A18" s="23"/>
      <c r="B18" s="11" t="s">
        <v>943</v>
      </c>
      <c r="C18" s="12">
        <v>139</v>
      </c>
      <c r="D18" s="12">
        <v>8</v>
      </c>
      <c r="E18" s="12">
        <v>8</v>
      </c>
      <c r="F18" s="12">
        <v>4</v>
      </c>
      <c r="G18" s="12">
        <v>4</v>
      </c>
      <c r="H18" s="12">
        <v>4</v>
      </c>
      <c r="I18" s="12">
        <v>6</v>
      </c>
      <c r="J18" s="12">
        <v>2</v>
      </c>
      <c r="K18" s="12">
        <v>5</v>
      </c>
      <c r="L18" s="12">
        <v>3</v>
      </c>
      <c r="M18" s="12">
        <v>3</v>
      </c>
      <c r="N18" s="12">
        <v>6</v>
      </c>
      <c r="O18" s="12">
        <v>7</v>
      </c>
      <c r="P18" s="12">
        <v>0</v>
      </c>
      <c r="Q18" s="12">
        <v>3</v>
      </c>
      <c r="R18" s="12">
        <v>8</v>
      </c>
      <c r="S18" s="12">
        <v>7</v>
      </c>
      <c r="T18" s="12">
        <v>10</v>
      </c>
      <c r="U18" s="12">
        <v>4</v>
      </c>
      <c r="V18" s="12">
        <v>1</v>
      </c>
      <c r="W18" s="12">
        <v>5</v>
      </c>
      <c r="X18" s="12">
        <v>7</v>
      </c>
      <c r="Y18" s="12">
        <v>4</v>
      </c>
      <c r="Z18" s="12">
        <v>5</v>
      </c>
      <c r="AA18" s="12">
        <v>6</v>
      </c>
      <c r="AB18" s="12">
        <v>8</v>
      </c>
      <c r="AC18" s="12">
        <v>3</v>
      </c>
      <c r="AD18" s="12">
        <v>3</v>
      </c>
      <c r="AE18" s="12">
        <v>15</v>
      </c>
      <c r="AF18" s="12">
        <v>11</v>
      </c>
    </row>
    <row r="19" spans="1:32">
      <c r="A19" s="23"/>
      <c r="B19" s="13" t="s">
        <v>944</v>
      </c>
      <c r="C19" s="14">
        <v>0.04</v>
      </c>
      <c r="D19" s="14">
        <v>0.05</v>
      </c>
      <c r="E19" s="14">
        <v>0.06</v>
      </c>
      <c r="F19" s="14">
        <v>0.04</v>
      </c>
      <c r="G19" s="14">
        <v>0.03</v>
      </c>
      <c r="H19" s="14">
        <v>0.02</v>
      </c>
      <c r="I19" s="14">
        <v>0.03</v>
      </c>
      <c r="J19" s="14">
        <v>0.06</v>
      </c>
      <c r="K19" s="14">
        <v>0.03</v>
      </c>
      <c r="L19" s="14">
        <v>0.02</v>
      </c>
      <c r="M19" s="14">
        <v>0.03</v>
      </c>
      <c r="N19" s="14">
        <v>0.04</v>
      </c>
      <c r="O19" s="14">
        <v>0.04</v>
      </c>
      <c r="P19" s="15" t="s">
        <v>485</v>
      </c>
      <c r="Q19" s="14">
        <v>0.01</v>
      </c>
      <c r="R19" s="14">
        <v>0.12</v>
      </c>
      <c r="S19" s="14">
        <v>0.04</v>
      </c>
      <c r="T19" s="14">
        <v>0.06</v>
      </c>
      <c r="U19" s="14">
        <v>0.05</v>
      </c>
      <c r="V19" s="14">
        <v>0.02</v>
      </c>
      <c r="W19" s="14">
        <v>0.08</v>
      </c>
      <c r="X19" s="14">
        <v>0.04</v>
      </c>
      <c r="Y19" s="14">
        <v>0.04</v>
      </c>
      <c r="Z19" s="14">
        <v>0.05</v>
      </c>
      <c r="AA19" s="14">
        <v>0.04</v>
      </c>
      <c r="AB19" s="14">
        <v>7.0000000000000007E-2</v>
      </c>
      <c r="AC19" s="14">
        <v>0.03</v>
      </c>
      <c r="AD19" s="14">
        <v>0.02</v>
      </c>
      <c r="AE19" s="14">
        <v>0.1</v>
      </c>
      <c r="AF19" s="14">
        <v>0.09</v>
      </c>
    </row>
    <row r="20" spans="1:32">
      <c r="A20" s="23"/>
      <c r="B20" s="11" t="s">
        <v>497</v>
      </c>
      <c r="C20" s="12">
        <v>36</v>
      </c>
      <c r="D20" s="12">
        <v>0</v>
      </c>
      <c r="E20" s="12">
        <v>1</v>
      </c>
      <c r="F20" s="12">
        <v>1</v>
      </c>
      <c r="G20" s="12">
        <v>1</v>
      </c>
      <c r="H20" s="12">
        <v>1</v>
      </c>
      <c r="I20" s="12">
        <v>1</v>
      </c>
      <c r="J20" s="12">
        <v>0</v>
      </c>
      <c r="K20" s="12">
        <v>1</v>
      </c>
      <c r="L20" s="12">
        <v>0</v>
      </c>
      <c r="M20" s="12">
        <v>0</v>
      </c>
      <c r="N20" s="12">
        <v>2</v>
      </c>
      <c r="O20" s="12">
        <v>2</v>
      </c>
      <c r="P20" s="12">
        <v>0</v>
      </c>
      <c r="Q20" s="12">
        <v>0</v>
      </c>
      <c r="R20" s="12">
        <v>0</v>
      </c>
      <c r="S20" s="12">
        <v>1</v>
      </c>
      <c r="T20" s="12">
        <v>4</v>
      </c>
      <c r="U20" s="12">
        <v>0</v>
      </c>
      <c r="V20" s="12">
        <v>2</v>
      </c>
      <c r="W20" s="12">
        <v>1</v>
      </c>
      <c r="X20" s="12">
        <v>1</v>
      </c>
      <c r="Y20" s="12">
        <v>0</v>
      </c>
      <c r="Z20" s="12">
        <v>4</v>
      </c>
      <c r="AA20" s="12">
        <v>0</v>
      </c>
      <c r="AB20" s="12">
        <v>2</v>
      </c>
      <c r="AC20" s="12">
        <v>0</v>
      </c>
      <c r="AD20" s="12">
        <v>1</v>
      </c>
      <c r="AE20" s="12">
        <v>4</v>
      </c>
      <c r="AF20" s="12">
        <v>4</v>
      </c>
    </row>
    <row r="21" spans="1:32">
      <c r="A21" s="23"/>
      <c r="B21" s="13" t="s">
        <v>498</v>
      </c>
      <c r="C21" s="14">
        <v>0.01</v>
      </c>
      <c r="D21" s="15" t="s">
        <v>485</v>
      </c>
      <c r="E21" s="14">
        <v>0.01</v>
      </c>
      <c r="F21" s="14">
        <v>0.01</v>
      </c>
      <c r="G21" s="14">
        <v>0.01</v>
      </c>
      <c r="H21" s="14">
        <v>0.01</v>
      </c>
      <c r="I21" s="15" t="s">
        <v>485</v>
      </c>
      <c r="J21" s="15" t="s">
        <v>485</v>
      </c>
      <c r="K21" s="14">
        <v>0.01</v>
      </c>
      <c r="L21" s="15" t="s">
        <v>485</v>
      </c>
      <c r="M21" s="15" t="s">
        <v>485</v>
      </c>
      <c r="N21" s="14">
        <v>0.01</v>
      </c>
      <c r="O21" s="14">
        <v>0.01</v>
      </c>
      <c r="P21" s="15" t="s">
        <v>485</v>
      </c>
      <c r="Q21" s="15" t="s">
        <v>485</v>
      </c>
      <c r="R21" s="15" t="s">
        <v>485</v>
      </c>
      <c r="S21" s="14">
        <v>0.01</v>
      </c>
      <c r="T21" s="14">
        <v>0.03</v>
      </c>
      <c r="U21" s="15" t="s">
        <v>485</v>
      </c>
      <c r="V21" s="14">
        <v>0.02</v>
      </c>
      <c r="W21" s="14">
        <v>0.01</v>
      </c>
      <c r="X21" s="15" t="s">
        <v>485</v>
      </c>
      <c r="Y21" s="15" t="s">
        <v>485</v>
      </c>
      <c r="Z21" s="14">
        <v>0.03</v>
      </c>
      <c r="AA21" s="15" t="s">
        <v>485</v>
      </c>
      <c r="AB21" s="14">
        <v>0.02</v>
      </c>
      <c r="AC21" s="15" t="s">
        <v>485</v>
      </c>
      <c r="AD21" s="14">
        <v>0.01</v>
      </c>
      <c r="AE21" s="14">
        <v>0.02</v>
      </c>
      <c r="AF21" s="14">
        <v>0.03</v>
      </c>
    </row>
    <row r="22" spans="1:32">
      <c r="A22" s="23"/>
      <c r="B22" s="11" t="s">
        <v>945</v>
      </c>
      <c r="C22" s="12">
        <v>3244</v>
      </c>
      <c r="D22" s="12">
        <v>148</v>
      </c>
      <c r="E22" s="12">
        <v>124</v>
      </c>
      <c r="F22" s="12">
        <v>96</v>
      </c>
      <c r="G22" s="12">
        <v>114</v>
      </c>
      <c r="H22" s="12">
        <v>149</v>
      </c>
      <c r="I22" s="12">
        <v>177</v>
      </c>
      <c r="J22" s="12">
        <v>28</v>
      </c>
      <c r="K22" s="12">
        <v>125</v>
      </c>
      <c r="L22" s="12">
        <v>127</v>
      </c>
      <c r="M22" s="12">
        <v>127</v>
      </c>
      <c r="N22" s="12">
        <v>151</v>
      </c>
      <c r="O22" s="12">
        <v>132</v>
      </c>
      <c r="P22" s="12">
        <v>96</v>
      </c>
      <c r="Q22" s="12">
        <v>162</v>
      </c>
      <c r="R22" s="12">
        <v>56</v>
      </c>
      <c r="S22" s="12">
        <v>130</v>
      </c>
      <c r="T22" s="12">
        <v>126</v>
      </c>
      <c r="U22" s="12">
        <v>82</v>
      </c>
      <c r="V22" s="12">
        <v>85</v>
      </c>
      <c r="W22" s="12">
        <v>59</v>
      </c>
      <c r="X22" s="12">
        <v>109</v>
      </c>
      <c r="Y22" s="12">
        <v>106</v>
      </c>
      <c r="Z22" s="12">
        <v>92</v>
      </c>
      <c r="AA22" s="12">
        <v>119</v>
      </c>
      <c r="AB22" s="12">
        <v>78</v>
      </c>
      <c r="AC22" s="12">
        <v>109</v>
      </c>
      <c r="AD22" s="12">
        <v>138</v>
      </c>
      <c r="AE22" s="12">
        <v>120</v>
      </c>
      <c r="AF22" s="12">
        <v>88</v>
      </c>
    </row>
    <row r="23" spans="1:32">
      <c r="A23" s="23"/>
      <c r="B23" s="13" t="s">
        <v>945</v>
      </c>
      <c r="C23" s="14">
        <v>0.83000000000000007</v>
      </c>
      <c r="D23" s="14">
        <v>0.81</v>
      </c>
      <c r="E23" s="14">
        <v>0.85</v>
      </c>
      <c r="F23" s="14">
        <v>0.85</v>
      </c>
      <c r="G23" s="14">
        <v>0.83000000000000007</v>
      </c>
      <c r="H23" s="14">
        <v>0.82000000000000006</v>
      </c>
      <c r="I23" s="14">
        <v>0.82000000000000006</v>
      </c>
      <c r="J23" s="14">
        <v>0.81</v>
      </c>
      <c r="K23" s="14">
        <v>0.86</v>
      </c>
      <c r="L23" s="14">
        <v>0.94000000000000006</v>
      </c>
      <c r="M23" s="14">
        <v>0.94000000000000006</v>
      </c>
      <c r="N23" s="14">
        <v>0.84</v>
      </c>
      <c r="O23" s="14">
        <v>0.8</v>
      </c>
      <c r="P23" s="14">
        <v>0.94000000000000006</v>
      </c>
      <c r="Q23" s="14">
        <v>0.94000000000000006</v>
      </c>
      <c r="R23" s="14">
        <v>0.83000000000000007</v>
      </c>
      <c r="S23" s="14">
        <v>0.83000000000000007</v>
      </c>
      <c r="T23" s="14">
        <v>0.82000000000000006</v>
      </c>
      <c r="U23" s="14">
        <v>0.9</v>
      </c>
      <c r="V23" s="14">
        <v>0.85</v>
      </c>
      <c r="W23" s="14">
        <v>0.88</v>
      </c>
      <c r="X23" s="14">
        <v>0.69000000000000006</v>
      </c>
      <c r="Y23" s="14">
        <v>0.95000000000000007</v>
      </c>
      <c r="Z23" s="14">
        <v>0.8</v>
      </c>
      <c r="AA23" s="14">
        <v>0.81</v>
      </c>
      <c r="AB23" s="14">
        <v>0.69000000000000006</v>
      </c>
      <c r="AC23" s="14">
        <v>0.91</v>
      </c>
      <c r="AD23" s="14">
        <v>0.92</v>
      </c>
      <c r="AE23" s="14">
        <v>0.76</v>
      </c>
      <c r="AF23" s="14">
        <v>0.74</v>
      </c>
    </row>
    <row r="24" spans="1:32">
      <c r="A24" s="23"/>
      <c r="B24" s="11" t="s">
        <v>946</v>
      </c>
      <c r="C24" s="12">
        <v>616</v>
      </c>
      <c r="D24" s="12">
        <v>35</v>
      </c>
      <c r="E24" s="12">
        <v>20</v>
      </c>
      <c r="F24" s="12">
        <v>16</v>
      </c>
      <c r="G24" s="12">
        <v>22</v>
      </c>
      <c r="H24" s="12">
        <v>31</v>
      </c>
      <c r="I24" s="12">
        <v>38</v>
      </c>
      <c r="J24" s="12">
        <v>7</v>
      </c>
      <c r="K24" s="12">
        <v>20</v>
      </c>
      <c r="L24" s="12">
        <v>8</v>
      </c>
      <c r="M24" s="12">
        <v>7</v>
      </c>
      <c r="N24" s="12">
        <v>27</v>
      </c>
      <c r="O24" s="12">
        <v>32</v>
      </c>
      <c r="P24" s="12">
        <v>6</v>
      </c>
      <c r="Q24" s="12">
        <v>12</v>
      </c>
      <c r="R24" s="12">
        <v>11</v>
      </c>
      <c r="S24" s="12">
        <v>25</v>
      </c>
      <c r="T24" s="12">
        <v>24</v>
      </c>
      <c r="U24" s="12">
        <v>8</v>
      </c>
      <c r="V24" s="12">
        <v>12</v>
      </c>
      <c r="W24" s="12">
        <v>7</v>
      </c>
      <c r="X24" s="12">
        <v>50</v>
      </c>
      <c r="Y24" s="12">
        <v>6</v>
      </c>
      <c r="Z24" s="12">
        <v>19</v>
      </c>
      <c r="AA24" s="12">
        <v>28</v>
      </c>
      <c r="AB24" s="12">
        <v>33</v>
      </c>
      <c r="AC24" s="12">
        <v>10</v>
      </c>
      <c r="AD24" s="12">
        <v>10</v>
      </c>
      <c r="AE24" s="12">
        <v>33</v>
      </c>
      <c r="AF24" s="12">
        <v>28</v>
      </c>
    </row>
    <row r="25" spans="1:32">
      <c r="A25" s="23"/>
      <c r="B25" s="13" t="s">
        <v>947</v>
      </c>
      <c r="C25" s="14">
        <v>0.16</v>
      </c>
      <c r="D25" s="14">
        <v>0.19</v>
      </c>
      <c r="E25" s="14">
        <v>0.14000000000000001</v>
      </c>
      <c r="F25" s="14">
        <v>0.14000000000000001</v>
      </c>
      <c r="G25" s="14">
        <v>0.16</v>
      </c>
      <c r="H25" s="14">
        <v>0.17</v>
      </c>
      <c r="I25" s="14">
        <v>0.18</v>
      </c>
      <c r="J25" s="14">
        <v>0.19</v>
      </c>
      <c r="K25" s="14">
        <v>0.13</v>
      </c>
      <c r="L25" s="14">
        <v>0.06</v>
      </c>
      <c r="M25" s="14">
        <v>0.06</v>
      </c>
      <c r="N25" s="14">
        <v>0.15</v>
      </c>
      <c r="O25" s="14">
        <v>0.19</v>
      </c>
      <c r="P25" s="14">
        <v>0.06</v>
      </c>
      <c r="Q25" s="14">
        <v>0.06</v>
      </c>
      <c r="R25" s="14">
        <v>0.17</v>
      </c>
      <c r="S25" s="14">
        <v>0.16</v>
      </c>
      <c r="T25" s="14">
        <v>0.15</v>
      </c>
      <c r="U25" s="14">
        <v>0.1</v>
      </c>
      <c r="V25" s="14">
        <v>0.13</v>
      </c>
      <c r="W25" s="14">
        <v>0.11</v>
      </c>
      <c r="X25" s="14">
        <v>0.31</v>
      </c>
      <c r="Y25" s="14">
        <v>0.05</v>
      </c>
      <c r="Z25" s="14">
        <v>0.17</v>
      </c>
      <c r="AA25" s="14">
        <v>0.19</v>
      </c>
      <c r="AB25" s="14">
        <v>0.28999999999999998</v>
      </c>
      <c r="AC25" s="14">
        <v>0.09</v>
      </c>
      <c r="AD25" s="14">
        <v>7.0000000000000007E-2</v>
      </c>
      <c r="AE25" s="14">
        <v>0.22</v>
      </c>
      <c r="AF25" s="14">
        <v>0.23</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963</v>
      </c>
      <c r="C3" s="19"/>
      <c r="D3" s="19"/>
      <c r="E3" s="19"/>
      <c r="F3" s="19"/>
      <c r="H3" s="19" t="s">
        <v>964</v>
      </c>
      <c r="I3" s="19"/>
      <c r="J3" s="19"/>
      <c r="K3" s="19"/>
      <c r="L3" s="19"/>
    </row>
    <row r="4" spans="1:32" ht="27" customHeight="1">
      <c r="B4" s="19" t="s">
        <v>935</v>
      </c>
      <c r="C4" s="19"/>
      <c r="D4" s="19"/>
      <c r="E4" s="19"/>
      <c r="F4" s="19"/>
      <c r="H4" s="19" t="s">
        <v>936</v>
      </c>
      <c r="I4" s="19"/>
      <c r="J4" s="19"/>
      <c r="K4" s="19"/>
      <c r="L4" s="19"/>
    </row>
    <row r="5" spans="1:32" ht="24" customHeight="1">
      <c r="B5" s="19" t="s">
        <v>965</v>
      </c>
      <c r="C5" s="19"/>
      <c r="D5" s="19"/>
      <c r="E5" s="19"/>
      <c r="F5" s="19"/>
      <c r="H5" s="19" t="s">
        <v>966</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HYPERLINK("#Content!A63","&lt;&lt;Back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18303</v>
      </c>
      <c r="D10" s="10">
        <v>681</v>
      </c>
      <c r="E10" s="10">
        <v>727</v>
      </c>
      <c r="F10" s="10">
        <v>715</v>
      </c>
      <c r="G10" s="10">
        <v>704</v>
      </c>
      <c r="H10" s="10">
        <v>804</v>
      </c>
      <c r="I10" s="10">
        <v>1008</v>
      </c>
      <c r="J10" s="10">
        <v>203</v>
      </c>
      <c r="K10" s="10">
        <v>741</v>
      </c>
      <c r="L10" s="10">
        <v>734</v>
      </c>
      <c r="M10" s="10">
        <v>699</v>
      </c>
      <c r="N10" s="10">
        <v>711</v>
      </c>
      <c r="O10" s="10">
        <v>655</v>
      </c>
      <c r="P10" s="10">
        <v>689</v>
      </c>
      <c r="Q10" s="10">
        <v>729</v>
      </c>
      <c r="R10" s="10">
        <v>367</v>
      </c>
      <c r="S10" s="10">
        <v>719</v>
      </c>
      <c r="T10" s="10">
        <v>682</v>
      </c>
      <c r="U10" s="10">
        <v>371</v>
      </c>
      <c r="V10" s="10">
        <v>746</v>
      </c>
      <c r="W10" s="10">
        <v>369</v>
      </c>
      <c r="X10" s="10">
        <v>728</v>
      </c>
      <c r="Y10" s="10">
        <v>707</v>
      </c>
      <c r="Z10" s="10">
        <v>744</v>
      </c>
      <c r="AA10" s="10">
        <v>747</v>
      </c>
      <c r="AB10" s="10">
        <v>717</v>
      </c>
      <c r="AC10" s="10">
        <v>668</v>
      </c>
      <c r="AD10" s="10">
        <v>720</v>
      </c>
      <c r="AE10" s="10">
        <v>701</v>
      </c>
      <c r="AF10" s="10">
        <v>775</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937</v>
      </c>
      <c r="C12" s="12">
        <v>6842</v>
      </c>
      <c r="D12" s="12">
        <v>217</v>
      </c>
      <c r="E12" s="12">
        <v>309</v>
      </c>
      <c r="F12" s="12">
        <v>202</v>
      </c>
      <c r="G12" s="12">
        <v>274</v>
      </c>
      <c r="H12" s="12">
        <v>328</v>
      </c>
      <c r="I12" s="12">
        <v>418</v>
      </c>
      <c r="J12" s="12">
        <v>90</v>
      </c>
      <c r="K12" s="12">
        <v>254</v>
      </c>
      <c r="L12" s="12">
        <v>428</v>
      </c>
      <c r="M12" s="12">
        <v>257</v>
      </c>
      <c r="N12" s="12">
        <v>341</v>
      </c>
      <c r="O12" s="12">
        <v>243</v>
      </c>
      <c r="P12" s="12">
        <v>301</v>
      </c>
      <c r="Q12" s="12">
        <v>288</v>
      </c>
      <c r="R12" s="12">
        <v>200</v>
      </c>
      <c r="S12" s="12">
        <v>278</v>
      </c>
      <c r="T12" s="12">
        <v>249</v>
      </c>
      <c r="U12" s="12">
        <v>210</v>
      </c>
      <c r="V12" s="12">
        <v>200</v>
      </c>
      <c r="W12" s="12">
        <v>220</v>
      </c>
      <c r="X12" s="12">
        <v>252</v>
      </c>
      <c r="Y12" s="12">
        <v>354</v>
      </c>
      <c r="Z12" s="12">
        <v>142</v>
      </c>
      <c r="AA12" s="12">
        <v>201</v>
      </c>
      <c r="AB12" s="12">
        <v>205</v>
      </c>
      <c r="AC12" s="12">
        <v>290</v>
      </c>
      <c r="AD12" s="12">
        <v>305</v>
      </c>
      <c r="AE12" s="12">
        <v>269</v>
      </c>
      <c r="AF12" s="12">
        <v>260</v>
      </c>
    </row>
    <row r="13" spans="1:32">
      <c r="A13" s="23"/>
      <c r="B13" s="13" t="s">
        <v>938</v>
      </c>
      <c r="C13" s="14">
        <v>0.37</v>
      </c>
      <c r="D13" s="14">
        <v>0.32</v>
      </c>
      <c r="E13" s="14">
        <v>0.43</v>
      </c>
      <c r="F13" s="14">
        <v>0.28000000000000003</v>
      </c>
      <c r="G13" s="14">
        <v>0.39</v>
      </c>
      <c r="H13" s="14">
        <v>0.41</v>
      </c>
      <c r="I13" s="14">
        <v>0.41</v>
      </c>
      <c r="J13" s="14">
        <v>0.44</v>
      </c>
      <c r="K13" s="14">
        <v>0.34</v>
      </c>
      <c r="L13" s="14">
        <v>0.57999999999999996</v>
      </c>
      <c r="M13" s="14">
        <v>0.37</v>
      </c>
      <c r="N13" s="14">
        <v>0.48</v>
      </c>
      <c r="O13" s="14">
        <v>0.37</v>
      </c>
      <c r="P13" s="14">
        <v>0.44</v>
      </c>
      <c r="Q13" s="14">
        <v>0.4</v>
      </c>
      <c r="R13" s="14">
        <v>0.54</v>
      </c>
      <c r="S13" s="14">
        <v>0.39</v>
      </c>
      <c r="T13" s="14">
        <v>0.36</v>
      </c>
      <c r="U13" s="14">
        <v>0.57000000000000006</v>
      </c>
      <c r="V13" s="14">
        <v>0.27</v>
      </c>
      <c r="W13" s="14">
        <v>0.6</v>
      </c>
      <c r="X13" s="14">
        <v>0.35</v>
      </c>
      <c r="Y13" s="14">
        <v>0.5</v>
      </c>
      <c r="Z13" s="14">
        <v>0.19</v>
      </c>
      <c r="AA13" s="14">
        <v>0.27</v>
      </c>
      <c r="AB13" s="14">
        <v>0.28999999999999998</v>
      </c>
      <c r="AC13" s="14">
        <v>0.43</v>
      </c>
      <c r="AD13" s="14">
        <v>0.42</v>
      </c>
      <c r="AE13" s="14">
        <v>0.38</v>
      </c>
      <c r="AF13" s="14">
        <v>0.34</v>
      </c>
    </row>
    <row r="14" spans="1:32">
      <c r="A14" s="23"/>
      <c r="B14" s="11" t="s">
        <v>939</v>
      </c>
      <c r="C14" s="12">
        <v>8161</v>
      </c>
      <c r="D14" s="12">
        <v>349</v>
      </c>
      <c r="E14" s="12">
        <v>287</v>
      </c>
      <c r="F14" s="12">
        <v>354</v>
      </c>
      <c r="G14" s="12">
        <v>239</v>
      </c>
      <c r="H14" s="12">
        <v>367</v>
      </c>
      <c r="I14" s="12">
        <v>446</v>
      </c>
      <c r="J14" s="12">
        <v>79</v>
      </c>
      <c r="K14" s="12">
        <v>295</v>
      </c>
      <c r="L14" s="12">
        <v>226</v>
      </c>
      <c r="M14" s="12">
        <v>291</v>
      </c>
      <c r="N14" s="12">
        <v>274</v>
      </c>
      <c r="O14" s="12">
        <v>273</v>
      </c>
      <c r="P14" s="12">
        <v>302</v>
      </c>
      <c r="Q14" s="12">
        <v>358</v>
      </c>
      <c r="R14" s="12">
        <v>87</v>
      </c>
      <c r="S14" s="12">
        <v>241</v>
      </c>
      <c r="T14" s="12">
        <v>279</v>
      </c>
      <c r="U14" s="12">
        <v>114</v>
      </c>
      <c r="V14" s="12">
        <v>399</v>
      </c>
      <c r="W14" s="12">
        <v>107</v>
      </c>
      <c r="X14" s="12">
        <v>234</v>
      </c>
      <c r="Y14" s="12">
        <v>240</v>
      </c>
      <c r="Z14" s="12">
        <v>465</v>
      </c>
      <c r="AA14" s="12">
        <v>352</v>
      </c>
      <c r="AB14" s="12">
        <v>347</v>
      </c>
      <c r="AC14" s="12">
        <v>247</v>
      </c>
      <c r="AD14" s="12">
        <v>309</v>
      </c>
      <c r="AE14" s="12">
        <v>244</v>
      </c>
      <c r="AF14" s="12">
        <v>281</v>
      </c>
    </row>
    <row r="15" spans="1:32">
      <c r="A15" s="23"/>
      <c r="B15" s="13" t="s">
        <v>940</v>
      </c>
      <c r="C15" s="14">
        <v>0.45</v>
      </c>
      <c r="D15" s="14">
        <v>0.51</v>
      </c>
      <c r="E15" s="14">
        <v>0.39</v>
      </c>
      <c r="F15" s="14">
        <v>0.5</v>
      </c>
      <c r="G15" s="14">
        <v>0.34</v>
      </c>
      <c r="H15" s="14">
        <v>0.46</v>
      </c>
      <c r="I15" s="14">
        <v>0.44</v>
      </c>
      <c r="J15" s="14">
        <v>0.39</v>
      </c>
      <c r="K15" s="14">
        <v>0.4</v>
      </c>
      <c r="L15" s="14">
        <v>0.31</v>
      </c>
      <c r="M15" s="14">
        <v>0.41</v>
      </c>
      <c r="N15" s="14">
        <v>0.39</v>
      </c>
      <c r="O15" s="14">
        <v>0.42</v>
      </c>
      <c r="P15" s="14">
        <v>0.44</v>
      </c>
      <c r="Q15" s="14">
        <v>0.49</v>
      </c>
      <c r="R15" s="14">
        <v>0.24</v>
      </c>
      <c r="S15" s="14">
        <v>0.34</v>
      </c>
      <c r="T15" s="14">
        <v>0.41</v>
      </c>
      <c r="U15" s="14">
        <v>0.31</v>
      </c>
      <c r="V15" s="14">
        <v>0.53</v>
      </c>
      <c r="W15" s="14">
        <v>0.28999999999999998</v>
      </c>
      <c r="X15" s="14">
        <v>0.32</v>
      </c>
      <c r="Y15" s="14">
        <v>0.34</v>
      </c>
      <c r="Z15" s="14">
        <v>0.63</v>
      </c>
      <c r="AA15" s="14">
        <v>0.47</v>
      </c>
      <c r="AB15" s="14">
        <v>0.48</v>
      </c>
      <c r="AC15" s="14">
        <v>0.37</v>
      </c>
      <c r="AD15" s="14">
        <v>0.43</v>
      </c>
      <c r="AE15" s="14">
        <v>0.35</v>
      </c>
      <c r="AF15" s="14">
        <v>0.36</v>
      </c>
    </row>
    <row r="16" spans="1:32">
      <c r="A16" s="23"/>
      <c r="B16" s="11" t="s">
        <v>941</v>
      </c>
      <c r="C16" s="12">
        <v>2412</v>
      </c>
      <c r="D16" s="12">
        <v>87</v>
      </c>
      <c r="E16" s="12">
        <v>85</v>
      </c>
      <c r="F16" s="12">
        <v>114</v>
      </c>
      <c r="G16" s="12">
        <v>131</v>
      </c>
      <c r="H16" s="12">
        <v>87</v>
      </c>
      <c r="I16" s="12">
        <v>116</v>
      </c>
      <c r="J16" s="12">
        <v>29</v>
      </c>
      <c r="K16" s="12">
        <v>125</v>
      </c>
      <c r="L16" s="12">
        <v>57</v>
      </c>
      <c r="M16" s="12">
        <v>117</v>
      </c>
      <c r="N16" s="12">
        <v>65</v>
      </c>
      <c r="O16" s="12">
        <v>88</v>
      </c>
      <c r="P16" s="12">
        <v>67</v>
      </c>
      <c r="Q16" s="12">
        <v>66</v>
      </c>
      <c r="R16" s="12">
        <v>45</v>
      </c>
      <c r="S16" s="12">
        <v>140</v>
      </c>
      <c r="T16" s="12">
        <v>107</v>
      </c>
      <c r="U16" s="12">
        <v>31</v>
      </c>
      <c r="V16" s="12">
        <v>103</v>
      </c>
      <c r="W16" s="12">
        <v>18</v>
      </c>
      <c r="X16" s="12">
        <v>187</v>
      </c>
      <c r="Y16" s="12">
        <v>74</v>
      </c>
      <c r="Z16" s="12">
        <v>104</v>
      </c>
      <c r="AA16" s="12">
        <v>166</v>
      </c>
      <c r="AB16" s="12">
        <v>130</v>
      </c>
      <c r="AC16" s="12">
        <v>77</v>
      </c>
      <c r="AD16" s="12">
        <v>67</v>
      </c>
      <c r="AE16" s="12">
        <v>133</v>
      </c>
      <c r="AF16" s="12">
        <v>163</v>
      </c>
    </row>
    <row r="17" spans="1:32">
      <c r="A17" s="23"/>
      <c r="B17" s="13" t="s">
        <v>942</v>
      </c>
      <c r="C17" s="14">
        <v>0.13</v>
      </c>
      <c r="D17" s="14">
        <v>0.13</v>
      </c>
      <c r="E17" s="14">
        <v>0.12</v>
      </c>
      <c r="F17" s="14">
        <v>0.16</v>
      </c>
      <c r="G17" s="14">
        <v>0.18</v>
      </c>
      <c r="H17" s="14">
        <v>0.11</v>
      </c>
      <c r="I17" s="14">
        <v>0.12</v>
      </c>
      <c r="J17" s="14">
        <v>0.14000000000000001</v>
      </c>
      <c r="K17" s="14">
        <v>0.17</v>
      </c>
      <c r="L17" s="14">
        <v>0.08</v>
      </c>
      <c r="M17" s="14">
        <v>0.17</v>
      </c>
      <c r="N17" s="14">
        <v>0.09</v>
      </c>
      <c r="O17" s="14">
        <v>0.13</v>
      </c>
      <c r="P17" s="14">
        <v>0.1</v>
      </c>
      <c r="Q17" s="14">
        <v>0.09</v>
      </c>
      <c r="R17" s="14">
        <v>0.12</v>
      </c>
      <c r="S17" s="14">
        <v>0.19</v>
      </c>
      <c r="T17" s="14">
        <v>0.16</v>
      </c>
      <c r="U17" s="14">
        <v>0.08</v>
      </c>
      <c r="V17" s="14">
        <v>0.14000000000000001</v>
      </c>
      <c r="W17" s="14">
        <v>0.05</v>
      </c>
      <c r="X17" s="14">
        <v>0.26</v>
      </c>
      <c r="Y17" s="14">
        <v>0.11</v>
      </c>
      <c r="Z17" s="14">
        <v>0.14000000000000001</v>
      </c>
      <c r="AA17" s="14">
        <v>0.22</v>
      </c>
      <c r="AB17" s="14">
        <v>0.18</v>
      </c>
      <c r="AC17" s="14">
        <v>0.12</v>
      </c>
      <c r="AD17" s="14">
        <v>0.09</v>
      </c>
      <c r="AE17" s="14">
        <v>0.19</v>
      </c>
      <c r="AF17" s="14">
        <v>0.21</v>
      </c>
    </row>
    <row r="18" spans="1:32">
      <c r="A18" s="23"/>
      <c r="B18" s="11" t="s">
        <v>943</v>
      </c>
      <c r="C18" s="12">
        <v>809</v>
      </c>
      <c r="D18" s="12">
        <v>28</v>
      </c>
      <c r="E18" s="12">
        <v>34</v>
      </c>
      <c r="F18" s="12">
        <v>39</v>
      </c>
      <c r="G18" s="12">
        <v>55</v>
      </c>
      <c r="H18" s="12">
        <v>21</v>
      </c>
      <c r="I18" s="12">
        <v>26</v>
      </c>
      <c r="J18" s="12">
        <v>5</v>
      </c>
      <c r="K18" s="12">
        <v>55</v>
      </c>
      <c r="L18" s="12">
        <v>16</v>
      </c>
      <c r="M18" s="12">
        <v>34</v>
      </c>
      <c r="N18" s="12">
        <v>29</v>
      </c>
      <c r="O18" s="12">
        <v>48</v>
      </c>
      <c r="P18" s="12">
        <v>18</v>
      </c>
      <c r="Q18" s="12">
        <v>16</v>
      </c>
      <c r="R18" s="12">
        <v>35</v>
      </c>
      <c r="S18" s="12">
        <v>60</v>
      </c>
      <c r="T18" s="12">
        <v>46</v>
      </c>
      <c r="U18" s="12">
        <v>15</v>
      </c>
      <c r="V18" s="12">
        <v>40</v>
      </c>
      <c r="W18" s="12">
        <v>22</v>
      </c>
      <c r="X18" s="12">
        <v>52</v>
      </c>
      <c r="Y18" s="12">
        <v>36</v>
      </c>
      <c r="Z18" s="12">
        <v>24</v>
      </c>
      <c r="AA18" s="12">
        <v>25</v>
      </c>
      <c r="AB18" s="12">
        <v>34</v>
      </c>
      <c r="AC18" s="12">
        <v>53</v>
      </c>
      <c r="AD18" s="12">
        <v>25</v>
      </c>
      <c r="AE18" s="12">
        <v>52</v>
      </c>
      <c r="AF18" s="12">
        <v>70</v>
      </c>
    </row>
    <row r="19" spans="1:32">
      <c r="A19" s="23"/>
      <c r="B19" s="13" t="s">
        <v>944</v>
      </c>
      <c r="C19" s="14">
        <v>0.04</v>
      </c>
      <c r="D19" s="14">
        <v>0.04</v>
      </c>
      <c r="E19" s="14">
        <v>0.05</v>
      </c>
      <c r="F19" s="14">
        <v>0.05</v>
      </c>
      <c r="G19" s="14">
        <v>0.08</v>
      </c>
      <c r="H19" s="14">
        <v>0.02</v>
      </c>
      <c r="I19" s="14">
        <v>0.03</v>
      </c>
      <c r="J19" s="14">
        <v>0.02</v>
      </c>
      <c r="K19" s="14">
        <v>7.0000000000000007E-2</v>
      </c>
      <c r="L19" s="14">
        <v>0.02</v>
      </c>
      <c r="M19" s="14">
        <v>0.05</v>
      </c>
      <c r="N19" s="14">
        <v>0.04</v>
      </c>
      <c r="O19" s="14">
        <v>7.0000000000000007E-2</v>
      </c>
      <c r="P19" s="14">
        <v>0.02</v>
      </c>
      <c r="Q19" s="14">
        <v>0.02</v>
      </c>
      <c r="R19" s="14">
        <v>0.1</v>
      </c>
      <c r="S19" s="14">
        <v>0.08</v>
      </c>
      <c r="T19" s="14">
        <v>7.0000000000000007E-2</v>
      </c>
      <c r="U19" s="14">
        <v>0.04</v>
      </c>
      <c r="V19" s="14">
        <v>0.05</v>
      </c>
      <c r="W19" s="14">
        <v>0.06</v>
      </c>
      <c r="X19" s="14">
        <v>7.0000000000000007E-2</v>
      </c>
      <c r="Y19" s="14">
        <v>0.05</v>
      </c>
      <c r="Z19" s="14">
        <v>0.03</v>
      </c>
      <c r="AA19" s="14">
        <v>0.03</v>
      </c>
      <c r="AB19" s="14">
        <v>0.05</v>
      </c>
      <c r="AC19" s="14">
        <v>0.08</v>
      </c>
      <c r="AD19" s="14">
        <v>0.04</v>
      </c>
      <c r="AE19" s="14">
        <v>7.0000000000000007E-2</v>
      </c>
      <c r="AF19" s="14">
        <v>0.09</v>
      </c>
    </row>
    <row r="20" spans="1:32">
      <c r="A20" s="23"/>
      <c r="B20" s="11" t="s">
        <v>497</v>
      </c>
      <c r="C20" s="12">
        <v>79</v>
      </c>
      <c r="D20" s="12">
        <v>0</v>
      </c>
      <c r="E20" s="12">
        <v>11</v>
      </c>
      <c r="F20" s="12">
        <v>6</v>
      </c>
      <c r="G20" s="12">
        <v>6</v>
      </c>
      <c r="H20" s="12">
        <v>2</v>
      </c>
      <c r="I20" s="12">
        <v>3</v>
      </c>
      <c r="J20" s="12">
        <v>1</v>
      </c>
      <c r="K20" s="12">
        <v>12</v>
      </c>
      <c r="L20" s="12">
        <v>7</v>
      </c>
      <c r="M20" s="12">
        <v>0</v>
      </c>
      <c r="N20" s="12">
        <v>1</v>
      </c>
      <c r="O20" s="12">
        <v>3</v>
      </c>
      <c r="P20" s="12">
        <v>1</v>
      </c>
      <c r="Q20" s="12">
        <v>1</v>
      </c>
      <c r="R20" s="12">
        <v>0</v>
      </c>
      <c r="S20" s="12">
        <v>1</v>
      </c>
      <c r="T20" s="12">
        <v>1</v>
      </c>
      <c r="U20" s="12">
        <v>1</v>
      </c>
      <c r="V20" s="12">
        <v>4</v>
      </c>
      <c r="W20" s="12">
        <v>1</v>
      </c>
      <c r="X20" s="12">
        <v>3</v>
      </c>
      <c r="Y20" s="12">
        <v>3</v>
      </c>
      <c r="Z20" s="12">
        <v>9</v>
      </c>
      <c r="AA20" s="12">
        <v>4</v>
      </c>
      <c r="AB20" s="12">
        <v>2</v>
      </c>
      <c r="AC20" s="12">
        <v>1</v>
      </c>
      <c r="AD20" s="12">
        <v>14</v>
      </c>
      <c r="AE20" s="12">
        <v>4</v>
      </c>
      <c r="AF20" s="12">
        <v>1</v>
      </c>
    </row>
    <row r="21" spans="1:32">
      <c r="A21" s="23"/>
      <c r="B21" s="13" t="s">
        <v>498</v>
      </c>
      <c r="C21" s="14">
        <v>0.01</v>
      </c>
      <c r="D21" s="15" t="s">
        <v>485</v>
      </c>
      <c r="E21" s="14">
        <v>0.01</v>
      </c>
      <c r="F21" s="14">
        <v>0.01</v>
      </c>
      <c r="G21" s="14">
        <v>0.01</v>
      </c>
      <c r="H21" s="15" t="s">
        <v>485</v>
      </c>
      <c r="I21" s="15" t="s">
        <v>485</v>
      </c>
      <c r="J21" s="14">
        <v>0.01</v>
      </c>
      <c r="K21" s="14">
        <v>0.02</v>
      </c>
      <c r="L21" s="14">
        <v>0.01</v>
      </c>
      <c r="M21" s="15" t="s">
        <v>485</v>
      </c>
      <c r="N21" s="15" t="s">
        <v>485</v>
      </c>
      <c r="O21" s="14">
        <v>0.01</v>
      </c>
      <c r="P21" s="15" t="s">
        <v>485</v>
      </c>
      <c r="Q21" s="15" t="s">
        <v>485</v>
      </c>
      <c r="R21" s="15" t="s">
        <v>485</v>
      </c>
      <c r="S21" s="15" t="s">
        <v>485</v>
      </c>
      <c r="T21" s="15" t="s">
        <v>485</v>
      </c>
      <c r="U21" s="15" t="s">
        <v>485</v>
      </c>
      <c r="V21" s="14">
        <v>0.01</v>
      </c>
      <c r="W21" s="15" t="s">
        <v>485</v>
      </c>
      <c r="X21" s="15" t="s">
        <v>485</v>
      </c>
      <c r="Y21" s="15" t="s">
        <v>485</v>
      </c>
      <c r="Z21" s="14">
        <v>0.01</v>
      </c>
      <c r="AA21" s="14">
        <v>0.01</v>
      </c>
      <c r="AB21" s="15" t="s">
        <v>485</v>
      </c>
      <c r="AC21" s="15" t="s">
        <v>485</v>
      </c>
      <c r="AD21" s="14">
        <v>0.02</v>
      </c>
      <c r="AE21" s="14">
        <v>0.01</v>
      </c>
      <c r="AF21" s="15" t="s">
        <v>485</v>
      </c>
    </row>
    <row r="22" spans="1:32">
      <c r="A22" s="23"/>
      <c r="B22" s="11" t="s">
        <v>945</v>
      </c>
      <c r="C22" s="12">
        <v>15003</v>
      </c>
      <c r="D22" s="12">
        <v>566</v>
      </c>
      <c r="E22" s="12">
        <v>596</v>
      </c>
      <c r="F22" s="12">
        <v>556</v>
      </c>
      <c r="G22" s="12">
        <v>513</v>
      </c>
      <c r="H22" s="12">
        <v>695</v>
      </c>
      <c r="I22" s="12">
        <v>864</v>
      </c>
      <c r="J22" s="12">
        <v>169</v>
      </c>
      <c r="K22" s="12">
        <v>549</v>
      </c>
      <c r="L22" s="12">
        <v>654</v>
      </c>
      <c r="M22" s="12">
        <v>548</v>
      </c>
      <c r="N22" s="12">
        <v>615</v>
      </c>
      <c r="O22" s="12">
        <v>516</v>
      </c>
      <c r="P22" s="12">
        <v>603</v>
      </c>
      <c r="Q22" s="12">
        <v>646</v>
      </c>
      <c r="R22" s="12">
        <v>287</v>
      </c>
      <c r="S22" s="12">
        <v>519</v>
      </c>
      <c r="T22" s="12">
        <v>528</v>
      </c>
      <c r="U22" s="12">
        <v>324</v>
      </c>
      <c r="V22" s="12">
        <v>599</v>
      </c>
      <c r="W22" s="12">
        <v>327</v>
      </c>
      <c r="X22" s="12">
        <v>486</v>
      </c>
      <c r="Y22" s="12">
        <v>594</v>
      </c>
      <c r="Z22" s="12">
        <v>607</v>
      </c>
      <c r="AA22" s="12">
        <v>553</v>
      </c>
      <c r="AB22" s="12">
        <v>552</v>
      </c>
      <c r="AC22" s="12">
        <v>537</v>
      </c>
      <c r="AD22" s="12">
        <v>614</v>
      </c>
      <c r="AE22" s="12">
        <v>513</v>
      </c>
      <c r="AF22" s="12">
        <v>541</v>
      </c>
    </row>
    <row r="23" spans="1:32">
      <c r="A23" s="23"/>
      <c r="B23" s="13" t="s">
        <v>945</v>
      </c>
      <c r="C23" s="14">
        <v>0.82000000000000006</v>
      </c>
      <c r="D23" s="14">
        <v>0.83000000000000007</v>
      </c>
      <c r="E23" s="14">
        <v>0.82000000000000006</v>
      </c>
      <c r="F23" s="14">
        <v>0.78</v>
      </c>
      <c r="G23" s="14">
        <v>0.73</v>
      </c>
      <c r="H23" s="14">
        <v>0.87</v>
      </c>
      <c r="I23" s="14">
        <v>0.85</v>
      </c>
      <c r="J23" s="14">
        <v>0.83000000000000007</v>
      </c>
      <c r="K23" s="14">
        <v>0.74</v>
      </c>
      <c r="L23" s="14">
        <v>0.89</v>
      </c>
      <c r="M23" s="14">
        <v>0.78</v>
      </c>
      <c r="N23" s="14">
        <v>0.87</v>
      </c>
      <c r="O23" s="14">
        <v>0.79</v>
      </c>
      <c r="P23" s="14">
        <v>0.88</v>
      </c>
      <c r="Q23" s="14">
        <v>0.89</v>
      </c>
      <c r="R23" s="14">
        <v>0.78</v>
      </c>
      <c r="S23" s="14">
        <v>0.73</v>
      </c>
      <c r="T23" s="14">
        <v>0.77</v>
      </c>
      <c r="U23" s="14">
        <v>0.88</v>
      </c>
      <c r="V23" s="14">
        <v>0.8</v>
      </c>
      <c r="W23" s="14">
        <v>0.89</v>
      </c>
      <c r="X23" s="14">
        <v>0.67</v>
      </c>
      <c r="Y23" s="14">
        <v>0.84</v>
      </c>
      <c r="Z23" s="14">
        <v>0.82000000000000006</v>
      </c>
      <c r="AA23" s="14">
        <v>0.74</v>
      </c>
      <c r="AB23" s="14">
        <v>0.77</v>
      </c>
      <c r="AC23" s="14">
        <v>0.8</v>
      </c>
      <c r="AD23" s="14">
        <v>0.85</v>
      </c>
      <c r="AE23" s="14">
        <v>0.73</v>
      </c>
      <c r="AF23" s="14">
        <v>0.70000000000000007</v>
      </c>
    </row>
    <row r="24" spans="1:32">
      <c r="A24" s="23"/>
      <c r="B24" s="11" t="s">
        <v>946</v>
      </c>
      <c r="C24" s="12">
        <v>3221</v>
      </c>
      <c r="D24" s="12">
        <v>115</v>
      </c>
      <c r="E24" s="12">
        <v>119</v>
      </c>
      <c r="F24" s="12">
        <v>153</v>
      </c>
      <c r="G24" s="12">
        <v>186</v>
      </c>
      <c r="H24" s="12">
        <v>108</v>
      </c>
      <c r="I24" s="12">
        <v>142</v>
      </c>
      <c r="J24" s="12">
        <v>34</v>
      </c>
      <c r="K24" s="12">
        <v>180</v>
      </c>
      <c r="L24" s="12">
        <v>73</v>
      </c>
      <c r="M24" s="12">
        <v>151</v>
      </c>
      <c r="N24" s="12">
        <v>94</v>
      </c>
      <c r="O24" s="12">
        <v>136</v>
      </c>
      <c r="P24" s="12">
        <v>85</v>
      </c>
      <c r="Q24" s="12">
        <v>82</v>
      </c>
      <c r="R24" s="12">
        <v>80</v>
      </c>
      <c r="S24" s="12">
        <v>200</v>
      </c>
      <c r="T24" s="12">
        <v>153</v>
      </c>
      <c r="U24" s="12">
        <v>46</v>
      </c>
      <c r="V24" s="12">
        <v>143</v>
      </c>
      <c r="W24" s="12">
        <v>40</v>
      </c>
      <c r="X24" s="12">
        <v>239</v>
      </c>
      <c r="Y24" s="12">
        <v>110</v>
      </c>
      <c r="Z24" s="12">
        <v>128</v>
      </c>
      <c r="AA24" s="12">
        <v>191</v>
      </c>
      <c r="AB24" s="12">
        <v>164</v>
      </c>
      <c r="AC24" s="12">
        <v>130</v>
      </c>
      <c r="AD24" s="12">
        <v>92</v>
      </c>
      <c r="AE24" s="12">
        <v>185</v>
      </c>
      <c r="AF24" s="12">
        <v>233</v>
      </c>
    </row>
    <row r="25" spans="1:32">
      <c r="A25" s="23"/>
      <c r="B25" s="13" t="s">
        <v>947</v>
      </c>
      <c r="C25" s="14">
        <v>0.17</v>
      </c>
      <c r="D25" s="14">
        <v>0.17</v>
      </c>
      <c r="E25" s="14">
        <v>0.17</v>
      </c>
      <c r="F25" s="14">
        <v>0.21</v>
      </c>
      <c r="G25" s="14">
        <v>0.26</v>
      </c>
      <c r="H25" s="14">
        <v>0.13</v>
      </c>
      <c r="I25" s="14">
        <v>0.15</v>
      </c>
      <c r="J25" s="14">
        <v>0.16</v>
      </c>
      <c r="K25" s="14">
        <v>0.24</v>
      </c>
      <c r="L25" s="14">
        <v>0.1</v>
      </c>
      <c r="M25" s="14">
        <v>0.22</v>
      </c>
      <c r="N25" s="14">
        <v>0.13</v>
      </c>
      <c r="O25" s="14">
        <v>0.2</v>
      </c>
      <c r="P25" s="14">
        <v>0.12</v>
      </c>
      <c r="Q25" s="14">
        <v>0.11</v>
      </c>
      <c r="R25" s="14">
        <v>0.22</v>
      </c>
      <c r="S25" s="14">
        <v>0.27</v>
      </c>
      <c r="T25" s="14">
        <v>0.23</v>
      </c>
      <c r="U25" s="14">
        <v>0.12</v>
      </c>
      <c r="V25" s="14">
        <v>0.19</v>
      </c>
      <c r="W25" s="14">
        <v>0.11</v>
      </c>
      <c r="X25" s="14">
        <v>0.33</v>
      </c>
      <c r="Y25" s="14">
        <v>0.16</v>
      </c>
      <c r="Z25" s="14">
        <v>0.17</v>
      </c>
      <c r="AA25" s="14">
        <v>0.25</v>
      </c>
      <c r="AB25" s="14">
        <v>0.23</v>
      </c>
      <c r="AC25" s="14">
        <v>0.2</v>
      </c>
      <c r="AD25" s="14">
        <v>0.13</v>
      </c>
      <c r="AE25" s="14">
        <v>0.26</v>
      </c>
      <c r="AF25" s="14">
        <v>0.3</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967</v>
      </c>
      <c r="C3" s="19"/>
      <c r="D3" s="19"/>
      <c r="E3" s="19"/>
      <c r="F3" s="19"/>
      <c r="H3" s="19" t="s">
        <v>968</v>
      </c>
      <c r="I3" s="19"/>
      <c r="J3" s="19"/>
      <c r="K3" s="19"/>
      <c r="L3" s="19"/>
    </row>
    <row r="4" spans="1:32" ht="27" customHeight="1">
      <c r="B4" s="19" t="s">
        <v>954</v>
      </c>
      <c r="C4" s="19"/>
      <c r="D4" s="19"/>
      <c r="E4" s="19"/>
      <c r="F4" s="19"/>
      <c r="H4" s="19" t="s">
        <v>962</v>
      </c>
      <c r="I4" s="19"/>
      <c r="J4" s="19"/>
      <c r="K4" s="19"/>
      <c r="L4" s="19"/>
    </row>
    <row r="5" spans="1:32" ht="24" customHeight="1">
      <c r="B5" s="19" t="s">
        <v>965</v>
      </c>
      <c r="C5" s="19"/>
      <c r="D5" s="19"/>
      <c r="E5" s="19"/>
      <c r="F5" s="19"/>
      <c r="H5" s="19" t="s">
        <v>966</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HYPERLINK("#Content!A64","&lt;&lt;Back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18303</v>
      </c>
      <c r="D10" s="10">
        <v>681</v>
      </c>
      <c r="E10" s="10">
        <v>727</v>
      </c>
      <c r="F10" s="10">
        <v>715</v>
      </c>
      <c r="G10" s="10">
        <v>704</v>
      </c>
      <c r="H10" s="10">
        <v>804</v>
      </c>
      <c r="I10" s="10">
        <v>1008</v>
      </c>
      <c r="J10" s="10">
        <v>203</v>
      </c>
      <c r="K10" s="10">
        <v>741</v>
      </c>
      <c r="L10" s="10">
        <v>734</v>
      </c>
      <c r="M10" s="10">
        <v>699</v>
      </c>
      <c r="N10" s="10">
        <v>711</v>
      </c>
      <c r="O10" s="10">
        <v>655</v>
      </c>
      <c r="P10" s="10">
        <v>689</v>
      </c>
      <c r="Q10" s="10">
        <v>729</v>
      </c>
      <c r="R10" s="10">
        <v>367</v>
      </c>
      <c r="S10" s="10">
        <v>719</v>
      </c>
      <c r="T10" s="10">
        <v>682</v>
      </c>
      <c r="U10" s="10">
        <v>371</v>
      </c>
      <c r="V10" s="10">
        <v>746</v>
      </c>
      <c r="W10" s="10">
        <v>369</v>
      </c>
      <c r="X10" s="10">
        <v>728</v>
      </c>
      <c r="Y10" s="10">
        <v>707</v>
      </c>
      <c r="Z10" s="10">
        <v>744</v>
      </c>
      <c r="AA10" s="10">
        <v>747</v>
      </c>
      <c r="AB10" s="10">
        <v>717</v>
      </c>
      <c r="AC10" s="10">
        <v>668</v>
      </c>
      <c r="AD10" s="10">
        <v>720</v>
      </c>
      <c r="AE10" s="10">
        <v>701</v>
      </c>
      <c r="AF10" s="10">
        <v>775</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937</v>
      </c>
      <c r="C12" s="12">
        <v>7046</v>
      </c>
      <c r="D12" s="12">
        <v>216</v>
      </c>
      <c r="E12" s="12">
        <v>347</v>
      </c>
      <c r="F12" s="12">
        <v>261</v>
      </c>
      <c r="G12" s="12">
        <v>300</v>
      </c>
      <c r="H12" s="12">
        <v>295</v>
      </c>
      <c r="I12" s="12">
        <v>358</v>
      </c>
      <c r="J12" s="12">
        <v>63</v>
      </c>
      <c r="K12" s="12">
        <v>281</v>
      </c>
      <c r="L12" s="12">
        <v>408</v>
      </c>
      <c r="M12" s="12">
        <v>343</v>
      </c>
      <c r="N12" s="12">
        <v>305</v>
      </c>
      <c r="O12" s="12">
        <v>271</v>
      </c>
      <c r="P12" s="12">
        <v>319</v>
      </c>
      <c r="Q12" s="12">
        <v>339</v>
      </c>
      <c r="R12" s="12">
        <v>210</v>
      </c>
      <c r="S12" s="12">
        <v>346</v>
      </c>
      <c r="T12" s="12">
        <v>292</v>
      </c>
      <c r="U12" s="12">
        <v>230</v>
      </c>
      <c r="V12" s="12">
        <v>238</v>
      </c>
      <c r="W12" s="12">
        <v>222</v>
      </c>
      <c r="X12" s="12">
        <v>146</v>
      </c>
      <c r="Y12" s="12">
        <v>342</v>
      </c>
      <c r="Z12" s="12">
        <v>173</v>
      </c>
      <c r="AA12" s="12">
        <v>232</v>
      </c>
      <c r="AB12" s="12">
        <v>227</v>
      </c>
      <c r="AC12" s="12">
        <v>282</v>
      </c>
      <c r="AD12" s="12">
        <v>330</v>
      </c>
      <c r="AE12" s="12">
        <v>310</v>
      </c>
      <c r="AF12" s="12">
        <v>360</v>
      </c>
    </row>
    <row r="13" spans="1:32">
      <c r="A13" s="23"/>
      <c r="B13" s="13" t="s">
        <v>938</v>
      </c>
      <c r="C13" s="14">
        <v>0.38</v>
      </c>
      <c r="D13" s="14">
        <v>0.32</v>
      </c>
      <c r="E13" s="14">
        <v>0.48</v>
      </c>
      <c r="F13" s="14">
        <v>0.36</v>
      </c>
      <c r="G13" s="14">
        <v>0.43</v>
      </c>
      <c r="H13" s="14">
        <v>0.37</v>
      </c>
      <c r="I13" s="14">
        <v>0.36</v>
      </c>
      <c r="J13" s="14">
        <v>0.31</v>
      </c>
      <c r="K13" s="14">
        <v>0.38</v>
      </c>
      <c r="L13" s="14">
        <v>0.56000000000000005</v>
      </c>
      <c r="M13" s="14">
        <v>0.49</v>
      </c>
      <c r="N13" s="14">
        <v>0.43</v>
      </c>
      <c r="O13" s="14">
        <v>0.41</v>
      </c>
      <c r="P13" s="14">
        <v>0.46</v>
      </c>
      <c r="Q13" s="14">
        <v>0.47</v>
      </c>
      <c r="R13" s="14">
        <v>0.57000000000000006</v>
      </c>
      <c r="S13" s="14">
        <v>0.48</v>
      </c>
      <c r="T13" s="14">
        <v>0.43</v>
      </c>
      <c r="U13" s="14">
        <v>0.62</v>
      </c>
      <c r="V13" s="14">
        <v>0.32</v>
      </c>
      <c r="W13" s="14">
        <v>0.6</v>
      </c>
      <c r="X13" s="14">
        <v>0.2</v>
      </c>
      <c r="Y13" s="14">
        <v>0.48</v>
      </c>
      <c r="Z13" s="14">
        <v>0.23</v>
      </c>
      <c r="AA13" s="14">
        <v>0.31</v>
      </c>
      <c r="AB13" s="14">
        <v>0.32</v>
      </c>
      <c r="AC13" s="14">
        <v>0.42</v>
      </c>
      <c r="AD13" s="14">
        <v>0.46</v>
      </c>
      <c r="AE13" s="14">
        <v>0.44</v>
      </c>
      <c r="AF13" s="14">
        <v>0.46</v>
      </c>
    </row>
    <row r="14" spans="1:32">
      <c r="A14" s="23"/>
      <c r="B14" s="11" t="s">
        <v>939</v>
      </c>
      <c r="C14" s="12">
        <v>7659</v>
      </c>
      <c r="D14" s="12">
        <v>331</v>
      </c>
      <c r="E14" s="12">
        <v>274</v>
      </c>
      <c r="F14" s="12">
        <v>315</v>
      </c>
      <c r="G14" s="12">
        <v>216</v>
      </c>
      <c r="H14" s="12">
        <v>342</v>
      </c>
      <c r="I14" s="12">
        <v>427</v>
      </c>
      <c r="J14" s="12">
        <v>85</v>
      </c>
      <c r="K14" s="12">
        <v>307</v>
      </c>
      <c r="L14" s="12">
        <v>221</v>
      </c>
      <c r="M14" s="12">
        <v>246</v>
      </c>
      <c r="N14" s="12">
        <v>293</v>
      </c>
      <c r="O14" s="12">
        <v>261</v>
      </c>
      <c r="P14" s="12">
        <v>265</v>
      </c>
      <c r="Q14" s="12">
        <v>313</v>
      </c>
      <c r="R14" s="12">
        <v>82</v>
      </c>
      <c r="S14" s="12">
        <v>199</v>
      </c>
      <c r="T14" s="12">
        <v>259</v>
      </c>
      <c r="U14" s="12">
        <v>91</v>
      </c>
      <c r="V14" s="12">
        <v>352</v>
      </c>
      <c r="W14" s="12">
        <v>91</v>
      </c>
      <c r="X14" s="12">
        <v>252</v>
      </c>
      <c r="Y14" s="12">
        <v>237</v>
      </c>
      <c r="Z14" s="12">
        <v>417</v>
      </c>
      <c r="AA14" s="12">
        <v>332</v>
      </c>
      <c r="AB14" s="12">
        <v>330</v>
      </c>
      <c r="AC14" s="12">
        <v>245</v>
      </c>
      <c r="AD14" s="12">
        <v>290</v>
      </c>
      <c r="AE14" s="12">
        <v>218</v>
      </c>
      <c r="AF14" s="12">
        <v>206</v>
      </c>
    </row>
    <row r="15" spans="1:32">
      <c r="A15" s="23"/>
      <c r="B15" s="13" t="s">
        <v>940</v>
      </c>
      <c r="C15" s="14">
        <v>0.42</v>
      </c>
      <c r="D15" s="14">
        <v>0.49</v>
      </c>
      <c r="E15" s="14">
        <v>0.38</v>
      </c>
      <c r="F15" s="14">
        <v>0.44</v>
      </c>
      <c r="G15" s="14">
        <v>0.3</v>
      </c>
      <c r="H15" s="14">
        <v>0.42</v>
      </c>
      <c r="I15" s="14">
        <v>0.42</v>
      </c>
      <c r="J15" s="14">
        <v>0.42</v>
      </c>
      <c r="K15" s="14">
        <v>0.41</v>
      </c>
      <c r="L15" s="14">
        <v>0.3</v>
      </c>
      <c r="M15" s="14">
        <v>0.35</v>
      </c>
      <c r="N15" s="14">
        <v>0.41</v>
      </c>
      <c r="O15" s="14">
        <v>0.4</v>
      </c>
      <c r="P15" s="14">
        <v>0.39</v>
      </c>
      <c r="Q15" s="14">
        <v>0.43</v>
      </c>
      <c r="R15" s="14">
        <v>0.23</v>
      </c>
      <c r="S15" s="14">
        <v>0.28000000000000003</v>
      </c>
      <c r="T15" s="14">
        <v>0.38</v>
      </c>
      <c r="U15" s="14">
        <v>0.25</v>
      </c>
      <c r="V15" s="14">
        <v>0.47</v>
      </c>
      <c r="W15" s="14">
        <v>0.25</v>
      </c>
      <c r="X15" s="14">
        <v>0.35</v>
      </c>
      <c r="Y15" s="14">
        <v>0.34</v>
      </c>
      <c r="Z15" s="14">
        <v>0.56000000000000005</v>
      </c>
      <c r="AA15" s="14">
        <v>0.44</v>
      </c>
      <c r="AB15" s="14">
        <v>0.46</v>
      </c>
      <c r="AC15" s="14">
        <v>0.37</v>
      </c>
      <c r="AD15" s="14">
        <v>0.4</v>
      </c>
      <c r="AE15" s="14">
        <v>0.31</v>
      </c>
      <c r="AF15" s="14">
        <v>0.27</v>
      </c>
    </row>
    <row r="16" spans="1:32">
      <c r="A16" s="23"/>
      <c r="B16" s="11" t="s">
        <v>941</v>
      </c>
      <c r="C16" s="12">
        <v>2563</v>
      </c>
      <c r="D16" s="12">
        <v>103</v>
      </c>
      <c r="E16" s="12">
        <v>61</v>
      </c>
      <c r="F16" s="12">
        <v>95</v>
      </c>
      <c r="G16" s="12">
        <v>121</v>
      </c>
      <c r="H16" s="12">
        <v>124</v>
      </c>
      <c r="I16" s="12">
        <v>161</v>
      </c>
      <c r="J16" s="12">
        <v>38</v>
      </c>
      <c r="K16" s="12">
        <v>93</v>
      </c>
      <c r="L16" s="12">
        <v>76</v>
      </c>
      <c r="M16" s="12">
        <v>82</v>
      </c>
      <c r="N16" s="12">
        <v>75</v>
      </c>
      <c r="O16" s="12">
        <v>76</v>
      </c>
      <c r="P16" s="12">
        <v>91</v>
      </c>
      <c r="Q16" s="12">
        <v>62</v>
      </c>
      <c r="R16" s="12">
        <v>40</v>
      </c>
      <c r="S16" s="12">
        <v>116</v>
      </c>
      <c r="T16" s="12">
        <v>86</v>
      </c>
      <c r="U16" s="12">
        <v>26</v>
      </c>
      <c r="V16" s="12">
        <v>116</v>
      </c>
      <c r="W16" s="12">
        <v>30</v>
      </c>
      <c r="X16" s="12">
        <v>258</v>
      </c>
      <c r="Y16" s="12">
        <v>73</v>
      </c>
      <c r="Z16" s="12">
        <v>110</v>
      </c>
      <c r="AA16" s="12">
        <v>155</v>
      </c>
      <c r="AB16" s="12">
        <v>124</v>
      </c>
      <c r="AC16" s="12">
        <v>80</v>
      </c>
      <c r="AD16" s="12">
        <v>67</v>
      </c>
      <c r="AE16" s="12">
        <v>115</v>
      </c>
      <c r="AF16" s="12">
        <v>141</v>
      </c>
    </row>
    <row r="17" spans="1:32">
      <c r="A17" s="23"/>
      <c r="B17" s="13" t="s">
        <v>942</v>
      </c>
      <c r="C17" s="14">
        <v>0.14000000000000001</v>
      </c>
      <c r="D17" s="14">
        <v>0.15</v>
      </c>
      <c r="E17" s="14">
        <v>0.08</v>
      </c>
      <c r="F17" s="14">
        <v>0.13</v>
      </c>
      <c r="G17" s="14">
        <v>0.17</v>
      </c>
      <c r="H17" s="14">
        <v>0.15</v>
      </c>
      <c r="I17" s="14">
        <v>0.16</v>
      </c>
      <c r="J17" s="14">
        <v>0.19</v>
      </c>
      <c r="K17" s="14">
        <v>0.13</v>
      </c>
      <c r="L17" s="14">
        <v>0.1</v>
      </c>
      <c r="M17" s="14">
        <v>0.12</v>
      </c>
      <c r="N17" s="14">
        <v>0.11</v>
      </c>
      <c r="O17" s="14">
        <v>0.12</v>
      </c>
      <c r="P17" s="14">
        <v>0.13</v>
      </c>
      <c r="Q17" s="14">
        <v>0.08</v>
      </c>
      <c r="R17" s="14">
        <v>0.11</v>
      </c>
      <c r="S17" s="14">
        <v>0.16</v>
      </c>
      <c r="T17" s="14">
        <v>0.12</v>
      </c>
      <c r="U17" s="14">
        <v>7.0000000000000007E-2</v>
      </c>
      <c r="V17" s="14">
        <v>0.15</v>
      </c>
      <c r="W17" s="14">
        <v>0.08</v>
      </c>
      <c r="X17" s="14">
        <v>0.35</v>
      </c>
      <c r="Y17" s="14">
        <v>0.1</v>
      </c>
      <c r="Z17" s="14">
        <v>0.15</v>
      </c>
      <c r="AA17" s="14">
        <v>0.21</v>
      </c>
      <c r="AB17" s="14">
        <v>0.17</v>
      </c>
      <c r="AC17" s="14">
        <v>0.12</v>
      </c>
      <c r="AD17" s="14">
        <v>0.09</v>
      </c>
      <c r="AE17" s="14">
        <v>0.16</v>
      </c>
      <c r="AF17" s="14">
        <v>0.18</v>
      </c>
    </row>
    <row r="18" spans="1:32">
      <c r="A18" s="23"/>
      <c r="B18" s="11" t="s">
        <v>943</v>
      </c>
      <c r="C18" s="12">
        <v>904</v>
      </c>
      <c r="D18" s="12">
        <v>29</v>
      </c>
      <c r="E18" s="12">
        <v>28</v>
      </c>
      <c r="F18" s="12">
        <v>39</v>
      </c>
      <c r="G18" s="12">
        <v>61</v>
      </c>
      <c r="H18" s="12">
        <v>37</v>
      </c>
      <c r="I18" s="12">
        <v>55</v>
      </c>
      <c r="J18" s="12">
        <v>17</v>
      </c>
      <c r="K18" s="12">
        <v>54</v>
      </c>
      <c r="L18" s="12">
        <v>25</v>
      </c>
      <c r="M18" s="12">
        <v>26</v>
      </c>
      <c r="N18" s="12">
        <v>31</v>
      </c>
      <c r="O18" s="12">
        <v>43</v>
      </c>
      <c r="P18" s="12">
        <v>10</v>
      </c>
      <c r="Q18" s="12">
        <v>14</v>
      </c>
      <c r="R18" s="12">
        <v>34</v>
      </c>
      <c r="S18" s="12">
        <v>55</v>
      </c>
      <c r="T18" s="12">
        <v>39</v>
      </c>
      <c r="U18" s="12">
        <v>18</v>
      </c>
      <c r="V18" s="12">
        <v>34</v>
      </c>
      <c r="W18" s="12">
        <v>25</v>
      </c>
      <c r="X18" s="12">
        <v>68</v>
      </c>
      <c r="Y18" s="12">
        <v>53</v>
      </c>
      <c r="Z18" s="12">
        <v>28</v>
      </c>
      <c r="AA18" s="12">
        <v>22</v>
      </c>
      <c r="AB18" s="12">
        <v>35</v>
      </c>
      <c r="AC18" s="12">
        <v>58</v>
      </c>
      <c r="AD18" s="12">
        <v>24</v>
      </c>
      <c r="AE18" s="12">
        <v>52</v>
      </c>
      <c r="AF18" s="12">
        <v>61</v>
      </c>
    </row>
    <row r="19" spans="1:32">
      <c r="A19" s="23"/>
      <c r="B19" s="13" t="s">
        <v>944</v>
      </c>
      <c r="C19" s="14">
        <v>0.05</v>
      </c>
      <c r="D19" s="14">
        <v>0.04</v>
      </c>
      <c r="E19" s="14">
        <v>0.04</v>
      </c>
      <c r="F19" s="14">
        <v>0.06</v>
      </c>
      <c r="G19" s="14">
        <v>0.09</v>
      </c>
      <c r="H19" s="14">
        <v>0.05</v>
      </c>
      <c r="I19" s="14">
        <v>0.05</v>
      </c>
      <c r="J19" s="14">
        <v>0.08</v>
      </c>
      <c r="K19" s="14">
        <v>7.0000000000000007E-2</v>
      </c>
      <c r="L19" s="14">
        <v>0.03</v>
      </c>
      <c r="M19" s="14">
        <v>0.04</v>
      </c>
      <c r="N19" s="14">
        <v>0.04</v>
      </c>
      <c r="O19" s="14">
        <v>7.0000000000000007E-2</v>
      </c>
      <c r="P19" s="14">
        <v>0.01</v>
      </c>
      <c r="Q19" s="14">
        <v>0.02</v>
      </c>
      <c r="R19" s="14">
        <v>0.09</v>
      </c>
      <c r="S19" s="14">
        <v>0.08</v>
      </c>
      <c r="T19" s="14">
        <v>0.06</v>
      </c>
      <c r="U19" s="14">
        <v>0.05</v>
      </c>
      <c r="V19" s="14">
        <v>0.05</v>
      </c>
      <c r="W19" s="14">
        <v>7.0000000000000007E-2</v>
      </c>
      <c r="X19" s="14">
        <v>0.09</v>
      </c>
      <c r="Y19" s="14">
        <v>0.08</v>
      </c>
      <c r="Z19" s="14">
        <v>0.04</v>
      </c>
      <c r="AA19" s="14">
        <v>0.03</v>
      </c>
      <c r="AB19" s="14">
        <v>0.05</v>
      </c>
      <c r="AC19" s="14">
        <v>0.09</v>
      </c>
      <c r="AD19" s="14">
        <v>0.03</v>
      </c>
      <c r="AE19" s="14">
        <v>0.08</v>
      </c>
      <c r="AF19" s="14">
        <v>0.08</v>
      </c>
    </row>
    <row r="20" spans="1:32">
      <c r="A20" s="23"/>
      <c r="B20" s="11" t="s">
        <v>497</v>
      </c>
      <c r="C20" s="12">
        <v>132</v>
      </c>
      <c r="D20" s="12">
        <v>2</v>
      </c>
      <c r="E20" s="12">
        <v>18</v>
      </c>
      <c r="F20" s="12">
        <v>5</v>
      </c>
      <c r="G20" s="12">
        <v>6</v>
      </c>
      <c r="H20" s="12">
        <v>7</v>
      </c>
      <c r="I20" s="12">
        <v>7</v>
      </c>
      <c r="J20" s="12">
        <v>0</v>
      </c>
      <c r="K20" s="12">
        <v>6</v>
      </c>
      <c r="L20" s="12">
        <v>4</v>
      </c>
      <c r="M20" s="12">
        <v>2</v>
      </c>
      <c r="N20" s="12">
        <v>6</v>
      </c>
      <c r="O20" s="12">
        <v>3</v>
      </c>
      <c r="P20" s="12">
        <v>4</v>
      </c>
      <c r="Q20" s="12">
        <v>0</v>
      </c>
      <c r="R20" s="12">
        <v>1</v>
      </c>
      <c r="S20" s="12">
        <v>3</v>
      </c>
      <c r="T20" s="12">
        <v>5</v>
      </c>
      <c r="U20" s="12">
        <v>4</v>
      </c>
      <c r="V20" s="12">
        <v>6</v>
      </c>
      <c r="W20" s="12">
        <v>1</v>
      </c>
      <c r="X20" s="12">
        <v>5</v>
      </c>
      <c r="Y20" s="12">
        <v>2</v>
      </c>
      <c r="Z20" s="12">
        <v>17</v>
      </c>
      <c r="AA20" s="12">
        <v>6</v>
      </c>
      <c r="AB20" s="12">
        <v>2</v>
      </c>
      <c r="AC20" s="12">
        <v>4</v>
      </c>
      <c r="AD20" s="12">
        <v>10</v>
      </c>
      <c r="AE20" s="12">
        <v>7</v>
      </c>
      <c r="AF20" s="12">
        <v>8</v>
      </c>
    </row>
    <row r="21" spans="1:32">
      <c r="A21" s="23"/>
      <c r="B21" s="13" t="s">
        <v>498</v>
      </c>
      <c r="C21" s="14">
        <v>0.01</v>
      </c>
      <c r="D21" s="15" t="s">
        <v>485</v>
      </c>
      <c r="E21" s="14">
        <v>0.02</v>
      </c>
      <c r="F21" s="14">
        <v>0.01</v>
      </c>
      <c r="G21" s="14">
        <v>0.01</v>
      </c>
      <c r="H21" s="14">
        <v>0.01</v>
      </c>
      <c r="I21" s="14">
        <v>0.01</v>
      </c>
      <c r="J21" s="15" t="s">
        <v>485</v>
      </c>
      <c r="K21" s="14">
        <v>0.01</v>
      </c>
      <c r="L21" s="14">
        <v>0.01</v>
      </c>
      <c r="M21" s="15" t="s">
        <v>485</v>
      </c>
      <c r="N21" s="14">
        <v>0.01</v>
      </c>
      <c r="O21" s="15" t="s">
        <v>485</v>
      </c>
      <c r="P21" s="14">
        <v>0.01</v>
      </c>
      <c r="Q21" s="15" t="s">
        <v>485</v>
      </c>
      <c r="R21" s="15" t="s">
        <v>485</v>
      </c>
      <c r="S21" s="15" t="s">
        <v>485</v>
      </c>
      <c r="T21" s="14">
        <v>0.01</v>
      </c>
      <c r="U21" s="14">
        <v>0.01</v>
      </c>
      <c r="V21" s="14">
        <v>0.01</v>
      </c>
      <c r="W21" s="15" t="s">
        <v>485</v>
      </c>
      <c r="X21" s="14">
        <v>0.01</v>
      </c>
      <c r="Y21" s="15" t="s">
        <v>485</v>
      </c>
      <c r="Z21" s="14">
        <v>0.02</v>
      </c>
      <c r="AA21" s="14">
        <v>0.01</v>
      </c>
      <c r="AB21" s="15" t="s">
        <v>485</v>
      </c>
      <c r="AC21" s="15" t="s">
        <v>485</v>
      </c>
      <c r="AD21" s="14">
        <v>0.02</v>
      </c>
      <c r="AE21" s="14">
        <v>0.01</v>
      </c>
      <c r="AF21" s="14">
        <v>0.01</v>
      </c>
    </row>
    <row r="22" spans="1:32">
      <c r="A22" s="23"/>
      <c r="B22" s="11" t="s">
        <v>945</v>
      </c>
      <c r="C22" s="12">
        <v>14705</v>
      </c>
      <c r="D22" s="12">
        <v>547</v>
      </c>
      <c r="E22" s="12">
        <v>621</v>
      </c>
      <c r="F22" s="12">
        <v>576</v>
      </c>
      <c r="G22" s="12">
        <v>516</v>
      </c>
      <c r="H22" s="12">
        <v>637</v>
      </c>
      <c r="I22" s="12">
        <v>785</v>
      </c>
      <c r="J22" s="12">
        <v>148</v>
      </c>
      <c r="K22" s="12">
        <v>588</v>
      </c>
      <c r="L22" s="12">
        <v>629</v>
      </c>
      <c r="M22" s="12">
        <v>589</v>
      </c>
      <c r="N22" s="12">
        <v>598</v>
      </c>
      <c r="O22" s="12">
        <v>532</v>
      </c>
      <c r="P22" s="12">
        <v>584</v>
      </c>
      <c r="Q22" s="12">
        <v>652</v>
      </c>
      <c r="R22" s="12">
        <v>292</v>
      </c>
      <c r="S22" s="12">
        <v>545</v>
      </c>
      <c r="T22" s="12">
        <v>551</v>
      </c>
      <c r="U22" s="12">
        <v>321</v>
      </c>
      <c r="V22" s="12">
        <v>590</v>
      </c>
      <c r="W22" s="12">
        <v>313</v>
      </c>
      <c r="X22" s="12">
        <v>398</v>
      </c>
      <c r="Y22" s="12">
        <v>579</v>
      </c>
      <c r="Z22" s="12">
        <v>590</v>
      </c>
      <c r="AA22" s="12">
        <v>564</v>
      </c>
      <c r="AB22" s="12">
        <v>557</v>
      </c>
      <c r="AC22" s="12">
        <v>527</v>
      </c>
      <c r="AD22" s="12">
        <v>620</v>
      </c>
      <c r="AE22" s="12">
        <v>528</v>
      </c>
      <c r="AF22" s="12">
        <v>566</v>
      </c>
    </row>
    <row r="23" spans="1:32">
      <c r="A23" s="23"/>
      <c r="B23" s="13" t="s">
        <v>945</v>
      </c>
      <c r="C23" s="14">
        <v>0.8</v>
      </c>
      <c r="D23" s="14">
        <v>0.81</v>
      </c>
      <c r="E23" s="14">
        <v>0.86</v>
      </c>
      <c r="F23" s="14">
        <v>0.8</v>
      </c>
      <c r="G23" s="14">
        <v>0.73</v>
      </c>
      <c r="H23" s="14">
        <v>0.79</v>
      </c>
      <c r="I23" s="14">
        <v>0.78</v>
      </c>
      <c r="J23" s="14">
        <v>0.73</v>
      </c>
      <c r="K23" s="14">
        <v>0.79</v>
      </c>
      <c r="L23" s="14">
        <v>0.86</v>
      </c>
      <c r="M23" s="14">
        <v>0.84</v>
      </c>
      <c r="N23" s="14">
        <v>0.84</v>
      </c>
      <c r="O23" s="14">
        <v>0.81</v>
      </c>
      <c r="P23" s="14">
        <v>0.85</v>
      </c>
      <c r="Q23" s="14">
        <v>0.9</v>
      </c>
      <c r="R23" s="14">
        <v>0.8</v>
      </c>
      <c r="S23" s="14">
        <v>0.76</v>
      </c>
      <c r="T23" s="14">
        <v>0.81</v>
      </c>
      <c r="U23" s="14">
        <v>0.87</v>
      </c>
      <c r="V23" s="14">
        <v>0.79</v>
      </c>
      <c r="W23" s="14">
        <v>0.85</v>
      </c>
      <c r="X23" s="14">
        <v>0.55000000000000004</v>
      </c>
      <c r="Y23" s="14">
        <v>0.82000000000000006</v>
      </c>
      <c r="Z23" s="14">
        <v>0.79</v>
      </c>
      <c r="AA23" s="14">
        <v>0.75</v>
      </c>
      <c r="AB23" s="14">
        <v>0.78</v>
      </c>
      <c r="AC23" s="14">
        <v>0.79</v>
      </c>
      <c r="AD23" s="14">
        <v>0.86</v>
      </c>
      <c r="AE23" s="14">
        <v>0.75</v>
      </c>
      <c r="AF23" s="14">
        <v>0.73</v>
      </c>
    </row>
    <row r="24" spans="1:32">
      <c r="A24" s="23"/>
      <c r="B24" s="11" t="s">
        <v>946</v>
      </c>
      <c r="C24" s="12">
        <v>3467</v>
      </c>
      <c r="D24" s="12">
        <v>132</v>
      </c>
      <c r="E24" s="12">
        <v>89</v>
      </c>
      <c r="F24" s="12">
        <v>134</v>
      </c>
      <c r="G24" s="12">
        <v>182</v>
      </c>
      <c r="H24" s="12">
        <v>161</v>
      </c>
      <c r="I24" s="12">
        <v>216</v>
      </c>
      <c r="J24" s="12">
        <v>55</v>
      </c>
      <c r="K24" s="12">
        <v>147</v>
      </c>
      <c r="L24" s="12">
        <v>101</v>
      </c>
      <c r="M24" s="12">
        <v>108</v>
      </c>
      <c r="N24" s="12">
        <v>106</v>
      </c>
      <c r="O24" s="12">
        <v>119</v>
      </c>
      <c r="P24" s="12">
        <v>101</v>
      </c>
      <c r="Q24" s="12">
        <v>76</v>
      </c>
      <c r="R24" s="12">
        <v>74</v>
      </c>
      <c r="S24" s="12">
        <v>171</v>
      </c>
      <c r="T24" s="12">
        <v>125</v>
      </c>
      <c r="U24" s="12">
        <v>44</v>
      </c>
      <c r="V24" s="12">
        <v>150</v>
      </c>
      <c r="W24" s="12">
        <v>55</v>
      </c>
      <c r="X24" s="12">
        <v>326</v>
      </c>
      <c r="Y24" s="12">
        <v>126</v>
      </c>
      <c r="Z24" s="12">
        <v>138</v>
      </c>
      <c r="AA24" s="12">
        <v>177</v>
      </c>
      <c r="AB24" s="12">
        <v>159</v>
      </c>
      <c r="AC24" s="12">
        <v>138</v>
      </c>
      <c r="AD24" s="12">
        <v>91</v>
      </c>
      <c r="AE24" s="12">
        <v>167</v>
      </c>
      <c r="AF24" s="12">
        <v>202</v>
      </c>
    </row>
    <row r="25" spans="1:32">
      <c r="A25" s="23"/>
      <c r="B25" s="13" t="s">
        <v>947</v>
      </c>
      <c r="C25" s="14">
        <v>0.19</v>
      </c>
      <c r="D25" s="14">
        <v>0.19</v>
      </c>
      <c r="E25" s="14">
        <v>0.12</v>
      </c>
      <c r="F25" s="14">
        <v>0.19</v>
      </c>
      <c r="G25" s="14">
        <v>0.26</v>
      </c>
      <c r="H25" s="14">
        <v>0.2</v>
      </c>
      <c r="I25" s="14">
        <v>0.21</v>
      </c>
      <c r="J25" s="14">
        <v>0.27</v>
      </c>
      <c r="K25" s="14">
        <v>0.2</v>
      </c>
      <c r="L25" s="14">
        <v>0.13</v>
      </c>
      <c r="M25" s="14">
        <v>0.16</v>
      </c>
      <c r="N25" s="14">
        <v>0.15</v>
      </c>
      <c r="O25" s="14">
        <v>0.19</v>
      </c>
      <c r="P25" s="14">
        <v>0.14000000000000001</v>
      </c>
      <c r="Q25" s="14">
        <v>0.1</v>
      </c>
      <c r="R25" s="14">
        <v>0.2</v>
      </c>
      <c r="S25" s="14">
        <v>0.24</v>
      </c>
      <c r="T25" s="14">
        <v>0.18</v>
      </c>
      <c r="U25" s="14">
        <v>0.12</v>
      </c>
      <c r="V25" s="14">
        <v>0.2</v>
      </c>
      <c r="W25" s="14">
        <v>0.15</v>
      </c>
      <c r="X25" s="14">
        <v>0.44</v>
      </c>
      <c r="Y25" s="14">
        <v>0.18</v>
      </c>
      <c r="Z25" s="14">
        <v>0.19</v>
      </c>
      <c r="AA25" s="14">
        <v>0.24</v>
      </c>
      <c r="AB25" s="14">
        <v>0.22</v>
      </c>
      <c r="AC25" s="14">
        <v>0.21</v>
      </c>
      <c r="AD25" s="14">
        <v>0.12</v>
      </c>
      <c r="AE25" s="14">
        <v>0.24</v>
      </c>
      <c r="AF25" s="14">
        <v>0.26</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969</v>
      </c>
      <c r="C3" s="19"/>
      <c r="D3" s="19"/>
      <c r="E3" s="19"/>
      <c r="F3" s="19"/>
      <c r="H3" s="19" t="s">
        <v>970</v>
      </c>
      <c r="I3" s="19"/>
      <c r="J3" s="19"/>
      <c r="K3" s="19"/>
      <c r="L3" s="19"/>
    </row>
    <row r="4" spans="1:32" ht="27" customHeight="1">
      <c r="B4" s="19" t="s">
        <v>971</v>
      </c>
      <c r="C4" s="19"/>
      <c r="D4" s="19"/>
      <c r="E4" s="19"/>
      <c r="F4" s="19"/>
      <c r="H4" s="19" t="s">
        <v>972</v>
      </c>
      <c r="I4" s="19"/>
      <c r="J4" s="19"/>
      <c r="K4" s="19"/>
      <c r="L4" s="19"/>
    </row>
    <row r="5" spans="1:32" ht="24" customHeight="1">
      <c r="B5" s="19" t="s">
        <v>973</v>
      </c>
      <c r="C5" s="19"/>
      <c r="D5" s="19"/>
      <c r="E5" s="19"/>
      <c r="F5" s="19"/>
      <c r="H5" s="19" t="s">
        <v>974</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HYPERLINK("#Content!A65","&lt;&lt;Back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18303</v>
      </c>
      <c r="D10" s="10">
        <v>681</v>
      </c>
      <c r="E10" s="10">
        <v>727</v>
      </c>
      <c r="F10" s="10">
        <v>715</v>
      </c>
      <c r="G10" s="10">
        <v>704</v>
      </c>
      <c r="H10" s="10">
        <v>804</v>
      </c>
      <c r="I10" s="10">
        <v>1008</v>
      </c>
      <c r="J10" s="10">
        <v>203</v>
      </c>
      <c r="K10" s="10">
        <v>741</v>
      </c>
      <c r="L10" s="10">
        <v>734</v>
      </c>
      <c r="M10" s="10">
        <v>699</v>
      </c>
      <c r="N10" s="10">
        <v>711</v>
      </c>
      <c r="O10" s="10">
        <v>655</v>
      </c>
      <c r="P10" s="10">
        <v>689</v>
      </c>
      <c r="Q10" s="10">
        <v>729</v>
      </c>
      <c r="R10" s="10">
        <v>367</v>
      </c>
      <c r="S10" s="10">
        <v>719</v>
      </c>
      <c r="T10" s="10">
        <v>682</v>
      </c>
      <c r="U10" s="10">
        <v>371</v>
      </c>
      <c r="V10" s="10">
        <v>746</v>
      </c>
      <c r="W10" s="10">
        <v>369</v>
      </c>
      <c r="X10" s="10">
        <v>728</v>
      </c>
      <c r="Y10" s="10">
        <v>707</v>
      </c>
      <c r="Z10" s="10">
        <v>744</v>
      </c>
      <c r="AA10" s="10">
        <v>747</v>
      </c>
      <c r="AB10" s="10">
        <v>717</v>
      </c>
      <c r="AC10" s="10">
        <v>668</v>
      </c>
      <c r="AD10" s="10">
        <v>720</v>
      </c>
      <c r="AE10" s="10">
        <v>701</v>
      </c>
      <c r="AF10" s="10">
        <v>775</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707</v>
      </c>
      <c r="C12" s="12">
        <v>7420</v>
      </c>
      <c r="D12" s="12">
        <v>247</v>
      </c>
      <c r="E12" s="12">
        <v>290</v>
      </c>
      <c r="F12" s="12">
        <v>204</v>
      </c>
      <c r="G12" s="12">
        <v>345</v>
      </c>
      <c r="H12" s="12">
        <v>323</v>
      </c>
      <c r="I12" s="12">
        <v>396</v>
      </c>
      <c r="J12" s="12">
        <v>73</v>
      </c>
      <c r="K12" s="12">
        <v>258</v>
      </c>
      <c r="L12" s="12">
        <v>442</v>
      </c>
      <c r="M12" s="12">
        <v>284</v>
      </c>
      <c r="N12" s="12">
        <v>375</v>
      </c>
      <c r="O12" s="12">
        <v>312</v>
      </c>
      <c r="P12" s="12">
        <v>333</v>
      </c>
      <c r="Q12" s="12">
        <v>313</v>
      </c>
      <c r="R12" s="12">
        <v>208</v>
      </c>
      <c r="S12" s="12">
        <v>401</v>
      </c>
      <c r="T12" s="12">
        <v>271</v>
      </c>
      <c r="U12" s="12">
        <v>246</v>
      </c>
      <c r="V12" s="12">
        <v>210</v>
      </c>
      <c r="W12" s="12">
        <v>251</v>
      </c>
      <c r="X12" s="12">
        <v>263</v>
      </c>
      <c r="Y12" s="12">
        <v>314</v>
      </c>
      <c r="Z12" s="12">
        <v>159</v>
      </c>
      <c r="AA12" s="12">
        <v>228</v>
      </c>
      <c r="AB12" s="12">
        <v>215</v>
      </c>
      <c r="AC12" s="12">
        <v>327</v>
      </c>
      <c r="AD12" s="12">
        <v>304</v>
      </c>
      <c r="AE12" s="12">
        <v>250</v>
      </c>
      <c r="AF12" s="12">
        <v>353</v>
      </c>
    </row>
    <row r="13" spans="1:32">
      <c r="A13" s="23"/>
      <c r="B13" s="13" t="s">
        <v>708</v>
      </c>
      <c r="C13" s="14">
        <v>0.4</v>
      </c>
      <c r="D13" s="14">
        <v>0.36</v>
      </c>
      <c r="E13" s="14">
        <v>0.4</v>
      </c>
      <c r="F13" s="14">
        <v>0.28999999999999998</v>
      </c>
      <c r="G13" s="14">
        <v>0.49</v>
      </c>
      <c r="H13" s="14">
        <v>0.4</v>
      </c>
      <c r="I13" s="14">
        <v>0.39</v>
      </c>
      <c r="J13" s="14">
        <v>0.36</v>
      </c>
      <c r="K13" s="14">
        <v>0.35</v>
      </c>
      <c r="L13" s="14">
        <v>0.6</v>
      </c>
      <c r="M13" s="14">
        <v>0.41</v>
      </c>
      <c r="N13" s="14">
        <v>0.53</v>
      </c>
      <c r="O13" s="14">
        <v>0.48</v>
      </c>
      <c r="P13" s="14">
        <v>0.48</v>
      </c>
      <c r="Q13" s="14">
        <v>0.43</v>
      </c>
      <c r="R13" s="14">
        <v>0.57000000000000006</v>
      </c>
      <c r="S13" s="14">
        <v>0.56000000000000005</v>
      </c>
      <c r="T13" s="14">
        <v>0.4</v>
      </c>
      <c r="U13" s="14">
        <v>0.66</v>
      </c>
      <c r="V13" s="14">
        <v>0.28000000000000003</v>
      </c>
      <c r="W13" s="14">
        <v>0.68</v>
      </c>
      <c r="X13" s="14">
        <v>0.36</v>
      </c>
      <c r="Y13" s="14">
        <v>0.44</v>
      </c>
      <c r="Z13" s="14">
        <v>0.21</v>
      </c>
      <c r="AA13" s="14">
        <v>0.31</v>
      </c>
      <c r="AB13" s="14">
        <v>0.3</v>
      </c>
      <c r="AC13" s="14">
        <v>0.49</v>
      </c>
      <c r="AD13" s="14">
        <v>0.42</v>
      </c>
      <c r="AE13" s="14">
        <v>0.36</v>
      </c>
      <c r="AF13" s="14">
        <v>0.45</v>
      </c>
    </row>
    <row r="14" spans="1:32">
      <c r="A14" s="23"/>
      <c r="B14" s="11" t="s">
        <v>709</v>
      </c>
      <c r="C14" s="12">
        <v>8408</v>
      </c>
      <c r="D14" s="12">
        <v>379</v>
      </c>
      <c r="E14" s="12">
        <v>289</v>
      </c>
      <c r="F14" s="12">
        <v>393</v>
      </c>
      <c r="G14" s="12">
        <v>238</v>
      </c>
      <c r="H14" s="12">
        <v>362</v>
      </c>
      <c r="I14" s="12">
        <v>449</v>
      </c>
      <c r="J14" s="12">
        <v>87</v>
      </c>
      <c r="K14" s="12">
        <v>345</v>
      </c>
      <c r="L14" s="12">
        <v>226</v>
      </c>
      <c r="M14" s="12">
        <v>309</v>
      </c>
      <c r="N14" s="12">
        <v>273</v>
      </c>
      <c r="O14" s="12">
        <v>279</v>
      </c>
      <c r="P14" s="12">
        <v>311</v>
      </c>
      <c r="Q14" s="12">
        <v>351</v>
      </c>
      <c r="R14" s="12">
        <v>98</v>
      </c>
      <c r="S14" s="12">
        <v>227</v>
      </c>
      <c r="T14" s="12">
        <v>300</v>
      </c>
      <c r="U14" s="12">
        <v>97</v>
      </c>
      <c r="V14" s="12">
        <v>390</v>
      </c>
      <c r="W14" s="12">
        <v>83</v>
      </c>
      <c r="X14" s="12">
        <v>324</v>
      </c>
      <c r="Y14" s="12">
        <v>269</v>
      </c>
      <c r="Z14" s="12">
        <v>481</v>
      </c>
      <c r="AA14" s="12">
        <v>349</v>
      </c>
      <c r="AB14" s="12">
        <v>341</v>
      </c>
      <c r="AC14" s="12">
        <v>255</v>
      </c>
      <c r="AD14" s="12">
        <v>364</v>
      </c>
      <c r="AE14" s="12">
        <v>325</v>
      </c>
      <c r="AF14" s="12">
        <v>290</v>
      </c>
    </row>
    <row r="15" spans="1:32">
      <c r="A15" s="23"/>
      <c r="B15" s="13" t="s">
        <v>710</v>
      </c>
      <c r="C15" s="14">
        <v>0.46</v>
      </c>
      <c r="D15" s="14">
        <v>0.56000000000000005</v>
      </c>
      <c r="E15" s="14">
        <v>0.4</v>
      </c>
      <c r="F15" s="14">
        <v>0.55000000000000004</v>
      </c>
      <c r="G15" s="14">
        <v>0.34</v>
      </c>
      <c r="H15" s="14">
        <v>0.45</v>
      </c>
      <c r="I15" s="14">
        <v>0.45</v>
      </c>
      <c r="J15" s="14">
        <v>0.43</v>
      </c>
      <c r="K15" s="14">
        <v>0.46</v>
      </c>
      <c r="L15" s="14">
        <v>0.31</v>
      </c>
      <c r="M15" s="14">
        <v>0.44</v>
      </c>
      <c r="N15" s="14">
        <v>0.38</v>
      </c>
      <c r="O15" s="14">
        <v>0.43</v>
      </c>
      <c r="P15" s="14">
        <v>0.45</v>
      </c>
      <c r="Q15" s="14">
        <v>0.48</v>
      </c>
      <c r="R15" s="14">
        <v>0.27</v>
      </c>
      <c r="S15" s="14">
        <v>0.31</v>
      </c>
      <c r="T15" s="14">
        <v>0.44</v>
      </c>
      <c r="U15" s="14">
        <v>0.26</v>
      </c>
      <c r="V15" s="14">
        <v>0.52</v>
      </c>
      <c r="W15" s="14">
        <v>0.23</v>
      </c>
      <c r="X15" s="14">
        <v>0.45</v>
      </c>
      <c r="Y15" s="14">
        <v>0.38</v>
      </c>
      <c r="Z15" s="14">
        <v>0.65</v>
      </c>
      <c r="AA15" s="14">
        <v>0.47</v>
      </c>
      <c r="AB15" s="14">
        <v>0.48</v>
      </c>
      <c r="AC15" s="14">
        <v>0.38</v>
      </c>
      <c r="AD15" s="14">
        <v>0.51</v>
      </c>
      <c r="AE15" s="14">
        <v>0.46</v>
      </c>
      <c r="AF15" s="14">
        <v>0.37</v>
      </c>
    </row>
    <row r="16" spans="1:32">
      <c r="A16" s="23"/>
      <c r="B16" s="11" t="s">
        <v>711</v>
      </c>
      <c r="C16" s="12">
        <v>1822</v>
      </c>
      <c r="D16" s="12">
        <v>44</v>
      </c>
      <c r="E16" s="12">
        <v>98</v>
      </c>
      <c r="F16" s="12">
        <v>83</v>
      </c>
      <c r="G16" s="12">
        <v>60</v>
      </c>
      <c r="H16" s="12">
        <v>86</v>
      </c>
      <c r="I16" s="12">
        <v>124</v>
      </c>
      <c r="J16" s="12">
        <v>38</v>
      </c>
      <c r="K16" s="12">
        <v>86</v>
      </c>
      <c r="L16" s="12">
        <v>40</v>
      </c>
      <c r="M16" s="12">
        <v>74</v>
      </c>
      <c r="N16" s="12">
        <v>49</v>
      </c>
      <c r="O16" s="12">
        <v>44</v>
      </c>
      <c r="P16" s="12">
        <v>30</v>
      </c>
      <c r="Q16" s="12">
        <v>50</v>
      </c>
      <c r="R16" s="12">
        <v>33</v>
      </c>
      <c r="S16" s="12">
        <v>56</v>
      </c>
      <c r="T16" s="12">
        <v>81</v>
      </c>
      <c r="U16" s="12">
        <v>17</v>
      </c>
      <c r="V16" s="12">
        <v>105</v>
      </c>
      <c r="W16" s="12">
        <v>15</v>
      </c>
      <c r="X16" s="12">
        <v>96</v>
      </c>
      <c r="Y16" s="12">
        <v>79</v>
      </c>
      <c r="Z16" s="12">
        <v>85</v>
      </c>
      <c r="AA16" s="12">
        <v>147</v>
      </c>
      <c r="AB16" s="12">
        <v>130</v>
      </c>
      <c r="AC16" s="12">
        <v>58</v>
      </c>
      <c r="AD16" s="12">
        <v>42</v>
      </c>
      <c r="AE16" s="12">
        <v>81</v>
      </c>
      <c r="AF16" s="12">
        <v>75</v>
      </c>
    </row>
    <row r="17" spans="1:32">
      <c r="A17" s="23"/>
      <c r="B17" s="13" t="s">
        <v>712</v>
      </c>
      <c r="C17" s="14">
        <v>0.1</v>
      </c>
      <c r="D17" s="14">
        <v>7.0000000000000007E-2</v>
      </c>
      <c r="E17" s="14">
        <v>0.13</v>
      </c>
      <c r="F17" s="14">
        <v>0.12</v>
      </c>
      <c r="G17" s="14">
        <v>0.08</v>
      </c>
      <c r="H17" s="14">
        <v>0.11</v>
      </c>
      <c r="I17" s="14">
        <v>0.12</v>
      </c>
      <c r="J17" s="14">
        <v>0.19</v>
      </c>
      <c r="K17" s="14">
        <v>0.12</v>
      </c>
      <c r="L17" s="14">
        <v>0.06</v>
      </c>
      <c r="M17" s="14">
        <v>0.11</v>
      </c>
      <c r="N17" s="14">
        <v>7.0000000000000007E-2</v>
      </c>
      <c r="O17" s="14">
        <v>7.0000000000000007E-2</v>
      </c>
      <c r="P17" s="14">
        <v>0.04</v>
      </c>
      <c r="Q17" s="14">
        <v>7.0000000000000007E-2</v>
      </c>
      <c r="R17" s="14">
        <v>0.09</v>
      </c>
      <c r="S17" s="14">
        <v>0.08</v>
      </c>
      <c r="T17" s="14">
        <v>0.12</v>
      </c>
      <c r="U17" s="14">
        <v>0.05</v>
      </c>
      <c r="V17" s="14">
        <v>0.14000000000000001</v>
      </c>
      <c r="W17" s="14">
        <v>0.04</v>
      </c>
      <c r="X17" s="14">
        <v>0.13</v>
      </c>
      <c r="Y17" s="14">
        <v>0.11</v>
      </c>
      <c r="Z17" s="14">
        <v>0.12</v>
      </c>
      <c r="AA17" s="14">
        <v>0.2</v>
      </c>
      <c r="AB17" s="14">
        <v>0.18</v>
      </c>
      <c r="AC17" s="14">
        <v>0.09</v>
      </c>
      <c r="AD17" s="14">
        <v>0.06</v>
      </c>
      <c r="AE17" s="14">
        <v>0.11</v>
      </c>
      <c r="AF17" s="14">
        <v>0.1</v>
      </c>
    </row>
    <row r="18" spans="1:32">
      <c r="A18" s="23"/>
      <c r="B18" s="11" t="s">
        <v>713</v>
      </c>
      <c r="C18" s="12">
        <v>534</v>
      </c>
      <c r="D18" s="12">
        <v>9</v>
      </c>
      <c r="E18" s="12">
        <v>38</v>
      </c>
      <c r="F18" s="12">
        <v>25</v>
      </c>
      <c r="G18" s="12">
        <v>47</v>
      </c>
      <c r="H18" s="12">
        <v>21</v>
      </c>
      <c r="I18" s="12">
        <v>26</v>
      </c>
      <c r="J18" s="12">
        <v>5</v>
      </c>
      <c r="K18" s="12">
        <v>44</v>
      </c>
      <c r="L18" s="12">
        <v>22</v>
      </c>
      <c r="M18" s="12">
        <v>31</v>
      </c>
      <c r="N18" s="12">
        <v>13</v>
      </c>
      <c r="O18" s="12">
        <v>17</v>
      </c>
      <c r="P18" s="12">
        <v>11</v>
      </c>
      <c r="Q18" s="12">
        <v>14</v>
      </c>
      <c r="R18" s="12">
        <v>28</v>
      </c>
      <c r="S18" s="12">
        <v>30</v>
      </c>
      <c r="T18" s="12">
        <v>27</v>
      </c>
      <c r="U18" s="12">
        <v>7</v>
      </c>
      <c r="V18" s="12">
        <v>41</v>
      </c>
      <c r="W18" s="12">
        <v>20</v>
      </c>
      <c r="X18" s="12">
        <v>43</v>
      </c>
      <c r="Y18" s="12">
        <v>42</v>
      </c>
      <c r="Z18" s="12">
        <v>10</v>
      </c>
      <c r="AA18" s="12">
        <v>18</v>
      </c>
      <c r="AB18" s="12">
        <v>28</v>
      </c>
      <c r="AC18" s="12">
        <v>27</v>
      </c>
      <c r="AD18" s="12">
        <v>8</v>
      </c>
      <c r="AE18" s="12">
        <v>41</v>
      </c>
      <c r="AF18" s="12">
        <v>53</v>
      </c>
    </row>
    <row r="19" spans="1:32">
      <c r="A19" s="23"/>
      <c r="B19" s="13" t="s">
        <v>714</v>
      </c>
      <c r="C19" s="14">
        <v>0.03</v>
      </c>
      <c r="D19" s="14">
        <v>0.01</v>
      </c>
      <c r="E19" s="14">
        <v>0.05</v>
      </c>
      <c r="F19" s="14">
        <v>0.03</v>
      </c>
      <c r="G19" s="14">
        <v>7.0000000000000007E-2</v>
      </c>
      <c r="H19" s="14">
        <v>0.02</v>
      </c>
      <c r="I19" s="14">
        <v>0.03</v>
      </c>
      <c r="J19" s="14">
        <v>0.02</v>
      </c>
      <c r="K19" s="14">
        <v>0.06</v>
      </c>
      <c r="L19" s="14">
        <v>0.03</v>
      </c>
      <c r="M19" s="14">
        <v>0.04</v>
      </c>
      <c r="N19" s="14">
        <v>0.02</v>
      </c>
      <c r="O19" s="14">
        <v>0.02</v>
      </c>
      <c r="P19" s="14">
        <v>0.02</v>
      </c>
      <c r="Q19" s="14">
        <v>0.02</v>
      </c>
      <c r="R19" s="14">
        <v>7.0000000000000007E-2</v>
      </c>
      <c r="S19" s="14">
        <v>0.04</v>
      </c>
      <c r="T19" s="14">
        <v>0.04</v>
      </c>
      <c r="U19" s="14">
        <v>0.02</v>
      </c>
      <c r="V19" s="14">
        <v>0.06</v>
      </c>
      <c r="W19" s="14">
        <v>0.05</v>
      </c>
      <c r="X19" s="14">
        <v>0.06</v>
      </c>
      <c r="Y19" s="14">
        <v>0.06</v>
      </c>
      <c r="Z19" s="14">
        <v>0.01</v>
      </c>
      <c r="AA19" s="14">
        <v>0.02</v>
      </c>
      <c r="AB19" s="14">
        <v>0.04</v>
      </c>
      <c r="AC19" s="14">
        <v>0.04</v>
      </c>
      <c r="AD19" s="14">
        <v>0.01</v>
      </c>
      <c r="AE19" s="14">
        <v>0.06</v>
      </c>
      <c r="AF19" s="14">
        <v>7.0000000000000007E-2</v>
      </c>
    </row>
    <row r="20" spans="1:32">
      <c r="A20" s="23"/>
      <c r="B20" s="11" t="s">
        <v>497</v>
      </c>
      <c r="C20" s="12">
        <v>119</v>
      </c>
      <c r="D20" s="12">
        <v>1</v>
      </c>
      <c r="E20" s="12">
        <v>12</v>
      </c>
      <c r="F20" s="12">
        <v>10</v>
      </c>
      <c r="G20" s="12">
        <v>14</v>
      </c>
      <c r="H20" s="12">
        <v>13</v>
      </c>
      <c r="I20" s="12">
        <v>14</v>
      </c>
      <c r="J20" s="12">
        <v>1</v>
      </c>
      <c r="K20" s="12">
        <v>8</v>
      </c>
      <c r="L20" s="12">
        <v>3</v>
      </c>
      <c r="M20" s="12">
        <v>2</v>
      </c>
      <c r="N20" s="12">
        <v>1</v>
      </c>
      <c r="O20" s="12">
        <v>3</v>
      </c>
      <c r="P20" s="12">
        <v>3</v>
      </c>
      <c r="Q20" s="12">
        <v>1</v>
      </c>
      <c r="R20" s="12">
        <v>0</v>
      </c>
      <c r="S20" s="12">
        <v>5</v>
      </c>
      <c r="T20" s="12">
        <v>3</v>
      </c>
      <c r="U20" s="12">
        <v>4</v>
      </c>
      <c r="V20" s="12">
        <v>0</v>
      </c>
      <c r="W20" s="12">
        <v>0</v>
      </c>
      <c r="X20" s="12">
        <v>3</v>
      </c>
      <c r="Y20" s="12">
        <v>4</v>
      </c>
      <c r="Z20" s="12">
        <v>9</v>
      </c>
      <c r="AA20" s="12">
        <v>4</v>
      </c>
      <c r="AB20" s="12">
        <v>3</v>
      </c>
      <c r="AC20" s="12">
        <v>1</v>
      </c>
      <c r="AD20" s="12">
        <v>2</v>
      </c>
      <c r="AE20" s="12">
        <v>5</v>
      </c>
      <c r="AF20" s="12">
        <v>5</v>
      </c>
    </row>
    <row r="21" spans="1:32">
      <c r="A21" s="23"/>
      <c r="B21" s="13" t="s">
        <v>498</v>
      </c>
      <c r="C21" s="14">
        <v>0.01</v>
      </c>
      <c r="D21" s="15" t="s">
        <v>485</v>
      </c>
      <c r="E21" s="14">
        <v>0.02</v>
      </c>
      <c r="F21" s="14">
        <v>0.01</v>
      </c>
      <c r="G21" s="14">
        <v>0.02</v>
      </c>
      <c r="H21" s="14">
        <v>0.02</v>
      </c>
      <c r="I21" s="14">
        <v>0.01</v>
      </c>
      <c r="J21" s="15" t="s">
        <v>485</v>
      </c>
      <c r="K21" s="14">
        <v>0.01</v>
      </c>
      <c r="L21" s="15" t="s">
        <v>485</v>
      </c>
      <c r="M21" s="15" t="s">
        <v>485</v>
      </c>
      <c r="N21" s="15" t="s">
        <v>485</v>
      </c>
      <c r="O21" s="15" t="s">
        <v>485</v>
      </c>
      <c r="P21" s="14">
        <v>0.01</v>
      </c>
      <c r="Q21" s="15" t="s">
        <v>485</v>
      </c>
      <c r="R21" s="15" t="s">
        <v>485</v>
      </c>
      <c r="S21" s="14">
        <v>0.01</v>
      </c>
      <c r="T21" s="15" t="s">
        <v>485</v>
      </c>
      <c r="U21" s="14">
        <v>0.01</v>
      </c>
      <c r="V21" s="15" t="s">
        <v>485</v>
      </c>
      <c r="W21" s="15" t="s">
        <v>485</v>
      </c>
      <c r="X21" s="15" t="s">
        <v>485</v>
      </c>
      <c r="Y21" s="14">
        <v>0.01</v>
      </c>
      <c r="Z21" s="14">
        <v>0.01</v>
      </c>
      <c r="AA21" s="15" t="s">
        <v>485</v>
      </c>
      <c r="AB21" s="15" t="s">
        <v>485</v>
      </c>
      <c r="AC21" s="15" t="s">
        <v>485</v>
      </c>
      <c r="AD21" s="15" t="s">
        <v>485</v>
      </c>
      <c r="AE21" s="14">
        <v>0.01</v>
      </c>
      <c r="AF21" s="14">
        <v>0.01</v>
      </c>
    </row>
    <row r="22" spans="1:32">
      <c r="A22" s="23"/>
      <c r="B22" s="11" t="s">
        <v>715</v>
      </c>
      <c r="C22" s="12">
        <v>15828</v>
      </c>
      <c r="D22" s="12">
        <v>626</v>
      </c>
      <c r="E22" s="12">
        <v>579</v>
      </c>
      <c r="F22" s="12">
        <v>597</v>
      </c>
      <c r="G22" s="12">
        <v>583</v>
      </c>
      <c r="H22" s="12">
        <v>685</v>
      </c>
      <c r="I22" s="12">
        <v>845</v>
      </c>
      <c r="J22" s="12">
        <v>160</v>
      </c>
      <c r="K22" s="12">
        <v>603</v>
      </c>
      <c r="L22" s="12">
        <v>668</v>
      </c>
      <c r="M22" s="12">
        <v>593</v>
      </c>
      <c r="N22" s="12">
        <v>648</v>
      </c>
      <c r="O22" s="12">
        <v>591</v>
      </c>
      <c r="P22" s="12">
        <v>644</v>
      </c>
      <c r="Q22" s="12">
        <v>664</v>
      </c>
      <c r="R22" s="12">
        <v>306</v>
      </c>
      <c r="S22" s="12">
        <v>628</v>
      </c>
      <c r="T22" s="12">
        <v>571</v>
      </c>
      <c r="U22" s="12">
        <v>343</v>
      </c>
      <c r="V22" s="12">
        <v>600</v>
      </c>
      <c r="W22" s="12">
        <v>334</v>
      </c>
      <c r="X22" s="12">
        <v>587</v>
      </c>
      <c r="Y22" s="12">
        <v>583</v>
      </c>
      <c r="Z22" s="12">
        <v>640</v>
      </c>
      <c r="AA22" s="12">
        <v>577</v>
      </c>
      <c r="AB22" s="12">
        <v>556</v>
      </c>
      <c r="AC22" s="12">
        <v>582</v>
      </c>
      <c r="AD22" s="12">
        <v>668</v>
      </c>
      <c r="AE22" s="12">
        <v>575</v>
      </c>
      <c r="AF22" s="12">
        <v>643</v>
      </c>
    </row>
    <row r="23" spans="1:32">
      <c r="A23" s="23"/>
      <c r="B23" s="13" t="s">
        <v>716</v>
      </c>
      <c r="C23" s="14">
        <v>0.86</v>
      </c>
      <c r="D23" s="14">
        <v>0.92</v>
      </c>
      <c r="E23" s="14">
        <v>0.8</v>
      </c>
      <c r="F23" s="14">
        <v>0.84</v>
      </c>
      <c r="G23" s="14">
        <v>0.83000000000000007</v>
      </c>
      <c r="H23" s="14">
        <v>0.85</v>
      </c>
      <c r="I23" s="14">
        <v>0.84</v>
      </c>
      <c r="J23" s="14">
        <v>0.79</v>
      </c>
      <c r="K23" s="14">
        <v>0.81</v>
      </c>
      <c r="L23" s="14">
        <v>0.91</v>
      </c>
      <c r="M23" s="14">
        <v>0.85</v>
      </c>
      <c r="N23" s="14">
        <v>0.91</v>
      </c>
      <c r="O23" s="14">
        <v>0.91</v>
      </c>
      <c r="P23" s="14">
        <v>0.93</v>
      </c>
      <c r="Q23" s="14">
        <v>0.91</v>
      </c>
      <c r="R23" s="14">
        <v>0.84</v>
      </c>
      <c r="S23" s="14">
        <v>0.87</v>
      </c>
      <c r="T23" s="14">
        <v>0.84</v>
      </c>
      <c r="U23" s="14">
        <v>0.92</v>
      </c>
      <c r="V23" s="14">
        <v>0.8</v>
      </c>
      <c r="W23" s="14">
        <v>0.91</v>
      </c>
      <c r="X23" s="14">
        <v>0.81</v>
      </c>
      <c r="Y23" s="14">
        <v>0.82000000000000006</v>
      </c>
      <c r="Z23" s="14">
        <v>0.86</v>
      </c>
      <c r="AA23" s="14">
        <v>0.78</v>
      </c>
      <c r="AB23" s="14">
        <v>0.78</v>
      </c>
      <c r="AC23" s="14">
        <v>0.87</v>
      </c>
      <c r="AD23" s="14">
        <v>0.93</v>
      </c>
      <c r="AE23" s="14">
        <v>0.82000000000000006</v>
      </c>
      <c r="AF23" s="14">
        <v>0.82000000000000006</v>
      </c>
    </row>
    <row r="24" spans="1:32">
      <c r="A24" s="23"/>
      <c r="B24" s="11" t="s">
        <v>717</v>
      </c>
      <c r="C24" s="12">
        <v>2356</v>
      </c>
      <c r="D24" s="12">
        <v>53</v>
      </c>
      <c r="E24" s="12">
        <v>136</v>
      </c>
      <c r="F24" s="12">
        <v>108</v>
      </c>
      <c r="G24" s="12">
        <v>107</v>
      </c>
      <c r="H24" s="12">
        <v>107</v>
      </c>
      <c r="I24" s="12">
        <v>150</v>
      </c>
      <c r="J24" s="12">
        <v>43</v>
      </c>
      <c r="K24" s="12">
        <v>130</v>
      </c>
      <c r="L24" s="12">
        <v>62</v>
      </c>
      <c r="M24" s="12">
        <v>105</v>
      </c>
      <c r="N24" s="12">
        <v>62</v>
      </c>
      <c r="O24" s="12">
        <v>61</v>
      </c>
      <c r="P24" s="12">
        <v>41</v>
      </c>
      <c r="Q24" s="12">
        <v>64</v>
      </c>
      <c r="R24" s="12">
        <v>61</v>
      </c>
      <c r="S24" s="12">
        <v>86</v>
      </c>
      <c r="T24" s="12">
        <v>108</v>
      </c>
      <c r="U24" s="12">
        <v>24</v>
      </c>
      <c r="V24" s="12">
        <v>146</v>
      </c>
      <c r="W24" s="12">
        <v>35</v>
      </c>
      <c r="X24" s="12">
        <v>139</v>
      </c>
      <c r="Y24" s="12">
        <v>121</v>
      </c>
      <c r="Z24" s="12">
        <v>95</v>
      </c>
      <c r="AA24" s="12">
        <v>165</v>
      </c>
      <c r="AB24" s="12">
        <v>158</v>
      </c>
      <c r="AC24" s="12">
        <v>85</v>
      </c>
      <c r="AD24" s="12">
        <v>50</v>
      </c>
      <c r="AE24" s="12">
        <v>122</v>
      </c>
      <c r="AF24" s="12">
        <v>128</v>
      </c>
    </row>
    <row r="25" spans="1:32">
      <c r="A25" s="23"/>
      <c r="B25" s="13" t="s">
        <v>718</v>
      </c>
      <c r="C25" s="14">
        <v>0.13</v>
      </c>
      <c r="D25" s="14">
        <v>0.08</v>
      </c>
      <c r="E25" s="14">
        <v>0.18</v>
      </c>
      <c r="F25" s="14">
        <v>0.15</v>
      </c>
      <c r="G25" s="14">
        <v>0.15</v>
      </c>
      <c r="H25" s="14">
        <v>0.13</v>
      </c>
      <c r="I25" s="14">
        <v>0.15</v>
      </c>
      <c r="J25" s="14">
        <v>0.21</v>
      </c>
      <c r="K25" s="14">
        <v>0.18</v>
      </c>
      <c r="L25" s="14">
        <v>0.09</v>
      </c>
      <c r="M25" s="14">
        <v>0.15</v>
      </c>
      <c r="N25" s="14">
        <v>0.09</v>
      </c>
      <c r="O25" s="14">
        <v>0.09</v>
      </c>
      <c r="P25" s="14">
        <v>0.06</v>
      </c>
      <c r="Q25" s="14">
        <v>0.09</v>
      </c>
      <c r="R25" s="14">
        <v>0.16</v>
      </c>
      <c r="S25" s="14">
        <v>0.12</v>
      </c>
      <c r="T25" s="14">
        <v>0.16</v>
      </c>
      <c r="U25" s="14">
        <v>7.0000000000000007E-2</v>
      </c>
      <c r="V25" s="14">
        <v>0.2</v>
      </c>
      <c r="W25" s="14">
        <v>0.09</v>
      </c>
      <c r="X25" s="14">
        <v>0.19</v>
      </c>
      <c r="Y25" s="14">
        <v>0.17</v>
      </c>
      <c r="Z25" s="14">
        <v>0.13</v>
      </c>
      <c r="AA25" s="14">
        <v>0.22</v>
      </c>
      <c r="AB25" s="14">
        <v>0.22</v>
      </c>
      <c r="AC25" s="14">
        <v>0.13</v>
      </c>
      <c r="AD25" s="14">
        <v>7.0000000000000007E-2</v>
      </c>
      <c r="AE25" s="14">
        <v>0.17</v>
      </c>
      <c r="AF25" s="14">
        <v>0.17</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975</v>
      </c>
      <c r="C3" s="19"/>
      <c r="D3" s="19"/>
      <c r="E3" s="19"/>
      <c r="F3" s="19"/>
      <c r="H3" s="19" t="s">
        <v>976</v>
      </c>
      <c r="I3" s="19"/>
      <c r="J3" s="19"/>
      <c r="K3" s="19"/>
      <c r="L3" s="19"/>
    </row>
    <row r="4" spans="1:32" ht="27" customHeight="1">
      <c r="B4" s="19" t="s">
        <v>977</v>
      </c>
      <c r="C4" s="19"/>
      <c r="D4" s="19"/>
      <c r="E4" s="19"/>
      <c r="F4" s="19"/>
      <c r="H4" s="19" t="s">
        <v>978</v>
      </c>
      <c r="I4" s="19"/>
      <c r="J4" s="19"/>
      <c r="K4" s="19"/>
      <c r="L4" s="19"/>
    </row>
    <row r="5" spans="1:32" ht="24" customHeight="1">
      <c r="B5" s="19" t="s">
        <v>973</v>
      </c>
      <c r="C5" s="19"/>
      <c r="D5" s="19"/>
      <c r="E5" s="19"/>
      <c r="F5" s="19"/>
      <c r="H5" s="19" t="s">
        <v>974</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HYPERLINK("#Content!A66","&lt;&lt;Back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18303</v>
      </c>
      <c r="D10" s="10">
        <v>681</v>
      </c>
      <c r="E10" s="10">
        <v>727</v>
      </c>
      <c r="F10" s="10">
        <v>715</v>
      </c>
      <c r="G10" s="10">
        <v>704</v>
      </c>
      <c r="H10" s="10">
        <v>804</v>
      </c>
      <c r="I10" s="10">
        <v>1008</v>
      </c>
      <c r="J10" s="10">
        <v>203</v>
      </c>
      <c r="K10" s="10">
        <v>741</v>
      </c>
      <c r="L10" s="10">
        <v>734</v>
      </c>
      <c r="M10" s="10">
        <v>699</v>
      </c>
      <c r="N10" s="10">
        <v>711</v>
      </c>
      <c r="O10" s="10">
        <v>655</v>
      </c>
      <c r="P10" s="10">
        <v>689</v>
      </c>
      <c r="Q10" s="10">
        <v>729</v>
      </c>
      <c r="R10" s="10">
        <v>367</v>
      </c>
      <c r="S10" s="10">
        <v>719</v>
      </c>
      <c r="T10" s="10">
        <v>682</v>
      </c>
      <c r="U10" s="10">
        <v>371</v>
      </c>
      <c r="V10" s="10">
        <v>746</v>
      </c>
      <c r="W10" s="10">
        <v>369</v>
      </c>
      <c r="X10" s="10">
        <v>728</v>
      </c>
      <c r="Y10" s="10">
        <v>707</v>
      </c>
      <c r="Z10" s="10">
        <v>744</v>
      </c>
      <c r="AA10" s="10">
        <v>747</v>
      </c>
      <c r="AB10" s="10">
        <v>717</v>
      </c>
      <c r="AC10" s="10">
        <v>668</v>
      </c>
      <c r="AD10" s="10">
        <v>720</v>
      </c>
      <c r="AE10" s="10">
        <v>701</v>
      </c>
      <c r="AF10" s="10">
        <v>775</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707</v>
      </c>
      <c r="C12" s="12">
        <v>7368</v>
      </c>
      <c r="D12" s="12">
        <v>246</v>
      </c>
      <c r="E12" s="12">
        <v>261</v>
      </c>
      <c r="F12" s="12">
        <v>190</v>
      </c>
      <c r="G12" s="12">
        <v>513</v>
      </c>
      <c r="H12" s="12">
        <v>354</v>
      </c>
      <c r="I12" s="12">
        <v>442</v>
      </c>
      <c r="J12" s="12">
        <v>89</v>
      </c>
      <c r="K12" s="12">
        <v>269</v>
      </c>
      <c r="L12" s="12">
        <v>450</v>
      </c>
      <c r="M12" s="12">
        <v>257</v>
      </c>
      <c r="N12" s="12">
        <v>332</v>
      </c>
      <c r="O12" s="12">
        <v>263</v>
      </c>
      <c r="P12" s="12">
        <v>332</v>
      </c>
      <c r="Q12" s="12">
        <v>293</v>
      </c>
      <c r="R12" s="12">
        <v>187</v>
      </c>
      <c r="S12" s="12">
        <v>309</v>
      </c>
      <c r="T12" s="12">
        <v>235</v>
      </c>
      <c r="U12" s="12">
        <v>216</v>
      </c>
      <c r="V12" s="12">
        <v>215</v>
      </c>
      <c r="W12" s="12">
        <v>233</v>
      </c>
      <c r="X12" s="12">
        <v>366</v>
      </c>
      <c r="Y12" s="12">
        <v>307</v>
      </c>
      <c r="Z12" s="12">
        <v>192</v>
      </c>
      <c r="AA12" s="12">
        <v>193</v>
      </c>
      <c r="AB12" s="12">
        <v>197</v>
      </c>
      <c r="AC12" s="12">
        <v>316</v>
      </c>
      <c r="AD12" s="12">
        <v>266</v>
      </c>
      <c r="AE12" s="12">
        <v>240</v>
      </c>
      <c r="AF12" s="12">
        <v>458</v>
      </c>
    </row>
    <row r="13" spans="1:32">
      <c r="A13" s="23"/>
      <c r="B13" s="13" t="s">
        <v>708</v>
      </c>
      <c r="C13" s="14">
        <v>0.4</v>
      </c>
      <c r="D13" s="14">
        <v>0.36</v>
      </c>
      <c r="E13" s="14">
        <v>0.36</v>
      </c>
      <c r="F13" s="14">
        <v>0.27</v>
      </c>
      <c r="G13" s="14">
        <v>0.73</v>
      </c>
      <c r="H13" s="14">
        <v>0.44</v>
      </c>
      <c r="I13" s="14">
        <v>0.44</v>
      </c>
      <c r="J13" s="14">
        <v>0.44</v>
      </c>
      <c r="K13" s="14">
        <v>0.36</v>
      </c>
      <c r="L13" s="14">
        <v>0.61</v>
      </c>
      <c r="M13" s="14">
        <v>0.37</v>
      </c>
      <c r="N13" s="14">
        <v>0.47</v>
      </c>
      <c r="O13" s="14">
        <v>0.4</v>
      </c>
      <c r="P13" s="14">
        <v>0.48</v>
      </c>
      <c r="Q13" s="14">
        <v>0.4</v>
      </c>
      <c r="R13" s="14">
        <v>0.51</v>
      </c>
      <c r="S13" s="14">
        <v>0.43</v>
      </c>
      <c r="T13" s="14">
        <v>0.35</v>
      </c>
      <c r="U13" s="14">
        <v>0.57999999999999996</v>
      </c>
      <c r="V13" s="14">
        <v>0.28999999999999998</v>
      </c>
      <c r="W13" s="14">
        <v>0.63</v>
      </c>
      <c r="X13" s="14">
        <v>0.5</v>
      </c>
      <c r="Y13" s="14">
        <v>0.44</v>
      </c>
      <c r="Z13" s="14">
        <v>0.26</v>
      </c>
      <c r="AA13" s="14">
        <v>0.26</v>
      </c>
      <c r="AB13" s="14">
        <v>0.27</v>
      </c>
      <c r="AC13" s="14">
        <v>0.47</v>
      </c>
      <c r="AD13" s="14">
        <v>0.37</v>
      </c>
      <c r="AE13" s="14">
        <v>0.34</v>
      </c>
      <c r="AF13" s="14">
        <v>0.59</v>
      </c>
    </row>
    <row r="14" spans="1:32">
      <c r="A14" s="23"/>
      <c r="B14" s="11" t="s">
        <v>709</v>
      </c>
      <c r="C14" s="12">
        <v>7757</v>
      </c>
      <c r="D14" s="12">
        <v>352</v>
      </c>
      <c r="E14" s="12">
        <v>283</v>
      </c>
      <c r="F14" s="12">
        <v>385</v>
      </c>
      <c r="G14" s="12">
        <v>135</v>
      </c>
      <c r="H14" s="12">
        <v>341</v>
      </c>
      <c r="I14" s="12">
        <v>419</v>
      </c>
      <c r="J14" s="12">
        <v>78</v>
      </c>
      <c r="K14" s="12">
        <v>314</v>
      </c>
      <c r="L14" s="12">
        <v>213</v>
      </c>
      <c r="M14" s="12">
        <v>292</v>
      </c>
      <c r="N14" s="12">
        <v>272</v>
      </c>
      <c r="O14" s="12">
        <v>253</v>
      </c>
      <c r="P14" s="12">
        <v>277</v>
      </c>
      <c r="Q14" s="12">
        <v>356</v>
      </c>
      <c r="R14" s="12">
        <v>91</v>
      </c>
      <c r="S14" s="12">
        <v>230</v>
      </c>
      <c r="T14" s="12">
        <v>303</v>
      </c>
      <c r="U14" s="12">
        <v>107</v>
      </c>
      <c r="V14" s="12">
        <v>341</v>
      </c>
      <c r="W14" s="12">
        <v>93</v>
      </c>
      <c r="X14" s="12">
        <v>236</v>
      </c>
      <c r="Y14" s="12">
        <v>278</v>
      </c>
      <c r="Z14" s="12">
        <v>381</v>
      </c>
      <c r="AA14" s="12">
        <v>361</v>
      </c>
      <c r="AB14" s="12">
        <v>327</v>
      </c>
      <c r="AC14" s="12">
        <v>241</v>
      </c>
      <c r="AD14" s="12">
        <v>338</v>
      </c>
      <c r="AE14" s="12">
        <v>292</v>
      </c>
      <c r="AF14" s="12">
        <v>226</v>
      </c>
    </row>
    <row r="15" spans="1:32">
      <c r="A15" s="23"/>
      <c r="B15" s="13" t="s">
        <v>710</v>
      </c>
      <c r="C15" s="14">
        <v>0.43</v>
      </c>
      <c r="D15" s="14">
        <v>0.52</v>
      </c>
      <c r="E15" s="14">
        <v>0.39</v>
      </c>
      <c r="F15" s="14">
        <v>0.54</v>
      </c>
      <c r="G15" s="14">
        <v>0.19</v>
      </c>
      <c r="H15" s="14">
        <v>0.42</v>
      </c>
      <c r="I15" s="14">
        <v>0.42</v>
      </c>
      <c r="J15" s="14">
        <v>0.38</v>
      </c>
      <c r="K15" s="14">
        <v>0.42</v>
      </c>
      <c r="L15" s="14">
        <v>0.28999999999999998</v>
      </c>
      <c r="M15" s="14">
        <v>0.41</v>
      </c>
      <c r="N15" s="14">
        <v>0.38</v>
      </c>
      <c r="O15" s="14">
        <v>0.39</v>
      </c>
      <c r="P15" s="14">
        <v>0.4</v>
      </c>
      <c r="Q15" s="14">
        <v>0.49</v>
      </c>
      <c r="R15" s="14">
        <v>0.25</v>
      </c>
      <c r="S15" s="14">
        <v>0.32</v>
      </c>
      <c r="T15" s="14">
        <v>0.44</v>
      </c>
      <c r="U15" s="14">
        <v>0.28999999999999998</v>
      </c>
      <c r="V15" s="14">
        <v>0.46</v>
      </c>
      <c r="W15" s="14">
        <v>0.25</v>
      </c>
      <c r="X15" s="14">
        <v>0.32</v>
      </c>
      <c r="Y15" s="14">
        <v>0.39</v>
      </c>
      <c r="Z15" s="14">
        <v>0.51</v>
      </c>
      <c r="AA15" s="14">
        <v>0.48</v>
      </c>
      <c r="AB15" s="14">
        <v>0.46</v>
      </c>
      <c r="AC15" s="14">
        <v>0.36</v>
      </c>
      <c r="AD15" s="14">
        <v>0.47</v>
      </c>
      <c r="AE15" s="14">
        <v>0.41</v>
      </c>
      <c r="AF15" s="14">
        <v>0.28999999999999998</v>
      </c>
    </row>
    <row r="16" spans="1:32">
      <c r="A16" s="23"/>
      <c r="B16" s="11" t="s">
        <v>711</v>
      </c>
      <c r="C16" s="12">
        <v>2208</v>
      </c>
      <c r="D16" s="12">
        <v>65</v>
      </c>
      <c r="E16" s="12">
        <v>108</v>
      </c>
      <c r="F16" s="12">
        <v>96</v>
      </c>
      <c r="G16" s="12">
        <v>24</v>
      </c>
      <c r="H16" s="12">
        <v>77</v>
      </c>
      <c r="I16" s="12">
        <v>105</v>
      </c>
      <c r="J16" s="12">
        <v>28</v>
      </c>
      <c r="K16" s="12">
        <v>103</v>
      </c>
      <c r="L16" s="12">
        <v>45</v>
      </c>
      <c r="M16" s="12">
        <v>90</v>
      </c>
      <c r="N16" s="12">
        <v>73</v>
      </c>
      <c r="O16" s="12">
        <v>86</v>
      </c>
      <c r="P16" s="12">
        <v>55</v>
      </c>
      <c r="Q16" s="12">
        <v>61</v>
      </c>
      <c r="R16" s="12">
        <v>40</v>
      </c>
      <c r="S16" s="12">
        <v>104</v>
      </c>
      <c r="T16" s="12">
        <v>95</v>
      </c>
      <c r="U16" s="12">
        <v>29</v>
      </c>
      <c r="V16" s="12">
        <v>134</v>
      </c>
      <c r="W16" s="12">
        <v>21</v>
      </c>
      <c r="X16" s="12">
        <v>86</v>
      </c>
      <c r="Y16" s="12">
        <v>73</v>
      </c>
      <c r="Z16" s="12">
        <v>130</v>
      </c>
      <c r="AA16" s="12">
        <v>156</v>
      </c>
      <c r="AB16" s="12">
        <v>150</v>
      </c>
      <c r="AC16" s="12">
        <v>70</v>
      </c>
      <c r="AD16" s="12">
        <v>82</v>
      </c>
      <c r="AE16" s="12">
        <v>103</v>
      </c>
      <c r="AF16" s="12">
        <v>50</v>
      </c>
    </row>
    <row r="17" spans="1:32">
      <c r="A17" s="23"/>
      <c r="B17" s="13" t="s">
        <v>712</v>
      </c>
      <c r="C17" s="14">
        <v>0.12</v>
      </c>
      <c r="D17" s="14">
        <v>0.09</v>
      </c>
      <c r="E17" s="14">
        <v>0.15</v>
      </c>
      <c r="F17" s="14">
        <v>0.13</v>
      </c>
      <c r="G17" s="14">
        <v>0.04</v>
      </c>
      <c r="H17" s="14">
        <v>0.1</v>
      </c>
      <c r="I17" s="14">
        <v>0.1</v>
      </c>
      <c r="J17" s="14">
        <v>0.14000000000000001</v>
      </c>
      <c r="K17" s="14">
        <v>0.14000000000000001</v>
      </c>
      <c r="L17" s="14">
        <v>0.06</v>
      </c>
      <c r="M17" s="14">
        <v>0.13</v>
      </c>
      <c r="N17" s="14">
        <v>0.1</v>
      </c>
      <c r="O17" s="14">
        <v>0.13</v>
      </c>
      <c r="P17" s="14">
        <v>0.08</v>
      </c>
      <c r="Q17" s="14">
        <v>0.08</v>
      </c>
      <c r="R17" s="14">
        <v>0.11</v>
      </c>
      <c r="S17" s="14">
        <v>0.15</v>
      </c>
      <c r="T17" s="14">
        <v>0.14000000000000001</v>
      </c>
      <c r="U17" s="14">
        <v>0.08</v>
      </c>
      <c r="V17" s="14">
        <v>0.18</v>
      </c>
      <c r="W17" s="14">
        <v>0.06</v>
      </c>
      <c r="X17" s="14">
        <v>0.12</v>
      </c>
      <c r="Y17" s="14">
        <v>0.1</v>
      </c>
      <c r="Z17" s="14">
        <v>0.18</v>
      </c>
      <c r="AA17" s="14">
        <v>0.21</v>
      </c>
      <c r="AB17" s="14">
        <v>0.21</v>
      </c>
      <c r="AC17" s="14">
        <v>0.11</v>
      </c>
      <c r="AD17" s="14">
        <v>0.11</v>
      </c>
      <c r="AE17" s="14">
        <v>0.15</v>
      </c>
      <c r="AF17" s="14">
        <v>7.0000000000000007E-2</v>
      </c>
    </row>
    <row r="18" spans="1:32">
      <c r="A18" s="23"/>
      <c r="B18" s="11" t="s">
        <v>713</v>
      </c>
      <c r="C18" s="12">
        <v>767</v>
      </c>
      <c r="D18" s="12">
        <v>14</v>
      </c>
      <c r="E18" s="12">
        <v>52</v>
      </c>
      <c r="F18" s="12">
        <v>28</v>
      </c>
      <c r="G18" s="12">
        <v>24</v>
      </c>
      <c r="H18" s="12">
        <v>26</v>
      </c>
      <c r="I18" s="12">
        <v>33</v>
      </c>
      <c r="J18" s="12">
        <v>7</v>
      </c>
      <c r="K18" s="12">
        <v>45</v>
      </c>
      <c r="L18" s="12">
        <v>20</v>
      </c>
      <c r="M18" s="12">
        <v>48</v>
      </c>
      <c r="N18" s="12">
        <v>28</v>
      </c>
      <c r="O18" s="12">
        <v>43</v>
      </c>
      <c r="P18" s="12">
        <v>21</v>
      </c>
      <c r="Q18" s="12">
        <v>15</v>
      </c>
      <c r="R18" s="12">
        <v>44</v>
      </c>
      <c r="S18" s="12">
        <v>74</v>
      </c>
      <c r="T18" s="12">
        <v>35</v>
      </c>
      <c r="U18" s="12">
        <v>16</v>
      </c>
      <c r="V18" s="12">
        <v>55</v>
      </c>
      <c r="W18" s="12">
        <v>22</v>
      </c>
      <c r="X18" s="12">
        <v>40</v>
      </c>
      <c r="Y18" s="12">
        <v>37</v>
      </c>
      <c r="Z18" s="12">
        <v>26</v>
      </c>
      <c r="AA18" s="12">
        <v>19</v>
      </c>
      <c r="AB18" s="12">
        <v>35</v>
      </c>
      <c r="AC18" s="12">
        <v>40</v>
      </c>
      <c r="AD18" s="12">
        <v>22</v>
      </c>
      <c r="AE18" s="12">
        <v>60</v>
      </c>
      <c r="AF18" s="12">
        <v>32</v>
      </c>
    </row>
    <row r="19" spans="1:32">
      <c r="A19" s="23"/>
      <c r="B19" s="13" t="s">
        <v>714</v>
      </c>
      <c r="C19" s="14">
        <v>0.04</v>
      </c>
      <c r="D19" s="14">
        <v>0.02</v>
      </c>
      <c r="E19" s="14">
        <v>7.0000000000000007E-2</v>
      </c>
      <c r="F19" s="14">
        <v>0.04</v>
      </c>
      <c r="G19" s="14">
        <v>0.03</v>
      </c>
      <c r="H19" s="14">
        <v>0.03</v>
      </c>
      <c r="I19" s="14">
        <v>0.03</v>
      </c>
      <c r="J19" s="14">
        <v>0.03</v>
      </c>
      <c r="K19" s="14">
        <v>0.06</v>
      </c>
      <c r="L19" s="14">
        <v>0.03</v>
      </c>
      <c r="M19" s="14">
        <v>7.0000000000000007E-2</v>
      </c>
      <c r="N19" s="14">
        <v>0.04</v>
      </c>
      <c r="O19" s="14">
        <v>7.0000000000000007E-2</v>
      </c>
      <c r="P19" s="14">
        <v>0.03</v>
      </c>
      <c r="Q19" s="14">
        <v>0.02</v>
      </c>
      <c r="R19" s="14">
        <v>0.12</v>
      </c>
      <c r="S19" s="14">
        <v>0.1</v>
      </c>
      <c r="T19" s="14">
        <v>0.05</v>
      </c>
      <c r="U19" s="14">
        <v>0.04</v>
      </c>
      <c r="V19" s="14">
        <v>7.0000000000000007E-2</v>
      </c>
      <c r="W19" s="14">
        <v>0.06</v>
      </c>
      <c r="X19" s="14">
        <v>0.06</v>
      </c>
      <c r="Y19" s="14">
        <v>0.05</v>
      </c>
      <c r="Z19" s="14">
        <v>0.03</v>
      </c>
      <c r="AA19" s="14">
        <v>0.03</v>
      </c>
      <c r="AB19" s="14">
        <v>0.05</v>
      </c>
      <c r="AC19" s="14">
        <v>0.06</v>
      </c>
      <c r="AD19" s="14">
        <v>0.03</v>
      </c>
      <c r="AE19" s="14">
        <v>0.09</v>
      </c>
      <c r="AF19" s="14">
        <v>0.04</v>
      </c>
    </row>
    <row r="20" spans="1:32">
      <c r="A20" s="23"/>
      <c r="B20" s="11" t="s">
        <v>497</v>
      </c>
      <c r="C20" s="12">
        <v>204</v>
      </c>
      <c r="D20" s="12">
        <v>4</v>
      </c>
      <c r="E20" s="12">
        <v>24</v>
      </c>
      <c r="F20" s="12">
        <v>15</v>
      </c>
      <c r="G20" s="12">
        <v>8</v>
      </c>
      <c r="H20" s="12">
        <v>6</v>
      </c>
      <c r="I20" s="12">
        <v>8</v>
      </c>
      <c r="J20" s="12">
        <v>2</v>
      </c>
      <c r="K20" s="12">
        <v>10</v>
      </c>
      <c r="L20" s="12">
        <v>7</v>
      </c>
      <c r="M20" s="12">
        <v>13</v>
      </c>
      <c r="N20" s="12">
        <v>6</v>
      </c>
      <c r="O20" s="12">
        <v>10</v>
      </c>
      <c r="P20" s="12">
        <v>5</v>
      </c>
      <c r="Q20" s="12">
        <v>5</v>
      </c>
      <c r="R20" s="12">
        <v>5</v>
      </c>
      <c r="S20" s="12">
        <v>2</v>
      </c>
      <c r="T20" s="12">
        <v>14</v>
      </c>
      <c r="U20" s="12">
        <v>3</v>
      </c>
      <c r="V20" s="12">
        <v>2</v>
      </c>
      <c r="W20" s="12">
        <v>1</v>
      </c>
      <c r="X20" s="12">
        <v>0</v>
      </c>
      <c r="Y20" s="12">
        <v>13</v>
      </c>
      <c r="Z20" s="12">
        <v>15</v>
      </c>
      <c r="AA20" s="12">
        <v>18</v>
      </c>
      <c r="AB20" s="12">
        <v>8</v>
      </c>
      <c r="AC20" s="12">
        <v>1</v>
      </c>
      <c r="AD20" s="12">
        <v>12</v>
      </c>
      <c r="AE20" s="12">
        <v>7</v>
      </c>
      <c r="AF20" s="12">
        <v>8</v>
      </c>
    </row>
    <row r="21" spans="1:32">
      <c r="A21" s="23"/>
      <c r="B21" s="13" t="s">
        <v>498</v>
      </c>
      <c r="C21" s="14">
        <v>0.01</v>
      </c>
      <c r="D21" s="14">
        <v>0.01</v>
      </c>
      <c r="E21" s="14">
        <v>0.03</v>
      </c>
      <c r="F21" s="14">
        <v>0.02</v>
      </c>
      <c r="G21" s="14">
        <v>0.01</v>
      </c>
      <c r="H21" s="14">
        <v>0.01</v>
      </c>
      <c r="I21" s="14">
        <v>0.01</v>
      </c>
      <c r="J21" s="14">
        <v>0.01</v>
      </c>
      <c r="K21" s="14">
        <v>0.02</v>
      </c>
      <c r="L21" s="14">
        <v>0.01</v>
      </c>
      <c r="M21" s="14">
        <v>0.02</v>
      </c>
      <c r="N21" s="14">
        <v>0.01</v>
      </c>
      <c r="O21" s="14">
        <v>0.01</v>
      </c>
      <c r="P21" s="14">
        <v>0.01</v>
      </c>
      <c r="Q21" s="14">
        <v>0.01</v>
      </c>
      <c r="R21" s="14">
        <v>0.01</v>
      </c>
      <c r="S21" s="15" t="s">
        <v>485</v>
      </c>
      <c r="T21" s="14">
        <v>0.02</v>
      </c>
      <c r="U21" s="14">
        <v>0.01</v>
      </c>
      <c r="V21" s="15" t="s">
        <v>485</v>
      </c>
      <c r="W21" s="15" t="s">
        <v>485</v>
      </c>
      <c r="X21" s="15" t="s">
        <v>485</v>
      </c>
      <c r="Y21" s="14">
        <v>0.02</v>
      </c>
      <c r="Z21" s="14">
        <v>0.02</v>
      </c>
      <c r="AA21" s="14">
        <v>0.02</v>
      </c>
      <c r="AB21" s="14">
        <v>0.01</v>
      </c>
      <c r="AC21" s="15" t="s">
        <v>485</v>
      </c>
      <c r="AD21" s="14">
        <v>0.02</v>
      </c>
      <c r="AE21" s="14">
        <v>0.01</v>
      </c>
      <c r="AF21" s="14">
        <v>0.01</v>
      </c>
    </row>
    <row r="22" spans="1:32">
      <c r="A22" s="23"/>
      <c r="B22" s="11" t="s">
        <v>715</v>
      </c>
      <c r="C22" s="12">
        <v>15125</v>
      </c>
      <c r="D22" s="12">
        <v>598</v>
      </c>
      <c r="E22" s="12">
        <v>544</v>
      </c>
      <c r="F22" s="12">
        <v>575</v>
      </c>
      <c r="G22" s="12">
        <v>648</v>
      </c>
      <c r="H22" s="12">
        <v>695</v>
      </c>
      <c r="I22" s="12">
        <v>861</v>
      </c>
      <c r="J22" s="12">
        <v>167</v>
      </c>
      <c r="K22" s="12">
        <v>583</v>
      </c>
      <c r="L22" s="12">
        <v>663</v>
      </c>
      <c r="M22" s="12">
        <v>549</v>
      </c>
      <c r="N22" s="12">
        <v>604</v>
      </c>
      <c r="O22" s="12">
        <v>516</v>
      </c>
      <c r="P22" s="12">
        <v>609</v>
      </c>
      <c r="Q22" s="12">
        <v>649</v>
      </c>
      <c r="R22" s="12">
        <v>278</v>
      </c>
      <c r="S22" s="12">
        <v>539</v>
      </c>
      <c r="T22" s="12">
        <v>538</v>
      </c>
      <c r="U22" s="12">
        <v>323</v>
      </c>
      <c r="V22" s="12">
        <v>556</v>
      </c>
      <c r="W22" s="12">
        <v>326</v>
      </c>
      <c r="X22" s="12">
        <v>602</v>
      </c>
      <c r="Y22" s="12">
        <v>585</v>
      </c>
      <c r="Z22" s="12">
        <v>573</v>
      </c>
      <c r="AA22" s="12">
        <v>554</v>
      </c>
      <c r="AB22" s="12">
        <v>524</v>
      </c>
      <c r="AC22" s="12">
        <v>557</v>
      </c>
      <c r="AD22" s="12">
        <v>604</v>
      </c>
      <c r="AE22" s="12">
        <v>532</v>
      </c>
      <c r="AF22" s="12">
        <v>684</v>
      </c>
    </row>
    <row r="23" spans="1:32">
      <c r="A23" s="23"/>
      <c r="B23" s="13" t="s">
        <v>716</v>
      </c>
      <c r="C23" s="14">
        <v>0.83000000000000007</v>
      </c>
      <c r="D23" s="14">
        <v>0.88</v>
      </c>
      <c r="E23" s="14">
        <v>0.75</v>
      </c>
      <c r="F23" s="14">
        <v>0.81</v>
      </c>
      <c r="G23" s="14">
        <v>0.92</v>
      </c>
      <c r="H23" s="14">
        <v>0.86</v>
      </c>
      <c r="I23" s="14">
        <v>0.86</v>
      </c>
      <c r="J23" s="14">
        <v>0.82000000000000006</v>
      </c>
      <c r="K23" s="14">
        <v>0.78</v>
      </c>
      <c r="L23" s="14">
        <v>0.9</v>
      </c>
      <c r="M23" s="14">
        <v>0.78</v>
      </c>
      <c r="N23" s="14">
        <v>0.85</v>
      </c>
      <c r="O23" s="14">
        <v>0.79</v>
      </c>
      <c r="P23" s="14">
        <v>0.88</v>
      </c>
      <c r="Q23" s="14">
        <v>0.89</v>
      </c>
      <c r="R23" s="14">
        <v>0.76</v>
      </c>
      <c r="S23" s="14">
        <v>0.75</v>
      </c>
      <c r="T23" s="14">
        <v>0.79</v>
      </c>
      <c r="U23" s="14">
        <v>0.87</v>
      </c>
      <c r="V23" s="14">
        <v>0.75</v>
      </c>
      <c r="W23" s="14">
        <v>0.88</v>
      </c>
      <c r="X23" s="14">
        <v>0.82000000000000006</v>
      </c>
      <c r="Y23" s="14">
        <v>0.83000000000000007</v>
      </c>
      <c r="Z23" s="14">
        <v>0.77</v>
      </c>
      <c r="AA23" s="14">
        <v>0.74</v>
      </c>
      <c r="AB23" s="14">
        <v>0.73</v>
      </c>
      <c r="AC23" s="14">
        <v>0.83000000000000007</v>
      </c>
      <c r="AD23" s="14">
        <v>0.84</v>
      </c>
      <c r="AE23" s="14">
        <v>0.75</v>
      </c>
      <c r="AF23" s="14">
        <v>0.88</v>
      </c>
    </row>
    <row r="24" spans="1:32">
      <c r="A24" s="23"/>
      <c r="B24" s="11" t="s">
        <v>717</v>
      </c>
      <c r="C24" s="12">
        <v>2975</v>
      </c>
      <c r="D24" s="12">
        <v>79</v>
      </c>
      <c r="E24" s="12">
        <v>160</v>
      </c>
      <c r="F24" s="12">
        <v>124</v>
      </c>
      <c r="G24" s="12">
        <v>48</v>
      </c>
      <c r="H24" s="12">
        <v>103</v>
      </c>
      <c r="I24" s="12">
        <v>138</v>
      </c>
      <c r="J24" s="12">
        <v>35</v>
      </c>
      <c r="K24" s="12">
        <v>148</v>
      </c>
      <c r="L24" s="12">
        <v>65</v>
      </c>
      <c r="M24" s="12">
        <v>138</v>
      </c>
      <c r="N24" s="12">
        <v>101</v>
      </c>
      <c r="O24" s="12">
        <v>129</v>
      </c>
      <c r="P24" s="12">
        <v>76</v>
      </c>
      <c r="Q24" s="12">
        <v>76</v>
      </c>
      <c r="R24" s="12">
        <v>84</v>
      </c>
      <c r="S24" s="12">
        <v>178</v>
      </c>
      <c r="T24" s="12">
        <v>130</v>
      </c>
      <c r="U24" s="12">
        <v>45</v>
      </c>
      <c r="V24" s="12">
        <v>189</v>
      </c>
      <c r="W24" s="12">
        <v>43</v>
      </c>
      <c r="X24" s="12">
        <v>126</v>
      </c>
      <c r="Y24" s="12">
        <v>110</v>
      </c>
      <c r="Z24" s="12">
        <v>156</v>
      </c>
      <c r="AA24" s="12">
        <v>175</v>
      </c>
      <c r="AB24" s="12">
        <v>185</v>
      </c>
      <c r="AC24" s="12">
        <v>110</v>
      </c>
      <c r="AD24" s="12">
        <v>104</v>
      </c>
      <c r="AE24" s="12">
        <v>163</v>
      </c>
      <c r="AF24" s="12">
        <v>82</v>
      </c>
    </row>
    <row r="25" spans="1:32">
      <c r="A25" s="23"/>
      <c r="B25" s="13" t="s">
        <v>718</v>
      </c>
      <c r="C25" s="14">
        <v>0.16</v>
      </c>
      <c r="D25" s="14">
        <v>0.11</v>
      </c>
      <c r="E25" s="14">
        <v>0.22</v>
      </c>
      <c r="F25" s="14">
        <v>0.17</v>
      </c>
      <c r="G25" s="14">
        <v>7.0000000000000007E-2</v>
      </c>
      <c r="H25" s="14">
        <v>0.13</v>
      </c>
      <c r="I25" s="14">
        <v>0.13</v>
      </c>
      <c r="J25" s="14">
        <v>0.17</v>
      </c>
      <c r="K25" s="14">
        <v>0.2</v>
      </c>
      <c r="L25" s="14">
        <v>0.09</v>
      </c>
      <c r="M25" s="14">
        <v>0.2</v>
      </c>
      <c r="N25" s="14">
        <v>0.14000000000000001</v>
      </c>
      <c r="O25" s="14">
        <v>0.2</v>
      </c>
      <c r="P25" s="14">
        <v>0.11</v>
      </c>
      <c r="Q25" s="14">
        <v>0.1</v>
      </c>
      <c r="R25" s="14">
        <v>0.23</v>
      </c>
      <c r="S25" s="14">
        <v>0.25</v>
      </c>
      <c r="T25" s="14">
        <v>0.19</v>
      </c>
      <c r="U25" s="14">
        <v>0.12</v>
      </c>
      <c r="V25" s="14">
        <v>0.25</v>
      </c>
      <c r="W25" s="14">
        <v>0.12</v>
      </c>
      <c r="X25" s="14">
        <v>0.18</v>
      </c>
      <c r="Y25" s="14">
        <v>0.15</v>
      </c>
      <c r="Z25" s="14">
        <v>0.21</v>
      </c>
      <c r="AA25" s="14">
        <v>0.24</v>
      </c>
      <c r="AB25" s="14">
        <v>0.26</v>
      </c>
      <c r="AC25" s="14">
        <v>0.17</v>
      </c>
      <c r="AD25" s="14">
        <v>0.14000000000000001</v>
      </c>
      <c r="AE25" s="14">
        <v>0.24</v>
      </c>
      <c r="AF25" s="14">
        <v>0.11</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979</v>
      </c>
      <c r="C3" s="19"/>
      <c r="D3" s="19"/>
      <c r="E3" s="19"/>
      <c r="F3" s="19"/>
      <c r="H3" s="19" t="s">
        <v>980</v>
      </c>
      <c r="I3" s="19"/>
      <c r="J3" s="19"/>
      <c r="K3" s="19"/>
      <c r="L3" s="19"/>
    </row>
    <row r="4" spans="1:32" ht="27" customHeight="1">
      <c r="B4" s="19" t="s">
        <v>981</v>
      </c>
      <c r="C4" s="19"/>
      <c r="D4" s="19"/>
      <c r="E4" s="19"/>
      <c r="F4" s="19"/>
      <c r="H4" s="19" t="s">
        <v>982</v>
      </c>
      <c r="I4" s="19"/>
      <c r="J4" s="19"/>
      <c r="K4" s="19"/>
      <c r="L4" s="19"/>
    </row>
    <row r="5" spans="1:32" ht="24" customHeight="1">
      <c r="B5" s="19" t="s">
        <v>973</v>
      </c>
      <c r="C5" s="19"/>
      <c r="D5" s="19"/>
      <c r="E5" s="19"/>
      <c r="F5" s="19"/>
      <c r="H5" s="19" t="s">
        <v>974</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HYPERLINK("#Content!A67","&lt;&lt;Back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18303</v>
      </c>
      <c r="D10" s="10">
        <v>681</v>
      </c>
      <c r="E10" s="10">
        <v>727</v>
      </c>
      <c r="F10" s="10">
        <v>715</v>
      </c>
      <c r="G10" s="10">
        <v>704</v>
      </c>
      <c r="H10" s="10">
        <v>804</v>
      </c>
      <c r="I10" s="10">
        <v>1008</v>
      </c>
      <c r="J10" s="10">
        <v>203</v>
      </c>
      <c r="K10" s="10">
        <v>741</v>
      </c>
      <c r="L10" s="10">
        <v>734</v>
      </c>
      <c r="M10" s="10">
        <v>699</v>
      </c>
      <c r="N10" s="10">
        <v>711</v>
      </c>
      <c r="O10" s="10">
        <v>655</v>
      </c>
      <c r="P10" s="10">
        <v>689</v>
      </c>
      <c r="Q10" s="10">
        <v>729</v>
      </c>
      <c r="R10" s="10">
        <v>367</v>
      </c>
      <c r="S10" s="10">
        <v>719</v>
      </c>
      <c r="T10" s="10">
        <v>682</v>
      </c>
      <c r="U10" s="10">
        <v>371</v>
      </c>
      <c r="V10" s="10">
        <v>746</v>
      </c>
      <c r="W10" s="10">
        <v>369</v>
      </c>
      <c r="X10" s="10">
        <v>728</v>
      </c>
      <c r="Y10" s="10">
        <v>707</v>
      </c>
      <c r="Z10" s="10">
        <v>744</v>
      </c>
      <c r="AA10" s="10">
        <v>747</v>
      </c>
      <c r="AB10" s="10">
        <v>717</v>
      </c>
      <c r="AC10" s="10">
        <v>668</v>
      </c>
      <c r="AD10" s="10">
        <v>720</v>
      </c>
      <c r="AE10" s="10">
        <v>701</v>
      </c>
      <c r="AF10" s="10">
        <v>775</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707</v>
      </c>
      <c r="C12" s="12">
        <v>3867</v>
      </c>
      <c r="D12" s="12">
        <v>93</v>
      </c>
      <c r="E12" s="12">
        <v>148</v>
      </c>
      <c r="F12" s="12">
        <v>88</v>
      </c>
      <c r="G12" s="12">
        <v>143</v>
      </c>
      <c r="H12" s="12">
        <v>137</v>
      </c>
      <c r="I12" s="12">
        <v>160</v>
      </c>
      <c r="J12" s="12">
        <v>23</v>
      </c>
      <c r="K12" s="12">
        <v>71</v>
      </c>
      <c r="L12" s="12">
        <v>275</v>
      </c>
      <c r="M12" s="12">
        <v>245</v>
      </c>
      <c r="N12" s="12">
        <v>242</v>
      </c>
      <c r="O12" s="12">
        <v>118</v>
      </c>
      <c r="P12" s="12">
        <v>198</v>
      </c>
      <c r="Q12" s="12">
        <v>167</v>
      </c>
      <c r="R12" s="12">
        <v>176</v>
      </c>
      <c r="S12" s="12">
        <v>195</v>
      </c>
      <c r="T12" s="12">
        <v>140</v>
      </c>
      <c r="U12" s="12">
        <v>132</v>
      </c>
      <c r="V12" s="12">
        <v>141</v>
      </c>
      <c r="W12" s="12">
        <v>126</v>
      </c>
      <c r="X12" s="12">
        <v>127</v>
      </c>
      <c r="Y12" s="12">
        <v>221</v>
      </c>
      <c r="Z12" s="12">
        <v>78</v>
      </c>
      <c r="AA12" s="12">
        <v>192</v>
      </c>
      <c r="AB12" s="12">
        <v>152</v>
      </c>
      <c r="AC12" s="12">
        <v>229</v>
      </c>
      <c r="AD12" s="12">
        <v>154</v>
      </c>
      <c r="AE12" s="12">
        <v>151</v>
      </c>
      <c r="AF12" s="12">
        <v>222</v>
      </c>
    </row>
    <row r="13" spans="1:32">
      <c r="A13" s="23"/>
      <c r="B13" s="13" t="s">
        <v>708</v>
      </c>
      <c r="C13" s="14">
        <v>0.21</v>
      </c>
      <c r="D13" s="14">
        <v>0.14000000000000001</v>
      </c>
      <c r="E13" s="14">
        <v>0.2</v>
      </c>
      <c r="F13" s="14">
        <v>0.13</v>
      </c>
      <c r="G13" s="14">
        <v>0.2</v>
      </c>
      <c r="H13" s="14">
        <v>0.17</v>
      </c>
      <c r="I13" s="14">
        <v>0.16</v>
      </c>
      <c r="J13" s="14">
        <v>0.11</v>
      </c>
      <c r="K13" s="14">
        <v>0.09</v>
      </c>
      <c r="L13" s="14">
        <v>0.37</v>
      </c>
      <c r="M13" s="14">
        <v>0.35</v>
      </c>
      <c r="N13" s="14">
        <v>0.34</v>
      </c>
      <c r="O13" s="14">
        <v>0.18</v>
      </c>
      <c r="P13" s="14">
        <v>0.28999999999999998</v>
      </c>
      <c r="Q13" s="14">
        <v>0.23</v>
      </c>
      <c r="R13" s="14">
        <v>0.48</v>
      </c>
      <c r="S13" s="14">
        <v>0.27</v>
      </c>
      <c r="T13" s="14">
        <v>0.21</v>
      </c>
      <c r="U13" s="14">
        <v>0.35</v>
      </c>
      <c r="V13" s="14">
        <v>0.19</v>
      </c>
      <c r="W13" s="14">
        <v>0.34</v>
      </c>
      <c r="X13" s="14">
        <v>0.17</v>
      </c>
      <c r="Y13" s="14">
        <v>0.31</v>
      </c>
      <c r="Z13" s="14">
        <v>0.1</v>
      </c>
      <c r="AA13" s="14">
        <v>0.26</v>
      </c>
      <c r="AB13" s="14">
        <v>0.21</v>
      </c>
      <c r="AC13" s="14">
        <v>0.34</v>
      </c>
      <c r="AD13" s="14">
        <v>0.21</v>
      </c>
      <c r="AE13" s="14">
        <v>0.22</v>
      </c>
      <c r="AF13" s="14">
        <v>0.28999999999999998</v>
      </c>
    </row>
    <row r="14" spans="1:32">
      <c r="A14" s="23"/>
      <c r="B14" s="11" t="s">
        <v>709</v>
      </c>
      <c r="C14" s="12">
        <v>8953</v>
      </c>
      <c r="D14" s="12">
        <v>370</v>
      </c>
      <c r="E14" s="12">
        <v>350</v>
      </c>
      <c r="F14" s="12">
        <v>258</v>
      </c>
      <c r="G14" s="12">
        <v>247</v>
      </c>
      <c r="H14" s="12">
        <v>350</v>
      </c>
      <c r="I14" s="12">
        <v>426</v>
      </c>
      <c r="J14" s="12">
        <v>76</v>
      </c>
      <c r="K14" s="12">
        <v>184</v>
      </c>
      <c r="L14" s="12">
        <v>287</v>
      </c>
      <c r="M14" s="12">
        <v>309</v>
      </c>
      <c r="N14" s="12">
        <v>334</v>
      </c>
      <c r="O14" s="12">
        <v>327</v>
      </c>
      <c r="P14" s="12">
        <v>362</v>
      </c>
      <c r="Q14" s="12">
        <v>463</v>
      </c>
      <c r="R14" s="12">
        <v>143</v>
      </c>
      <c r="S14" s="12">
        <v>280</v>
      </c>
      <c r="T14" s="12">
        <v>308</v>
      </c>
      <c r="U14" s="12">
        <v>159</v>
      </c>
      <c r="V14" s="12">
        <v>427</v>
      </c>
      <c r="W14" s="12">
        <v>168</v>
      </c>
      <c r="X14" s="12">
        <v>273</v>
      </c>
      <c r="Y14" s="12">
        <v>258</v>
      </c>
      <c r="Z14" s="12">
        <v>413</v>
      </c>
      <c r="AA14" s="12">
        <v>371</v>
      </c>
      <c r="AB14" s="12">
        <v>379</v>
      </c>
      <c r="AC14" s="12">
        <v>278</v>
      </c>
      <c r="AD14" s="12">
        <v>365</v>
      </c>
      <c r="AE14" s="12">
        <v>328</v>
      </c>
      <c r="AF14" s="12">
        <v>327</v>
      </c>
    </row>
    <row r="15" spans="1:32">
      <c r="A15" s="23"/>
      <c r="B15" s="13" t="s">
        <v>710</v>
      </c>
      <c r="C15" s="14">
        <v>0.49</v>
      </c>
      <c r="D15" s="14">
        <v>0.54</v>
      </c>
      <c r="E15" s="14">
        <v>0.48</v>
      </c>
      <c r="F15" s="14">
        <v>0.36</v>
      </c>
      <c r="G15" s="14">
        <v>0.35</v>
      </c>
      <c r="H15" s="14">
        <v>0.44</v>
      </c>
      <c r="I15" s="14">
        <v>0.42</v>
      </c>
      <c r="J15" s="14">
        <v>0.37</v>
      </c>
      <c r="K15" s="14">
        <v>0.25</v>
      </c>
      <c r="L15" s="14">
        <v>0.39</v>
      </c>
      <c r="M15" s="14">
        <v>0.44</v>
      </c>
      <c r="N15" s="14">
        <v>0.47</v>
      </c>
      <c r="O15" s="14">
        <v>0.5</v>
      </c>
      <c r="P15" s="14">
        <v>0.53</v>
      </c>
      <c r="Q15" s="14">
        <v>0.63</v>
      </c>
      <c r="R15" s="14">
        <v>0.39</v>
      </c>
      <c r="S15" s="14">
        <v>0.39</v>
      </c>
      <c r="T15" s="14">
        <v>0.45</v>
      </c>
      <c r="U15" s="14">
        <v>0.43</v>
      </c>
      <c r="V15" s="14">
        <v>0.57000000000000006</v>
      </c>
      <c r="W15" s="14">
        <v>0.46</v>
      </c>
      <c r="X15" s="14">
        <v>0.37</v>
      </c>
      <c r="Y15" s="14">
        <v>0.37</v>
      </c>
      <c r="Z15" s="14">
        <v>0.56000000000000005</v>
      </c>
      <c r="AA15" s="14">
        <v>0.5</v>
      </c>
      <c r="AB15" s="14">
        <v>0.53</v>
      </c>
      <c r="AC15" s="14">
        <v>0.42</v>
      </c>
      <c r="AD15" s="14">
        <v>0.51</v>
      </c>
      <c r="AE15" s="14">
        <v>0.47</v>
      </c>
      <c r="AF15" s="14">
        <v>0.42</v>
      </c>
    </row>
    <row r="16" spans="1:32">
      <c r="A16" s="23"/>
      <c r="B16" s="11" t="s">
        <v>711</v>
      </c>
      <c r="C16" s="12">
        <v>3716</v>
      </c>
      <c r="D16" s="12">
        <v>177</v>
      </c>
      <c r="E16" s="12">
        <v>131</v>
      </c>
      <c r="F16" s="12">
        <v>238</v>
      </c>
      <c r="G16" s="12">
        <v>159</v>
      </c>
      <c r="H16" s="12">
        <v>217</v>
      </c>
      <c r="I16" s="12">
        <v>287</v>
      </c>
      <c r="J16" s="12">
        <v>69</v>
      </c>
      <c r="K16" s="12">
        <v>208</v>
      </c>
      <c r="L16" s="12">
        <v>107</v>
      </c>
      <c r="M16" s="12">
        <v>102</v>
      </c>
      <c r="N16" s="12">
        <v>86</v>
      </c>
      <c r="O16" s="12">
        <v>150</v>
      </c>
      <c r="P16" s="12">
        <v>85</v>
      </c>
      <c r="Q16" s="12">
        <v>62</v>
      </c>
      <c r="R16" s="12">
        <v>29</v>
      </c>
      <c r="S16" s="12">
        <v>123</v>
      </c>
      <c r="T16" s="12">
        <v>170</v>
      </c>
      <c r="U16" s="12">
        <v>48</v>
      </c>
      <c r="V16" s="12">
        <v>121</v>
      </c>
      <c r="W16" s="12">
        <v>44</v>
      </c>
      <c r="X16" s="12">
        <v>208</v>
      </c>
      <c r="Y16" s="12">
        <v>124</v>
      </c>
      <c r="Z16" s="12">
        <v>186</v>
      </c>
      <c r="AA16" s="12">
        <v>156</v>
      </c>
      <c r="AB16" s="12">
        <v>143</v>
      </c>
      <c r="AC16" s="12">
        <v>108</v>
      </c>
      <c r="AD16" s="12">
        <v>137</v>
      </c>
      <c r="AE16" s="12">
        <v>142</v>
      </c>
      <c r="AF16" s="12">
        <v>146</v>
      </c>
    </row>
    <row r="17" spans="1:32">
      <c r="A17" s="23"/>
      <c r="B17" s="13" t="s">
        <v>712</v>
      </c>
      <c r="C17" s="14">
        <v>0.2</v>
      </c>
      <c r="D17" s="14">
        <v>0.26</v>
      </c>
      <c r="E17" s="14">
        <v>0.18</v>
      </c>
      <c r="F17" s="14">
        <v>0.33</v>
      </c>
      <c r="G17" s="14">
        <v>0.23</v>
      </c>
      <c r="H17" s="14">
        <v>0.27</v>
      </c>
      <c r="I17" s="14">
        <v>0.28000000000000003</v>
      </c>
      <c r="J17" s="14">
        <v>0.34</v>
      </c>
      <c r="K17" s="14">
        <v>0.28000000000000003</v>
      </c>
      <c r="L17" s="14">
        <v>0.15</v>
      </c>
      <c r="M17" s="14">
        <v>0.14000000000000001</v>
      </c>
      <c r="N17" s="14">
        <v>0.12</v>
      </c>
      <c r="O17" s="14">
        <v>0.23</v>
      </c>
      <c r="P17" s="14">
        <v>0.12</v>
      </c>
      <c r="Q17" s="14">
        <v>0.09</v>
      </c>
      <c r="R17" s="14">
        <v>0.08</v>
      </c>
      <c r="S17" s="14">
        <v>0.17</v>
      </c>
      <c r="T17" s="14">
        <v>0.25</v>
      </c>
      <c r="U17" s="14">
        <v>0.13</v>
      </c>
      <c r="V17" s="14">
        <v>0.16</v>
      </c>
      <c r="W17" s="14">
        <v>0.12</v>
      </c>
      <c r="X17" s="14">
        <v>0.28999999999999998</v>
      </c>
      <c r="Y17" s="14">
        <v>0.18</v>
      </c>
      <c r="Z17" s="14">
        <v>0.25</v>
      </c>
      <c r="AA17" s="14">
        <v>0.21</v>
      </c>
      <c r="AB17" s="14">
        <v>0.2</v>
      </c>
      <c r="AC17" s="14">
        <v>0.16</v>
      </c>
      <c r="AD17" s="14">
        <v>0.19</v>
      </c>
      <c r="AE17" s="14">
        <v>0.2</v>
      </c>
      <c r="AF17" s="14">
        <v>0.19</v>
      </c>
    </row>
    <row r="18" spans="1:32">
      <c r="A18" s="23"/>
      <c r="B18" s="11" t="s">
        <v>713</v>
      </c>
      <c r="C18" s="12">
        <v>1280</v>
      </c>
      <c r="D18" s="12">
        <v>40</v>
      </c>
      <c r="E18" s="12">
        <v>45</v>
      </c>
      <c r="F18" s="12">
        <v>94</v>
      </c>
      <c r="G18" s="12">
        <v>115</v>
      </c>
      <c r="H18" s="12">
        <v>72</v>
      </c>
      <c r="I18" s="12">
        <v>106</v>
      </c>
      <c r="J18" s="12">
        <v>34</v>
      </c>
      <c r="K18" s="12">
        <v>220</v>
      </c>
      <c r="L18" s="12">
        <v>50</v>
      </c>
      <c r="M18" s="12">
        <v>32</v>
      </c>
      <c r="N18" s="12">
        <v>26</v>
      </c>
      <c r="O18" s="12">
        <v>52</v>
      </c>
      <c r="P18" s="12">
        <v>29</v>
      </c>
      <c r="Q18" s="12">
        <v>16</v>
      </c>
      <c r="R18" s="12">
        <v>15</v>
      </c>
      <c r="S18" s="12">
        <v>106</v>
      </c>
      <c r="T18" s="12">
        <v>42</v>
      </c>
      <c r="U18" s="12">
        <v>25</v>
      </c>
      <c r="V18" s="12">
        <v>38</v>
      </c>
      <c r="W18" s="12">
        <v>24</v>
      </c>
      <c r="X18" s="12">
        <v>107</v>
      </c>
      <c r="Y18" s="12">
        <v>94</v>
      </c>
      <c r="Z18" s="12">
        <v>35</v>
      </c>
      <c r="AA18" s="12">
        <v>10</v>
      </c>
      <c r="AB18" s="12">
        <v>33</v>
      </c>
      <c r="AC18" s="12">
        <v>48</v>
      </c>
      <c r="AD18" s="12">
        <v>30</v>
      </c>
      <c r="AE18" s="12">
        <v>70</v>
      </c>
      <c r="AF18" s="12">
        <v>71</v>
      </c>
    </row>
    <row r="19" spans="1:32">
      <c r="A19" s="23"/>
      <c r="B19" s="13" t="s">
        <v>714</v>
      </c>
      <c r="C19" s="14">
        <v>7.0000000000000007E-2</v>
      </c>
      <c r="D19" s="14">
        <v>0.06</v>
      </c>
      <c r="E19" s="14">
        <v>0.06</v>
      </c>
      <c r="F19" s="14">
        <v>0.13</v>
      </c>
      <c r="G19" s="14">
        <v>0.16</v>
      </c>
      <c r="H19" s="14">
        <v>0.09</v>
      </c>
      <c r="I19" s="14">
        <v>0.11</v>
      </c>
      <c r="J19" s="14">
        <v>0.17</v>
      </c>
      <c r="K19" s="14">
        <v>0.3</v>
      </c>
      <c r="L19" s="14">
        <v>7.0000000000000007E-2</v>
      </c>
      <c r="M19" s="14">
        <v>0.05</v>
      </c>
      <c r="N19" s="14">
        <v>0.04</v>
      </c>
      <c r="O19" s="14">
        <v>0.08</v>
      </c>
      <c r="P19" s="14">
        <v>0.04</v>
      </c>
      <c r="Q19" s="14">
        <v>0.02</v>
      </c>
      <c r="R19" s="14">
        <v>0.04</v>
      </c>
      <c r="S19" s="14">
        <v>0.15</v>
      </c>
      <c r="T19" s="14">
        <v>0.06</v>
      </c>
      <c r="U19" s="14">
        <v>7.0000000000000007E-2</v>
      </c>
      <c r="V19" s="14">
        <v>0.05</v>
      </c>
      <c r="W19" s="14">
        <v>0.06</v>
      </c>
      <c r="X19" s="14">
        <v>0.15</v>
      </c>
      <c r="Y19" s="14">
        <v>0.13</v>
      </c>
      <c r="Z19" s="14">
        <v>0.05</v>
      </c>
      <c r="AA19" s="14">
        <v>0.01</v>
      </c>
      <c r="AB19" s="14">
        <v>0.05</v>
      </c>
      <c r="AC19" s="14">
        <v>7.0000000000000007E-2</v>
      </c>
      <c r="AD19" s="14">
        <v>0.04</v>
      </c>
      <c r="AE19" s="14">
        <v>0.1</v>
      </c>
      <c r="AF19" s="14">
        <v>0.09</v>
      </c>
    </row>
    <row r="20" spans="1:32">
      <c r="A20" s="23"/>
      <c r="B20" s="11" t="s">
        <v>497</v>
      </c>
      <c r="C20" s="12">
        <v>489</v>
      </c>
      <c r="D20" s="12">
        <v>1</v>
      </c>
      <c r="E20" s="12">
        <v>54</v>
      </c>
      <c r="F20" s="12">
        <v>36</v>
      </c>
      <c r="G20" s="12">
        <v>41</v>
      </c>
      <c r="H20" s="12">
        <v>28</v>
      </c>
      <c r="I20" s="12">
        <v>30</v>
      </c>
      <c r="J20" s="12">
        <v>2</v>
      </c>
      <c r="K20" s="12">
        <v>58</v>
      </c>
      <c r="L20" s="12">
        <v>15</v>
      </c>
      <c r="M20" s="12">
        <v>11</v>
      </c>
      <c r="N20" s="12">
        <v>22</v>
      </c>
      <c r="O20" s="12">
        <v>8</v>
      </c>
      <c r="P20" s="12">
        <v>14</v>
      </c>
      <c r="Q20" s="12">
        <v>22</v>
      </c>
      <c r="R20" s="12">
        <v>4</v>
      </c>
      <c r="S20" s="12">
        <v>14</v>
      </c>
      <c r="T20" s="12">
        <v>22</v>
      </c>
      <c r="U20" s="12">
        <v>7</v>
      </c>
      <c r="V20" s="12">
        <v>20</v>
      </c>
      <c r="W20" s="12">
        <v>7</v>
      </c>
      <c r="X20" s="12">
        <v>12</v>
      </c>
      <c r="Y20" s="12">
        <v>10</v>
      </c>
      <c r="Z20" s="12">
        <v>32</v>
      </c>
      <c r="AA20" s="12">
        <v>18</v>
      </c>
      <c r="AB20" s="12">
        <v>10</v>
      </c>
      <c r="AC20" s="12">
        <v>4</v>
      </c>
      <c r="AD20" s="12">
        <v>33</v>
      </c>
      <c r="AE20" s="12">
        <v>9</v>
      </c>
      <c r="AF20" s="12">
        <v>8</v>
      </c>
    </row>
    <row r="21" spans="1:32">
      <c r="A21" s="23"/>
      <c r="B21" s="13" t="s">
        <v>498</v>
      </c>
      <c r="C21" s="14">
        <v>0.03</v>
      </c>
      <c r="D21" s="15" t="s">
        <v>485</v>
      </c>
      <c r="E21" s="14">
        <v>0.08</v>
      </c>
      <c r="F21" s="14">
        <v>0.05</v>
      </c>
      <c r="G21" s="14">
        <v>0.06</v>
      </c>
      <c r="H21" s="14">
        <v>0.03</v>
      </c>
      <c r="I21" s="14">
        <v>0.03</v>
      </c>
      <c r="J21" s="14">
        <v>0.01</v>
      </c>
      <c r="K21" s="14">
        <v>0.08</v>
      </c>
      <c r="L21" s="14">
        <v>0.02</v>
      </c>
      <c r="M21" s="14">
        <v>0.02</v>
      </c>
      <c r="N21" s="14">
        <v>0.03</v>
      </c>
      <c r="O21" s="14">
        <v>0.01</v>
      </c>
      <c r="P21" s="14">
        <v>0.02</v>
      </c>
      <c r="Q21" s="14">
        <v>0.03</v>
      </c>
      <c r="R21" s="14">
        <v>0.01</v>
      </c>
      <c r="S21" s="14">
        <v>0.02</v>
      </c>
      <c r="T21" s="14">
        <v>0.03</v>
      </c>
      <c r="U21" s="14">
        <v>0.02</v>
      </c>
      <c r="V21" s="14">
        <v>0.03</v>
      </c>
      <c r="W21" s="14">
        <v>0.02</v>
      </c>
      <c r="X21" s="14">
        <v>0.02</v>
      </c>
      <c r="Y21" s="14">
        <v>0.01</v>
      </c>
      <c r="Z21" s="14">
        <v>0.04</v>
      </c>
      <c r="AA21" s="14">
        <v>0.02</v>
      </c>
      <c r="AB21" s="14">
        <v>0.01</v>
      </c>
      <c r="AC21" s="14">
        <v>0.01</v>
      </c>
      <c r="AD21" s="14">
        <v>0.05</v>
      </c>
      <c r="AE21" s="14">
        <v>0.01</v>
      </c>
      <c r="AF21" s="14">
        <v>0.01</v>
      </c>
    </row>
    <row r="22" spans="1:32">
      <c r="A22" s="23"/>
      <c r="B22" s="11" t="s">
        <v>715</v>
      </c>
      <c r="C22" s="12">
        <v>12820</v>
      </c>
      <c r="D22" s="12">
        <v>463</v>
      </c>
      <c r="E22" s="12">
        <v>498</v>
      </c>
      <c r="F22" s="12">
        <v>346</v>
      </c>
      <c r="G22" s="12">
        <v>390</v>
      </c>
      <c r="H22" s="12">
        <v>487</v>
      </c>
      <c r="I22" s="12">
        <v>586</v>
      </c>
      <c r="J22" s="12">
        <v>99</v>
      </c>
      <c r="K22" s="12">
        <v>255</v>
      </c>
      <c r="L22" s="12">
        <v>562</v>
      </c>
      <c r="M22" s="12">
        <v>554</v>
      </c>
      <c r="N22" s="12">
        <v>576</v>
      </c>
      <c r="O22" s="12">
        <v>445</v>
      </c>
      <c r="P22" s="12">
        <v>560</v>
      </c>
      <c r="Q22" s="12">
        <v>630</v>
      </c>
      <c r="R22" s="12">
        <v>319</v>
      </c>
      <c r="S22" s="12">
        <v>475</v>
      </c>
      <c r="T22" s="12">
        <v>448</v>
      </c>
      <c r="U22" s="12">
        <v>291</v>
      </c>
      <c r="V22" s="12">
        <v>568</v>
      </c>
      <c r="W22" s="12">
        <v>294</v>
      </c>
      <c r="X22" s="12">
        <v>400</v>
      </c>
      <c r="Y22" s="12">
        <v>479</v>
      </c>
      <c r="Z22" s="12">
        <v>491</v>
      </c>
      <c r="AA22" s="12">
        <v>563</v>
      </c>
      <c r="AB22" s="12">
        <v>531</v>
      </c>
      <c r="AC22" s="12">
        <v>507</v>
      </c>
      <c r="AD22" s="12">
        <v>519</v>
      </c>
      <c r="AE22" s="12">
        <v>479</v>
      </c>
      <c r="AF22" s="12">
        <v>549</v>
      </c>
    </row>
    <row r="23" spans="1:32">
      <c r="A23" s="23"/>
      <c r="B23" s="13" t="s">
        <v>716</v>
      </c>
      <c r="C23" s="14">
        <v>0.70000000000000007</v>
      </c>
      <c r="D23" s="14">
        <v>0.68</v>
      </c>
      <c r="E23" s="14">
        <v>0.68</v>
      </c>
      <c r="F23" s="14">
        <v>0.49</v>
      </c>
      <c r="G23" s="14">
        <v>0.55000000000000004</v>
      </c>
      <c r="H23" s="14">
        <v>0.61</v>
      </c>
      <c r="I23" s="14">
        <v>0.57999999999999996</v>
      </c>
      <c r="J23" s="14">
        <v>0.48</v>
      </c>
      <c r="K23" s="14">
        <v>0.34</v>
      </c>
      <c r="L23" s="14">
        <v>0.76</v>
      </c>
      <c r="M23" s="14">
        <v>0.79</v>
      </c>
      <c r="N23" s="14">
        <v>0.81</v>
      </c>
      <c r="O23" s="14">
        <v>0.68</v>
      </c>
      <c r="P23" s="14">
        <v>0.82000000000000006</v>
      </c>
      <c r="Q23" s="14">
        <v>0.86</v>
      </c>
      <c r="R23" s="14">
        <v>0.87</v>
      </c>
      <c r="S23" s="14">
        <v>0.66</v>
      </c>
      <c r="T23" s="14">
        <v>0.66</v>
      </c>
      <c r="U23" s="14">
        <v>0.78</v>
      </c>
      <c r="V23" s="14">
        <v>0.76</v>
      </c>
      <c r="W23" s="14">
        <v>0.8</v>
      </c>
      <c r="X23" s="14">
        <v>0.54</v>
      </c>
      <c r="Y23" s="14">
        <v>0.68</v>
      </c>
      <c r="Z23" s="14">
        <v>0.66</v>
      </c>
      <c r="AA23" s="14">
        <v>0.76</v>
      </c>
      <c r="AB23" s="14">
        <v>0.74</v>
      </c>
      <c r="AC23" s="14">
        <v>0.76</v>
      </c>
      <c r="AD23" s="14">
        <v>0.72</v>
      </c>
      <c r="AE23" s="14">
        <v>0.69000000000000006</v>
      </c>
      <c r="AF23" s="14">
        <v>0.71</v>
      </c>
    </row>
    <row r="24" spans="1:32">
      <c r="A24" s="23"/>
      <c r="B24" s="11" t="s">
        <v>717</v>
      </c>
      <c r="C24" s="12">
        <v>4996</v>
      </c>
      <c r="D24" s="12">
        <v>217</v>
      </c>
      <c r="E24" s="12">
        <v>176</v>
      </c>
      <c r="F24" s="12">
        <v>332</v>
      </c>
      <c r="G24" s="12">
        <v>274</v>
      </c>
      <c r="H24" s="12">
        <v>289</v>
      </c>
      <c r="I24" s="12">
        <v>393</v>
      </c>
      <c r="J24" s="12">
        <v>103</v>
      </c>
      <c r="K24" s="12">
        <v>428</v>
      </c>
      <c r="L24" s="12">
        <v>157</v>
      </c>
      <c r="M24" s="12">
        <v>134</v>
      </c>
      <c r="N24" s="12">
        <v>112</v>
      </c>
      <c r="O24" s="12">
        <v>202</v>
      </c>
      <c r="P24" s="12">
        <v>114</v>
      </c>
      <c r="Q24" s="12">
        <v>78</v>
      </c>
      <c r="R24" s="12">
        <v>44</v>
      </c>
      <c r="S24" s="12">
        <v>229</v>
      </c>
      <c r="T24" s="12">
        <v>212</v>
      </c>
      <c r="U24" s="12">
        <v>73</v>
      </c>
      <c r="V24" s="12">
        <v>159</v>
      </c>
      <c r="W24" s="12">
        <v>68</v>
      </c>
      <c r="X24" s="12">
        <v>315</v>
      </c>
      <c r="Y24" s="12">
        <v>218</v>
      </c>
      <c r="Z24" s="12">
        <v>221</v>
      </c>
      <c r="AA24" s="12">
        <v>166</v>
      </c>
      <c r="AB24" s="12">
        <v>176</v>
      </c>
      <c r="AC24" s="12">
        <v>156</v>
      </c>
      <c r="AD24" s="12">
        <v>167</v>
      </c>
      <c r="AE24" s="12">
        <v>212</v>
      </c>
      <c r="AF24" s="12">
        <v>217</v>
      </c>
    </row>
    <row r="25" spans="1:32">
      <c r="A25" s="23"/>
      <c r="B25" s="13" t="s">
        <v>718</v>
      </c>
      <c r="C25" s="14">
        <v>0.27</v>
      </c>
      <c r="D25" s="14">
        <v>0.32</v>
      </c>
      <c r="E25" s="14">
        <v>0.24</v>
      </c>
      <c r="F25" s="14">
        <v>0.46</v>
      </c>
      <c r="G25" s="14">
        <v>0.39</v>
      </c>
      <c r="H25" s="14">
        <v>0.36</v>
      </c>
      <c r="I25" s="14">
        <v>0.39</v>
      </c>
      <c r="J25" s="14">
        <v>0.51</v>
      </c>
      <c r="K25" s="14">
        <v>0.57999999999999996</v>
      </c>
      <c r="L25" s="14">
        <v>0.22</v>
      </c>
      <c r="M25" s="14">
        <v>0.19</v>
      </c>
      <c r="N25" s="14">
        <v>0.16</v>
      </c>
      <c r="O25" s="14">
        <v>0.31</v>
      </c>
      <c r="P25" s="14">
        <v>0.16</v>
      </c>
      <c r="Q25" s="14">
        <v>0.11</v>
      </c>
      <c r="R25" s="14">
        <v>0.12</v>
      </c>
      <c r="S25" s="14">
        <v>0.32</v>
      </c>
      <c r="T25" s="14">
        <v>0.31</v>
      </c>
      <c r="U25" s="14">
        <v>0.2</v>
      </c>
      <c r="V25" s="14">
        <v>0.21</v>
      </c>
      <c r="W25" s="14">
        <v>0.18</v>
      </c>
      <c r="X25" s="14">
        <v>0.44</v>
      </c>
      <c r="Y25" s="14">
        <v>0.31</v>
      </c>
      <c r="Z25" s="14">
        <v>0.3</v>
      </c>
      <c r="AA25" s="14">
        <v>0.22</v>
      </c>
      <c r="AB25" s="14">
        <v>0.25</v>
      </c>
      <c r="AC25" s="14">
        <v>0.23</v>
      </c>
      <c r="AD25" s="14">
        <v>0.23</v>
      </c>
      <c r="AE25" s="14">
        <v>0.3</v>
      </c>
      <c r="AF25" s="14">
        <v>0.28000000000000003</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983</v>
      </c>
      <c r="C3" s="19"/>
      <c r="D3" s="19"/>
      <c r="E3" s="19"/>
      <c r="F3" s="19"/>
      <c r="H3" s="19" t="s">
        <v>984</v>
      </c>
      <c r="I3" s="19"/>
      <c r="J3" s="19"/>
      <c r="K3" s="19"/>
      <c r="L3" s="19"/>
    </row>
    <row r="4" spans="1:32" ht="27" customHeight="1">
      <c r="B4" s="19" t="s">
        <v>985</v>
      </c>
      <c r="C4" s="19"/>
      <c r="D4" s="19"/>
      <c r="E4" s="19"/>
      <c r="F4" s="19"/>
      <c r="H4" s="19" t="s">
        <v>986</v>
      </c>
      <c r="I4" s="19"/>
      <c r="J4" s="19"/>
      <c r="K4" s="19"/>
      <c r="L4" s="19"/>
    </row>
    <row r="5" spans="1:32" ht="24" customHeight="1">
      <c r="B5" s="19" t="s">
        <v>973</v>
      </c>
      <c r="C5" s="19"/>
      <c r="D5" s="19"/>
      <c r="E5" s="19"/>
      <c r="F5" s="19"/>
      <c r="H5" s="19" t="s">
        <v>974</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HYPERLINK("#Content!A68","&lt;&lt;Back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18303</v>
      </c>
      <c r="D10" s="10">
        <v>681</v>
      </c>
      <c r="E10" s="10">
        <v>727</v>
      </c>
      <c r="F10" s="10">
        <v>715</v>
      </c>
      <c r="G10" s="10">
        <v>704</v>
      </c>
      <c r="H10" s="10">
        <v>804</v>
      </c>
      <c r="I10" s="10">
        <v>1008</v>
      </c>
      <c r="J10" s="10">
        <v>203</v>
      </c>
      <c r="K10" s="10">
        <v>741</v>
      </c>
      <c r="L10" s="10">
        <v>734</v>
      </c>
      <c r="M10" s="10">
        <v>699</v>
      </c>
      <c r="N10" s="10">
        <v>711</v>
      </c>
      <c r="O10" s="10">
        <v>655</v>
      </c>
      <c r="P10" s="10">
        <v>689</v>
      </c>
      <c r="Q10" s="10">
        <v>729</v>
      </c>
      <c r="R10" s="10">
        <v>367</v>
      </c>
      <c r="S10" s="10">
        <v>719</v>
      </c>
      <c r="T10" s="10">
        <v>682</v>
      </c>
      <c r="U10" s="10">
        <v>371</v>
      </c>
      <c r="V10" s="10">
        <v>746</v>
      </c>
      <c r="W10" s="10">
        <v>369</v>
      </c>
      <c r="X10" s="10">
        <v>728</v>
      </c>
      <c r="Y10" s="10">
        <v>707</v>
      </c>
      <c r="Z10" s="10">
        <v>744</v>
      </c>
      <c r="AA10" s="10">
        <v>747</v>
      </c>
      <c r="AB10" s="10">
        <v>717</v>
      </c>
      <c r="AC10" s="10">
        <v>668</v>
      </c>
      <c r="AD10" s="10">
        <v>720</v>
      </c>
      <c r="AE10" s="10">
        <v>701</v>
      </c>
      <c r="AF10" s="10">
        <v>775</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707</v>
      </c>
      <c r="C12" s="12">
        <v>4453</v>
      </c>
      <c r="D12" s="12">
        <v>111</v>
      </c>
      <c r="E12" s="12">
        <v>165</v>
      </c>
      <c r="F12" s="12">
        <v>79</v>
      </c>
      <c r="G12" s="12">
        <v>162</v>
      </c>
      <c r="H12" s="12">
        <v>170</v>
      </c>
      <c r="I12" s="12">
        <v>192</v>
      </c>
      <c r="J12" s="12">
        <v>22</v>
      </c>
      <c r="K12" s="12">
        <v>56</v>
      </c>
      <c r="L12" s="12">
        <v>291</v>
      </c>
      <c r="M12" s="12">
        <v>252</v>
      </c>
      <c r="N12" s="12">
        <v>248</v>
      </c>
      <c r="O12" s="12">
        <v>162</v>
      </c>
      <c r="P12" s="12">
        <v>210</v>
      </c>
      <c r="Q12" s="12">
        <v>213</v>
      </c>
      <c r="R12" s="12">
        <v>171</v>
      </c>
      <c r="S12" s="12">
        <v>155</v>
      </c>
      <c r="T12" s="12">
        <v>148</v>
      </c>
      <c r="U12" s="12">
        <v>138</v>
      </c>
      <c r="V12" s="12">
        <v>172</v>
      </c>
      <c r="W12" s="12">
        <v>126</v>
      </c>
      <c r="X12" s="12">
        <v>103</v>
      </c>
      <c r="Y12" s="12">
        <v>233</v>
      </c>
      <c r="Z12" s="12">
        <v>115</v>
      </c>
      <c r="AA12" s="12">
        <v>178</v>
      </c>
      <c r="AB12" s="12">
        <v>157</v>
      </c>
      <c r="AC12" s="12">
        <v>221</v>
      </c>
      <c r="AD12" s="12">
        <v>141</v>
      </c>
      <c r="AE12" s="12">
        <v>160</v>
      </c>
      <c r="AF12" s="12">
        <v>290</v>
      </c>
    </row>
    <row r="13" spans="1:32">
      <c r="A13" s="23"/>
      <c r="B13" s="13" t="s">
        <v>708</v>
      </c>
      <c r="C13" s="14">
        <v>0.24</v>
      </c>
      <c r="D13" s="14">
        <v>0.16</v>
      </c>
      <c r="E13" s="14">
        <v>0.23</v>
      </c>
      <c r="F13" s="14">
        <v>0.11</v>
      </c>
      <c r="G13" s="14">
        <v>0.23</v>
      </c>
      <c r="H13" s="14">
        <v>0.21</v>
      </c>
      <c r="I13" s="14">
        <v>0.19</v>
      </c>
      <c r="J13" s="14">
        <v>0.11</v>
      </c>
      <c r="K13" s="14">
        <v>0.08</v>
      </c>
      <c r="L13" s="14">
        <v>0.4</v>
      </c>
      <c r="M13" s="14">
        <v>0.36</v>
      </c>
      <c r="N13" s="14">
        <v>0.35</v>
      </c>
      <c r="O13" s="14">
        <v>0.25</v>
      </c>
      <c r="P13" s="14">
        <v>0.3</v>
      </c>
      <c r="Q13" s="14">
        <v>0.28999999999999998</v>
      </c>
      <c r="R13" s="14">
        <v>0.47</v>
      </c>
      <c r="S13" s="14">
        <v>0.21</v>
      </c>
      <c r="T13" s="14">
        <v>0.22</v>
      </c>
      <c r="U13" s="14">
        <v>0.37</v>
      </c>
      <c r="V13" s="14">
        <v>0.23</v>
      </c>
      <c r="W13" s="14">
        <v>0.34</v>
      </c>
      <c r="X13" s="14">
        <v>0.14000000000000001</v>
      </c>
      <c r="Y13" s="14">
        <v>0.33</v>
      </c>
      <c r="Z13" s="14">
        <v>0.15</v>
      </c>
      <c r="AA13" s="14">
        <v>0.24</v>
      </c>
      <c r="AB13" s="14">
        <v>0.22</v>
      </c>
      <c r="AC13" s="14">
        <v>0.33</v>
      </c>
      <c r="AD13" s="14">
        <v>0.2</v>
      </c>
      <c r="AE13" s="14">
        <v>0.23</v>
      </c>
      <c r="AF13" s="14">
        <v>0.37</v>
      </c>
    </row>
    <row r="14" spans="1:32">
      <c r="A14" s="23"/>
      <c r="B14" s="11" t="s">
        <v>709</v>
      </c>
      <c r="C14" s="12">
        <v>8503</v>
      </c>
      <c r="D14" s="12">
        <v>360</v>
      </c>
      <c r="E14" s="12">
        <v>321</v>
      </c>
      <c r="F14" s="12">
        <v>279</v>
      </c>
      <c r="G14" s="12">
        <v>257</v>
      </c>
      <c r="H14" s="12">
        <v>322</v>
      </c>
      <c r="I14" s="12">
        <v>417</v>
      </c>
      <c r="J14" s="12">
        <v>95</v>
      </c>
      <c r="K14" s="12">
        <v>218</v>
      </c>
      <c r="L14" s="12">
        <v>281</v>
      </c>
      <c r="M14" s="12">
        <v>316</v>
      </c>
      <c r="N14" s="12">
        <v>326</v>
      </c>
      <c r="O14" s="12">
        <v>293</v>
      </c>
      <c r="P14" s="12">
        <v>338</v>
      </c>
      <c r="Q14" s="12">
        <v>424</v>
      </c>
      <c r="R14" s="12">
        <v>153</v>
      </c>
      <c r="S14" s="12">
        <v>294</v>
      </c>
      <c r="T14" s="12">
        <v>306</v>
      </c>
      <c r="U14" s="12">
        <v>167</v>
      </c>
      <c r="V14" s="12">
        <v>327</v>
      </c>
      <c r="W14" s="12">
        <v>156</v>
      </c>
      <c r="X14" s="12">
        <v>279</v>
      </c>
      <c r="Y14" s="12">
        <v>254</v>
      </c>
      <c r="Z14" s="12">
        <v>386</v>
      </c>
      <c r="AA14" s="12">
        <v>376</v>
      </c>
      <c r="AB14" s="12">
        <v>361</v>
      </c>
      <c r="AC14" s="12">
        <v>278</v>
      </c>
      <c r="AD14" s="12">
        <v>379</v>
      </c>
      <c r="AE14" s="12">
        <v>318</v>
      </c>
      <c r="AF14" s="12">
        <v>315</v>
      </c>
    </row>
    <row r="15" spans="1:32">
      <c r="A15" s="23"/>
      <c r="B15" s="13" t="s">
        <v>710</v>
      </c>
      <c r="C15" s="14">
        <v>0.47</v>
      </c>
      <c r="D15" s="14">
        <v>0.53</v>
      </c>
      <c r="E15" s="14">
        <v>0.44</v>
      </c>
      <c r="F15" s="14">
        <v>0.39</v>
      </c>
      <c r="G15" s="14">
        <v>0.36</v>
      </c>
      <c r="H15" s="14">
        <v>0.4</v>
      </c>
      <c r="I15" s="14">
        <v>0.42</v>
      </c>
      <c r="J15" s="14">
        <v>0.47</v>
      </c>
      <c r="K15" s="14">
        <v>0.28999999999999998</v>
      </c>
      <c r="L15" s="14">
        <v>0.38</v>
      </c>
      <c r="M15" s="14">
        <v>0.45</v>
      </c>
      <c r="N15" s="14">
        <v>0.46</v>
      </c>
      <c r="O15" s="14">
        <v>0.45</v>
      </c>
      <c r="P15" s="14">
        <v>0.49</v>
      </c>
      <c r="Q15" s="14">
        <v>0.57999999999999996</v>
      </c>
      <c r="R15" s="14">
        <v>0.42</v>
      </c>
      <c r="S15" s="14">
        <v>0.41</v>
      </c>
      <c r="T15" s="14">
        <v>0.45</v>
      </c>
      <c r="U15" s="14">
        <v>0.45</v>
      </c>
      <c r="V15" s="14">
        <v>0.44</v>
      </c>
      <c r="W15" s="14">
        <v>0.43</v>
      </c>
      <c r="X15" s="14">
        <v>0.38</v>
      </c>
      <c r="Y15" s="14">
        <v>0.36</v>
      </c>
      <c r="Z15" s="14">
        <v>0.52</v>
      </c>
      <c r="AA15" s="14">
        <v>0.5</v>
      </c>
      <c r="AB15" s="14">
        <v>0.5</v>
      </c>
      <c r="AC15" s="14">
        <v>0.42</v>
      </c>
      <c r="AD15" s="14">
        <v>0.53</v>
      </c>
      <c r="AE15" s="14">
        <v>0.45</v>
      </c>
      <c r="AF15" s="14">
        <v>0.41</v>
      </c>
    </row>
    <row r="16" spans="1:32">
      <c r="A16" s="23"/>
      <c r="B16" s="11" t="s">
        <v>711</v>
      </c>
      <c r="C16" s="12">
        <v>3630</v>
      </c>
      <c r="D16" s="12">
        <v>181</v>
      </c>
      <c r="E16" s="12">
        <v>144</v>
      </c>
      <c r="F16" s="12">
        <v>239</v>
      </c>
      <c r="G16" s="12">
        <v>138</v>
      </c>
      <c r="H16" s="12">
        <v>216</v>
      </c>
      <c r="I16" s="12">
        <v>266</v>
      </c>
      <c r="J16" s="12">
        <v>50</v>
      </c>
      <c r="K16" s="12">
        <v>204</v>
      </c>
      <c r="L16" s="12">
        <v>99</v>
      </c>
      <c r="M16" s="12">
        <v>88</v>
      </c>
      <c r="N16" s="12">
        <v>85</v>
      </c>
      <c r="O16" s="12">
        <v>142</v>
      </c>
      <c r="P16" s="12">
        <v>101</v>
      </c>
      <c r="Q16" s="12">
        <v>68</v>
      </c>
      <c r="R16" s="12">
        <v>27</v>
      </c>
      <c r="S16" s="12">
        <v>145</v>
      </c>
      <c r="T16" s="12">
        <v>157</v>
      </c>
      <c r="U16" s="12">
        <v>43</v>
      </c>
      <c r="V16" s="12">
        <v>176</v>
      </c>
      <c r="W16" s="12">
        <v>49</v>
      </c>
      <c r="X16" s="12">
        <v>204</v>
      </c>
      <c r="Y16" s="12">
        <v>112</v>
      </c>
      <c r="Z16" s="12">
        <v>178</v>
      </c>
      <c r="AA16" s="12">
        <v>168</v>
      </c>
      <c r="AB16" s="12">
        <v>146</v>
      </c>
      <c r="AC16" s="12">
        <v>122</v>
      </c>
      <c r="AD16" s="12">
        <v>138</v>
      </c>
      <c r="AE16" s="12">
        <v>152</v>
      </c>
      <c r="AF16" s="12">
        <v>117</v>
      </c>
    </row>
    <row r="17" spans="1:32">
      <c r="A17" s="23"/>
      <c r="B17" s="13" t="s">
        <v>712</v>
      </c>
      <c r="C17" s="14">
        <v>0.2</v>
      </c>
      <c r="D17" s="14">
        <v>0.27</v>
      </c>
      <c r="E17" s="14">
        <v>0.2</v>
      </c>
      <c r="F17" s="14">
        <v>0.34</v>
      </c>
      <c r="G17" s="14">
        <v>0.2</v>
      </c>
      <c r="H17" s="14">
        <v>0.27</v>
      </c>
      <c r="I17" s="14">
        <v>0.26</v>
      </c>
      <c r="J17" s="14">
        <v>0.24</v>
      </c>
      <c r="K17" s="14">
        <v>0.28000000000000003</v>
      </c>
      <c r="L17" s="14">
        <v>0.14000000000000001</v>
      </c>
      <c r="M17" s="14">
        <v>0.13</v>
      </c>
      <c r="N17" s="14">
        <v>0.12</v>
      </c>
      <c r="O17" s="14">
        <v>0.21</v>
      </c>
      <c r="P17" s="14">
        <v>0.15</v>
      </c>
      <c r="Q17" s="14">
        <v>0.09</v>
      </c>
      <c r="R17" s="14">
        <v>7.0000000000000007E-2</v>
      </c>
      <c r="S17" s="14">
        <v>0.2</v>
      </c>
      <c r="T17" s="14">
        <v>0.23</v>
      </c>
      <c r="U17" s="14">
        <v>0.12</v>
      </c>
      <c r="V17" s="14">
        <v>0.24</v>
      </c>
      <c r="W17" s="14">
        <v>0.13</v>
      </c>
      <c r="X17" s="14">
        <v>0.28000000000000003</v>
      </c>
      <c r="Y17" s="14">
        <v>0.16</v>
      </c>
      <c r="Z17" s="14">
        <v>0.24</v>
      </c>
      <c r="AA17" s="14">
        <v>0.22</v>
      </c>
      <c r="AB17" s="14">
        <v>0.21</v>
      </c>
      <c r="AC17" s="14">
        <v>0.18</v>
      </c>
      <c r="AD17" s="14">
        <v>0.19</v>
      </c>
      <c r="AE17" s="14">
        <v>0.22</v>
      </c>
      <c r="AF17" s="14">
        <v>0.15</v>
      </c>
    </row>
    <row r="18" spans="1:32">
      <c r="A18" s="23"/>
      <c r="B18" s="11" t="s">
        <v>713</v>
      </c>
      <c r="C18" s="12">
        <v>1292</v>
      </c>
      <c r="D18" s="12">
        <v>25</v>
      </c>
      <c r="E18" s="12">
        <v>51</v>
      </c>
      <c r="F18" s="12">
        <v>78</v>
      </c>
      <c r="G18" s="12">
        <v>110</v>
      </c>
      <c r="H18" s="12">
        <v>76</v>
      </c>
      <c r="I18" s="12">
        <v>110</v>
      </c>
      <c r="J18" s="12">
        <v>34</v>
      </c>
      <c r="K18" s="12">
        <v>217</v>
      </c>
      <c r="L18" s="12">
        <v>46</v>
      </c>
      <c r="M18" s="12">
        <v>35</v>
      </c>
      <c r="N18" s="12">
        <v>28</v>
      </c>
      <c r="O18" s="12">
        <v>47</v>
      </c>
      <c r="P18" s="12">
        <v>23</v>
      </c>
      <c r="Q18" s="12">
        <v>14</v>
      </c>
      <c r="R18" s="12">
        <v>13</v>
      </c>
      <c r="S18" s="12">
        <v>114</v>
      </c>
      <c r="T18" s="12">
        <v>51</v>
      </c>
      <c r="U18" s="12">
        <v>17</v>
      </c>
      <c r="V18" s="12">
        <v>52</v>
      </c>
      <c r="W18" s="12">
        <v>30</v>
      </c>
      <c r="X18" s="12">
        <v>129</v>
      </c>
      <c r="Y18" s="12">
        <v>98</v>
      </c>
      <c r="Z18" s="12">
        <v>44</v>
      </c>
      <c r="AA18" s="12">
        <v>12</v>
      </c>
      <c r="AB18" s="12">
        <v>36</v>
      </c>
      <c r="AC18" s="12">
        <v>40</v>
      </c>
      <c r="AD18" s="12">
        <v>29</v>
      </c>
      <c r="AE18" s="12">
        <v>64</v>
      </c>
      <c r="AF18" s="12">
        <v>48</v>
      </c>
    </row>
    <row r="19" spans="1:32">
      <c r="A19" s="23"/>
      <c r="B19" s="13" t="s">
        <v>714</v>
      </c>
      <c r="C19" s="14">
        <v>7.0000000000000007E-2</v>
      </c>
      <c r="D19" s="14">
        <v>0.03</v>
      </c>
      <c r="E19" s="14">
        <v>7.0000000000000007E-2</v>
      </c>
      <c r="F19" s="14">
        <v>0.11</v>
      </c>
      <c r="G19" s="14">
        <v>0.16</v>
      </c>
      <c r="H19" s="14">
        <v>0.09</v>
      </c>
      <c r="I19" s="14">
        <v>0.11</v>
      </c>
      <c r="J19" s="14">
        <v>0.17</v>
      </c>
      <c r="K19" s="14">
        <v>0.28999999999999998</v>
      </c>
      <c r="L19" s="14">
        <v>0.06</v>
      </c>
      <c r="M19" s="14">
        <v>0.05</v>
      </c>
      <c r="N19" s="14">
        <v>0.04</v>
      </c>
      <c r="O19" s="14">
        <v>7.0000000000000007E-2</v>
      </c>
      <c r="P19" s="14">
        <v>0.03</v>
      </c>
      <c r="Q19" s="14">
        <v>0.02</v>
      </c>
      <c r="R19" s="14">
        <v>0.03</v>
      </c>
      <c r="S19" s="14">
        <v>0.16</v>
      </c>
      <c r="T19" s="14">
        <v>7.0000000000000007E-2</v>
      </c>
      <c r="U19" s="14">
        <v>0.05</v>
      </c>
      <c r="V19" s="14">
        <v>7.0000000000000007E-2</v>
      </c>
      <c r="W19" s="14">
        <v>0.08</v>
      </c>
      <c r="X19" s="14">
        <v>0.18</v>
      </c>
      <c r="Y19" s="14">
        <v>0.14000000000000001</v>
      </c>
      <c r="Z19" s="14">
        <v>0.06</v>
      </c>
      <c r="AA19" s="14">
        <v>0.02</v>
      </c>
      <c r="AB19" s="14">
        <v>0.05</v>
      </c>
      <c r="AC19" s="14">
        <v>0.06</v>
      </c>
      <c r="AD19" s="14">
        <v>0.04</v>
      </c>
      <c r="AE19" s="14">
        <v>0.09</v>
      </c>
      <c r="AF19" s="14">
        <v>0.06</v>
      </c>
    </row>
    <row r="20" spans="1:32">
      <c r="A20" s="23"/>
      <c r="B20" s="11" t="s">
        <v>497</v>
      </c>
      <c r="C20" s="12">
        <v>425</v>
      </c>
      <c r="D20" s="12">
        <v>5</v>
      </c>
      <c r="E20" s="12">
        <v>47</v>
      </c>
      <c r="F20" s="12">
        <v>39</v>
      </c>
      <c r="G20" s="12">
        <v>36</v>
      </c>
      <c r="H20" s="12">
        <v>21</v>
      </c>
      <c r="I20" s="12">
        <v>23</v>
      </c>
      <c r="J20" s="12">
        <v>2</v>
      </c>
      <c r="K20" s="12">
        <v>46</v>
      </c>
      <c r="L20" s="12">
        <v>17</v>
      </c>
      <c r="M20" s="12">
        <v>8</v>
      </c>
      <c r="N20" s="12">
        <v>24</v>
      </c>
      <c r="O20" s="12">
        <v>12</v>
      </c>
      <c r="P20" s="12">
        <v>18</v>
      </c>
      <c r="Q20" s="12">
        <v>11</v>
      </c>
      <c r="R20" s="12">
        <v>2</v>
      </c>
      <c r="S20" s="12">
        <v>12</v>
      </c>
      <c r="T20" s="12">
        <v>19</v>
      </c>
      <c r="U20" s="12">
        <v>5</v>
      </c>
      <c r="V20" s="12">
        <v>18</v>
      </c>
      <c r="W20" s="12">
        <v>8</v>
      </c>
      <c r="X20" s="12">
        <v>13</v>
      </c>
      <c r="Y20" s="12">
        <v>10</v>
      </c>
      <c r="Z20" s="12">
        <v>21</v>
      </c>
      <c r="AA20" s="12">
        <v>12</v>
      </c>
      <c r="AB20" s="12">
        <v>17</v>
      </c>
      <c r="AC20" s="12">
        <v>7</v>
      </c>
      <c r="AD20" s="12">
        <v>33</v>
      </c>
      <c r="AE20" s="12">
        <v>7</v>
      </c>
      <c r="AF20" s="12">
        <v>5</v>
      </c>
    </row>
    <row r="21" spans="1:32">
      <c r="A21" s="23"/>
      <c r="B21" s="13" t="s">
        <v>498</v>
      </c>
      <c r="C21" s="14">
        <v>0.02</v>
      </c>
      <c r="D21" s="14">
        <v>0.01</v>
      </c>
      <c r="E21" s="14">
        <v>0.06</v>
      </c>
      <c r="F21" s="14">
        <v>0.05</v>
      </c>
      <c r="G21" s="14">
        <v>0.05</v>
      </c>
      <c r="H21" s="14">
        <v>0.03</v>
      </c>
      <c r="I21" s="14">
        <v>0.02</v>
      </c>
      <c r="J21" s="14">
        <v>0.01</v>
      </c>
      <c r="K21" s="14">
        <v>0.06</v>
      </c>
      <c r="L21" s="14">
        <v>0.02</v>
      </c>
      <c r="M21" s="14">
        <v>0.01</v>
      </c>
      <c r="N21" s="14">
        <v>0.03</v>
      </c>
      <c r="O21" s="14">
        <v>0.02</v>
      </c>
      <c r="P21" s="14">
        <v>0.03</v>
      </c>
      <c r="Q21" s="14">
        <v>0.02</v>
      </c>
      <c r="R21" s="14">
        <v>0.01</v>
      </c>
      <c r="S21" s="14">
        <v>0.02</v>
      </c>
      <c r="T21" s="14">
        <v>0.03</v>
      </c>
      <c r="U21" s="14">
        <v>0.01</v>
      </c>
      <c r="V21" s="14">
        <v>0.02</v>
      </c>
      <c r="W21" s="14">
        <v>0.02</v>
      </c>
      <c r="X21" s="14">
        <v>0.02</v>
      </c>
      <c r="Y21" s="14">
        <v>0.01</v>
      </c>
      <c r="Z21" s="14">
        <v>0.03</v>
      </c>
      <c r="AA21" s="14">
        <v>0.02</v>
      </c>
      <c r="AB21" s="14">
        <v>0.02</v>
      </c>
      <c r="AC21" s="14">
        <v>0.01</v>
      </c>
      <c r="AD21" s="14">
        <v>0.04</v>
      </c>
      <c r="AE21" s="14">
        <v>0.01</v>
      </c>
      <c r="AF21" s="14">
        <v>0.01</v>
      </c>
    </row>
    <row r="22" spans="1:32">
      <c r="A22" s="23"/>
      <c r="B22" s="11" t="s">
        <v>715</v>
      </c>
      <c r="C22" s="12">
        <v>12956</v>
      </c>
      <c r="D22" s="12">
        <v>471</v>
      </c>
      <c r="E22" s="12">
        <v>486</v>
      </c>
      <c r="F22" s="12">
        <v>358</v>
      </c>
      <c r="G22" s="12">
        <v>419</v>
      </c>
      <c r="H22" s="12">
        <v>492</v>
      </c>
      <c r="I22" s="12">
        <v>609</v>
      </c>
      <c r="J22" s="12">
        <v>117</v>
      </c>
      <c r="K22" s="12">
        <v>274</v>
      </c>
      <c r="L22" s="12">
        <v>572</v>
      </c>
      <c r="M22" s="12">
        <v>568</v>
      </c>
      <c r="N22" s="12">
        <v>574</v>
      </c>
      <c r="O22" s="12">
        <v>455</v>
      </c>
      <c r="P22" s="12">
        <v>548</v>
      </c>
      <c r="Q22" s="12">
        <v>637</v>
      </c>
      <c r="R22" s="12">
        <v>324</v>
      </c>
      <c r="S22" s="12">
        <v>449</v>
      </c>
      <c r="T22" s="12">
        <v>454</v>
      </c>
      <c r="U22" s="12">
        <v>305</v>
      </c>
      <c r="V22" s="12">
        <v>499</v>
      </c>
      <c r="W22" s="12">
        <v>282</v>
      </c>
      <c r="X22" s="12">
        <v>382</v>
      </c>
      <c r="Y22" s="12">
        <v>487</v>
      </c>
      <c r="Z22" s="12">
        <v>501</v>
      </c>
      <c r="AA22" s="12">
        <v>554</v>
      </c>
      <c r="AB22" s="12">
        <v>518</v>
      </c>
      <c r="AC22" s="12">
        <v>499</v>
      </c>
      <c r="AD22" s="12">
        <v>520</v>
      </c>
      <c r="AE22" s="12">
        <v>478</v>
      </c>
      <c r="AF22" s="12">
        <v>605</v>
      </c>
    </row>
    <row r="23" spans="1:32">
      <c r="A23" s="23"/>
      <c r="B23" s="13" t="s">
        <v>716</v>
      </c>
      <c r="C23" s="14">
        <v>0.71</v>
      </c>
      <c r="D23" s="14">
        <v>0.69000000000000006</v>
      </c>
      <c r="E23" s="14">
        <v>0.67</v>
      </c>
      <c r="F23" s="14">
        <v>0.5</v>
      </c>
      <c r="G23" s="14">
        <v>0.59</v>
      </c>
      <c r="H23" s="14">
        <v>0.61</v>
      </c>
      <c r="I23" s="14">
        <v>0.61</v>
      </c>
      <c r="J23" s="14">
        <v>0.57999999999999996</v>
      </c>
      <c r="K23" s="14">
        <v>0.37</v>
      </c>
      <c r="L23" s="14">
        <v>0.78</v>
      </c>
      <c r="M23" s="14">
        <v>0.81</v>
      </c>
      <c r="N23" s="14">
        <v>0.81</v>
      </c>
      <c r="O23" s="14">
        <v>0.70000000000000007</v>
      </c>
      <c r="P23" s="14">
        <v>0.79</v>
      </c>
      <c r="Q23" s="14">
        <v>0.87</v>
      </c>
      <c r="R23" s="14">
        <v>0.89</v>
      </c>
      <c r="S23" s="14">
        <v>0.62</v>
      </c>
      <c r="T23" s="14">
        <v>0.67</v>
      </c>
      <c r="U23" s="14">
        <v>0.82000000000000006</v>
      </c>
      <c r="V23" s="14">
        <v>0.67</v>
      </c>
      <c r="W23" s="14">
        <v>0.77</v>
      </c>
      <c r="X23" s="14">
        <v>0.52</v>
      </c>
      <c r="Y23" s="14">
        <v>0.69000000000000006</v>
      </c>
      <c r="Z23" s="14">
        <v>0.67</v>
      </c>
      <c r="AA23" s="14">
        <v>0.74</v>
      </c>
      <c r="AB23" s="14">
        <v>0.72</v>
      </c>
      <c r="AC23" s="14">
        <v>0.75</v>
      </c>
      <c r="AD23" s="14">
        <v>0.73</v>
      </c>
      <c r="AE23" s="14">
        <v>0.68</v>
      </c>
      <c r="AF23" s="14">
        <v>0.78</v>
      </c>
    </row>
    <row r="24" spans="1:32">
      <c r="A24" s="23"/>
      <c r="B24" s="11" t="s">
        <v>717</v>
      </c>
      <c r="C24" s="12">
        <v>4922</v>
      </c>
      <c r="D24" s="12">
        <v>206</v>
      </c>
      <c r="E24" s="12">
        <v>195</v>
      </c>
      <c r="F24" s="12">
        <v>317</v>
      </c>
      <c r="G24" s="12">
        <v>248</v>
      </c>
      <c r="H24" s="12">
        <v>292</v>
      </c>
      <c r="I24" s="12">
        <v>376</v>
      </c>
      <c r="J24" s="12">
        <v>84</v>
      </c>
      <c r="K24" s="12">
        <v>421</v>
      </c>
      <c r="L24" s="12">
        <v>145</v>
      </c>
      <c r="M24" s="12">
        <v>123</v>
      </c>
      <c r="N24" s="12">
        <v>113</v>
      </c>
      <c r="O24" s="12">
        <v>189</v>
      </c>
      <c r="P24" s="12">
        <v>124</v>
      </c>
      <c r="Q24" s="12">
        <v>82</v>
      </c>
      <c r="R24" s="12">
        <v>40</v>
      </c>
      <c r="S24" s="12">
        <v>259</v>
      </c>
      <c r="T24" s="12">
        <v>208</v>
      </c>
      <c r="U24" s="12">
        <v>60</v>
      </c>
      <c r="V24" s="12">
        <v>228</v>
      </c>
      <c r="W24" s="12">
        <v>79</v>
      </c>
      <c r="X24" s="12">
        <v>333</v>
      </c>
      <c r="Y24" s="12">
        <v>210</v>
      </c>
      <c r="Z24" s="12">
        <v>222</v>
      </c>
      <c r="AA24" s="12">
        <v>180</v>
      </c>
      <c r="AB24" s="12">
        <v>182</v>
      </c>
      <c r="AC24" s="12">
        <v>162</v>
      </c>
      <c r="AD24" s="12">
        <v>167</v>
      </c>
      <c r="AE24" s="12">
        <v>216</v>
      </c>
      <c r="AF24" s="12">
        <v>165</v>
      </c>
    </row>
    <row r="25" spans="1:32">
      <c r="A25" s="23"/>
      <c r="B25" s="13" t="s">
        <v>718</v>
      </c>
      <c r="C25" s="14">
        <v>0.27</v>
      </c>
      <c r="D25" s="14">
        <v>0.3</v>
      </c>
      <c r="E25" s="14">
        <v>0.27</v>
      </c>
      <c r="F25" s="14">
        <v>0.45</v>
      </c>
      <c r="G25" s="14">
        <v>0.36</v>
      </c>
      <c r="H25" s="14">
        <v>0.36</v>
      </c>
      <c r="I25" s="14">
        <v>0.37</v>
      </c>
      <c r="J25" s="14">
        <v>0.41</v>
      </c>
      <c r="K25" s="14">
        <v>0.57000000000000006</v>
      </c>
      <c r="L25" s="14">
        <v>0.2</v>
      </c>
      <c r="M25" s="14">
        <v>0.18</v>
      </c>
      <c r="N25" s="14">
        <v>0.16</v>
      </c>
      <c r="O25" s="14">
        <v>0.28000000000000003</v>
      </c>
      <c r="P25" s="14">
        <v>0.18</v>
      </c>
      <c r="Q25" s="14">
        <v>0.11</v>
      </c>
      <c r="R25" s="14">
        <v>0.1</v>
      </c>
      <c r="S25" s="14">
        <v>0.36</v>
      </c>
      <c r="T25" s="14">
        <v>0.3</v>
      </c>
      <c r="U25" s="14">
        <v>0.17</v>
      </c>
      <c r="V25" s="14">
        <v>0.31</v>
      </c>
      <c r="W25" s="14">
        <v>0.21</v>
      </c>
      <c r="X25" s="14">
        <v>0.46</v>
      </c>
      <c r="Y25" s="14">
        <v>0.3</v>
      </c>
      <c r="Z25" s="14">
        <v>0.3</v>
      </c>
      <c r="AA25" s="14">
        <v>0.24</v>
      </c>
      <c r="AB25" s="14">
        <v>0.26</v>
      </c>
      <c r="AC25" s="14">
        <v>0.24</v>
      </c>
      <c r="AD25" s="14">
        <v>0.23</v>
      </c>
      <c r="AE25" s="14">
        <v>0.31</v>
      </c>
      <c r="AF25" s="14">
        <v>0.21</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36" customHeight="1">
      <c r="B3" s="19" t="s">
        <v>135</v>
      </c>
      <c r="C3" s="19"/>
      <c r="D3" s="19"/>
      <c r="E3" s="19"/>
      <c r="F3" s="19"/>
      <c r="H3" s="19" t="s">
        <v>136</v>
      </c>
      <c r="I3" s="19"/>
      <c r="J3" s="19"/>
      <c r="K3" s="19"/>
      <c r="L3" s="19"/>
    </row>
    <row r="4" spans="1:32" ht="27" customHeight="1">
      <c r="B4" s="19"/>
      <c r="C4" s="19"/>
      <c r="D4" s="19"/>
      <c r="E4" s="19"/>
      <c r="F4" s="19"/>
      <c r="H4" s="19"/>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HYPERLINK("#Content!A69","&lt;&lt;Back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987</v>
      </c>
      <c r="C12" s="12">
        <v>5662</v>
      </c>
      <c r="D12" s="12">
        <v>258</v>
      </c>
      <c r="E12" s="12">
        <v>192</v>
      </c>
      <c r="F12" s="12">
        <v>123</v>
      </c>
      <c r="G12" s="12">
        <v>368</v>
      </c>
      <c r="H12" s="12">
        <v>253</v>
      </c>
      <c r="I12" s="12">
        <v>330</v>
      </c>
      <c r="J12" s="12">
        <v>77</v>
      </c>
      <c r="K12" s="12">
        <v>331</v>
      </c>
      <c r="L12" s="12">
        <v>373</v>
      </c>
      <c r="M12" s="12">
        <v>178</v>
      </c>
      <c r="N12" s="12">
        <v>274</v>
      </c>
      <c r="O12" s="12">
        <v>234</v>
      </c>
      <c r="P12" s="12">
        <v>178</v>
      </c>
      <c r="Q12" s="12">
        <v>123</v>
      </c>
      <c r="R12" s="12">
        <v>112</v>
      </c>
      <c r="S12" s="12">
        <v>283</v>
      </c>
      <c r="T12" s="12">
        <v>203</v>
      </c>
      <c r="U12" s="12">
        <v>183</v>
      </c>
      <c r="V12" s="12">
        <v>145</v>
      </c>
      <c r="W12" s="12">
        <v>165</v>
      </c>
      <c r="X12" s="12">
        <v>453</v>
      </c>
      <c r="Y12" s="12">
        <v>297</v>
      </c>
      <c r="Z12" s="12">
        <v>103</v>
      </c>
      <c r="AA12" s="12">
        <v>110</v>
      </c>
      <c r="AB12" s="12">
        <v>106</v>
      </c>
      <c r="AC12" s="12">
        <v>342</v>
      </c>
      <c r="AD12" s="12">
        <v>166</v>
      </c>
      <c r="AE12" s="12">
        <v>463</v>
      </c>
      <c r="AF12" s="12">
        <v>492</v>
      </c>
    </row>
    <row r="13" spans="1:32">
      <c r="A13" s="23"/>
      <c r="B13" s="13" t="s">
        <v>988</v>
      </c>
      <c r="C13" s="14">
        <v>0.21</v>
      </c>
      <c r="D13" s="14">
        <v>0.26</v>
      </c>
      <c r="E13" s="14">
        <v>0.18</v>
      </c>
      <c r="F13" s="14">
        <v>0.12</v>
      </c>
      <c r="G13" s="14">
        <v>0.37</v>
      </c>
      <c r="H13" s="14">
        <v>0.21</v>
      </c>
      <c r="I13" s="14">
        <v>0.22</v>
      </c>
      <c r="J13" s="14">
        <v>0.26</v>
      </c>
      <c r="K13" s="14">
        <v>0.33</v>
      </c>
      <c r="L13" s="14">
        <v>0.37</v>
      </c>
      <c r="M13" s="14">
        <v>0.17</v>
      </c>
      <c r="N13" s="14">
        <v>0.27</v>
      </c>
      <c r="O13" s="14">
        <v>0.23</v>
      </c>
      <c r="P13" s="14">
        <v>0.18</v>
      </c>
      <c r="Q13" s="14">
        <v>0.12</v>
      </c>
      <c r="R13" s="14">
        <v>0.22</v>
      </c>
      <c r="S13" s="14">
        <v>0.28000000000000003</v>
      </c>
      <c r="T13" s="14">
        <v>0.2</v>
      </c>
      <c r="U13" s="14">
        <v>0.36</v>
      </c>
      <c r="V13" s="14">
        <v>0.14000000000000001</v>
      </c>
      <c r="W13" s="14">
        <v>0.33</v>
      </c>
      <c r="X13" s="14">
        <v>0.44</v>
      </c>
      <c r="Y13" s="14">
        <v>0.28999999999999998</v>
      </c>
      <c r="Z13" s="14">
        <v>0.1</v>
      </c>
      <c r="AA13" s="14">
        <v>0.11</v>
      </c>
      <c r="AB13" s="14">
        <v>0.1</v>
      </c>
      <c r="AC13" s="14">
        <v>0.34</v>
      </c>
      <c r="AD13" s="14">
        <v>0.17</v>
      </c>
      <c r="AE13" s="14">
        <v>0.46</v>
      </c>
      <c r="AF13" s="14">
        <v>0.46</v>
      </c>
    </row>
    <row r="14" spans="1:32">
      <c r="A14" s="23"/>
      <c r="B14" s="11" t="s">
        <v>989</v>
      </c>
      <c r="C14" s="12">
        <v>9228</v>
      </c>
      <c r="D14" s="12">
        <v>417</v>
      </c>
      <c r="E14" s="12">
        <v>292</v>
      </c>
      <c r="F14" s="12">
        <v>386</v>
      </c>
      <c r="G14" s="12">
        <v>223</v>
      </c>
      <c r="H14" s="12">
        <v>374</v>
      </c>
      <c r="I14" s="12">
        <v>453</v>
      </c>
      <c r="J14" s="12">
        <v>79</v>
      </c>
      <c r="K14" s="12">
        <v>359</v>
      </c>
      <c r="L14" s="12">
        <v>323</v>
      </c>
      <c r="M14" s="12">
        <v>323</v>
      </c>
      <c r="N14" s="12">
        <v>328</v>
      </c>
      <c r="O14" s="12">
        <v>322</v>
      </c>
      <c r="P14" s="12">
        <v>408</v>
      </c>
      <c r="Q14" s="12">
        <v>435</v>
      </c>
      <c r="R14" s="12">
        <v>158</v>
      </c>
      <c r="S14" s="12">
        <v>328</v>
      </c>
      <c r="T14" s="12">
        <v>386</v>
      </c>
      <c r="U14" s="12">
        <v>163</v>
      </c>
      <c r="V14" s="12">
        <v>420</v>
      </c>
      <c r="W14" s="12">
        <v>152</v>
      </c>
      <c r="X14" s="12">
        <v>247</v>
      </c>
      <c r="Y14" s="12">
        <v>308</v>
      </c>
      <c r="Z14" s="12">
        <v>506</v>
      </c>
      <c r="AA14" s="12">
        <v>348</v>
      </c>
      <c r="AB14" s="12">
        <v>414</v>
      </c>
      <c r="AC14" s="12">
        <v>327</v>
      </c>
      <c r="AD14" s="12">
        <v>420</v>
      </c>
      <c r="AE14" s="12">
        <v>260</v>
      </c>
      <c r="AF14" s="12">
        <v>250</v>
      </c>
    </row>
    <row r="15" spans="1:32">
      <c r="A15" s="23"/>
      <c r="B15" s="13" t="s">
        <v>990</v>
      </c>
      <c r="C15" s="14">
        <v>0.35</v>
      </c>
      <c r="D15" s="14">
        <v>0.41</v>
      </c>
      <c r="E15" s="14">
        <v>0.28000000000000003</v>
      </c>
      <c r="F15" s="14">
        <v>0.38</v>
      </c>
      <c r="G15" s="14">
        <v>0.22</v>
      </c>
      <c r="H15" s="14">
        <v>0.31</v>
      </c>
      <c r="I15" s="14">
        <v>0.3</v>
      </c>
      <c r="J15" s="14">
        <v>0.27</v>
      </c>
      <c r="K15" s="14">
        <v>0.36</v>
      </c>
      <c r="L15" s="14">
        <v>0.32</v>
      </c>
      <c r="M15" s="14">
        <v>0.32</v>
      </c>
      <c r="N15" s="14">
        <v>0.33</v>
      </c>
      <c r="O15" s="14">
        <v>0.32</v>
      </c>
      <c r="P15" s="14">
        <v>0.4</v>
      </c>
      <c r="Q15" s="14">
        <v>0.42</v>
      </c>
      <c r="R15" s="14">
        <v>0.32</v>
      </c>
      <c r="S15" s="14">
        <v>0.33</v>
      </c>
      <c r="T15" s="14">
        <v>0.39</v>
      </c>
      <c r="U15" s="14">
        <v>0.32</v>
      </c>
      <c r="V15" s="14">
        <v>0.42</v>
      </c>
      <c r="W15" s="14">
        <v>0.3</v>
      </c>
      <c r="X15" s="14">
        <v>0.24</v>
      </c>
      <c r="Y15" s="14">
        <v>0.31</v>
      </c>
      <c r="Z15" s="14">
        <v>0.5</v>
      </c>
      <c r="AA15" s="14">
        <v>0.33</v>
      </c>
      <c r="AB15" s="14">
        <v>0.4</v>
      </c>
      <c r="AC15" s="14">
        <v>0.32</v>
      </c>
      <c r="AD15" s="14">
        <v>0.42</v>
      </c>
      <c r="AE15" s="14">
        <v>0.26</v>
      </c>
      <c r="AF15" s="14">
        <v>0.23</v>
      </c>
    </row>
    <row r="16" spans="1:32">
      <c r="A16" s="23"/>
      <c r="B16" s="11" t="s">
        <v>991</v>
      </c>
      <c r="C16" s="12">
        <v>4677</v>
      </c>
      <c r="D16" s="12">
        <v>177</v>
      </c>
      <c r="E16" s="12">
        <v>192</v>
      </c>
      <c r="F16" s="12">
        <v>275</v>
      </c>
      <c r="G16" s="12">
        <v>121</v>
      </c>
      <c r="H16" s="12">
        <v>254</v>
      </c>
      <c r="I16" s="12">
        <v>317</v>
      </c>
      <c r="J16" s="12">
        <v>63</v>
      </c>
      <c r="K16" s="12">
        <v>141</v>
      </c>
      <c r="L16" s="12">
        <v>129</v>
      </c>
      <c r="M16" s="12">
        <v>192</v>
      </c>
      <c r="N16" s="12">
        <v>131</v>
      </c>
      <c r="O16" s="12">
        <v>129</v>
      </c>
      <c r="P16" s="12">
        <v>179</v>
      </c>
      <c r="Q16" s="12">
        <v>209</v>
      </c>
      <c r="R16" s="12">
        <v>96</v>
      </c>
      <c r="S16" s="12">
        <v>204</v>
      </c>
      <c r="T16" s="12">
        <v>176</v>
      </c>
      <c r="U16" s="12">
        <v>58</v>
      </c>
      <c r="V16" s="12">
        <v>193</v>
      </c>
      <c r="W16" s="12">
        <v>45</v>
      </c>
      <c r="X16" s="12">
        <v>110</v>
      </c>
      <c r="Y16" s="12">
        <v>129</v>
      </c>
      <c r="Z16" s="12">
        <v>207</v>
      </c>
      <c r="AA16" s="12">
        <v>227</v>
      </c>
      <c r="AB16" s="12">
        <v>265</v>
      </c>
      <c r="AC16" s="12">
        <v>130</v>
      </c>
      <c r="AD16" s="12">
        <v>185</v>
      </c>
      <c r="AE16" s="12">
        <v>119</v>
      </c>
      <c r="AF16" s="12">
        <v>152</v>
      </c>
    </row>
    <row r="17" spans="1:32">
      <c r="A17" s="23"/>
      <c r="B17" s="13" t="s">
        <v>992</v>
      </c>
      <c r="C17" s="14">
        <v>0.18</v>
      </c>
      <c r="D17" s="14">
        <v>0.18</v>
      </c>
      <c r="E17" s="14">
        <v>0.18</v>
      </c>
      <c r="F17" s="14">
        <v>0.27</v>
      </c>
      <c r="G17" s="14">
        <v>0.12</v>
      </c>
      <c r="H17" s="14">
        <v>0.21</v>
      </c>
      <c r="I17" s="14">
        <v>0.21</v>
      </c>
      <c r="J17" s="14">
        <v>0.22</v>
      </c>
      <c r="K17" s="14">
        <v>0.14000000000000001</v>
      </c>
      <c r="L17" s="14">
        <v>0.13</v>
      </c>
      <c r="M17" s="14">
        <v>0.19</v>
      </c>
      <c r="N17" s="14">
        <v>0.13</v>
      </c>
      <c r="O17" s="14">
        <v>0.13</v>
      </c>
      <c r="P17" s="14">
        <v>0.18</v>
      </c>
      <c r="Q17" s="14">
        <v>0.2</v>
      </c>
      <c r="R17" s="14">
        <v>0.19</v>
      </c>
      <c r="S17" s="14">
        <v>0.2</v>
      </c>
      <c r="T17" s="14">
        <v>0.18</v>
      </c>
      <c r="U17" s="14">
        <v>0.12</v>
      </c>
      <c r="V17" s="14">
        <v>0.19</v>
      </c>
      <c r="W17" s="14">
        <v>0.09</v>
      </c>
      <c r="X17" s="14">
        <v>0.11</v>
      </c>
      <c r="Y17" s="14">
        <v>0.13</v>
      </c>
      <c r="Z17" s="14">
        <v>0.2</v>
      </c>
      <c r="AA17" s="14">
        <v>0.22</v>
      </c>
      <c r="AB17" s="14">
        <v>0.26</v>
      </c>
      <c r="AC17" s="14">
        <v>0.13</v>
      </c>
      <c r="AD17" s="14">
        <v>0.18</v>
      </c>
      <c r="AE17" s="14">
        <v>0.12</v>
      </c>
      <c r="AF17" s="14">
        <v>0.14000000000000001</v>
      </c>
    </row>
    <row r="18" spans="1:32">
      <c r="A18" s="23"/>
      <c r="B18" s="11" t="s">
        <v>993</v>
      </c>
      <c r="C18" s="12">
        <v>6210</v>
      </c>
      <c r="D18" s="12">
        <v>149</v>
      </c>
      <c r="E18" s="12">
        <v>321</v>
      </c>
      <c r="F18" s="12">
        <v>179</v>
      </c>
      <c r="G18" s="12">
        <v>251</v>
      </c>
      <c r="H18" s="12">
        <v>306</v>
      </c>
      <c r="I18" s="12">
        <v>378</v>
      </c>
      <c r="J18" s="12">
        <v>72</v>
      </c>
      <c r="K18" s="12">
        <v>145</v>
      </c>
      <c r="L18" s="12">
        <v>158</v>
      </c>
      <c r="M18" s="12">
        <v>302</v>
      </c>
      <c r="N18" s="12">
        <v>244</v>
      </c>
      <c r="O18" s="12">
        <v>299</v>
      </c>
      <c r="P18" s="12">
        <v>234</v>
      </c>
      <c r="Q18" s="12">
        <v>241</v>
      </c>
      <c r="R18" s="12">
        <v>132</v>
      </c>
      <c r="S18" s="12">
        <v>168</v>
      </c>
      <c r="T18" s="12">
        <v>215</v>
      </c>
      <c r="U18" s="12">
        <v>84</v>
      </c>
      <c r="V18" s="12">
        <v>234</v>
      </c>
      <c r="W18" s="12">
        <v>123</v>
      </c>
      <c r="X18" s="12">
        <v>200</v>
      </c>
      <c r="Y18" s="12">
        <v>252</v>
      </c>
      <c r="Z18" s="12">
        <v>163</v>
      </c>
      <c r="AA18" s="12">
        <v>320</v>
      </c>
      <c r="AB18" s="12">
        <v>231</v>
      </c>
      <c r="AC18" s="12">
        <v>198</v>
      </c>
      <c r="AD18" s="12">
        <v>195</v>
      </c>
      <c r="AE18" s="12">
        <v>114</v>
      </c>
      <c r="AF18" s="12">
        <v>161</v>
      </c>
    </row>
    <row r="19" spans="1:32">
      <c r="A19" s="23"/>
      <c r="B19" s="13" t="s">
        <v>994</v>
      </c>
      <c r="C19" s="14">
        <v>0.24</v>
      </c>
      <c r="D19" s="14">
        <v>0.15</v>
      </c>
      <c r="E19" s="14">
        <v>0.31</v>
      </c>
      <c r="F19" s="14">
        <v>0.18</v>
      </c>
      <c r="G19" s="14">
        <v>0.25</v>
      </c>
      <c r="H19" s="14">
        <v>0.25</v>
      </c>
      <c r="I19" s="14">
        <v>0.25</v>
      </c>
      <c r="J19" s="14">
        <v>0.24</v>
      </c>
      <c r="K19" s="14">
        <v>0.14000000000000001</v>
      </c>
      <c r="L19" s="14">
        <v>0.16</v>
      </c>
      <c r="M19" s="14">
        <v>0.3</v>
      </c>
      <c r="N19" s="14">
        <v>0.25</v>
      </c>
      <c r="O19" s="14">
        <v>0.3</v>
      </c>
      <c r="P19" s="14">
        <v>0.23</v>
      </c>
      <c r="Q19" s="14">
        <v>0.24</v>
      </c>
      <c r="R19" s="14">
        <v>0.26</v>
      </c>
      <c r="S19" s="14">
        <v>0.17</v>
      </c>
      <c r="T19" s="14">
        <v>0.21</v>
      </c>
      <c r="U19" s="14">
        <v>0.17</v>
      </c>
      <c r="V19" s="14">
        <v>0.23</v>
      </c>
      <c r="W19" s="14">
        <v>0.25</v>
      </c>
      <c r="X19" s="14">
        <v>0.2</v>
      </c>
      <c r="Y19" s="14">
        <v>0.25</v>
      </c>
      <c r="Z19" s="14">
        <v>0.16</v>
      </c>
      <c r="AA19" s="14">
        <v>0.31</v>
      </c>
      <c r="AB19" s="14">
        <v>0.22</v>
      </c>
      <c r="AC19" s="14">
        <v>0.2</v>
      </c>
      <c r="AD19" s="14">
        <v>0.19</v>
      </c>
      <c r="AE19" s="14">
        <v>0.11</v>
      </c>
      <c r="AF19" s="14">
        <v>0.15</v>
      </c>
    </row>
    <row r="20" spans="1:32">
      <c r="A20" s="23"/>
      <c r="B20" s="11" t="s">
        <v>497</v>
      </c>
      <c r="C20" s="12">
        <v>576</v>
      </c>
      <c r="D20" s="12">
        <v>4</v>
      </c>
      <c r="E20" s="12">
        <v>47</v>
      </c>
      <c r="F20" s="12">
        <v>45</v>
      </c>
      <c r="G20" s="12">
        <v>40</v>
      </c>
      <c r="H20" s="12">
        <v>24</v>
      </c>
      <c r="I20" s="12">
        <v>26</v>
      </c>
      <c r="J20" s="12">
        <v>2</v>
      </c>
      <c r="K20" s="12">
        <v>27</v>
      </c>
      <c r="L20" s="12">
        <v>23</v>
      </c>
      <c r="M20" s="12">
        <v>17</v>
      </c>
      <c r="N20" s="12">
        <v>23</v>
      </c>
      <c r="O20" s="12">
        <v>23</v>
      </c>
      <c r="P20" s="12">
        <v>12</v>
      </c>
      <c r="Q20" s="12">
        <v>16</v>
      </c>
      <c r="R20" s="12">
        <v>4</v>
      </c>
      <c r="S20" s="12">
        <v>21</v>
      </c>
      <c r="T20" s="12">
        <v>24</v>
      </c>
      <c r="U20" s="12">
        <v>16</v>
      </c>
      <c r="V20" s="12">
        <v>18</v>
      </c>
      <c r="W20" s="12">
        <v>17</v>
      </c>
      <c r="X20" s="12">
        <v>6</v>
      </c>
      <c r="Y20" s="12">
        <v>22</v>
      </c>
      <c r="Z20" s="12">
        <v>38</v>
      </c>
      <c r="AA20" s="12">
        <v>35</v>
      </c>
      <c r="AB20" s="12">
        <v>16</v>
      </c>
      <c r="AC20" s="12">
        <v>8</v>
      </c>
      <c r="AD20" s="12">
        <v>36</v>
      </c>
      <c r="AE20" s="12">
        <v>52</v>
      </c>
      <c r="AF20" s="12">
        <v>18</v>
      </c>
    </row>
    <row r="21" spans="1:32">
      <c r="A21" s="23"/>
      <c r="B21" s="13" t="s">
        <v>498</v>
      </c>
      <c r="C21" s="14">
        <v>0.02</v>
      </c>
      <c r="D21" s="15" t="s">
        <v>485</v>
      </c>
      <c r="E21" s="14">
        <v>0.05</v>
      </c>
      <c r="F21" s="14">
        <v>0.05</v>
      </c>
      <c r="G21" s="14">
        <v>0.04</v>
      </c>
      <c r="H21" s="14">
        <v>0.02</v>
      </c>
      <c r="I21" s="14">
        <v>0.02</v>
      </c>
      <c r="J21" s="14">
        <v>0.01</v>
      </c>
      <c r="K21" s="14">
        <v>0.03</v>
      </c>
      <c r="L21" s="14">
        <v>0.02</v>
      </c>
      <c r="M21" s="14">
        <v>0.02</v>
      </c>
      <c r="N21" s="14">
        <v>0.02</v>
      </c>
      <c r="O21" s="14">
        <v>0.02</v>
      </c>
      <c r="P21" s="14">
        <v>0.01</v>
      </c>
      <c r="Q21" s="14">
        <v>0.02</v>
      </c>
      <c r="R21" s="14">
        <v>0.01</v>
      </c>
      <c r="S21" s="14">
        <v>0.02</v>
      </c>
      <c r="T21" s="14">
        <v>0.02</v>
      </c>
      <c r="U21" s="14">
        <v>0.03</v>
      </c>
      <c r="V21" s="14">
        <v>0.02</v>
      </c>
      <c r="W21" s="14">
        <v>0.03</v>
      </c>
      <c r="X21" s="14">
        <v>0.01</v>
      </c>
      <c r="Y21" s="14">
        <v>0.02</v>
      </c>
      <c r="Z21" s="14">
        <v>0.04</v>
      </c>
      <c r="AA21" s="14">
        <v>0.03</v>
      </c>
      <c r="AB21" s="14">
        <v>0.02</v>
      </c>
      <c r="AC21" s="14">
        <v>0.01</v>
      </c>
      <c r="AD21" s="14">
        <v>0.04</v>
      </c>
      <c r="AE21" s="14">
        <v>0.05</v>
      </c>
      <c r="AF21" s="14">
        <v>0.02</v>
      </c>
    </row>
    <row r="22" spans="1:32">
      <c r="A22" s="23"/>
      <c r="B22" s="11" t="s">
        <v>995</v>
      </c>
      <c r="C22" s="12">
        <v>14890</v>
      </c>
      <c r="D22" s="12">
        <v>675</v>
      </c>
      <c r="E22" s="12">
        <v>484</v>
      </c>
      <c r="F22" s="12">
        <v>509</v>
      </c>
      <c r="G22" s="12">
        <v>591</v>
      </c>
      <c r="H22" s="12">
        <v>627</v>
      </c>
      <c r="I22" s="12">
        <v>783</v>
      </c>
      <c r="J22" s="12">
        <v>156</v>
      </c>
      <c r="K22" s="12">
        <v>690</v>
      </c>
      <c r="L22" s="12">
        <v>696</v>
      </c>
      <c r="M22" s="12">
        <v>501</v>
      </c>
      <c r="N22" s="12">
        <v>602</v>
      </c>
      <c r="O22" s="12">
        <v>556</v>
      </c>
      <c r="P22" s="12">
        <v>586</v>
      </c>
      <c r="Q22" s="12">
        <v>558</v>
      </c>
      <c r="R22" s="12">
        <v>270</v>
      </c>
      <c r="S22" s="12">
        <v>611</v>
      </c>
      <c r="T22" s="12">
        <v>589</v>
      </c>
      <c r="U22" s="12">
        <v>346</v>
      </c>
      <c r="V22" s="12">
        <v>565</v>
      </c>
      <c r="W22" s="12">
        <v>317</v>
      </c>
      <c r="X22" s="12">
        <v>700</v>
      </c>
      <c r="Y22" s="12">
        <v>605</v>
      </c>
      <c r="Z22" s="12">
        <v>609</v>
      </c>
      <c r="AA22" s="12">
        <v>458</v>
      </c>
      <c r="AB22" s="12">
        <v>520</v>
      </c>
      <c r="AC22" s="12">
        <v>669</v>
      </c>
      <c r="AD22" s="12">
        <v>586</v>
      </c>
      <c r="AE22" s="12">
        <v>723</v>
      </c>
      <c r="AF22" s="12">
        <v>742</v>
      </c>
    </row>
    <row r="23" spans="1:32">
      <c r="A23" s="23"/>
      <c r="B23" s="13" t="s">
        <v>996</v>
      </c>
      <c r="C23" s="14">
        <v>0.56000000000000005</v>
      </c>
      <c r="D23" s="14">
        <v>0.67</v>
      </c>
      <c r="E23" s="14">
        <v>0.46</v>
      </c>
      <c r="F23" s="14">
        <v>0.5</v>
      </c>
      <c r="G23" s="14">
        <v>0.59</v>
      </c>
      <c r="H23" s="14">
        <v>0.52</v>
      </c>
      <c r="I23" s="14">
        <v>0.52</v>
      </c>
      <c r="J23" s="14">
        <v>0.53</v>
      </c>
      <c r="K23" s="14">
        <v>0.69000000000000006</v>
      </c>
      <c r="L23" s="14">
        <v>0.69000000000000006</v>
      </c>
      <c r="M23" s="14">
        <v>0.49</v>
      </c>
      <c r="N23" s="14">
        <v>0.6</v>
      </c>
      <c r="O23" s="14">
        <v>0.55000000000000004</v>
      </c>
      <c r="P23" s="14">
        <v>0.57999999999999996</v>
      </c>
      <c r="Q23" s="14">
        <v>0.54</v>
      </c>
      <c r="R23" s="14">
        <v>0.54</v>
      </c>
      <c r="S23" s="14">
        <v>0.61</v>
      </c>
      <c r="T23" s="14">
        <v>0.59</v>
      </c>
      <c r="U23" s="14">
        <v>0.68</v>
      </c>
      <c r="V23" s="14">
        <v>0.56000000000000005</v>
      </c>
      <c r="W23" s="14">
        <v>0.63</v>
      </c>
      <c r="X23" s="14">
        <v>0.68</v>
      </c>
      <c r="Y23" s="14">
        <v>0.6</v>
      </c>
      <c r="Z23" s="14">
        <v>0.6</v>
      </c>
      <c r="AA23" s="14">
        <v>0.44</v>
      </c>
      <c r="AB23" s="14">
        <v>0.5</v>
      </c>
      <c r="AC23" s="14">
        <v>0.66</v>
      </c>
      <c r="AD23" s="14">
        <v>0.59</v>
      </c>
      <c r="AE23" s="14">
        <v>0.72</v>
      </c>
      <c r="AF23" s="14">
        <v>0.69000000000000006</v>
      </c>
    </row>
    <row r="24" spans="1:32">
      <c r="A24" s="23"/>
      <c r="B24" s="11" t="s">
        <v>997</v>
      </c>
      <c r="C24" s="12">
        <v>10887</v>
      </c>
      <c r="D24" s="12">
        <v>326</v>
      </c>
      <c r="E24" s="12">
        <v>513</v>
      </c>
      <c r="F24" s="12">
        <v>454</v>
      </c>
      <c r="G24" s="12">
        <v>372</v>
      </c>
      <c r="H24" s="12">
        <v>560</v>
      </c>
      <c r="I24" s="12">
        <v>695</v>
      </c>
      <c r="J24" s="12">
        <v>135</v>
      </c>
      <c r="K24" s="12">
        <v>286</v>
      </c>
      <c r="L24" s="12">
        <v>287</v>
      </c>
      <c r="M24" s="12">
        <v>494</v>
      </c>
      <c r="N24" s="12">
        <v>375</v>
      </c>
      <c r="O24" s="12">
        <v>428</v>
      </c>
      <c r="P24" s="12">
        <v>413</v>
      </c>
      <c r="Q24" s="12">
        <v>450</v>
      </c>
      <c r="R24" s="12">
        <v>228</v>
      </c>
      <c r="S24" s="12">
        <v>372</v>
      </c>
      <c r="T24" s="12">
        <v>391</v>
      </c>
      <c r="U24" s="12">
        <v>142</v>
      </c>
      <c r="V24" s="12">
        <v>427</v>
      </c>
      <c r="W24" s="12">
        <v>168</v>
      </c>
      <c r="X24" s="12">
        <v>310</v>
      </c>
      <c r="Y24" s="12">
        <v>381</v>
      </c>
      <c r="Z24" s="12">
        <v>370</v>
      </c>
      <c r="AA24" s="12">
        <v>547</v>
      </c>
      <c r="AB24" s="12">
        <v>496</v>
      </c>
      <c r="AC24" s="12">
        <v>328</v>
      </c>
      <c r="AD24" s="12">
        <v>380</v>
      </c>
      <c r="AE24" s="12">
        <v>233</v>
      </c>
      <c r="AF24" s="12">
        <v>313</v>
      </c>
    </row>
    <row r="25" spans="1:32">
      <c r="A25" s="23"/>
      <c r="B25" s="13" t="s">
        <v>998</v>
      </c>
      <c r="C25" s="14">
        <v>0.42</v>
      </c>
      <c r="D25" s="14">
        <v>0.33</v>
      </c>
      <c r="E25" s="14">
        <v>0.49</v>
      </c>
      <c r="F25" s="14">
        <v>0.45</v>
      </c>
      <c r="G25" s="14">
        <v>0.37</v>
      </c>
      <c r="H25" s="14">
        <v>0.46</v>
      </c>
      <c r="I25" s="14">
        <v>0.46</v>
      </c>
      <c r="J25" s="14">
        <v>0.46</v>
      </c>
      <c r="K25" s="14">
        <v>0.28000000000000003</v>
      </c>
      <c r="L25" s="14">
        <v>0.28999999999999998</v>
      </c>
      <c r="M25" s="14">
        <v>0.49</v>
      </c>
      <c r="N25" s="14">
        <v>0.38</v>
      </c>
      <c r="O25" s="14">
        <v>0.43</v>
      </c>
      <c r="P25" s="14">
        <v>0.41</v>
      </c>
      <c r="Q25" s="14">
        <v>0.44</v>
      </c>
      <c r="R25" s="14">
        <v>0.45</v>
      </c>
      <c r="S25" s="14">
        <v>0.37</v>
      </c>
      <c r="T25" s="14">
        <v>0.39</v>
      </c>
      <c r="U25" s="14">
        <v>0.28999999999999998</v>
      </c>
      <c r="V25" s="14">
        <v>0.42</v>
      </c>
      <c r="W25" s="14">
        <v>0.34</v>
      </c>
      <c r="X25" s="14">
        <v>0.31</v>
      </c>
      <c r="Y25" s="14">
        <v>0.38</v>
      </c>
      <c r="Z25" s="14">
        <v>0.36</v>
      </c>
      <c r="AA25" s="14">
        <v>0.53</v>
      </c>
      <c r="AB25" s="14">
        <v>0.48</v>
      </c>
      <c r="AC25" s="14">
        <v>0.33</v>
      </c>
      <c r="AD25" s="14">
        <v>0.37</v>
      </c>
      <c r="AE25" s="14">
        <v>0.23</v>
      </c>
      <c r="AF25" s="14">
        <v>0.28999999999999998</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137</v>
      </c>
      <c r="C3" s="19"/>
      <c r="D3" s="19"/>
      <c r="E3" s="19"/>
      <c r="F3" s="19"/>
      <c r="H3" s="19" t="s">
        <v>138</v>
      </c>
      <c r="I3" s="19"/>
      <c r="J3" s="19"/>
      <c r="K3" s="19"/>
      <c r="L3" s="19"/>
    </row>
    <row r="4" spans="1:32" ht="27" customHeight="1">
      <c r="B4" s="19"/>
      <c r="C4" s="19"/>
      <c r="D4" s="19"/>
      <c r="E4" s="19"/>
      <c r="F4" s="19"/>
      <c r="H4" s="19"/>
      <c r="I4" s="19"/>
      <c r="J4" s="19"/>
      <c r="K4" s="19"/>
      <c r="L4" s="19"/>
    </row>
    <row r="5" spans="1:32" ht="12" customHeight="1">
      <c r="B5" s="19" t="s">
        <v>999</v>
      </c>
      <c r="C5" s="19"/>
      <c r="D5" s="19"/>
      <c r="E5" s="19"/>
      <c r="F5" s="19"/>
      <c r="H5" s="19" t="s">
        <v>1000</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HYPERLINK("#Content!A70","&lt;&lt;Back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10887</v>
      </c>
      <c r="D10" s="10">
        <v>326</v>
      </c>
      <c r="E10" s="10">
        <v>513</v>
      </c>
      <c r="F10" s="10">
        <v>454</v>
      </c>
      <c r="G10" s="10">
        <v>372</v>
      </c>
      <c r="H10" s="10">
        <v>560</v>
      </c>
      <c r="I10" s="10">
        <v>695</v>
      </c>
      <c r="J10" s="10">
        <v>136</v>
      </c>
      <c r="K10" s="10">
        <v>287</v>
      </c>
      <c r="L10" s="10">
        <v>288</v>
      </c>
      <c r="M10" s="10">
        <v>494</v>
      </c>
      <c r="N10" s="10">
        <v>375</v>
      </c>
      <c r="O10" s="10">
        <v>428</v>
      </c>
      <c r="P10" s="10">
        <v>413</v>
      </c>
      <c r="Q10" s="10">
        <v>450</v>
      </c>
      <c r="R10" s="10">
        <v>228</v>
      </c>
      <c r="S10" s="10">
        <v>373</v>
      </c>
      <c r="T10" s="10">
        <v>390</v>
      </c>
      <c r="U10" s="10">
        <v>141</v>
      </c>
      <c r="V10" s="10">
        <v>427</v>
      </c>
      <c r="W10" s="10">
        <v>169</v>
      </c>
      <c r="X10" s="10">
        <v>310</v>
      </c>
      <c r="Y10" s="10">
        <v>381</v>
      </c>
      <c r="Z10" s="10">
        <v>370</v>
      </c>
      <c r="AA10" s="10">
        <v>547</v>
      </c>
      <c r="AB10" s="10">
        <v>496</v>
      </c>
      <c r="AC10" s="10">
        <v>328</v>
      </c>
      <c r="AD10" s="10">
        <v>380</v>
      </c>
      <c r="AE10" s="10">
        <v>233</v>
      </c>
      <c r="AF10" s="10">
        <v>313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34.5">
      <c r="A12" s="23"/>
      <c r="B12" s="11" t="s">
        <v>1001</v>
      </c>
      <c r="C12" s="12">
        <v>2636</v>
      </c>
      <c r="D12" s="12">
        <v>84</v>
      </c>
      <c r="E12" s="12">
        <v>66</v>
      </c>
      <c r="F12" s="12">
        <v>113</v>
      </c>
      <c r="G12" s="12">
        <v>67</v>
      </c>
      <c r="H12" s="12">
        <v>131</v>
      </c>
      <c r="I12" s="12">
        <v>164</v>
      </c>
      <c r="J12" s="12">
        <v>33</v>
      </c>
      <c r="K12" s="12">
        <v>55</v>
      </c>
      <c r="L12" s="12">
        <v>76</v>
      </c>
      <c r="M12" s="12">
        <v>210</v>
      </c>
      <c r="N12" s="12">
        <v>65</v>
      </c>
      <c r="O12" s="12">
        <v>107</v>
      </c>
      <c r="P12" s="12">
        <v>95</v>
      </c>
      <c r="Q12" s="12">
        <v>111</v>
      </c>
      <c r="R12" s="12">
        <v>66</v>
      </c>
      <c r="S12" s="12">
        <v>96</v>
      </c>
      <c r="T12" s="12">
        <v>144</v>
      </c>
      <c r="U12" s="12">
        <v>32</v>
      </c>
      <c r="V12" s="12">
        <v>94</v>
      </c>
      <c r="W12" s="12">
        <v>26</v>
      </c>
      <c r="X12" s="12">
        <v>69</v>
      </c>
      <c r="Y12" s="12">
        <v>64</v>
      </c>
      <c r="Z12" s="12">
        <v>113</v>
      </c>
      <c r="AA12" s="12">
        <v>123</v>
      </c>
      <c r="AB12" s="12">
        <v>127</v>
      </c>
      <c r="AC12" s="12">
        <v>64</v>
      </c>
      <c r="AD12" s="12">
        <v>76</v>
      </c>
      <c r="AE12" s="12">
        <v>84</v>
      </c>
      <c r="AF12" s="12">
        <v>76</v>
      </c>
    </row>
    <row r="13" spans="1:32" ht="34.5">
      <c r="A13" s="23"/>
      <c r="B13" s="13" t="s">
        <v>1002</v>
      </c>
      <c r="C13" s="14">
        <v>0.24</v>
      </c>
      <c r="D13" s="14">
        <v>0.26</v>
      </c>
      <c r="E13" s="14">
        <v>0.13</v>
      </c>
      <c r="F13" s="14">
        <v>0.25</v>
      </c>
      <c r="G13" s="14">
        <v>0.18</v>
      </c>
      <c r="H13" s="14">
        <v>0.23</v>
      </c>
      <c r="I13" s="14">
        <v>0.24</v>
      </c>
      <c r="J13" s="14">
        <v>0.25</v>
      </c>
      <c r="K13" s="14">
        <v>0.2</v>
      </c>
      <c r="L13" s="14">
        <v>0.26</v>
      </c>
      <c r="M13" s="14">
        <v>0.42</v>
      </c>
      <c r="N13" s="14">
        <v>0.17</v>
      </c>
      <c r="O13" s="14">
        <v>0.25</v>
      </c>
      <c r="P13" s="14">
        <v>0.23</v>
      </c>
      <c r="Q13" s="14">
        <v>0.25</v>
      </c>
      <c r="R13" s="14">
        <v>0.28999999999999998</v>
      </c>
      <c r="S13" s="14">
        <v>0.26</v>
      </c>
      <c r="T13" s="14">
        <v>0.37</v>
      </c>
      <c r="U13" s="14">
        <v>0.23</v>
      </c>
      <c r="V13" s="14">
        <v>0.22</v>
      </c>
      <c r="W13" s="14">
        <v>0.16</v>
      </c>
      <c r="X13" s="14">
        <v>0.22</v>
      </c>
      <c r="Y13" s="14">
        <v>0.17</v>
      </c>
      <c r="Z13" s="14">
        <v>0.3</v>
      </c>
      <c r="AA13" s="14">
        <v>0.22</v>
      </c>
      <c r="AB13" s="14">
        <v>0.26</v>
      </c>
      <c r="AC13" s="14">
        <v>0.2</v>
      </c>
      <c r="AD13" s="14">
        <v>0.2</v>
      </c>
      <c r="AE13" s="14">
        <v>0.36</v>
      </c>
      <c r="AF13" s="14">
        <v>0.24</v>
      </c>
    </row>
    <row r="14" spans="1:32" ht="34.5">
      <c r="A14" s="23"/>
      <c r="B14" s="11" t="s">
        <v>1003</v>
      </c>
      <c r="C14" s="12">
        <v>1540</v>
      </c>
      <c r="D14" s="12">
        <v>61</v>
      </c>
      <c r="E14" s="12">
        <v>97</v>
      </c>
      <c r="F14" s="12">
        <v>48</v>
      </c>
      <c r="G14" s="12">
        <v>24</v>
      </c>
      <c r="H14" s="12">
        <v>83</v>
      </c>
      <c r="I14" s="12">
        <v>102</v>
      </c>
      <c r="J14" s="12">
        <v>19</v>
      </c>
      <c r="K14" s="12">
        <v>41</v>
      </c>
      <c r="L14" s="12">
        <v>31</v>
      </c>
      <c r="M14" s="12">
        <v>107</v>
      </c>
      <c r="N14" s="12">
        <v>47</v>
      </c>
      <c r="O14" s="12">
        <v>59</v>
      </c>
      <c r="P14" s="12">
        <v>51</v>
      </c>
      <c r="Q14" s="12">
        <v>66</v>
      </c>
      <c r="R14" s="12">
        <v>56</v>
      </c>
      <c r="S14" s="12">
        <v>55</v>
      </c>
      <c r="T14" s="12">
        <v>48</v>
      </c>
      <c r="U14" s="12">
        <v>20</v>
      </c>
      <c r="V14" s="12">
        <v>78</v>
      </c>
      <c r="W14" s="12">
        <v>28</v>
      </c>
      <c r="X14" s="12">
        <v>27</v>
      </c>
      <c r="Y14" s="12">
        <v>49</v>
      </c>
      <c r="Z14" s="12">
        <v>43</v>
      </c>
      <c r="AA14" s="12">
        <v>120</v>
      </c>
      <c r="AB14" s="12">
        <v>61</v>
      </c>
      <c r="AC14" s="12">
        <v>36</v>
      </c>
      <c r="AD14" s="12">
        <v>53</v>
      </c>
      <c r="AE14" s="12">
        <v>24</v>
      </c>
      <c r="AF14" s="12">
        <v>48</v>
      </c>
    </row>
    <row r="15" spans="1:32" ht="23.25">
      <c r="A15" s="23"/>
      <c r="B15" s="13" t="s">
        <v>1004</v>
      </c>
      <c r="C15" s="14">
        <v>0.14000000000000001</v>
      </c>
      <c r="D15" s="14">
        <v>0.19</v>
      </c>
      <c r="E15" s="14">
        <v>0.19</v>
      </c>
      <c r="F15" s="14">
        <v>0.11</v>
      </c>
      <c r="G15" s="14">
        <v>7.0000000000000007E-2</v>
      </c>
      <c r="H15" s="14">
        <v>0.15</v>
      </c>
      <c r="I15" s="14">
        <v>0.15</v>
      </c>
      <c r="J15" s="14">
        <v>0.14000000000000001</v>
      </c>
      <c r="K15" s="14">
        <v>0.14000000000000001</v>
      </c>
      <c r="L15" s="14">
        <v>0.11</v>
      </c>
      <c r="M15" s="14">
        <v>0.22</v>
      </c>
      <c r="N15" s="14">
        <v>0.13</v>
      </c>
      <c r="O15" s="14">
        <v>0.14000000000000001</v>
      </c>
      <c r="P15" s="14">
        <v>0.12</v>
      </c>
      <c r="Q15" s="14">
        <v>0.14000000000000001</v>
      </c>
      <c r="R15" s="14">
        <v>0.24</v>
      </c>
      <c r="S15" s="14">
        <v>0.15</v>
      </c>
      <c r="T15" s="14">
        <v>0.12</v>
      </c>
      <c r="U15" s="14">
        <v>0.14000000000000001</v>
      </c>
      <c r="V15" s="14">
        <v>0.18</v>
      </c>
      <c r="W15" s="14">
        <v>0.16</v>
      </c>
      <c r="X15" s="14">
        <v>0.09</v>
      </c>
      <c r="Y15" s="14">
        <v>0.13</v>
      </c>
      <c r="Z15" s="14">
        <v>0.12</v>
      </c>
      <c r="AA15" s="14">
        <v>0.22</v>
      </c>
      <c r="AB15" s="14">
        <v>0.12</v>
      </c>
      <c r="AC15" s="14">
        <v>0.11</v>
      </c>
      <c r="AD15" s="14">
        <v>0.14000000000000001</v>
      </c>
      <c r="AE15" s="14">
        <v>0.1</v>
      </c>
      <c r="AF15" s="14">
        <v>0.15</v>
      </c>
    </row>
    <row r="16" spans="1:32" ht="23.25">
      <c r="A16" s="23"/>
      <c r="B16" s="11" t="s">
        <v>1005</v>
      </c>
      <c r="C16" s="12">
        <v>845</v>
      </c>
      <c r="D16" s="12">
        <v>20</v>
      </c>
      <c r="E16" s="12">
        <v>37</v>
      </c>
      <c r="F16" s="12">
        <v>39</v>
      </c>
      <c r="G16" s="12">
        <v>72</v>
      </c>
      <c r="H16" s="12">
        <v>50</v>
      </c>
      <c r="I16" s="12">
        <v>62</v>
      </c>
      <c r="J16" s="12">
        <v>11</v>
      </c>
      <c r="K16" s="12">
        <v>17</v>
      </c>
      <c r="L16" s="12">
        <v>19</v>
      </c>
      <c r="M16" s="12">
        <v>20</v>
      </c>
      <c r="N16" s="12">
        <v>31</v>
      </c>
      <c r="O16" s="12">
        <v>23</v>
      </c>
      <c r="P16" s="12">
        <v>34</v>
      </c>
      <c r="Q16" s="12">
        <v>14</v>
      </c>
      <c r="R16" s="12">
        <v>18</v>
      </c>
      <c r="S16" s="12">
        <v>29</v>
      </c>
      <c r="T16" s="12">
        <v>34</v>
      </c>
      <c r="U16" s="12">
        <v>14</v>
      </c>
      <c r="V16" s="12">
        <v>102</v>
      </c>
      <c r="W16" s="12">
        <v>22</v>
      </c>
      <c r="X16" s="12">
        <v>12</v>
      </c>
      <c r="Y16" s="12">
        <v>28</v>
      </c>
      <c r="Z16" s="12">
        <v>61</v>
      </c>
      <c r="AA16" s="12">
        <v>43</v>
      </c>
      <c r="AB16" s="12">
        <v>44</v>
      </c>
      <c r="AC16" s="12">
        <v>23</v>
      </c>
      <c r="AD16" s="12">
        <v>18</v>
      </c>
      <c r="AE16" s="12">
        <v>16</v>
      </c>
      <c r="AF16" s="12">
        <v>3</v>
      </c>
    </row>
    <row r="17" spans="1:32">
      <c r="A17" s="23"/>
      <c r="B17" s="13" t="s">
        <v>1006</v>
      </c>
      <c r="C17" s="14">
        <v>0.08</v>
      </c>
      <c r="D17" s="14">
        <v>0.06</v>
      </c>
      <c r="E17" s="14">
        <v>7.0000000000000007E-2</v>
      </c>
      <c r="F17" s="14">
        <v>0.08</v>
      </c>
      <c r="G17" s="14">
        <v>0.19</v>
      </c>
      <c r="H17" s="14">
        <v>0.09</v>
      </c>
      <c r="I17" s="14">
        <v>0.09</v>
      </c>
      <c r="J17" s="14">
        <v>0.08</v>
      </c>
      <c r="K17" s="14">
        <v>0.06</v>
      </c>
      <c r="L17" s="14">
        <v>0.06</v>
      </c>
      <c r="M17" s="14">
        <v>0.04</v>
      </c>
      <c r="N17" s="14">
        <v>0.08</v>
      </c>
      <c r="O17" s="14">
        <v>0.05</v>
      </c>
      <c r="P17" s="14">
        <v>0.08</v>
      </c>
      <c r="Q17" s="14">
        <v>0.03</v>
      </c>
      <c r="R17" s="14">
        <v>0.08</v>
      </c>
      <c r="S17" s="14">
        <v>0.08</v>
      </c>
      <c r="T17" s="14">
        <v>0.09</v>
      </c>
      <c r="U17" s="14">
        <v>0.1</v>
      </c>
      <c r="V17" s="14">
        <v>0.24</v>
      </c>
      <c r="W17" s="14">
        <v>0.13</v>
      </c>
      <c r="X17" s="14">
        <v>0.04</v>
      </c>
      <c r="Y17" s="14">
        <v>0.08</v>
      </c>
      <c r="Z17" s="14">
        <v>0.16</v>
      </c>
      <c r="AA17" s="14">
        <v>0.08</v>
      </c>
      <c r="AB17" s="14">
        <v>0.09</v>
      </c>
      <c r="AC17" s="14">
        <v>7.0000000000000007E-2</v>
      </c>
      <c r="AD17" s="14">
        <v>0.05</v>
      </c>
      <c r="AE17" s="14">
        <v>7.0000000000000007E-2</v>
      </c>
      <c r="AF17" s="14">
        <v>0.01</v>
      </c>
    </row>
    <row r="18" spans="1:32" ht="23.25">
      <c r="A18" s="23"/>
      <c r="B18" s="11" t="s">
        <v>1007</v>
      </c>
      <c r="C18" s="12">
        <v>1101</v>
      </c>
      <c r="D18" s="12">
        <v>34</v>
      </c>
      <c r="E18" s="12">
        <v>68</v>
      </c>
      <c r="F18" s="12">
        <v>76</v>
      </c>
      <c r="G18" s="12">
        <v>7</v>
      </c>
      <c r="H18" s="12">
        <v>28</v>
      </c>
      <c r="I18" s="12">
        <v>37</v>
      </c>
      <c r="J18" s="12">
        <v>9</v>
      </c>
      <c r="K18" s="12">
        <v>9</v>
      </c>
      <c r="L18" s="12">
        <v>33</v>
      </c>
      <c r="M18" s="12">
        <v>43</v>
      </c>
      <c r="N18" s="12">
        <v>37</v>
      </c>
      <c r="O18" s="12">
        <v>36</v>
      </c>
      <c r="P18" s="12">
        <v>52</v>
      </c>
      <c r="Q18" s="12">
        <v>63</v>
      </c>
      <c r="R18" s="12">
        <v>19</v>
      </c>
      <c r="S18" s="12">
        <v>56</v>
      </c>
      <c r="T18" s="12">
        <v>30</v>
      </c>
      <c r="U18" s="12">
        <v>9</v>
      </c>
      <c r="V18" s="12">
        <v>57</v>
      </c>
      <c r="W18" s="12">
        <v>33</v>
      </c>
      <c r="X18" s="12">
        <v>27</v>
      </c>
      <c r="Y18" s="12">
        <v>32</v>
      </c>
      <c r="Z18" s="12">
        <v>44</v>
      </c>
      <c r="AA18" s="12">
        <v>111</v>
      </c>
      <c r="AB18" s="12">
        <v>80</v>
      </c>
      <c r="AC18" s="12">
        <v>35</v>
      </c>
      <c r="AD18" s="12">
        <v>29</v>
      </c>
      <c r="AE18" s="12">
        <v>27</v>
      </c>
      <c r="AF18" s="12">
        <v>13</v>
      </c>
    </row>
    <row r="19" spans="1:32" ht="23.25">
      <c r="A19" s="23"/>
      <c r="B19" s="13" t="s">
        <v>1008</v>
      </c>
      <c r="C19" s="14">
        <v>0.1</v>
      </c>
      <c r="D19" s="14">
        <v>0.1</v>
      </c>
      <c r="E19" s="14">
        <v>0.13</v>
      </c>
      <c r="F19" s="14">
        <v>0.17</v>
      </c>
      <c r="G19" s="14">
        <v>0.02</v>
      </c>
      <c r="H19" s="14">
        <v>0.05</v>
      </c>
      <c r="I19" s="14">
        <v>0.05</v>
      </c>
      <c r="J19" s="14">
        <v>0.06</v>
      </c>
      <c r="K19" s="14">
        <v>0.03</v>
      </c>
      <c r="L19" s="14">
        <v>0.12</v>
      </c>
      <c r="M19" s="14">
        <v>0.09</v>
      </c>
      <c r="N19" s="14">
        <v>0.1</v>
      </c>
      <c r="O19" s="14">
        <v>0.09</v>
      </c>
      <c r="P19" s="14">
        <v>0.13</v>
      </c>
      <c r="Q19" s="14">
        <v>0.14000000000000001</v>
      </c>
      <c r="R19" s="14">
        <v>0.08</v>
      </c>
      <c r="S19" s="14">
        <v>0.15</v>
      </c>
      <c r="T19" s="14">
        <v>0.08</v>
      </c>
      <c r="U19" s="14">
        <v>0.06</v>
      </c>
      <c r="V19" s="14">
        <v>0.13</v>
      </c>
      <c r="W19" s="14">
        <v>0.2</v>
      </c>
      <c r="X19" s="14">
        <v>0.09</v>
      </c>
      <c r="Y19" s="14">
        <v>0.08</v>
      </c>
      <c r="Z19" s="14">
        <v>0.12</v>
      </c>
      <c r="AA19" s="14">
        <v>0.2</v>
      </c>
      <c r="AB19" s="14">
        <v>0.16</v>
      </c>
      <c r="AC19" s="14">
        <v>0.11</v>
      </c>
      <c r="AD19" s="14">
        <v>0.08</v>
      </c>
      <c r="AE19" s="14">
        <v>0.11</v>
      </c>
      <c r="AF19" s="14">
        <v>0.04</v>
      </c>
    </row>
    <row r="20" spans="1:32" ht="68.25">
      <c r="A20" s="23"/>
      <c r="B20" s="11" t="s">
        <v>1009</v>
      </c>
      <c r="C20" s="12">
        <v>1013</v>
      </c>
      <c r="D20" s="12">
        <v>19</v>
      </c>
      <c r="E20" s="12">
        <v>60</v>
      </c>
      <c r="F20" s="12">
        <v>51</v>
      </c>
      <c r="G20" s="12">
        <v>13</v>
      </c>
      <c r="H20" s="12">
        <v>49</v>
      </c>
      <c r="I20" s="12">
        <v>66</v>
      </c>
      <c r="J20" s="12">
        <v>17</v>
      </c>
      <c r="K20" s="12">
        <v>25</v>
      </c>
      <c r="L20" s="12">
        <v>26</v>
      </c>
      <c r="M20" s="12">
        <v>27</v>
      </c>
      <c r="N20" s="12">
        <v>36</v>
      </c>
      <c r="O20" s="12">
        <v>22</v>
      </c>
      <c r="P20" s="12">
        <v>48</v>
      </c>
      <c r="Q20" s="12">
        <v>66</v>
      </c>
      <c r="R20" s="12">
        <v>14</v>
      </c>
      <c r="S20" s="12">
        <v>28</v>
      </c>
      <c r="T20" s="12">
        <v>21</v>
      </c>
      <c r="U20" s="12">
        <v>5</v>
      </c>
      <c r="V20" s="12">
        <v>22</v>
      </c>
      <c r="W20" s="12">
        <v>8</v>
      </c>
      <c r="X20" s="12">
        <v>5</v>
      </c>
      <c r="Y20" s="12">
        <v>30</v>
      </c>
      <c r="Z20" s="12">
        <v>55</v>
      </c>
      <c r="AA20" s="12">
        <v>3</v>
      </c>
      <c r="AB20" s="12">
        <v>67</v>
      </c>
      <c r="AC20" s="12">
        <v>31</v>
      </c>
      <c r="AD20" s="12">
        <v>43</v>
      </c>
      <c r="AE20" s="12">
        <v>11</v>
      </c>
      <c r="AF20" s="12">
        <v>21</v>
      </c>
    </row>
    <row r="21" spans="1:32" ht="57">
      <c r="A21" s="23"/>
      <c r="B21" s="13" t="s">
        <v>1010</v>
      </c>
      <c r="C21" s="14">
        <v>0.09</v>
      </c>
      <c r="D21" s="14">
        <v>0.06</v>
      </c>
      <c r="E21" s="14">
        <v>0.12</v>
      </c>
      <c r="F21" s="14">
        <v>0.11</v>
      </c>
      <c r="G21" s="14">
        <v>0.03</v>
      </c>
      <c r="H21" s="14">
        <v>0.09</v>
      </c>
      <c r="I21" s="14">
        <v>0.09</v>
      </c>
      <c r="J21" s="14">
        <v>0.13</v>
      </c>
      <c r="K21" s="14">
        <v>0.09</v>
      </c>
      <c r="L21" s="14">
        <v>0.09</v>
      </c>
      <c r="M21" s="14">
        <v>0.06</v>
      </c>
      <c r="N21" s="14">
        <v>0.1</v>
      </c>
      <c r="O21" s="14">
        <v>0.05</v>
      </c>
      <c r="P21" s="14">
        <v>0.12</v>
      </c>
      <c r="Q21" s="14">
        <v>0.15</v>
      </c>
      <c r="R21" s="14">
        <v>0.06</v>
      </c>
      <c r="S21" s="14">
        <v>7.0000000000000007E-2</v>
      </c>
      <c r="T21" s="14">
        <v>0.05</v>
      </c>
      <c r="U21" s="14">
        <v>0.03</v>
      </c>
      <c r="V21" s="14">
        <v>0.05</v>
      </c>
      <c r="W21" s="14">
        <v>0.05</v>
      </c>
      <c r="X21" s="14">
        <v>0.01</v>
      </c>
      <c r="Y21" s="14">
        <v>0.08</v>
      </c>
      <c r="Z21" s="14">
        <v>0.15</v>
      </c>
      <c r="AA21" s="14">
        <v>0.01</v>
      </c>
      <c r="AB21" s="14">
        <v>0.14000000000000001</v>
      </c>
      <c r="AC21" s="14">
        <v>0.09</v>
      </c>
      <c r="AD21" s="14">
        <v>0.11</v>
      </c>
      <c r="AE21" s="14">
        <v>0.05</v>
      </c>
      <c r="AF21" s="14">
        <v>7.0000000000000007E-2</v>
      </c>
    </row>
    <row r="22" spans="1:32">
      <c r="A22" s="23"/>
      <c r="B22" s="11" t="s">
        <v>1011</v>
      </c>
      <c r="C22" s="12">
        <v>3636</v>
      </c>
      <c r="D22" s="12">
        <v>108</v>
      </c>
      <c r="E22" s="12">
        <v>178</v>
      </c>
      <c r="F22" s="12">
        <v>121</v>
      </c>
      <c r="G22" s="12">
        <v>179</v>
      </c>
      <c r="H22" s="12">
        <v>210</v>
      </c>
      <c r="I22" s="12">
        <v>256</v>
      </c>
      <c r="J22" s="12">
        <v>46</v>
      </c>
      <c r="K22" s="12">
        <v>135</v>
      </c>
      <c r="L22" s="12">
        <v>101</v>
      </c>
      <c r="M22" s="12">
        <v>86</v>
      </c>
      <c r="N22" s="12">
        <v>152</v>
      </c>
      <c r="O22" s="12">
        <v>176</v>
      </c>
      <c r="P22" s="12">
        <v>133</v>
      </c>
      <c r="Q22" s="12">
        <v>128</v>
      </c>
      <c r="R22" s="12">
        <v>50</v>
      </c>
      <c r="S22" s="12">
        <v>98</v>
      </c>
      <c r="T22" s="12">
        <v>112</v>
      </c>
      <c r="U22" s="12">
        <v>62</v>
      </c>
      <c r="V22" s="12">
        <v>71</v>
      </c>
      <c r="W22" s="12">
        <v>47</v>
      </c>
      <c r="X22" s="12">
        <v>168</v>
      </c>
      <c r="Y22" s="12">
        <v>175</v>
      </c>
      <c r="Z22" s="12">
        <v>48</v>
      </c>
      <c r="AA22" s="12">
        <v>143</v>
      </c>
      <c r="AB22" s="12">
        <v>114</v>
      </c>
      <c r="AC22" s="12">
        <v>137</v>
      </c>
      <c r="AD22" s="12">
        <v>157</v>
      </c>
      <c r="AE22" s="12">
        <v>67</v>
      </c>
      <c r="AF22" s="12">
        <v>147</v>
      </c>
    </row>
    <row r="23" spans="1:32">
      <c r="A23" s="23"/>
      <c r="B23" s="13" t="s">
        <v>1012</v>
      </c>
      <c r="C23" s="14">
        <v>0.34</v>
      </c>
      <c r="D23" s="14">
        <v>0.33</v>
      </c>
      <c r="E23" s="14">
        <v>0.35</v>
      </c>
      <c r="F23" s="14">
        <v>0.27</v>
      </c>
      <c r="G23" s="14">
        <v>0.48</v>
      </c>
      <c r="H23" s="14">
        <v>0.38</v>
      </c>
      <c r="I23" s="14">
        <v>0.37</v>
      </c>
      <c r="J23" s="14">
        <v>0.34</v>
      </c>
      <c r="K23" s="14">
        <v>0.47</v>
      </c>
      <c r="L23" s="14">
        <v>0.35</v>
      </c>
      <c r="M23" s="14">
        <v>0.17</v>
      </c>
      <c r="N23" s="14">
        <v>0.4</v>
      </c>
      <c r="O23" s="14">
        <v>0.41</v>
      </c>
      <c r="P23" s="14">
        <v>0.32</v>
      </c>
      <c r="Q23" s="14">
        <v>0.28000000000000003</v>
      </c>
      <c r="R23" s="14">
        <v>0.22</v>
      </c>
      <c r="S23" s="14">
        <v>0.26</v>
      </c>
      <c r="T23" s="14">
        <v>0.28999999999999998</v>
      </c>
      <c r="U23" s="14">
        <v>0.44</v>
      </c>
      <c r="V23" s="14">
        <v>0.17</v>
      </c>
      <c r="W23" s="14">
        <v>0.28000000000000003</v>
      </c>
      <c r="X23" s="14">
        <v>0.54</v>
      </c>
      <c r="Y23" s="14">
        <v>0.46</v>
      </c>
      <c r="Z23" s="14">
        <v>0.13</v>
      </c>
      <c r="AA23" s="14">
        <v>0.26</v>
      </c>
      <c r="AB23" s="14">
        <v>0.23</v>
      </c>
      <c r="AC23" s="14">
        <v>0.42</v>
      </c>
      <c r="AD23" s="14">
        <v>0.41</v>
      </c>
      <c r="AE23" s="14">
        <v>0.28999999999999998</v>
      </c>
      <c r="AF23" s="14">
        <v>0.47</v>
      </c>
    </row>
    <row r="24" spans="1:32">
      <c r="A24" s="23"/>
      <c r="B24" s="11" t="s">
        <v>497</v>
      </c>
      <c r="C24" s="12">
        <v>116</v>
      </c>
      <c r="D24" s="12">
        <v>0</v>
      </c>
      <c r="E24" s="12">
        <v>8</v>
      </c>
      <c r="F24" s="12">
        <v>6</v>
      </c>
      <c r="G24" s="12">
        <v>10</v>
      </c>
      <c r="H24" s="12">
        <v>8</v>
      </c>
      <c r="I24" s="12">
        <v>9</v>
      </c>
      <c r="J24" s="12">
        <v>0</v>
      </c>
      <c r="K24" s="12">
        <v>4</v>
      </c>
      <c r="L24" s="12">
        <v>3</v>
      </c>
      <c r="M24" s="12">
        <v>0</v>
      </c>
      <c r="N24" s="12">
        <v>7</v>
      </c>
      <c r="O24" s="12">
        <v>4</v>
      </c>
      <c r="P24" s="12">
        <v>0</v>
      </c>
      <c r="Q24" s="12">
        <v>3</v>
      </c>
      <c r="R24" s="12">
        <v>6</v>
      </c>
      <c r="S24" s="12">
        <v>10</v>
      </c>
      <c r="T24" s="12">
        <v>1</v>
      </c>
      <c r="U24" s="12">
        <v>0</v>
      </c>
      <c r="V24" s="12">
        <v>2</v>
      </c>
      <c r="W24" s="12">
        <v>4</v>
      </c>
      <c r="X24" s="12">
        <v>2</v>
      </c>
      <c r="Y24" s="12">
        <v>2</v>
      </c>
      <c r="Z24" s="12">
        <v>6</v>
      </c>
      <c r="AA24" s="12">
        <v>4</v>
      </c>
      <c r="AB24" s="12">
        <v>2</v>
      </c>
      <c r="AC24" s="12">
        <v>1</v>
      </c>
      <c r="AD24" s="12">
        <v>5</v>
      </c>
      <c r="AE24" s="12">
        <v>4</v>
      </c>
      <c r="AF24" s="12">
        <v>5</v>
      </c>
    </row>
    <row r="25" spans="1:32">
      <c r="A25" s="23"/>
      <c r="B25" s="13" t="s">
        <v>498</v>
      </c>
      <c r="C25" s="14">
        <v>0.01</v>
      </c>
      <c r="D25" s="15" t="s">
        <v>485</v>
      </c>
      <c r="E25" s="14">
        <v>0.01</v>
      </c>
      <c r="F25" s="14">
        <v>0.01</v>
      </c>
      <c r="G25" s="14">
        <v>0.03</v>
      </c>
      <c r="H25" s="14">
        <v>0.01</v>
      </c>
      <c r="I25" s="14">
        <v>0.01</v>
      </c>
      <c r="J25" s="15" t="s">
        <v>485</v>
      </c>
      <c r="K25" s="14">
        <v>0.01</v>
      </c>
      <c r="L25" s="14">
        <v>0.01</v>
      </c>
      <c r="M25" s="15" t="s">
        <v>485</v>
      </c>
      <c r="N25" s="14">
        <v>0.02</v>
      </c>
      <c r="O25" s="14">
        <v>0.01</v>
      </c>
      <c r="P25" s="15" t="s">
        <v>485</v>
      </c>
      <c r="Q25" s="14">
        <v>0.01</v>
      </c>
      <c r="R25" s="14">
        <v>0.03</v>
      </c>
      <c r="S25" s="14">
        <v>0.03</v>
      </c>
      <c r="T25" s="15" t="s">
        <v>485</v>
      </c>
      <c r="U25" s="15" t="s">
        <v>485</v>
      </c>
      <c r="V25" s="14">
        <v>0.01</v>
      </c>
      <c r="W25" s="14">
        <v>0.02</v>
      </c>
      <c r="X25" s="14">
        <v>0.01</v>
      </c>
      <c r="Y25" s="15" t="s">
        <v>485</v>
      </c>
      <c r="Z25" s="14">
        <v>0.02</v>
      </c>
      <c r="AA25" s="14">
        <v>0.01</v>
      </c>
      <c r="AB25" s="15" t="s">
        <v>485</v>
      </c>
      <c r="AC25" s="15" t="s">
        <v>485</v>
      </c>
      <c r="AD25" s="14">
        <v>0.01</v>
      </c>
      <c r="AE25" s="14">
        <v>0.02</v>
      </c>
      <c r="AF25" s="14">
        <v>0.02</v>
      </c>
    </row>
  </sheetData>
  <mergeCells count="9">
    <mergeCell ref="H3:L3"/>
    <mergeCell ref="C8:AF8"/>
    <mergeCell ref="B3:F3"/>
    <mergeCell ref="B5:F5"/>
    <mergeCell ref="A10:A25"/>
    <mergeCell ref="H5:L5"/>
    <mergeCell ref="B10:B11"/>
    <mergeCell ref="H4:L4"/>
    <mergeCell ref="B4:F4"/>
  </mergeCells>
  <pageMargins left="0.75" right="0.75" top="1" bottom="1" header="0.5" footer="0.5"/>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36" customHeight="1">
      <c r="B3" s="19" t="s">
        <v>139</v>
      </c>
      <c r="C3" s="19"/>
      <c r="D3" s="19"/>
      <c r="E3" s="19"/>
      <c r="F3" s="19"/>
      <c r="H3" s="19" t="s">
        <v>140</v>
      </c>
      <c r="I3" s="19"/>
      <c r="J3" s="19"/>
      <c r="K3" s="19"/>
      <c r="L3" s="19"/>
    </row>
    <row r="4" spans="1:32" ht="27" customHeight="1">
      <c r="B4" s="19"/>
      <c r="C4" s="19"/>
      <c r="D4" s="19"/>
      <c r="E4" s="19"/>
      <c r="F4" s="19"/>
      <c r="H4" s="19"/>
      <c r="I4" s="19"/>
      <c r="J4" s="19"/>
      <c r="K4" s="19"/>
      <c r="L4" s="19"/>
    </row>
    <row r="5" spans="1:32" ht="24" customHeight="1">
      <c r="B5" s="19" t="s">
        <v>1013</v>
      </c>
      <c r="C5" s="19"/>
      <c r="D5" s="19"/>
      <c r="E5" s="19"/>
      <c r="F5" s="19"/>
      <c r="H5" s="19" t="s">
        <v>1014</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HYPERLINK("#Content!A71","&lt;&lt;Back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10771</v>
      </c>
      <c r="D10" s="10">
        <v>326</v>
      </c>
      <c r="E10" s="10">
        <v>505</v>
      </c>
      <c r="F10" s="10">
        <v>448</v>
      </c>
      <c r="G10" s="10">
        <v>362</v>
      </c>
      <c r="H10" s="10">
        <v>552</v>
      </c>
      <c r="I10" s="10">
        <v>687</v>
      </c>
      <c r="J10" s="10">
        <v>135</v>
      </c>
      <c r="K10" s="10">
        <v>283</v>
      </c>
      <c r="L10" s="10">
        <v>285</v>
      </c>
      <c r="M10" s="10">
        <v>494</v>
      </c>
      <c r="N10" s="10">
        <v>368</v>
      </c>
      <c r="O10" s="10">
        <v>423</v>
      </c>
      <c r="P10" s="10">
        <v>413</v>
      </c>
      <c r="Q10" s="10">
        <v>447</v>
      </c>
      <c r="R10" s="10">
        <v>223</v>
      </c>
      <c r="S10" s="10">
        <v>362</v>
      </c>
      <c r="T10" s="10">
        <v>389</v>
      </c>
      <c r="U10" s="10">
        <v>141</v>
      </c>
      <c r="V10" s="10">
        <v>424</v>
      </c>
      <c r="W10" s="10">
        <v>165</v>
      </c>
      <c r="X10" s="10">
        <v>308</v>
      </c>
      <c r="Y10" s="10">
        <v>379</v>
      </c>
      <c r="Z10" s="10">
        <v>364</v>
      </c>
      <c r="AA10" s="10">
        <v>543</v>
      </c>
      <c r="AB10" s="10">
        <v>494</v>
      </c>
      <c r="AC10" s="10">
        <v>327</v>
      </c>
      <c r="AD10" s="10">
        <v>376</v>
      </c>
      <c r="AE10" s="10">
        <v>228</v>
      </c>
      <c r="AF10" s="10">
        <v>307</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34.5">
      <c r="A12" s="23"/>
      <c r="B12" s="11" t="s">
        <v>1001</v>
      </c>
      <c r="C12" s="12">
        <v>1701</v>
      </c>
      <c r="D12" s="12">
        <v>68</v>
      </c>
      <c r="E12" s="12">
        <v>77</v>
      </c>
      <c r="F12" s="12">
        <v>73</v>
      </c>
      <c r="G12" s="12">
        <v>51</v>
      </c>
      <c r="H12" s="12">
        <v>89</v>
      </c>
      <c r="I12" s="12">
        <v>112</v>
      </c>
      <c r="J12" s="12">
        <v>23</v>
      </c>
      <c r="K12" s="12">
        <v>49</v>
      </c>
      <c r="L12" s="12">
        <v>41</v>
      </c>
      <c r="M12" s="12">
        <v>97</v>
      </c>
      <c r="N12" s="12">
        <v>52</v>
      </c>
      <c r="O12" s="12">
        <v>44</v>
      </c>
      <c r="P12" s="12">
        <v>79</v>
      </c>
      <c r="Q12" s="12">
        <v>79</v>
      </c>
      <c r="R12" s="12">
        <v>41</v>
      </c>
      <c r="S12" s="12">
        <v>62</v>
      </c>
      <c r="T12" s="12">
        <v>68</v>
      </c>
      <c r="U12" s="12">
        <v>19</v>
      </c>
      <c r="V12" s="12">
        <v>104</v>
      </c>
      <c r="W12" s="12">
        <v>24</v>
      </c>
      <c r="X12" s="12">
        <v>24</v>
      </c>
      <c r="Y12" s="12">
        <v>77</v>
      </c>
      <c r="Z12" s="12">
        <v>67</v>
      </c>
      <c r="AA12" s="12">
        <v>92</v>
      </c>
      <c r="AB12" s="12">
        <v>96</v>
      </c>
      <c r="AC12" s="12">
        <v>35</v>
      </c>
      <c r="AD12" s="12">
        <v>61</v>
      </c>
      <c r="AE12" s="12">
        <v>35</v>
      </c>
      <c r="AF12" s="12">
        <v>38</v>
      </c>
    </row>
    <row r="13" spans="1:32" ht="34.5">
      <c r="A13" s="23"/>
      <c r="B13" s="13" t="s">
        <v>1002</v>
      </c>
      <c r="C13" s="14">
        <v>0.21</v>
      </c>
      <c r="D13" s="14">
        <v>0.28000000000000003</v>
      </c>
      <c r="E13" s="14">
        <v>0.18</v>
      </c>
      <c r="F13" s="14">
        <v>0.22</v>
      </c>
      <c r="G13" s="14">
        <v>0.17</v>
      </c>
      <c r="H13" s="14">
        <v>0.21</v>
      </c>
      <c r="I13" s="14">
        <v>0.21</v>
      </c>
      <c r="J13" s="14">
        <v>0.23</v>
      </c>
      <c r="K13" s="14">
        <v>0.21</v>
      </c>
      <c r="L13" s="14">
        <v>0.2</v>
      </c>
      <c r="M13" s="14">
        <v>0.34</v>
      </c>
      <c r="N13" s="14">
        <v>0.17</v>
      </c>
      <c r="O13" s="14">
        <v>0.14000000000000001</v>
      </c>
      <c r="P13" s="14">
        <v>0.25</v>
      </c>
      <c r="Q13" s="14">
        <v>0.23</v>
      </c>
      <c r="R13" s="14">
        <v>0.26</v>
      </c>
      <c r="S13" s="14">
        <v>0.23</v>
      </c>
      <c r="T13" s="14">
        <v>0.28000000000000003</v>
      </c>
      <c r="U13" s="14">
        <v>0.17</v>
      </c>
      <c r="V13" s="14">
        <v>0.32</v>
      </c>
      <c r="W13" s="14">
        <v>0.18</v>
      </c>
      <c r="X13" s="14">
        <v>0.1</v>
      </c>
      <c r="Y13" s="14">
        <v>0.25</v>
      </c>
      <c r="Z13" s="14">
        <v>0.27</v>
      </c>
      <c r="AA13" s="14">
        <v>0.22</v>
      </c>
      <c r="AB13" s="14">
        <v>0.26</v>
      </c>
      <c r="AC13" s="14">
        <v>0.14000000000000001</v>
      </c>
      <c r="AD13" s="14">
        <v>0.2</v>
      </c>
      <c r="AE13" s="14">
        <v>0.25</v>
      </c>
      <c r="AF13" s="14">
        <v>0.17</v>
      </c>
    </row>
    <row r="14" spans="1:32" ht="34.5">
      <c r="A14" s="23"/>
      <c r="B14" s="11" t="s">
        <v>1003</v>
      </c>
      <c r="C14" s="12">
        <v>1388</v>
      </c>
      <c r="D14" s="12">
        <v>32</v>
      </c>
      <c r="E14" s="12">
        <v>74</v>
      </c>
      <c r="F14" s="12">
        <v>77</v>
      </c>
      <c r="G14" s="12">
        <v>25</v>
      </c>
      <c r="H14" s="12">
        <v>66</v>
      </c>
      <c r="I14" s="12">
        <v>82</v>
      </c>
      <c r="J14" s="12">
        <v>16</v>
      </c>
      <c r="K14" s="12">
        <v>22</v>
      </c>
      <c r="L14" s="12">
        <v>32</v>
      </c>
      <c r="M14" s="12">
        <v>86</v>
      </c>
      <c r="N14" s="12">
        <v>35</v>
      </c>
      <c r="O14" s="12">
        <v>42</v>
      </c>
      <c r="P14" s="12">
        <v>71</v>
      </c>
      <c r="Q14" s="12">
        <v>73</v>
      </c>
      <c r="R14" s="12">
        <v>47</v>
      </c>
      <c r="S14" s="12">
        <v>37</v>
      </c>
      <c r="T14" s="12">
        <v>44</v>
      </c>
      <c r="U14" s="12">
        <v>9</v>
      </c>
      <c r="V14" s="12">
        <v>74</v>
      </c>
      <c r="W14" s="12">
        <v>15</v>
      </c>
      <c r="X14" s="12">
        <v>23</v>
      </c>
      <c r="Y14" s="12">
        <v>41</v>
      </c>
      <c r="Z14" s="12">
        <v>69</v>
      </c>
      <c r="AA14" s="12">
        <v>70</v>
      </c>
      <c r="AB14" s="12">
        <v>81</v>
      </c>
      <c r="AC14" s="12">
        <v>37</v>
      </c>
      <c r="AD14" s="12">
        <v>34</v>
      </c>
      <c r="AE14" s="12">
        <v>18</v>
      </c>
      <c r="AF14" s="12">
        <v>24</v>
      </c>
    </row>
    <row r="15" spans="1:32" ht="23.25">
      <c r="A15" s="23"/>
      <c r="B15" s="13" t="s">
        <v>1004</v>
      </c>
      <c r="C15" s="14">
        <v>0.15</v>
      </c>
      <c r="D15" s="14">
        <v>0.12</v>
      </c>
      <c r="E15" s="14">
        <v>0.18</v>
      </c>
      <c r="F15" s="14">
        <v>0.19</v>
      </c>
      <c r="G15" s="14">
        <v>7.0000000000000007E-2</v>
      </c>
      <c r="H15" s="14">
        <v>0.14000000000000001</v>
      </c>
      <c r="I15" s="14">
        <v>0.14000000000000001</v>
      </c>
      <c r="J15" s="14">
        <v>0.14000000000000001</v>
      </c>
      <c r="K15" s="14">
        <v>0.09</v>
      </c>
      <c r="L15" s="14">
        <v>0.13</v>
      </c>
      <c r="M15" s="14">
        <v>0.22</v>
      </c>
      <c r="N15" s="14">
        <v>0.11</v>
      </c>
      <c r="O15" s="14">
        <v>0.11</v>
      </c>
      <c r="P15" s="14">
        <v>0.19</v>
      </c>
      <c r="Q15" s="14">
        <v>0.19</v>
      </c>
      <c r="R15" s="14">
        <v>0.28000000000000003</v>
      </c>
      <c r="S15" s="14">
        <v>0.12</v>
      </c>
      <c r="T15" s="14">
        <v>0.13</v>
      </c>
      <c r="U15" s="14">
        <v>7.0000000000000007E-2</v>
      </c>
      <c r="V15" s="14">
        <v>0.21</v>
      </c>
      <c r="W15" s="14">
        <v>0.11</v>
      </c>
      <c r="X15" s="14">
        <v>0.08</v>
      </c>
      <c r="Y15" s="14">
        <v>0.13</v>
      </c>
      <c r="Z15" s="14">
        <v>0.22</v>
      </c>
      <c r="AA15" s="14">
        <v>0.16</v>
      </c>
      <c r="AB15" s="14">
        <v>0.19</v>
      </c>
      <c r="AC15" s="14">
        <v>0.13</v>
      </c>
      <c r="AD15" s="14">
        <v>0.11</v>
      </c>
      <c r="AE15" s="14">
        <v>0.09</v>
      </c>
      <c r="AF15" s="14">
        <v>0.09</v>
      </c>
    </row>
    <row r="16" spans="1:32" ht="23.25">
      <c r="A16" s="23"/>
      <c r="B16" s="11" t="s">
        <v>1005</v>
      </c>
      <c r="C16" s="12">
        <v>927</v>
      </c>
      <c r="D16" s="12">
        <v>34</v>
      </c>
      <c r="E16" s="12">
        <v>58</v>
      </c>
      <c r="F16" s="12">
        <v>51</v>
      </c>
      <c r="G16" s="12">
        <v>33</v>
      </c>
      <c r="H16" s="12">
        <v>47</v>
      </c>
      <c r="I16" s="12">
        <v>63</v>
      </c>
      <c r="J16" s="12">
        <v>16</v>
      </c>
      <c r="K16" s="12">
        <v>24</v>
      </c>
      <c r="L16" s="12">
        <v>28</v>
      </c>
      <c r="M16" s="12">
        <v>46</v>
      </c>
      <c r="N16" s="12">
        <v>20</v>
      </c>
      <c r="O16" s="12">
        <v>27</v>
      </c>
      <c r="P16" s="12">
        <v>51</v>
      </c>
      <c r="Q16" s="12">
        <v>28</v>
      </c>
      <c r="R16" s="12">
        <v>22</v>
      </c>
      <c r="S16" s="12">
        <v>17</v>
      </c>
      <c r="T16" s="12">
        <v>46</v>
      </c>
      <c r="U16" s="12">
        <v>5</v>
      </c>
      <c r="V16" s="12">
        <v>92</v>
      </c>
      <c r="W16" s="12">
        <v>14</v>
      </c>
      <c r="X16" s="12">
        <v>9</v>
      </c>
      <c r="Y16" s="12">
        <v>33</v>
      </c>
      <c r="Z16" s="12">
        <v>64</v>
      </c>
      <c r="AA16" s="12">
        <v>49</v>
      </c>
      <c r="AB16" s="12">
        <v>42</v>
      </c>
      <c r="AC16" s="12">
        <v>26</v>
      </c>
      <c r="AD16" s="12">
        <v>28</v>
      </c>
      <c r="AE16" s="12">
        <v>7</v>
      </c>
      <c r="AF16" s="12">
        <v>6</v>
      </c>
    </row>
    <row r="17" spans="1:32">
      <c r="A17" s="23"/>
      <c r="B17" s="13" t="s">
        <v>1006</v>
      </c>
      <c r="C17" s="14">
        <v>0.09</v>
      </c>
      <c r="D17" s="14">
        <v>0.11</v>
      </c>
      <c r="E17" s="14">
        <v>0.12</v>
      </c>
      <c r="F17" s="14">
        <v>0.12</v>
      </c>
      <c r="G17" s="14">
        <v>0.12</v>
      </c>
      <c r="H17" s="14">
        <v>0.09</v>
      </c>
      <c r="I17" s="14">
        <v>0.1</v>
      </c>
      <c r="J17" s="14">
        <v>0.13</v>
      </c>
      <c r="K17" s="14">
        <v>0.09</v>
      </c>
      <c r="L17" s="14">
        <v>0.11</v>
      </c>
      <c r="M17" s="14">
        <v>0.1</v>
      </c>
      <c r="N17" s="14">
        <v>0.06</v>
      </c>
      <c r="O17" s="14">
        <v>7.0000000000000007E-2</v>
      </c>
      <c r="P17" s="14">
        <v>0.13</v>
      </c>
      <c r="Q17" s="14">
        <v>7.0000000000000007E-2</v>
      </c>
      <c r="R17" s="14">
        <v>0.11</v>
      </c>
      <c r="S17" s="14">
        <v>0.05</v>
      </c>
      <c r="T17" s="14">
        <v>0.13</v>
      </c>
      <c r="U17" s="14">
        <v>0.04</v>
      </c>
      <c r="V17" s="14">
        <v>0.28999999999999998</v>
      </c>
      <c r="W17" s="14">
        <v>0.1</v>
      </c>
      <c r="X17" s="14">
        <v>0.03</v>
      </c>
      <c r="Y17" s="14">
        <v>0.09</v>
      </c>
      <c r="Z17" s="14">
        <v>0.21</v>
      </c>
      <c r="AA17" s="14">
        <v>0.1</v>
      </c>
      <c r="AB17" s="14">
        <v>0.09</v>
      </c>
      <c r="AC17" s="14">
        <v>0.09</v>
      </c>
      <c r="AD17" s="14">
        <v>0.08</v>
      </c>
      <c r="AE17" s="14">
        <v>0.03</v>
      </c>
      <c r="AF17" s="14">
        <v>0.02</v>
      </c>
    </row>
    <row r="18" spans="1:32" ht="23.25">
      <c r="A18" s="23"/>
      <c r="B18" s="11" t="s">
        <v>1007</v>
      </c>
      <c r="C18" s="12">
        <v>1206</v>
      </c>
      <c r="D18" s="12">
        <v>36</v>
      </c>
      <c r="E18" s="12">
        <v>65</v>
      </c>
      <c r="F18" s="12">
        <v>48</v>
      </c>
      <c r="G18" s="12">
        <v>12</v>
      </c>
      <c r="H18" s="12">
        <v>52</v>
      </c>
      <c r="I18" s="12">
        <v>63</v>
      </c>
      <c r="J18" s="12">
        <v>11</v>
      </c>
      <c r="K18" s="12">
        <v>34</v>
      </c>
      <c r="L18" s="12">
        <v>33</v>
      </c>
      <c r="M18" s="12">
        <v>56</v>
      </c>
      <c r="N18" s="12">
        <v>43</v>
      </c>
      <c r="O18" s="12">
        <v>37</v>
      </c>
      <c r="P18" s="12">
        <v>72</v>
      </c>
      <c r="Q18" s="12">
        <v>59</v>
      </c>
      <c r="R18" s="12">
        <v>30</v>
      </c>
      <c r="S18" s="12">
        <v>58</v>
      </c>
      <c r="T18" s="12">
        <v>63</v>
      </c>
      <c r="U18" s="12">
        <v>10</v>
      </c>
      <c r="V18" s="12">
        <v>73</v>
      </c>
      <c r="W18" s="12">
        <v>22</v>
      </c>
      <c r="X18" s="12">
        <v>21</v>
      </c>
      <c r="Y18" s="12">
        <v>29</v>
      </c>
      <c r="Z18" s="12">
        <v>46</v>
      </c>
      <c r="AA18" s="12">
        <v>111</v>
      </c>
      <c r="AB18" s="12">
        <v>81</v>
      </c>
      <c r="AC18" s="12">
        <v>34</v>
      </c>
      <c r="AD18" s="12">
        <v>31</v>
      </c>
      <c r="AE18" s="12">
        <v>29</v>
      </c>
      <c r="AF18" s="12">
        <v>11</v>
      </c>
    </row>
    <row r="19" spans="1:32" ht="23.25">
      <c r="A19" s="23"/>
      <c r="B19" s="13" t="s">
        <v>1008</v>
      </c>
      <c r="C19" s="14">
        <v>0.12</v>
      </c>
      <c r="D19" s="14">
        <v>0.12</v>
      </c>
      <c r="E19" s="14">
        <v>0.15</v>
      </c>
      <c r="F19" s="14">
        <v>0.13</v>
      </c>
      <c r="G19" s="14">
        <v>0.03</v>
      </c>
      <c r="H19" s="14">
        <v>0.1</v>
      </c>
      <c r="I19" s="14">
        <v>0.1</v>
      </c>
      <c r="J19" s="14">
        <v>0.09</v>
      </c>
      <c r="K19" s="14">
        <v>0.12</v>
      </c>
      <c r="L19" s="14">
        <v>0.13</v>
      </c>
      <c r="M19" s="14">
        <v>0.12</v>
      </c>
      <c r="N19" s="14">
        <v>0.13</v>
      </c>
      <c r="O19" s="14">
        <v>0.09</v>
      </c>
      <c r="P19" s="14">
        <v>0.2</v>
      </c>
      <c r="Q19" s="14">
        <v>0.15</v>
      </c>
      <c r="R19" s="14">
        <v>0.15</v>
      </c>
      <c r="S19" s="14">
        <v>0.19</v>
      </c>
      <c r="T19" s="14">
        <v>0.18</v>
      </c>
      <c r="U19" s="14">
        <v>0.08</v>
      </c>
      <c r="V19" s="14">
        <v>0.2</v>
      </c>
      <c r="W19" s="14">
        <v>0.17</v>
      </c>
      <c r="X19" s="14">
        <v>0.08</v>
      </c>
      <c r="Y19" s="14">
        <v>0.08</v>
      </c>
      <c r="Z19" s="14">
        <v>0.14000000000000001</v>
      </c>
      <c r="AA19" s="14">
        <v>0.26</v>
      </c>
      <c r="AB19" s="14">
        <v>0.2</v>
      </c>
      <c r="AC19" s="14">
        <v>0.12</v>
      </c>
      <c r="AD19" s="14">
        <v>0.09</v>
      </c>
      <c r="AE19" s="14">
        <v>0.14000000000000001</v>
      </c>
      <c r="AF19" s="14">
        <v>0.04</v>
      </c>
    </row>
    <row r="20" spans="1:32" ht="68.25">
      <c r="A20" s="23"/>
      <c r="B20" s="11" t="s">
        <v>1009</v>
      </c>
      <c r="C20" s="12">
        <v>1116</v>
      </c>
      <c r="D20" s="12">
        <v>29</v>
      </c>
      <c r="E20" s="12">
        <v>40</v>
      </c>
      <c r="F20" s="12">
        <v>57</v>
      </c>
      <c r="G20" s="12">
        <v>5</v>
      </c>
      <c r="H20" s="12">
        <v>72</v>
      </c>
      <c r="I20" s="12">
        <v>94</v>
      </c>
      <c r="J20" s="12">
        <v>22</v>
      </c>
      <c r="K20" s="12">
        <v>30</v>
      </c>
      <c r="L20" s="12">
        <v>29</v>
      </c>
      <c r="M20" s="12">
        <v>52</v>
      </c>
      <c r="N20" s="12">
        <v>24</v>
      </c>
      <c r="O20" s="12">
        <v>29</v>
      </c>
      <c r="P20" s="12">
        <v>43</v>
      </c>
      <c r="Q20" s="12">
        <v>53</v>
      </c>
      <c r="R20" s="12">
        <v>16</v>
      </c>
      <c r="S20" s="12">
        <v>18</v>
      </c>
      <c r="T20" s="12">
        <v>45</v>
      </c>
      <c r="U20" s="12">
        <v>5</v>
      </c>
      <c r="V20" s="12">
        <v>33</v>
      </c>
      <c r="W20" s="12">
        <v>8</v>
      </c>
      <c r="X20" s="12">
        <v>13</v>
      </c>
      <c r="Y20" s="12">
        <v>37</v>
      </c>
      <c r="Z20" s="12">
        <v>61</v>
      </c>
      <c r="AA20" s="12">
        <v>15</v>
      </c>
      <c r="AB20" s="12">
        <v>79</v>
      </c>
      <c r="AC20" s="12">
        <v>16</v>
      </c>
      <c r="AD20" s="12">
        <v>36</v>
      </c>
      <c r="AE20" s="12">
        <v>11</v>
      </c>
      <c r="AF20" s="12">
        <v>17</v>
      </c>
    </row>
    <row r="21" spans="1:32" ht="57">
      <c r="A21" s="23"/>
      <c r="B21" s="13" t="s">
        <v>1010</v>
      </c>
      <c r="C21" s="14">
        <v>0.11</v>
      </c>
      <c r="D21" s="14">
        <v>0.09</v>
      </c>
      <c r="E21" s="14">
        <v>0.09</v>
      </c>
      <c r="F21" s="14">
        <v>0.14000000000000001</v>
      </c>
      <c r="G21" s="14">
        <v>0.01</v>
      </c>
      <c r="H21" s="14">
        <v>0.14000000000000001</v>
      </c>
      <c r="I21" s="14">
        <v>0.15</v>
      </c>
      <c r="J21" s="14">
        <v>0.19</v>
      </c>
      <c r="K21" s="14">
        <v>0.12</v>
      </c>
      <c r="L21" s="14">
        <v>0.11</v>
      </c>
      <c r="M21" s="14">
        <v>0.11</v>
      </c>
      <c r="N21" s="14">
        <v>7.0000000000000007E-2</v>
      </c>
      <c r="O21" s="14">
        <v>7.0000000000000007E-2</v>
      </c>
      <c r="P21" s="14">
        <v>0.12</v>
      </c>
      <c r="Q21" s="14">
        <v>0.14000000000000001</v>
      </c>
      <c r="R21" s="14">
        <v>0.08</v>
      </c>
      <c r="S21" s="14">
        <v>0.06</v>
      </c>
      <c r="T21" s="14">
        <v>0.12</v>
      </c>
      <c r="U21" s="14">
        <v>0.03</v>
      </c>
      <c r="V21" s="14">
        <v>0.08</v>
      </c>
      <c r="W21" s="14">
        <v>0.05</v>
      </c>
      <c r="X21" s="14">
        <v>0.04</v>
      </c>
      <c r="Y21" s="14">
        <v>0.1</v>
      </c>
      <c r="Z21" s="14">
        <v>0.2</v>
      </c>
      <c r="AA21" s="14">
        <v>0.03</v>
      </c>
      <c r="AB21" s="14">
        <v>0.19</v>
      </c>
      <c r="AC21" s="14">
        <v>0.05</v>
      </c>
      <c r="AD21" s="14">
        <v>0.11</v>
      </c>
      <c r="AE21" s="14">
        <v>0.05</v>
      </c>
      <c r="AF21" s="14">
        <v>0.06</v>
      </c>
    </row>
    <row r="22" spans="1:32">
      <c r="A22" s="23"/>
      <c r="B22" s="11" t="s">
        <v>1011</v>
      </c>
      <c r="C22" s="12">
        <v>4963</v>
      </c>
      <c r="D22" s="12">
        <v>137</v>
      </c>
      <c r="E22" s="12">
        <v>204</v>
      </c>
      <c r="F22" s="12">
        <v>162</v>
      </c>
      <c r="G22" s="12">
        <v>230</v>
      </c>
      <c r="H22" s="12">
        <v>254</v>
      </c>
      <c r="I22" s="12">
        <v>317</v>
      </c>
      <c r="J22" s="12">
        <v>62</v>
      </c>
      <c r="K22" s="12">
        <v>156</v>
      </c>
      <c r="L22" s="12">
        <v>132</v>
      </c>
      <c r="M22" s="12">
        <v>200</v>
      </c>
      <c r="N22" s="12">
        <v>200</v>
      </c>
      <c r="O22" s="12">
        <v>250</v>
      </c>
      <c r="P22" s="12">
        <v>171</v>
      </c>
      <c r="Q22" s="12">
        <v>190</v>
      </c>
      <c r="R22" s="12">
        <v>83</v>
      </c>
      <c r="S22" s="12">
        <v>152</v>
      </c>
      <c r="T22" s="12">
        <v>179</v>
      </c>
      <c r="U22" s="12">
        <v>95</v>
      </c>
      <c r="V22" s="12">
        <v>101</v>
      </c>
      <c r="W22" s="12">
        <v>87</v>
      </c>
      <c r="X22" s="12">
        <v>194</v>
      </c>
      <c r="Y22" s="12">
        <v>214</v>
      </c>
      <c r="Z22" s="12">
        <v>74</v>
      </c>
      <c r="AA22" s="12">
        <v>251</v>
      </c>
      <c r="AB22" s="12">
        <v>168</v>
      </c>
      <c r="AC22" s="12">
        <v>196</v>
      </c>
      <c r="AD22" s="12">
        <v>218</v>
      </c>
      <c r="AE22" s="12">
        <v>101</v>
      </c>
      <c r="AF22" s="12">
        <v>179</v>
      </c>
    </row>
    <row r="23" spans="1:32">
      <c r="A23" s="23"/>
      <c r="B23" s="13" t="s">
        <v>1012</v>
      </c>
      <c r="C23" s="14">
        <v>0.46</v>
      </c>
      <c r="D23" s="14">
        <v>0.42</v>
      </c>
      <c r="E23" s="14">
        <v>0.4</v>
      </c>
      <c r="F23" s="14">
        <v>0.36</v>
      </c>
      <c r="G23" s="14">
        <v>0.64</v>
      </c>
      <c r="H23" s="14">
        <v>0.46</v>
      </c>
      <c r="I23" s="14">
        <v>0.46</v>
      </c>
      <c r="J23" s="14">
        <v>0.46</v>
      </c>
      <c r="K23" s="14">
        <v>0.55000000000000004</v>
      </c>
      <c r="L23" s="14">
        <v>0.46</v>
      </c>
      <c r="M23" s="14">
        <v>0.4</v>
      </c>
      <c r="N23" s="14">
        <v>0.54</v>
      </c>
      <c r="O23" s="14">
        <v>0.59</v>
      </c>
      <c r="P23" s="14">
        <v>0.41</v>
      </c>
      <c r="Q23" s="14">
        <v>0.43</v>
      </c>
      <c r="R23" s="14">
        <v>0.37</v>
      </c>
      <c r="S23" s="14">
        <v>0.42</v>
      </c>
      <c r="T23" s="14">
        <v>0.46</v>
      </c>
      <c r="U23" s="14">
        <v>0.67</v>
      </c>
      <c r="V23" s="14">
        <v>0.24</v>
      </c>
      <c r="W23" s="14">
        <v>0.53</v>
      </c>
      <c r="X23" s="14">
        <v>0.63</v>
      </c>
      <c r="Y23" s="14">
        <v>0.56000000000000005</v>
      </c>
      <c r="Z23" s="14">
        <v>0.2</v>
      </c>
      <c r="AA23" s="14">
        <v>0.46</v>
      </c>
      <c r="AB23" s="14">
        <v>0.34</v>
      </c>
      <c r="AC23" s="14">
        <v>0.6</v>
      </c>
      <c r="AD23" s="14">
        <v>0.57999999999999996</v>
      </c>
      <c r="AE23" s="14">
        <v>0.44</v>
      </c>
      <c r="AF23" s="14">
        <v>0.57999999999999996</v>
      </c>
    </row>
    <row r="24" spans="1:32">
      <c r="A24" s="23"/>
      <c r="B24" s="11" t="s">
        <v>497</v>
      </c>
      <c r="C24" s="12">
        <v>447</v>
      </c>
      <c r="D24" s="12">
        <v>11</v>
      </c>
      <c r="E24" s="12">
        <v>29</v>
      </c>
      <c r="F24" s="12">
        <v>19</v>
      </c>
      <c r="G24" s="12">
        <v>33</v>
      </c>
      <c r="H24" s="12">
        <v>15</v>
      </c>
      <c r="I24" s="12">
        <v>21</v>
      </c>
      <c r="J24" s="12">
        <v>6</v>
      </c>
      <c r="K24" s="12">
        <v>9</v>
      </c>
      <c r="L24" s="12">
        <v>6</v>
      </c>
      <c r="M24" s="12">
        <v>33</v>
      </c>
      <c r="N24" s="12">
        <v>19</v>
      </c>
      <c r="O24" s="12">
        <v>28</v>
      </c>
      <c r="P24" s="12">
        <v>2</v>
      </c>
      <c r="Q24" s="12">
        <v>10</v>
      </c>
      <c r="R24" s="12">
        <v>9</v>
      </c>
      <c r="S24" s="12">
        <v>48</v>
      </c>
      <c r="T24" s="12">
        <v>3</v>
      </c>
      <c r="U24" s="12">
        <v>6</v>
      </c>
      <c r="V24" s="12">
        <v>5</v>
      </c>
      <c r="W24" s="12">
        <v>12</v>
      </c>
      <c r="X24" s="12">
        <v>28</v>
      </c>
      <c r="Y24" s="12">
        <v>6</v>
      </c>
      <c r="Z24" s="12">
        <v>13</v>
      </c>
      <c r="AA24" s="12">
        <v>6</v>
      </c>
      <c r="AB24" s="12">
        <v>7</v>
      </c>
      <c r="AC24" s="12">
        <v>4</v>
      </c>
      <c r="AD24" s="12">
        <v>5</v>
      </c>
      <c r="AE24" s="12">
        <v>37</v>
      </c>
      <c r="AF24" s="12">
        <v>42</v>
      </c>
    </row>
    <row r="25" spans="1:32">
      <c r="A25" s="23"/>
      <c r="B25" s="13" t="s">
        <v>498</v>
      </c>
      <c r="C25" s="14">
        <v>0.04</v>
      </c>
      <c r="D25" s="14">
        <v>0.03</v>
      </c>
      <c r="E25" s="14">
        <v>0.06</v>
      </c>
      <c r="F25" s="14">
        <v>0.04</v>
      </c>
      <c r="G25" s="14">
        <v>0.09</v>
      </c>
      <c r="H25" s="14">
        <v>0.03</v>
      </c>
      <c r="I25" s="14">
        <v>0.03</v>
      </c>
      <c r="J25" s="14">
        <v>0.04</v>
      </c>
      <c r="K25" s="14">
        <v>0.03</v>
      </c>
      <c r="L25" s="14">
        <v>0.02</v>
      </c>
      <c r="M25" s="14">
        <v>7.0000000000000007E-2</v>
      </c>
      <c r="N25" s="14">
        <v>0.05</v>
      </c>
      <c r="O25" s="14">
        <v>7.0000000000000007E-2</v>
      </c>
      <c r="P25" s="15" t="s">
        <v>485</v>
      </c>
      <c r="Q25" s="14">
        <v>0.02</v>
      </c>
      <c r="R25" s="14">
        <v>0.04</v>
      </c>
      <c r="S25" s="14">
        <v>0.13</v>
      </c>
      <c r="T25" s="14">
        <v>0.01</v>
      </c>
      <c r="U25" s="14">
        <v>0.04</v>
      </c>
      <c r="V25" s="14">
        <v>0.01</v>
      </c>
      <c r="W25" s="14">
        <v>7.0000000000000007E-2</v>
      </c>
      <c r="X25" s="14">
        <v>0.09</v>
      </c>
      <c r="Y25" s="14">
        <v>0.02</v>
      </c>
      <c r="Z25" s="14">
        <v>0.03</v>
      </c>
      <c r="AA25" s="14">
        <v>0.01</v>
      </c>
      <c r="AB25" s="14">
        <v>0.01</v>
      </c>
      <c r="AC25" s="14">
        <v>0.01</v>
      </c>
      <c r="AD25" s="14">
        <v>0.01</v>
      </c>
      <c r="AE25" s="14">
        <v>0.16</v>
      </c>
      <c r="AF25" s="14">
        <v>0.14000000000000001</v>
      </c>
    </row>
  </sheetData>
  <mergeCells count="9">
    <mergeCell ref="H3:L3"/>
    <mergeCell ref="C8:AF8"/>
    <mergeCell ref="B3:F3"/>
    <mergeCell ref="B5:F5"/>
    <mergeCell ref="A10:A25"/>
    <mergeCell ref="H5:L5"/>
    <mergeCell ref="B10:B11"/>
    <mergeCell ref="H4:L4"/>
    <mergeCell ref="B4:F4"/>
  </mergeCells>
  <pageMargins left="0.75" right="0.75" top="1" bottom="1" header="0.5" footer="0.5"/>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36" customHeight="1">
      <c r="B3" s="19" t="s">
        <v>141</v>
      </c>
      <c r="C3" s="19"/>
      <c r="D3" s="19"/>
      <c r="E3" s="19"/>
      <c r="F3" s="19"/>
      <c r="H3" s="19" t="s">
        <v>142</v>
      </c>
      <c r="I3" s="19"/>
      <c r="J3" s="19"/>
      <c r="K3" s="19"/>
      <c r="L3" s="19"/>
    </row>
    <row r="4" spans="1:32" ht="27" customHeight="1">
      <c r="B4" s="19"/>
      <c r="C4" s="19"/>
      <c r="D4" s="19"/>
      <c r="E4" s="19"/>
      <c r="F4" s="19"/>
      <c r="H4" s="19"/>
      <c r="I4" s="19"/>
      <c r="J4" s="19"/>
      <c r="K4" s="19"/>
      <c r="L4" s="19"/>
    </row>
    <row r="5" spans="1:32" ht="12" customHeight="1">
      <c r="B5" s="19" t="s">
        <v>999</v>
      </c>
      <c r="C5" s="19"/>
      <c r="D5" s="19"/>
      <c r="E5" s="19"/>
      <c r="F5" s="19"/>
      <c r="H5" s="19" t="s">
        <v>1000</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HYPERLINK("#Content!A72","&lt;&lt;Back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10887</v>
      </c>
      <c r="D10" s="10">
        <v>326</v>
      </c>
      <c r="E10" s="10">
        <v>513</v>
      </c>
      <c r="F10" s="10">
        <v>454</v>
      </c>
      <c r="G10" s="10">
        <v>372</v>
      </c>
      <c r="H10" s="10">
        <v>560</v>
      </c>
      <c r="I10" s="10">
        <v>695</v>
      </c>
      <c r="J10" s="10">
        <v>136</v>
      </c>
      <c r="K10" s="10">
        <v>287</v>
      </c>
      <c r="L10" s="10">
        <v>288</v>
      </c>
      <c r="M10" s="10">
        <v>494</v>
      </c>
      <c r="N10" s="10">
        <v>375</v>
      </c>
      <c r="O10" s="10">
        <v>428</v>
      </c>
      <c r="P10" s="10">
        <v>413</v>
      </c>
      <c r="Q10" s="10">
        <v>450</v>
      </c>
      <c r="R10" s="10">
        <v>228</v>
      </c>
      <c r="S10" s="10">
        <v>373</v>
      </c>
      <c r="T10" s="10">
        <v>390</v>
      </c>
      <c r="U10" s="10">
        <v>141</v>
      </c>
      <c r="V10" s="10">
        <v>427</v>
      </c>
      <c r="W10" s="10">
        <v>169</v>
      </c>
      <c r="X10" s="10">
        <v>310</v>
      </c>
      <c r="Y10" s="10">
        <v>381</v>
      </c>
      <c r="Z10" s="10">
        <v>370</v>
      </c>
      <c r="AA10" s="10">
        <v>547</v>
      </c>
      <c r="AB10" s="10">
        <v>496</v>
      </c>
      <c r="AC10" s="10">
        <v>328</v>
      </c>
      <c r="AD10" s="10">
        <v>380</v>
      </c>
      <c r="AE10" s="10">
        <v>233</v>
      </c>
      <c r="AF10" s="10">
        <v>313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34.5">
      <c r="A12" s="23"/>
      <c r="B12" s="11" t="s">
        <v>1001</v>
      </c>
      <c r="C12" s="12">
        <v>4338</v>
      </c>
      <c r="D12" s="12">
        <v>152</v>
      </c>
      <c r="E12" s="12">
        <v>144</v>
      </c>
      <c r="F12" s="12">
        <v>186</v>
      </c>
      <c r="G12" s="12">
        <v>118</v>
      </c>
      <c r="H12" s="12">
        <v>220</v>
      </c>
      <c r="I12" s="12">
        <v>277</v>
      </c>
      <c r="J12" s="12">
        <v>57</v>
      </c>
      <c r="K12" s="12">
        <v>104</v>
      </c>
      <c r="L12" s="12">
        <v>117</v>
      </c>
      <c r="M12" s="12">
        <v>306</v>
      </c>
      <c r="N12" s="12">
        <v>117</v>
      </c>
      <c r="O12" s="12">
        <v>150</v>
      </c>
      <c r="P12" s="12">
        <v>174</v>
      </c>
      <c r="Q12" s="12">
        <v>190</v>
      </c>
      <c r="R12" s="12">
        <v>107</v>
      </c>
      <c r="S12" s="12">
        <v>157</v>
      </c>
      <c r="T12" s="12">
        <v>212</v>
      </c>
      <c r="U12" s="12">
        <v>51</v>
      </c>
      <c r="V12" s="12">
        <v>198</v>
      </c>
      <c r="W12" s="12">
        <v>51</v>
      </c>
      <c r="X12" s="12">
        <v>93</v>
      </c>
      <c r="Y12" s="12">
        <v>141</v>
      </c>
      <c r="Z12" s="12">
        <v>180</v>
      </c>
      <c r="AA12" s="12">
        <v>215</v>
      </c>
      <c r="AB12" s="12">
        <v>223</v>
      </c>
      <c r="AC12" s="12">
        <v>100</v>
      </c>
      <c r="AD12" s="12">
        <v>137</v>
      </c>
      <c r="AE12" s="12">
        <v>119</v>
      </c>
      <c r="AF12" s="12">
        <v>114</v>
      </c>
    </row>
    <row r="13" spans="1:32" ht="34.5">
      <c r="A13" s="23"/>
      <c r="B13" s="13" t="s">
        <v>1002</v>
      </c>
      <c r="C13" s="14">
        <v>0.4</v>
      </c>
      <c r="D13" s="14">
        <v>0.47</v>
      </c>
      <c r="E13" s="14">
        <v>0.28000000000000003</v>
      </c>
      <c r="F13" s="14">
        <v>0.41</v>
      </c>
      <c r="G13" s="14">
        <v>0.32</v>
      </c>
      <c r="H13" s="14">
        <v>0.39</v>
      </c>
      <c r="I13" s="14">
        <v>0.4</v>
      </c>
      <c r="J13" s="14">
        <v>0.42</v>
      </c>
      <c r="K13" s="14">
        <v>0.36</v>
      </c>
      <c r="L13" s="14">
        <v>0.41</v>
      </c>
      <c r="M13" s="14">
        <v>0.62</v>
      </c>
      <c r="N13" s="14">
        <v>0.31</v>
      </c>
      <c r="O13" s="14">
        <v>0.35</v>
      </c>
      <c r="P13" s="14">
        <v>0.42</v>
      </c>
      <c r="Q13" s="14">
        <v>0.42</v>
      </c>
      <c r="R13" s="14">
        <v>0.47</v>
      </c>
      <c r="S13" s="14">
        <v>0.42</v>
      </c>
      <c r="T13" s="14">
        <v>0.54</v>
      </c>
      <c r="U13" s="14">
        <v>0.36</v>
      </c>
      <c r="V13" s="14">
        <v>0.46</v>
      </c>
      <c r="W13" s="14">
        <v>0.3</v>
      </c>
      <c r="X13" s="14">
        <v>0.3</v>
      </c>
      <c r="Y13" s="14">
        <v>0.37</v>
      </c>
      <c r="Z13" s="14">
        <v>0.49</v>
      </c>
      <c r="AA13" s="14">
        <v>0.39</v>
      </c>
      <c r="AB13" s="14">
        <v>0.45</v>
      </c>
      <c r="AC13" s="14">
        <v>0.3</v>
      </c>
      <c r="AD13" s="14">
        <v>0.36</v>
      </c>
      <c r="AE13" s="14">
        <v>0.51</v>
      </c>
      <c r="AF13" s="14">
        <v>0.36</v>
      </c>
    </row>
    <row r="14" spans="1:32" ht="34.5">
      <c r="A14" s="23"/>
      <c r="B14" s="11" t="s">
        <v>1003</v>
      </c>
      <c r="C14" s="12">
        <v>2928</v>
      </c>
      <c r="D14" s="12">
        <v>93</v>
      </c>
      <c r="E14" s="12">
        <v>171</v>
      </c>
      <c r="F14" s="12">
        <v>126</v>
      </c>
      <c r="G14" s="12">
        <v>49</v>
      </c>
      <c r="H14" s="12">
        <v>149</v>
      </c>
      <c r="I14" s="12">
        <v>183</v>
      </c>
      <c r="J14" s="12">
        <v>35</v>
      </c>
      <c r="K14" s="12">
        <v>62</v>
      </c>
      <c r="L14" s="12">
        <v>63</v>
      </c>
      <c r="M14" s="12">
        <v>194</v>
      </c>
      <c r="N14" s="12">
        <v>82</v>
      </c>
      <c r="O14" s="12">
        <v>101</v>
      </c>
      <c r="P14" s="12">
        <v>121</v>
      </c>
      <c r="Q14" s="12">
        <v>139</v>
      </c>
      <c r="R14" s="12">
        <v>103</v>
      </c>
      <c r="S14" s="12">
        <v>92</v>
      </c>
      <c r="T14" s="12">
        <v>92</v>
      </c>
      <c r="U14" s="12">
        <v>29</v>
      </c>
      <c r="V14" s="12">
        <v>152</v>
      </c>
      <c r="W14" s="12">
        <v>43</v>
      </c>
      <c r="X14" s="12">
        <v>50</v>
      </c>
      <c r="Y14" s="12">
        <v>91</v>
      </c>
      <c r="Z14" s="12">
        <v>112</v>
      </c>
      <c r="AA14" s="12">
        <v>189</v>
      </c>
      <c r="AB14" s="12">
        <v>142</v>
      </c>
      <c r="AC14" s="12">
        <v>73</v>
      </c>
      <c r="AD14" s="12">
        <v>87</v>
      </c>
      <c r="AE14" s="12">
        <v>41</v>
      </c>
      <c r="AF14" s="12">
        <v>71</v>
      </c>
    </row>
    <row r="15" spans="1:32" ht="23.25">
      <c r="A15" s="23"/>
      <c r="B15" s="13" t="s">
        <v>1004</v>
      </c>
      <c r="C15" s="14">
        <v>0.27</v>
      </c>
      <c r="D15" s="14">
        <v>0.28999999999999998</v>
      </c>
      <c r="E15" s="14">
        <v>0.33</v>
      </c>
      <c r="F15" s="14">
        <v>0.28000000000000003</v>
      </c>
      <c r="G15" s="14">
        <v>0.13</v>
      </c>
      <c r="H15" s="14">
        <v>0.27</v>
      </c>
      <c r="I15" s="14">
        <v>0.26</v>
      </c>
      <c r="J15" s="14">
        <v>0.26</v>
      </c>
      <c r="K15" s="14">
        <v>0.22</v>
      </c>
      <c r="L15" s="14">
        <v>0.22</v>
      </c>
      <c r="M15" s="14">
        <v>0.39</v>
      </c>
      <c r="N15" s="14">
        <v>0.22</v>
      </c>
      <c r="O15" s="14">
        <v>0.24</v>
      </c>
      <c r="P15" s="14">
        <v>0.28999999999999998</v>
      </c>
      <c r="Q15" s="14">
        <v>0.31</v>
      </c>
      <c r="R15" s="14">
        <v>0.45</v>
      </c>
      <c r="S15" s="14">
        <v>0.25</v>
      </c>
      <c r="T15" s="14">
        <v>0.24</v>
      </c>
      <c r="U15" s="14">
        <v>0.2</v>
      </c>
      <c r="V15" s="14">
        <v>0.36</v>
      </c>
      <c r="W15" s="14">
        <v>0.25</v>
      </c>
      <c r="X15" s="14">
        <v>0.16</v>
      </c>
      <c r="Y15" s="14">
        <v>0.24</v>
      </c>
      <c r="Z15" s="14">
        <v>0.3</v>
      </c>
      <c r="AA15" s="14">
        <v>0.35</v>
      </c>
      <c r="AB15" s="14">
        <v>0.28999999999999998</v>
      </c>
      <c r="AC15" s="14">
        <v>0.22</v>
      </c>
      <c r="AD15" s="14">
        <v>0.23</v>
      </c>
      <c r="AE15" s="14">
        <v>0.18</v>
      </c>
      <c r="AF15" s="14">
        <v>0.23</v>
      </c>
    </row>
    <row r="16" spans="1:32" ht="23.25">
      <c r="A16" s="23"/>
      <c r="B16" s="11" t="s">
        <v>1005</v>
      </c>
      <c r="C16" s="12">
        <v>1772</v>
      </c>
      <c r="D16" s="12">
        <v>55</v>
      </c>
      <c r="E16" s="12">
        <v>95</v>
      </c>
      <c r="F16" s="12">
        <v>89</v>
      </c>
      <c r="G16" s="12">
        <v>105</v>
      </c>
      <c r="H16" s="12">
        <v>97</v>
      </c>
      <c r="I16" s="12">
        <v>124</v>
      </c>
      <c r="J16" s="12">
        <v>27</v>
      </c>
      <c r="K16" s="12">
        <v>42</v>
      </c>
      <c r="L16" s="12">
        <v>47</v>
      </c>
      <c r="M16" s="12">
        <v>66</v>
      </c>
      <c r="N16" s="12">
        <v>51</v>
      </c>
      <c r="O16" s="12">
        <v>50</v>
      </c>
      <c r="P16" s="12">
        <v>85</v>
      </c>
      <c r="Q16" s="12">
        <v>42</v>
      </c>
      <c r="R16" s="12">
        <v>40</v>
      </c>
      <c r="S16" s="12">
        <v>46</v>
      </c>
      <c r="T16" s="12">
        <v>80</v>
      </c>
      <c r="U16" s="12">
        <v>19</v>
      </c>
      <c r="V16" s="12">
        <v>194</v>
      </c>
      <c r="W16" s="12">
        <v>36</v>
      </c>
      <c r="X16" s="12">
        <v>21</v>
      </c>
      <c r="Y16" s="12">
        <v>61</v>
      </c>
      <c r="Z16" s="12">
        <v>125</v>
      </c>
      <c r="AA16" s="12">
        <v>93</v>
      </c>
      <c r="AB16" s="12">
        <v>86</v>
      </c>
      <c r="AC16" s="12">
        <v>49</v>
      </c>
      <c r="AD16" s="12">
        <v>46</v>
      </c>
      <c r="AE16" s="12">
        <v>23</v>
      </c>
      <c r="AF16" s="12">
        <v>10</v>
      </c>
    </row>
    <row r="17" spans="1:32">
      <c r="A17" s="23"/>
      <c r="B17" s="13" t="s">
        <v>1006</v>
      </c>
      <c r="C17" s="14">
        <v>0.16</v>
      </c>
      <c r="D17" s="14">
        <v>0.17</v>
      </c>
      <c r="E17" s="14">
        <v>0.18</v>
      </c>
      <c r="F17" s="14">
        <v>0.2</v>
      </c>
      <c r="G17" s="14">
        <v>0.28000000000000003</v>
      </c>
      <c r="H17" s="14">
        <v>0.17</v>
      </c>
      <c r="I17" s="14">
        <v>0.18</v>
      </c>
      <c r="J17" s="14">
        <v>0.2</v>
      </c>
      <c r="K17" s="14">
        <v>0.15</v>
      </c>
      <c r="L17" s="14">
        <v>0.16</v>
      </c>
      <c r="M17" s="14">
        <v>0.13</v>
      </c>
      <c r="N17" s="14">
        <v>0.14000000000000001</v>
      </c>
      <c r="O17" s="14">
        <v>0.12</v>
      </c>
      <c r="P17" s="14">
        <v>0.21</v>
      </c>
      <c r="Q17" s="14">
        <v>0.09</v>
      </c>
      <c r="R17" s="14">
        <v>0.18</v>
      </c>
      <c r="S17" s="14">
        <v>0.12</v>
      </c>
      <c r="T17" s="14">
        <v>0.2</v>
      </c>
      <c r="U17" s="14">
        <v>0.13</v>
      </c>
      <c r="V17" s="14">
        <v>0.46</v>
      </c>
      <c r="W17" s="14">
        <v>0.22</v>
      </c>
      <c r="X17" s="14">
        <v>7.0000000000000007E-2</v>
      </c>
      <c r="Y17" s="14">
        <v>0.16</v>
      </c>
      <c r="Z17" s="14">
        <v>0.34</v>
      </c>
      <c r="AA17" s="14">
        <v>0.17</v>
      </c>
      <c r="AB17" s="14">
        <v>0.17</v>
      </c>
      <c r="AC17" s="14">
        <v>0.15</v>
      </c>
      <c r="AD17" s="14">
        <v>0.12</v>
      </c>
      <c r="AE17" s="14">
        <v>0.1</v>
      </c>
      <c r="AF17" s="14">
        <v>0.03</v>
      </c>
    </row>
    <row r="18" spans="1:32" ht="23.25">
      <c r="A18" s="23"/>
      <c r="B18" s="11" t="s">
        <v>1007</v>
      </c>
      <c r="C18" s="12">
        <v>2307</v>
      </c>
      <c r="D18" s="12">
        <v>69</v>
      </c>
      <c r="E18" s="12">
        <v>132</v>
      </c>
      <c r="F18" s="12">
        <v>124</v>
      </c>
      <c r="G18" s="12">
        <v>19</v>
      </c>
      <c r="H18" s="12">
        <v>81</v>
      </c>
      <c r="I18" s="12">
        <v>100</v>
      </c>
      <c r="J18" s="12">
        <v>20</v>
      </c>
      <c r="K18" s="12">
        <v>43</v>
      </c>
      <c r="L18" s="12">
        <v>67</v>
      </c>
      <c r="M18" s="12">
        <v>100</v>
      </c>
      <c r="N18" s="12">
        <v>80</v>
      </c>
      <c r="O18" s="12">
        <v>73</v>
      </c>
      <c r="P18" s="12">
        <v>124</v>
      </c>
      <c r="Q18" s="12">
        <v>122</v>
      </c>
      <c r="R18" s="12">
        <v>49</v>
      </c>
      <c r="S18" s="12">
        <v>114</v>
      </c>
      <c r="T18" s="12">
        <v>93</v>
      </c>
      <c r="U18" s="12">
        <v>19</v>
      </c>
      <c r="V18" s="12">
        <v>130</v>
      </c>
      <c r="W18" s="12">
        <v>56</v>
      </c>
      <c r="X18" s="12">
        <v>48</v>
      </c>
      <c r="Y18" s="12">
        <v>61</v>
      </c>
      <c r="Z18" s="12">
        <v>91</v>
      </c>
      <c r="AA18" s="12">
        <v>222</v>
      </c>
      <c r="AB18" s="12">
        <v>161</v>
      </c>
      <c r="AC18" s="12">
        <v>69</v>
      </c>
      <c r="AD18" s="12">
        <v>60</v>
      </c>
      <c r="AE18" s="12">
        <v>55</v>
      </c>
      <c r="AF18" s="12">
        <v>24</v>
      </c>
    </row>
    <row r="19" spans="1:32" ht="23.25">
      <c r="A19" s="23"/>
      <c r="B19" s="13" t="s">
        <v>1008</v>
      </c>
      <c r="C19" s="14">
        <v>0.21</v>
      </c>
      <c r="D19" s="14">
        <v>0.21</v>
      </c>
      <c r="E19" s="14">
        <v>0.26</v>
      </c>
      <c r="F19" s="14">
        <v>0.27</v>
      </c>
      <c r="G19" s="14">
        <v>0.05</v>
      </c>
      <c r="H19" s="14">
        <v>0.14000000000000001</v>
      </c>
      <c r="I19" s="14">
        <v>0.14000000000000001</v>
      </c>
      <c r="J19" s="14">
        <v>0.15</v>
      </c>
      <c r="K19" s="14">
        <v>0.15</v>
      </c>
      <c r="L19" s="14">
        <v>0.23</v>
      </c>
      <c r="M19" s="14">
        <v>0.2</v>
      </c>
      <c r="N19" s="14">
        <v>0.21</v>
      </c>
      <c r="O19" s="14">
        <v>0.17</v>
      </c>
      <c r="P19" s="14">
        <v>0.3</v>
      </c>
      <c r="Q19" s="14">
        <v>0.27</v>
      </c>
      <c r="R19" s="14">
        <v>0.22</v>
      </c>
      <c r="S19" s="14">
        <v>0.31</v>
      </c>
      <c r="T19" s="14">
        <v>0.24</v>
      </c>
      <c r="U19" s="14">
        <v>0.13</v>
      </c>
      <c r="V19" s="14">
        <v>0.31</v>
      </c>
      <c r="W19" s="14">
        <v>0.33</v>
      </c>
      <c r="X19" s="14">
        <v>0.16</v>
      </c>
      <c r="Y19" s="14">
        <v>0.16</v>
      </c>
      <c r="Z19" s="14">
        <v>0.24</v>
      </c>
      <c r="AA19" s="14">
        <v>0.41</v>
      </c>
      <c r="AB19" s="14">
        <v>0.33</v>
      </c>
      <c r="AC19" s="14">
        <v>0.21</v>
      </c>
      <c r="AD19" s="14">
        <v>0.16</v>
      </c>
      <c r="AE19" s="14">
        <v>0.24</v>
      </c>
      <c r="AF19" s="14">
        <v>0.08</v>
      </c>
    </row>
    <row r="20" spans="1:32" ht="68.25">
      <c r="A20" s="23"/>
      <c r="B20" s="11" t="s">
        <v>1009</v>
      </c>
      <c r="C20" s="12">
        <v>2130</v>
      </c>
      <c r="D20" s="12">
        <v>48</v>
      </c>
      <c r="E20" s="12">
        <v>100</v>
      </c>
      <c r="F20" s="12">
        <v>109</v>
      </c>
      <c r="G20" s="12">
        <v>18</v>
      </c>
      <c r="H20" s="12">
        <v>121</v>
      </c>
      <c r="I20" s="12">
        <v>160</v>
      </c>
      <c r="J20" s="12">
        <v>39</v>
      </c>
      <c r="K20" s="12">
        <v>55</v>
      </c>
      <c r="L20" s="12">
        <v>55</v>
      </c>
      <c r="M20" s="12">
        <v>79</v>
      </c>
      <c r="N20" s="12">
        <v>60</v>
      </c>
      <c r="O20" s="12">
        <v>52</v>
      </c>
      <c r="P20" s="12">
        <v>91</v>
      </c>
      <c r="Q20" s="12">
        <v>120</v>
      </c>
      <c r="R20" s="12">
        <v>30</v>
      </c>
      <c r="S20" s="12">
        <v>46</v>
      </c>
      <c r="T20" s="12">
        <v>66</v>
      </c>
      <c r="U20" s="12">
        <v>10</v>
      </c>
      <c r="V20" s="12">
        <v>55</v>
      </c>
      <c r="W20" s="12">
        <v>16</v>
      </c>
      <c r="X20" s="12">
        <v>18</v>
      </c>
      <c r="Y20" s="12">
        <v>66</v>
      </c>
      <c r="Z20" s="12">
        <v>116</v>
      </c>
      <c r="AA20" s="12">
        <v>18</v>
      </c>
      <c r="AB20" s="12">
        <v>146</v>
      </c>
      <c r="AC20" s="12">
        <v>47</v>
      </c>
      <c r="AD20" s="12">
        <v>79</v>
      </c>
      <c r="AE20" s="12">
        <v>23</v>
      </c>
      <c r="AF20" s="12">
        <v>39</v>
      </c>
    </row>
    <row r="21" spans="1:32" ht="57">
      <c r="A21" s="23"/>
      <c r="B21" s="13" t="s">
        <v>1010</v>
      </c>
      <c r="C21" s="14">
        <v>0.2</v>
      </c>
      <c r="D21" s="14">
        <v>0.15</v>
      </c>
      <c r="E21" s="14">
        <v>0.19</v>
      </c>
      <c r="F21" s="14">
        <v>0.24</v>
      </c>
      <c r="G21" s="14">
        <v>0.05</v>
      </c>
      <c r="H21" s="14">
        <v>0.22</v>
      </c>
      <c r="I21" s="14">
        <v>0.23</v>
      </c>
      <c r="J21" s="14">
        <v>0.28999999999999998</v>
      </c>
      <c r="K21" s="14">
        <v>0.19</v>
      </c>
      <c r="L21" s="14">
        <v>0.19</v>
      </c>
      <c r="M21" s="14">
        <v>0.16</v>
      </c>
      <c r="N21" s="14">
        <v>0.16</v>
      </c>
      <c r="O21" s="14">
        <v>0.12</v>
      </c>
      <c r="P21" s="14">
        <v>0.22</v>
      </c>
      <c r="Q21" s="14">
        <v>0.27</v>
      </c>
      <c r="R21" s="14">
        <v>0.13</v>
      </c>
      <c r="S21" s="14">
        <v>0.13</v>
      </c>
      <c r="T21" s="14">
        <v>0.17</v>
      </c>
      <c r="U21" s="14">
        <v>7.0000000000000007E-2</v>
      </c>
      <c r="V21" s="14">
        <v>0.13</v>
      </c>
      <c r="W21" s="14">
        <v>0.1</v>
      </c>
      <c r="X21" s="14">
        <v>0.06</v>
      </c>
      <c r="Y21" s="14">
        <v>0.17</v>
      </c>
      <c r="Z21" s="14">
        <v>0.31</v>
      </c>
      <c r="AA21" s="14">
        <v>0.03</v>
      </c>
      <c r="AB21" s="14">
        <v>0.28999999999999998</v>
      </c>
      <c r="AC21" s="14">
        <v>0.14000000000000001</v>
      </c>
      <c r="AD21" s="14">
        <v>0.21</v>
      </c>
      <c r="AE21" s="14">
        <v>0.1</v>
      </c>
      <c r="AF21" s="14">
        <v>0.12</v>
      </c>
    </row>
    <row r="22" spans="1:32">
      <c r="A22" s="23"/>
      <c r="B22" s="11" t="s">
        <v>1011</v>
      </c>
      <c r="C22" s="12">
        <v>5575</v>
      </c>
      <c r="D22" s="12">
        <v>158</v>
      </c>
      <c r="E22" s="12">
        <v>247</v>
      </c>
      <c r="F22" s="12">
        <v>180</v>
      </c>
      <c r="G22" s="12">
        <v>257</v>
      </c>
      <c r="H22" s="12">
        <v>289</v>
      </c>
      <c r="I22" s="12">
        <v>364</v>
      </c>
      <c r="J22" s="12">
        <v>74</v>
      </c>
      <c r="K22" s="12">
        <v>179</v>
      </c>
      <c r="L22" s="12">
        <v>152</v>
      </c>
      <c r="M22" s="12">
        <v>226</v>
      </c>
      <c r="N22" s="12">
        <v>214</v>
      </c>
      <c r="O22" s="12">
        <v>275</v>
      </c>
      <c r="P22" s="12">
        <v>190</v>
      </c>
      <c r="Q22" s="12">
        <v>210</v>
      </c>
      <c r="R22" s="12">
        <v>95</v>
      </c>
      <c r="S22" s="12">
        <v>190</v>
      </c>
      <c r="T22" s="12">
        <v>202</v>
      </c>
      <c r="U22" s="12">
        <v>99</v>
      </c>
      <c r="V22" s="12">
        <v>115</v>
      </c>
      <c r="W22" s="12">
        <v>99</v>
      </c>
      <c r="X22" s="12">
        <v>227</v>
      </c>
      <c r="Y22" s="12">
        <v>239</v>
      </c>
      <c r="Z22" s="12">
        <v>88</v>
      </c>
      <c r="AA22" s="12">
        <v>287</v>
      </c>
      <c r="AB22" s="12">
        <v>186</v>
      </c>
      <c r="AC22" s="12">
        <v>208</v>
      </c>
      <c r="AD22" s="12">
        <v>238</v>
      </c>
      <c r="AE22" s="12">
        <v>122</v>
      </c>
      <c r="AF22" s="12">
        <v>210</v>
      </c>
    </row>
    <row r="23" spans="1:32">
      <c r="A23" s="23"/>
      <c r="B23" s="13" t="s">
        <v>1012</v>
      </c>
      <c r="C23" s="14">
        <v>0.51</v>
      </c>
      <c r="D23" s="14">
        <v>0.49</v>
      </c>
      <c r="E23" s="14">
        <v>0.48</v>
      </c>
      <c r="F23" s="14">
        <v>0.4</v>
      </c>
      <c r="G23" s="14">
        <v>0.69000000000000006</v>
      </c>
      <c r="H23" s="14">
        <v>0.52</v>
      </c>
      <c r="I23" s="14">
        <v>0.52</v>
      </c>
      <c r="J23" s="14">
        <v>0.55000000000000004</v>
      </c>
      <c r="K23" s="14">
        <v>0.62</v>
      </c>
      <c r="L23" s="14">
        <v>0.53</v>
      </c>
      <c r="M23" s="14">
        <v>0.46</v>
      </c>
      <c r="N23" s="14">
        <v>0.57000000000000006</v>
      </c>
      <c r="O23" s="14">
        <v>0.64</v>
      </c>
      <c r="P23" s="14">
        <v>0.46</v>
      </c>
      <c r="Q23" s="14">
        <v>0.47</v>
      </c>
      <c r="R23" s="14">
        <v>0.42</v>
      </c>
      <c r="S23" s="14">
        <v>0.51</v>
      </c>
      <c r="T23" s="14">
        <v>0.52</v>
      </c>
      <c r="U23" s="14">
        <v>0.70000000000000007</v>
      </c>
      <c r="V23" s="14">
        <v>0.27</v>
      </c>
      <c r="W23" s="14">
        <v>0.59</v>
      </c>
      <c r="X23" s="14">
        <v>0.73</v>
      </c>
      <c r="Y23" s="14">
        <v>0.63</v>
      </c>
      <c r="Z23" s="14">
        <v>0.24</v>
      </c>
      <c r="AA23" s="14">
        <v>0.52</v>
      </c>
      <c r="AB23" s="14">
        <v>0.38</v>
      </c>
      <c r="AC23" s="14">
        <v>0.64</v>
      </c>
      <c r="AD23" s="14">
        <v>0.63</v>
      </c>
      <c r="AE23" s="14">
        <v>0.52</v>
      </c>
      <c r="AF23" s="14">
        <v>0.67</v>
      </c>
    </row>
    <row r="24" spans="1:32">
      <c r="A24" s="23"/>
      <c r="B24" s="11" t="s">
        <v>497</v>
      </c>
      <c r="C24" s="12">
        <v>116</v>
      </c>
      <c r="D24" s="12">
        <v>0</v>
      </c>
      <c r="E24" s="12">
        <v>8</v>
      </c>
      <c r="F24" s="12">
        <v>6</v>
      </c>
      <c r="G24" s="12">
        <v>10</v>
      </c>
      <c r="H24" s="12">
        <v>8</v>
      </c>
      <c r="I24" s="12">
        <v>9</v>
      </c>
      <c r="J24" s="12">
        <v>0</v>
      </c>
      <c r="K24" s="12">
        <v>4</v>
      </c>
      <c r="L24" s="12">
        <v>3</v>
      </c>
      <c r="M24" s="12">
        <v>0</v>
      </c>
      <c r="N24" s="12">
        <v>7</v>
      </c>
      <c r="O24" s="12">
        <v>4</v>
      </c>
      <c r="P24" s="12">
        <v>0</v>
      </c>
      <c r="Q24" s="12">
        <v>3</v>
      </c>
      <c r="R24" s="12">
        <v>6</v>
      </c>
      <c r="S24" s="12">
        <v>10</v>
      </c>
      <c r="T24" s="12">
        <v>1</v>
      </c>
      <c r="U24" s="12">
        <v>0</v>
      </c>
      <c r="V24" s="12">
        <v>2</v>
      </c>
      <c r="W24" s="12">
        <v>4</v>
      </c>
      <c r="X24" s="12">
        <v>2</v>
      </c>
      <c r="Y24" s="12">
        <v>2</v>
      </c>
      <c r="Z24" s="12">
        <v>6</v>
      </c>
      <c r="AA24" s="12">
        <v>4</v>
      </c>
      <c r="AB24" s="12">
        <v>2</v>
      </c>
      <c r="AC24" s="12">
        <v>1</v>
      </c>
      <c r="AD24" s="12">
        <v>5</v>
      </c>
      <c r="AE24" s="12">
        <v>4</v>
      </c>
      <c r="AF24" s="12">
        <v>5</v>
      </c>
    </row>
    <row r="25" spans="1:32">
      <c r="A25" s="23"/>
      <c r="B25" s="13" t="s">
        <v>498</v>
      </c>
      <c r="C25" s="14">
        <v>0.01</v>
      </c>
      <c r="D25" s="15" t="s">
        <v>485</v>
      </c>
      <c r="E25" s="14">
        <v>0.02</v>
      </c>
      <c r="F25" s="14">
        <v>0.01</v>
      </c>
      <c r="G25" s="14">
        <v>0.03</v>
      </c>
      <c r="H25" s="14">
        <v>0.01</v>
      </c>
      <c r="I25" s="14">
        <v>0.01</v>
      </c>
      <c r="J25" s="15" t="s">
        <v>485</v>
      </c>
      <c r="K25" s="14">
        <v>0.01</v>
      </c>
      <c r="L25" s="14">
        <v>0.01</v>
      </c>
      <c r="M25" s="15" t="s">
        <v>485</v>
      </c>
      <c r="N25" s="14">
        <v>0.02</v>
      </c>
      <c r="O25" s="14">
        <v>0.01</v>
      </c>
      <c r="P25" s="15" t="s">
        <v>485</v>
      </c>
      <c r="Q25" s="14">
        <v>0.01</v>
      </c>
      <c r="R25" s="14">
        <v>0.02</v>
      </c>
      <c r="S25" s="14">
        <v>0.03</v>
      </c>
      <c r="T25" s="15" t="s">
        <v>485</v>
      </c>
      <c r="U25" s="15" t="s">
        <v>485</v>
      </c>
      <c r="V25" s="14">
        <v>0.01</v>
      </c>
      <c r="W25" s="14">
        <v>0.02</v>
      </c>
      <c r="X25" s="14">
        <v>0.01</v>
      </c>
      <c r="Y25" s="14">
        <v>0.01</v>
      </c>
      <c r="Z25" s="14">
        <v>0.02</v>
      </c>
      <c r="AA25" s="14">
        <v>0.01</v>
      </c>
      <c r="AB25" s="15" t="s">
        <v>485</v>
      </c>
      <c r="AC25" s="15" t="s">
        <v>485</v>
      </c>
      <c r="AD25" s="14">
        <v>0.01</v>
      </c>
      <c r="AE25" s="14">
        <v>0.02</v>
      </c>
      <c r="AF25" s="14">
        <v>0.02</v>
      </c>
    </row>
  </sheetData>
  <mergeCells count="9">
    <mergeCell ref="H3:L3"/>
    <mergeCell ref="C8:AF8"/>
    <mergeCell ref="B3:F3"/>
    <mergeCell ref="B5:F5"/>
    <mergeCell ref="A10:A25"/>
    <mergeCell ref="H5:L5"/>
    <mergeCell ref="B10:B11"/>
    <mergeCell ref="H4:L4"/>
    <mergeCell ref="B4:F4"/>
  </mergeCells>
  <pageMargins left="0.75" right="0.75" top="1" bottom="1" header="0.5" footer="0.5"/>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AF27"/>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143</v>
      </c>
      <c r="C3" s="19"/>
      <c r="D3" s="19"/>
      <c r="E3" s="19"/>
      <c r="F3" s="19"/>
      <c r="H3" s="19" t="s">
        <v>144</v>
      </c>
      <c r="I3" s="19"/>
      <c r="J3" s="19"/>
      <c r="K3" s="19"/>
      <c r="L3" s="19"/>
    </row>
    <row r="4" spans="1:32" ht="27" customHeight="1">
      <c r="B4" s="19"/>
      <c r="C4" s="19"/>
      <c r="D4" s="19"/>
      <c r="E4" s="19"/>
      <c r="F4" s="19"/>
      <c r="H4" s="19"/>
      <c r="I4" s="19"/>
      <c r="J4" s="19"/>
      <c r="K4" s="19"/>
      <c r="L4" s="19"/>
    </row>
    <row r="5" spans="1:32" ht="12" customHeight="1">
      <c r="B5" s="19" t="s">
        <v>1015</v>
      </c>
      <c r="C5" s="19"/>
      <c r="D5" s="19"/>
      <c r="E5" s="19"/>
      <c r="F5" s="19"/>
      <c r="H5" s="19" t="s">
        <v>1016</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HYPERLINK("#Content!A73","&lt;&lt;Back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14890</v>
      </c>
      <c r="D10" s="10">
        <v>675</v>
      </c>
      <c r="E10" s="10">
        <v>484</v>
      </c>
      <c r="F10" s="10">
        <v>508</v>
      </c>
      <c r="G10" s="10">
        <v>591</v>
      </c>
      <c r="H10" s="10">
        <v>627</v>
      </c>
      <c r="I10" s="10">
        <v>783</v>
      </c>
      <c r="J10" s="10">
        <v>156</v>
      </c>
      <c r="K10" s="10">
        <v>690</v>
      </c>
      <c r="L10" s="10">
        <v>696</v>
      </c>
      <c r="M10" s="10">
        <v>501</v>
      </c>
      <c r="N10" s="10">
        <v>602</v>
      </c>
      <c r="O10" s="10">
        <v>556</v>
      </c>
      <c r="P10" s="10">
        <v>586</v>
      </c>
      <c r="Q10" s="10">
        <v>558</v>
      </c>
      <c r="R10" s="10">
        <v>270</v>
      </c>
      <c r="S10" s="10">
        <v>611</v>
      </c>
      <c r="T10" s="10">
        <v>590</v>
      </c>
      <c r="U10" s="10">
        <v>346</v>
      </c>
      <c r="V10" s="10">
        <v>566</v>
      </c>
      <c r="W10" s="10">
        <v>318</v>
      </c>
      <c r="X10" s="10">
        <v>700</v>
      </c>
      <c r="Y10" s="10">
        <v>605</v>
      </c>
      <c r="Z10" s="10">
        <v>608</v>
      </c>
      <c r="AA10" s="10">
        <v>458</v>
      </c>
      <c r="AB10" s="10">
        <v>520</v>
      </c>
      <c r="AC10" s="10">
        <v>669</v>
      </c>
      <c r="AD10" s="10">
        <v>586</v>
      </c>
      <c r="AE10" s="10">
        <v>723</v>
      </c>
      <c r="AF10" s="10">
        <v>742</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1017</v>
      </c>
      <c r="C12" s="12">
        <v>2638</v>
      </c>
      <c r="D12" s="12">
        <v>96</v>
      </c>
      <c r="E12" s="12">
        <v>65</v>
      </c>
      <c r="F12" s="12">
        <v>91</v>
      </c>
      <c r="G12" s="12">
        <v>100</v>
      </c>
      <c r="H12" s="12">
        <v>154</v>
      </c>
      <c r="I12" s="12">
        <v>184</v>
      </c>
      <c r="J12" s="12">
        <v>30</v>
      </c>
      <c r="K12" s="12">
        <v>99</v>
      </c>
      <c r="L12" s="12">
        <v>145</v>
      </c>
      <c r="M12" s="12">
        <v>112</v>
      </c>
      <c r="N12" s="12">
        <v>96</v>
      </c>
      <c r="O12" s="12">
        <v>108</v>
      </c>
      <c r="P12" s="12">
        <v>60</v>
      </c>
      <c r="Q12" s="12">
        <v>112</v>
      </c>
      <c r="R12" s="12">
        <v>46</v>
      </c>
      <c r="S12" s="12">
        <v>121</v>
      </c>
      <c r="T12" s="12">
        <v>72</v>
      </c>
      <c r="U12" s="12">
        <v>50</v>
      </c>
      <c r="V12" s="12">
        <v>73</v>
      </c>
      <c r="W12" s="12">
        <v>66</v>
      </c>
      <c r="X12" s="12">
        <v>100</v>
      </c>
      <c r="Y12" s="12">
        <v>79</v>
      </c>
      <c r="Z12" s="12">
        <v>71</v>
      </c>
      <c r="AA12" s="12">
        <v>78</v>
      </c>
      <c r="AB12" s="12">
        <v>66</v>
      </c>
      <c r="AC12" s="12">
        <v>111</v>
      </c>
      <c r="AD12" s="12">
        <v>98</v>
      </c>
      <c r="AE12" s="12">
        <v>108</v>
      </c>
      <c r="AF12" s="12">
        <v>110</v>
      </c>
    </row>
    <row r="13" spans="1:32">
      <c r="A13" s="23"/>
      <c r="B13" s="13" t="s">
        <v>1018</v>
      </c>
      <c r="C13" s="14">
        <v>0.18</v>
      </c>
      <c r="D13" s="14">
        <v>0.14000000000000001</v>
      </c>
      <c r="E13" s="14">
        <v>0.14000000000000001</v>
      </c>
      <c r="F13" s="14">
        <v>0.18</v>
      </c>
      <c r="G13" s="14">
        <v>0.17</v>
      </c>
      <c r="H13" s="14">
        <v>0.25</v>
      </c>
      <c r="I13" s="14">
        <v>0.23</v>
      </c>
      <c r="J13" s="14">
        <v>0.19</v>
      </c>
      <c r="K13" s="14">
        <v>0.15</v>
      </c>
      <c r="L13" s="14">
        <v>0.21</v>
      </c>
      <c r="M13" s="14">
        <v>0.22</v>
      </c>
      <c r="N13" s="14">
        <v>0.16</v>
      </c>
      <c r="O13" s="14">
        <v>0.19</v>
      </c>
      <c r="P13" s="14">
        <v>0.1</v>
      </c>
      <c r="Q13" s="14">
        <v>0.2</v>
      </c>
      <c r="R13" s="14">
        <v>0.17</v>
      </c>
      <c r="S13" s="14">
        <v>0.2</v>
      </c>
      <c r="T13" s="14">
        <v>0.12</v>
      </c>
      <c r="U13" s="14">
        <v>0.15</v>
      </c>
      <c r="V13" s="14">
        <v>0.13</v>
      </c>
      <c r="W13" s="14">
        <v>0.21</v>
      </c>
      <c r="X13" s="14">
        <v>0.14000000000000001</v>
      </c>
      <c r="Y13" s="14">
        <v>0.13</v>
      </c>
      <c r="Z13" s="14">
        <v>0.11</v>
      </c>
      <c r="AA13" s="14">
        <v>0.17</v>
      </c>
      <c r="AB13" s="14">
        <v>0.13</v>
      </c>
      <c r="AC13" s="14">
        <v>0.16</v>
      </c>
      <c r="AD13" s="14">
        <v>0.17</v>
      </c>
      <c r="AE13" s="14">
        <v>0.15</v>
      </c>
      <c r="AF13" s="14">
        <v>0.15</v>
      </c>
    </row>
    <row r="14" spans="1:32" ht="34.5">
      <c r="A14" s="23"/>
      <c r="B14" s="11" t="s">
        <v>1019</v>
      </c>
      <c r="C14" s="12">
        <v>1487</v>
      </c>
      <c r="D14" s="12">
        <v>49</v>
      </c>
      <c r="E14" s="12">
        <v>52</v>
      </c>
      <c r="F14" s="12">
        <v>21</v>
      </c>
      <c r="G14" s="12">
        <v>57</v>
      </c>
      <c r="H14" s="12">
        <v>80</v>
      </c>
      <c r="I14" s="12">
        <v>97</v>
      </c>
      <c r="J14" s="12">
        <v>17</v>
      </c>
      <c r="K14" s="12">
        <v>14</v>
      </c>
      <c r="L14" s="12">
        <v>90</v>
      </c>
      <c r="M14" s="12">
        <v>58</v>
      </c>
      <c r="N14" s="12">
        <v>57</v>
      </c>
      <c r="O14" s="12">
        <v>51</v>
      </c>
      <c r="P14" s="12">
        <v>65</v>
      </c>
      <c r="Q14" s="12">
        <v>63</v>
      </c>
      <c r="R14" s="12">
        <v>25</v>
      </c>
      <c r="S14" s="12">
        <v>18</v>
      </c>
      <c r="T14" s="12">
        <v>16</v>
      </c>
      <c r="U14" s="12">
        <v>30</v>
      </c>
      <c r="V14" s="12">
        <v>42</v>
      </c>
      <c r="W14" s="12">
        <v>38</v>
      </c>
      <c r="X14" s="12">
        <v>55</v>
      </c>
      <c r="Y14" s="12">
        <v>82</v>
      </c>
      <c r="Z14" s="12">
        <v>48</v>
      </c>
      <c r="AA14" s="12">
        <v>43</v>
      </c>
      <c r="AB14" s="12">
        <v>73</v>
      </c>
      <c r="AC14" s="12">
        <v>65</v>
      </c>
      <c r="AD14" s="12">
        <v>44</v>
      </c>
      <c r="AE14" s="12">
        <v>46</v>
      </c>
      <c r="AF14" s="12">
        <v>87</v>
      </c>
    </row>
    <row r="15" spans="1:32" ht="23.25">
      <c r="A15" s="23"/>
      <c r="B15" s="13" t="s">
        <v>1020</v>
      </c>
      <c r="C15" s="14">
        <v>0.1</v>
      </c>
      <c r="D15" s="14">
        <v>7.0000000000000007E-2</v>
      </c>
      <c r="E15" s="14">
        <v>0.11</v>
      </c>
      <c r="F15" s="14">
        <v>0.04</v>
      </c>
      <c r="G15" s="14">
        <v>0.1</v>
      </c>
      <c r="H15" s="14">
        <v>0.13</v>
      </c>
      <c r="I15" s="14">
        <v>0.12</v>
      </c>
      <c r="J15" s="14">
        <v>0.11</v>
      </c>
      <c r="K15" s="14">
        <v>0.02</v>
      </c>
      <c r="L15" s="14">
        <v>0.13</v>
      </c>
      <c r="M15" s="14">
        <v>0.12</v>
      </c>
      <c r="N15" s="14">
        <v>0.09</v>
      </c>
      <c r="O15" s="14">
        <v>0.09</v>
      </c>
      <c r="P15" s="14">
        <v>0.11</v>
      </c>
      <c r="Q15" s="14">
        <v>0.11</v>
      </c>
      <c r="R15" s="14">
        <v>0.09</v>
      </c>
      <c r="S15" s="14">
        <v>0.03</v>
      </c>
      <c r="T15" s="14">
        <v>0.03</v>
      </c>
      <c r="U15" s="14">
        <v>0.09</v>
      </c>
      <c r="V15" s="14">
        <v>7.0000000000000007E-2</v>
      </c>
      <c r="W15" s="14">
        <v>0.12</v>
      </c>
      <c r="X15" s="14">
        <v>0.08</v>
      </c>
      <c r="Y15" s="14">
        <v>0.14000000000000001</v>
      </c>
      <c r="Z15" s="14">
        <v>0.08</v>
      </c>
      <c r="AA15" s="14">
        <v>0.09</v>
      </c>
      <c r="AB15" s="14">
        <v>0.14000000000000001</v>
      </c>
      <c r="AC15" s="14">
        <v>0.1</v>
      </c>
      <c r="AD15" s="14">
        <v>7.0000000000000007E-2</v>
      </c>
      <c r="AE15" s="14">
        <v>0.06</v>
      </c>
      <c r="AF15" s="14">
        <v>0.12</v>
      </c>
    </row>
    <row r="16" spans="1:32" ht="23.25">
      <c r="A16" s="23"/>
      <c r="B16" s="11" t="s">
        <v>1021</v>
      </c>
      <c r="C16" s="12">
        <v>1290</v>
      </c>
      <c r="D16" s="12">
        <v>43</v>
      </c>
      <c r="E16" s="12">
        <v>26</v>
      </c>
      <c r="F16" s="12">
        <v>41</v>
      </c>
      <c r="G16" s="12">
        <v>103</v>
      </c>
      <c r="H16" s="12">
        <v>70</v>
      </c>
      <c r="I16" s="12">
        <v>86</v>
      </c>
      <c r="J16" s="12">
        <v>16</v>
      </c>
      <c r="K16" s="12">
        <v>34</v>
      </c>
      <c r="L16" s="12">
        <v>71</v>
      </c>
      <c r="M16" s="12">
        <v>18</v>
      </c>
      <c r="N16" s="12">
        <v>42</v>
      </c>
      <c r="O16" s="12">
        <v>27</v>
      </c>
      <c r="P16" s="12">
        <v>29</v>
      </c>
      <c r="Q16" s="12">
        <v>35</v>
      </c>
      <c r="R16" s="12">
        <v>17</v>
      </c>
      <c r="S16" s="12">
        <v>35</v>
      </c>
      <c r="T16" s="12">
        <v>16</v>
      </c>
      <c r="U16" s="12">
        <v>36</v>
      </c>
      <c r="V16" s="12">
        <v>49</v>
      </c>
      <c r="W16" s="12">
        <v>55</v>
      </c>
      <c r="X16" s="12">
        <v>104</v>
      </c>
      <c r="Y16" s="12">
        <v>69</v>
      </c>
      <c r="Z16" s="12">
        <v>61</v>
      </c>
      <c r="AA16" s="12">
        <v>49</v>
      </c>
      <c r="AB16" s="12">
        <v>59</v>
      </c>
      <c r="AC16" s="12">
        <v>42</v>
      </c>
      <c r="AD16" s="12">
        <v>40</v>
      </c>
      <c r="AE16" s="12">
        <v>89</v>
      </c>
      <c r="AF16" s="12">
        <v>121</v>
      </c>
    </row>
    <row r="17" spans="1:32">
      <c r="A17" s="23"/>
      <c r="B17" s="13" t="s">
        <v>1022</v>
      </c>
      <c r="C17" s="14">
        <v>0.09</v>
      </c>
      <c r="D17" s="14">
        <v>7.0000000000000007E-2</v>
      </c>
      <c r="E17" s="14">
        <v>0.05</v>
      </c>
      <c r="F17" s="14">
        <v>0.08</v>
      </c>
      <c r="G17" s="14">
        <v>0.17</v>
      </c>
      <c r="H17" s="14">
        <v>0.11</v>
      </c>
      <c r="I17" s="14">
        <v>0.11</v>
      </c>
      <c r="J17" s="14">
        <v>0.1</v>
      </c>
      <c r="K17" s="14">
        <v>0.05</v>
      </c>
      <c r="L17" s="14">
        <v>0.1</v>
      </c>
      <c r="M17" s="14">
        <v>0.04</v>
      </c>
      <c r="N17" s="14">
        <v>7.0000000000000007E-2</v>
      </c>
      <c r="O17" s="14">
        <v>0.05</v>
      </c>
      <c r="P17" s="14">
        <v>0.05</v>
      </c>
      <c r="Q17" s="14">
        <v>0.06</v>
      </c>
      <c r="R17" s="14">
        <v>0.06</v>
      </c>
      <c r="S17" s="14">
        <v>0.06</v>
      </c>
      <c r="T17" s="14">
        <v>0.03</v>
      </c>
      <c r="U17" s="14">
        <v>0.1</v>
      </c>
      <c r="V17" s="14">
        <v>0.09</v>
      </c>
      <c r="W17" s="14">
        <v>0.17</v>
      </c>
      <c r="X17" s="14">
        <v>0.15</v>
      </c>
      <c r="Y17" s="14">
        <v>0.11</v>
      </c>
      <c r="Z17" s="14">
        <v>0.1</v>
      </c>
      <c r="AA17" s="14">
        <v>0.11</v>
      </c>
      <c r="AB17" s="14">
        <v>0.11</v>
      </c>
      <c r="AC17" s="14">
        <v>0.06</v>
      </c>
      <c r="AD17" s="14">
        <v>7.0000000000000007E-2</v>
      </c>
      <c r="AE17" s="14">
        <v>0.12</v>
      </c>
      <c r="AF17" s="14">
        <v>0.16</v>
      </c>
    </row>
    <row r="18" spans="1:32" ht="23.25">
      <c r="A18" s="23"/>
      <c r="B18" s="11" t="s">
        <v>1023</v>
      </c>
      <c r="C18" s="12">
        <v>1316</v>
      </c>
      <c r="D18" s="12">
        <v>75</v>
      </c>
      <c r="E18" s="12">
        <v>39</v>
      </c>
      <c r="F18" s="12">
        <v>42</v>
      </c>
      <c r="G18" s="12">
        <v>34</v>
      </c>
      <c r="H18" s="12">
        <v>38</v>
      </c>
      <c r="I18" s="12">
        <v>43</v>
      </c>
      <c r="J18" s="12">
        <v>6</v>
      </c>
      <c r="K18" s="12">
        <v>43</v>
      </c>
      <c r="L18" s="12">
        <v>92</v>
      </c>
      <c r="M18" s="12">
        <v>46</v>
      </c>
      <c r="N18" s="12">
        <v>66</v>
      </c>
      <c r="O18" s="12">
        <v>39</v>
      </c>
      <c r="P18" s="12">
        <v>81</v>
      </c>
      <c r="Q18" s="12">
        <v>72</v>
      </c>
      <c r="R18" s="12">
        <v>38</v>
      </c>
      <c r="S18" s="12">
        <v>51</v>
      </c>
      <c r="T18" s="12">
        <v>67</v>
      </c>
      <c r="U18" s="12">
        <v>44</v>
      </c>
      <c r="V18" s="12">
        <v>47</v>
      </c>
      <c r="W18" s="12">
        <v>27</v>
      </c>
      <c r="X18" s="12">
        <v>20</v>
      </c>
      <c r="Y18" s="12">
        <v>52</v>
      </c>
      <c r="Z18" s="12">
        <v>66</v>
      </c>
      <c r="AA18" s="12">
        <v>70</v>
      </c>
      <c r="AB18" s="12">
        <v>42</v>
      </c>
      <c r="AC18" s="12">
        <v>51</v>
      </c>
      <c r="AD18" s="12">
        <v>68</v>
      </c>
      <c r="AE18" s="12">
        <v>65</v>
      </c>
      <c r="AF18" s="12">
        <v>49</v>
      </c>
    </row>
    <row r="19" spans="1:32" ht="23.25">
      <c r="A19" s="23"/>
      <c r="B19" s="13" t="s">
        <v>1024</v>
      </c>
      <c r="C19" s="14">
        <v>0.09</v>
      </c>
      <c r="D19" s="14">
        <v>0.11</v>
      </c>
      <c r="E19" s="14">
        <v>0.08</v>
      </c>
      <c r="F19" s="14">
        <v>0.08</v>
      </c>
      <c r="G19" s="14">
        <v>0.06</v>
      </c>
      <c r="H19" s="14">
        <v>0.06</v>
      </c>
      <c r="I19" s="14">
        <v>0.06</v>
      </c>
      <c r="J19" s="14">
        <v>0.04</v>
      </c>
      <c r="K19" s="14">
        <v>0.06</v>
      </c>
      <c r="L19" s="14">
        <v>0.13</v>
      </c>
      <c r="M19" s="14">
        <v>0.09</v>
      </c>
      <c r="N19" s="14">
        <v>0.11</v>
      </c>
      <c r="O19" s="14">
        <v>7.0000000000000007E-2</v>
      </c>
      <c r="P19" s="14">
        <v>0.14000000000000001</v>
      </c>
      <c r="Q19" s="14">
        <v>0.13</v>
      </c>
      <c r="R19" s="14">
        <v>0.14000000000000001</v>
      </c>
      <c r="S19" s="14">
        <v>0.08</v>
      </c>
      <c r="T19" s="14">
        <v>0.11</v>
      </c>
      <c r="U19" s="14">
        <v>0.13</v>
      </c>
      <c r="V19" s="14">
        <v>0.08</v>
      </c>
      <c r="W19" s="14">
        <v>0.09</v>
      </c>
      <c r="X19" s="14">
        <v>0.03</v>
      </c>
      <c r="Y19" s="14">
        <v>0.09</v>
      </c>
      <c r="Z19" s="14">
        <v>0.11</v>
      </c>
      <c r="AA19" s="14">
        <v>0.15</v>
      </c>
      <c r="AB19" s="14">
        <v>0.08</v>
      </c>
      <c r="AC19" s="14">
        <v>0.08</v>
      </c>
      <c r="AD19" s="14">
        <v>0.12</v>
      </c>
      <c r="AE19" s="14">
        <v>0.09</v>
      </c>
      <c r="AF19" s="14">
        <v>0.06</v>
      </c>
    </row>
    <row r="20" spans="1:32" ht="23.25">
      <c r="A20" s="23"/>
      <c r="B20" s="11" t="s">
        <v>1025</v>
      </c>
      <c r="C20" s="12">
        <v>1487</v>
      </c>
      <c r="D20" s="12">
        <v>70</v>
      </c>
      <c r="E20" s="12">
        <v>52</v>
      </c>
      <c r="F20" s="12">
        <v>35</v>
      </c>
      <c r="G20" s="12">
        <v>39</v>
      </c>
      <c r="H20" s="12">
        <v>44</v>
      </c>
      <c r="I20" s="12">
        <v>58</v>
      </c>
      <c r="J20" s="12">
        <v>14</v>
      </c>
      <c r="K20" s="12">
        <v>77</v>
      </c>
      <c r="L20" s="12">
        <v>50</v>
      </c>
      <c r="M20" s="12">
        <v>50</v>
      </c>
      <c r="N20" s="12">
        <v>70</v>
      </c>
      <c r="O20" s="12">
        <v>65</v>
      </c>
      <c r="P20" s="12">
        <v>78</v>
      </c>
      <c r="Q20" s="12">
        <v>52</v>
      </c>
      <c r="R20" s="12">
        <v>35</v>
      </c>
      <c r="S20" s="12">
        <v>81</v>
      </c>
      <c r="T20" s="12">
        <v>100</v>
      </c>
      <c r="U20" s="12">
        <v>46</v>
      </c>
      <c r="V20" s="12">
        <v>66</v>
      </c>
      <c r="W20" s="12">
        <v>36</v>
      </c>
      <c r="X20" s="12">
        <v>57</v>
      </c>
      <c r="Y20" s="12">
        <v>61</v>
      </c>
      <c r="Z20" s="12">
        <v>66</v>
      </c>
      <c r="AA20" s="12">
        <v>61</v>
      </c>
      <c r="AB20" s="12">
        <v>73</v>
      </c>
      <c r="AC20" s="12">
        <v>94</v>
      </c>
      <c r="AD20" s="12">
        <v>57</v>
      </c>
      <c r="AE20" s="12">
        <v>49</v>
      </c>
      <c r="AF20" s="12">
        <v>52</v>
      </c>
    </row>
    <row r="21" spans="1:32">
      <c r="A21" s="23"/>
      <c r="B21" s="13" t="s">
        <v>1026</v>
      </c>
      <c r="C21" s="14">
        <v>0.1</v>
      </c>
      <c r="D21" s="14">
        <v>0.11</v>
      </c>
      <c r="E21" s="14">
        <v>0.11</v>
      </c>
      <c r="F21" s="14">
        <v>7.0000000000000007E-2</v>
      </c>
      <c r="G21" s="14">
        <v>0.06</v>
      </c>
      <c r="H21" s="14">
        <v>7.0000000000000007E-2</v>
      </c>
      <c r="I21" s="14">
        <v>7.0000000000000007E-2</v>
      </c>
      <c r="J21" s="14">
        <v>0.09</v>
      </c>
      <c r="K21" s="14">
        <v>0.11</v>
      </c>
      <c r="L21" s="14">
        <v>7.0000000000000007E-2</v>
      </c>
      <c r="M21" s="14">
        <v>0.1</v>
      </c>
      <c r="N21" s="14">
        <v>0.12</v>
      </c>
      <c r="O21" s="14">
        <v>0.12</v>
      </c>
      <c r="P21" s="14">
        <v>0.14000000000000001</v>
      </c>
      <c r="Q21" s="14">
        <v>0.09</v>
      </c>
      <c r="R21" s="14">
        <v>0.13</v>
      </c>
      <c r="S21" s="14">
        <v>0.13</v>
      </c>
      <c r="T21" s="14">
        <v>0.17</v>
      </c>
      <c r="U21" s="14">
        <v>0.13</v>
      </c>
      <c r="V21" s="14">
        <v>0.12</v>
      </c>
      <c r="W21" s="14">
        <v>0.11</v>
      </c>
      <c r="X21" s="14">
        <v>0.08</v>
      </c>
      <c r="Y21" s="14">
        <v>0.1</v>
      </c>
      <c r="Z21" s="14">
        <v>0.11</v>
      </c>
      <c r="AA21" s="14">
        <v>0.13</v>
      </c>
      <c r="AB21" s="14">
        <v>0.14000000000000001</v>
      </c>
      <c r="AC21" s="14">
        <v>0.14000000000000001</v>
      </c>
      <c r="AD21" s="14">
        <v>0.1</v>
      </c>
      <c r="AE21" s="14">
        <v>7.0000000000000007E-2</v>
      </c>
      <c r="AF21" s="14">
        <v>7.0000000000000007E-2</v>
      </c>
    </row>
    <row r="22" spans="1:32" ht="34.5">
      <c r="A22" s="23"/>
      <c r="B22" s="11" t="s">
        <v>1027</v>
      </c>
      <c r="C22" s="12">
        <v>4176</v>
      </c>
      <c r="D22" s="12">
        <v>183</v>
      </c>
      <c r="E22" s="12">
        <v>200</v>
      </c>
      <c r="F22" s="12">
        <v>214</v>
      </c>
      <c r="G22" s="12">
        <v>138</v>
      </c>
      <c r="H22" s="12">
        <v>155</v>
      </c>
      <c r="I22" s="12">
        <v>209</v>
      </c>
      <c r="J22" s="12">
        <v>54</v>
      </c>
      <c r="K22" s="12">
        <v>250</v>
      </c>
      <c r="L22" s="12">
        <v>168</v>
      </c>
      <c r="M22" s="12">
        <v>190</v>
      </c>
      <c r="N22" s="12">
        <v>158</v>
      </c>
      <c r="O22" s="12">
        <v>149</v>
      </c>
      <c r="P22" s="12">
        <v>201</v>
      </c>
      <c r="Q22" s="12">
        <v>166</v>
      </c>
      <c r="R22" s="12">
        <v>64</v>
      </c>
      <c r="S22" s="12">
        <v>163</v>
      </c>
      <c r="T22" s="12">
        <v>210</v>
      </c>
      <c r="U22" s="12">
        <v>76</v>
      </c>
      <c r="V22" s="12">
        <v>197</v>
      </c>
      <c r="W22" s="12">
        <v>50</v>
      </c>
      <c r="X22" s="12">
        <v>195</v>
      </c>
      <c r="Y22" s="12">
        <v>143</v>
      </c>
      <c r="Z22" s="12">
        <v>169</v>
      </c>
      <c r="AA22" s="12">
        <v>113</v>
      </c>
      <c r="AB22" s="12">
        <v>141</v>
      </c>
      <c r="AC22" s="12">
        <v>148</v>
      </c>
      <c r="AD22" s="12">
        <v>216</v>
      </c>
      <c r="AE22" s="12">
        <v>183</v>
      </c>
      <c r="AF22" s="12">
        <v>169</v>
      </c>
    </row>
    <row r="23" spans="1:32" ht="23.25">
      <c r="A23" s="23"/>
      <c r="B23" s="13" t="s">
        <v>1028</v>
      </c>
      <c r="C23" s="14">
        <v>0.28000000000000003</v>
      </c>
      <c r="D23" s="14">
        <v>0.27</v>
      </c>
      <c r="E23" s="14">
        <v>0.41</v>
      </c>
      <c r="F23" s="14">
        <v>0.42</v>
      </c>
      <c r="G23" s="14">
        <v>0.23</v>
      </c>
      <c r="H23" s="14">
        <v>0.25</v>
      </c>
      <c r="I23" s="14">
        <v>0.27</v>
      </c>
      <c r="J23" s="14">
        <v>0.34</v>
      </c>
      <c r="K23" s="14">
        <v>0.36</v>
      </c>
      <c r="L23" s="14">
        <v>0.24</v>
      </c>
      <c r="M23" s="14">
        <v>0.38</v>
      </c>
      <c r="N23" s="14">
        <v>0.26</v>
      </c>
      <c r="O23" s="14">
        <v>0.27</v>
      </c>
      <c r="P23" s="14">
        <v>0.34</v>
      </c>
      <c r="Q23" s="14">
        <v>0.3</v>
      </c>
      <c r="R23" s="14">
        <v>0.24</v>
      </c>
      <c r="S23" s="14">
        <v>0.27</v>
      </c>
      <c r="T23" s="14">
        <v>0.36</v>
      </c>
      <c r="U23" s="14">
        <v>0.22</v>
      </c>
      <c r="V23" s="14">
        <v>0.35</v>
      </c>
      <c r="W23" s="14">
        <v>0.16</v>
      </c>
      <c r="X23" s="14">
        <v>0.28000000000000003</v>
      </c>
      <c r="Y23" s="14">
        <v>0.24</v>
      </c>
      <c r="Z23" s="14">
        <v>0.28000000000000003</v>
      </c>
      <c r="AA23" s="14">
        <v>0.25</v>
      </c>
      <c r="AB23" s="14">
        <v>0.27</v>
      </c>
      <c r="AC23" s="14">
        <v>0.22</v>
      </c>
      <c r="AD23" s="14">
        <v>0.37</v>
      </c>
      <c r="AE23" s="14">
        <v>0.25</v>
      </c>
      <c r="AF23" s="14">
        <v>0.23</v>
      </c>
    </row>
    <row r="24" spans="1:32" ht="23.25">
      <c r="A24" s="23"/>
      <c r="B24" s="11" t="s">
        <v>1029</v>
      </c>
      <c r="C24" s="12">
        <v>2256</v>
      </c>
      <c r="D24" s="12">
        <v>157</v>
      </c>
      <c r="E24" s="12">
        <v>46</v>
      </c>
      <c r="F24" s="12">
        <v>55</v>
      </c>
      <c r="G24" s="12">
        <v>106</v>
      </c>
      <c r="H24" s="12">
        <v>71</v>
      </c>
      <c r="I24" s="12">
        <v>90</v>
      </c>
      <c r="J24" s="12">
        <v>19</v>
      </c>
      <c r="K24" s="12">
        <v>164</v>
      </c>
      <c r="L24" s="12">
        <v>74</v>
      </c>
      <c r="M24" s="12">
        <v>26</v>
      </c>
      <c r="N24" s="12">
        <v>102</v>
      </c>
      <c r="O24" s="12">
        <v>100</v>
      </c>
      <c r="P24" s="12">
        <v>70</v>
      </c>
      <c r="Q24" s="12">
        <v>57</v>
      </c>
      <c r="R24" s="12">
        <v>41</v>
      </c>
      <c r="S24" s="12">
        <v>140</v>
      </c>
      <c r="T24" s="12">
        <v>105</v>
      </c>
      <c r="U24" s="12">
        <v>52</v>
      </c>
      <c r="V24" s="12">
        <v>83</v>
      </c>
      <c r="W24" s="12">
        <v>43</v>
      </c>
      <c r="X24" s="12">
        <v>167</v>
      </c>
      <c r="Y24" s="12">
        <v>116</v>
      </c>
      <c r="Z24" s="12">
        <v>122</v>
      </c>
      <c r="AA24" s="12">
        <v>35</v>
      </c>
      <c r="AB24" s="12">
        <v>46</v>
      </c>
      <c r="AC24" s="12">
        <v>153</v>
      </c>
      <c r="AD24" s="12">
        <v>60</v>
      </c>
      <c r="AE24" s="12">
        <v>170</v>
      </c>
      <c r="AF24" s="12">
        <v>140</v>
      </c>
    </row>
    <row r="25" spans="1:32">
      <c r="A25" s="23"/>
      <c r="B25" s="13" t="s">
        <v>1030</v>
      </c>
      <c r="C25" s="14">
        <v>0.15</v>
      </c>
      <c r="D25" s="14">
        <v>0.23</v>
      </c>
      <c r="E25" s="14">
        <v>0.1</v>
      </c>
      <c r="F25" s="14">
        <v>0.11</v>
      </c>
      <c r="G25" s="14">
        <v>0.18</v>
      </c>
      <c r="H25" s="14">
        <v>0.11</v>
      </c>
      <c r="I25" s="14">
        <v>0.12</v>
      </c>
      <c r="J25" s="14">
        <v>0.12</v>
      </c>
      <c r="K25" s="14">
        <v>0.24</v>
      </c>
      <c r="L25" s="14">
        <v>0.11</v>
      </c>
      <c r="M25" s="14">
        <v>0.05</v>
      </c>
      <c r="N25" s="14">
        <v>0.17</v>
      </c>
      <c r="O25" s="14">
        <v>0.18</v>
      </c>
      <c r="P25" s="14">
        <v>0.12</v>
      </c>
      <c r="Q25" s="14">
        <v>0.1</v>
      </c>
      <c r="R25" s="14">
        <v>0.15</v>
      </c>
      <c r="S25" s="14">
        <v>0.23</v>
      </c>
      <c r="T25" s="14">
        <v>0.18</v>
      </c>
      <c r="U25" s="14">
        <v>0.15</v>
      </c>
      <c r="V25" s="14">
        <v>0.15</v>
      </c>
      <c r="W25" s="14">
        <v>0.13</v>
      </c>
      <c r="X25" s="14">
        <v>0.24</v>
      </c>
      <c r="Y25" s="14">
        <v>0.19</v>
      </c>
      <c r="Z25" s="14">
        <v>0.2</v>
      </c>
      <c r="AA25" s="14">
        <v>0.08</v>
      </c>
      <c r="AB25" s="14">
        <v>0.09</v>
      </c>
      <c r="AC25" s="14">
        <v>0.23</v>
      </c>
      <c r="AD25" s="14">
        <v>0.1</v>
      </c>
      <c r="AE25" s="14">
        <v>0.24</v>
      </c>
      <c r="AF25" s="14">
        <v>0.19</v>
      </c>
    </row>
    <row r="26" spans="1:32">
      <c r="A26" s="23"/>
      <c r="B26" s="11" t="s">
        <v>497</v>
      </c>
      <c r="C26" s="12">
        <v>240</v>
      </c>
      <c r="D26" s="12">
        <v>2</v>
      </c>
      <c r="E26" s="12">
        <v>2</v>
      </c>
      <c r="F26" s="12">
        <v>9</v>
      </c>
      <c r="G26" s="12">
        <v>16</v>
      </c>
      <c r="H26" s="12">
        <v>15</v>
      </c>
      <c r="I26" s="12">
        <v>17</v>
      </c>
      <c r="J26" s="12">
        <v>2</v>
      </c>
      <c r="K26" s="12">
        <v>8</v>
      </c>
      <c r="L26" s="12">
        <v>7</v>
      </c>
      <c r="M26" s="12">
        <v>0</v>
      </c>
      <c r="N26" s="12">
        <v>12</v>
      </c>
      <c r="O26" s="12">
        <v>17</v>
      </c>
      <c r="P26" s="12">
        <v>2</v>
      </c>
      <c r="Q26" s="12">
        <v>2</v>
      </c>
      <c r="R26" s="12">
        <v>4</v>
      </c>
      <c r="S26" s="12">
        <v>3</v>
      </c>
      <c r="T26" s="12">
        <v>3</v>
      </c>
      <c r="U26" s="12">
        <v>11</v>
      </c>
      <c r="V26" s="12">
        <v>9</v>
      </c>
      <c r="W26" s="12">
        <v>3</v>
      </c>
      <c r="X26" s="12">
        <v>4</v>
      </c>
      <c r="Y26" s="12">
        <v>2</v>
      </c>
      <c r="Z26" s="12">
        <v>5</v>
      </c>
      <c r="AA26" s="12">
        <v>8</v>
      </c>
      <c r="AB26" s="12">
        <v>19</v>
      </c>
      <c r="AC26" s="12">
        <v>4</v>
      </c>
      <c r="AD26" s="12">
        <v>2</v>
      </c>
      <c r="AE26" s="12">
        <v>15</v>
      </c>
      <c r="AF26" s="12">
        <v>13</v>
      </c>
    </row>
    <row r="27" spans="1:32">
      <c r="A27" s="23"/>
      <c r="B27" s="13" t="s">
        <v>498</v>
      </c>
      <c r="C27" s="14">
        <v>0.01</v>
      </c>
      <c r="D27" s="15" t="s">
        <v>485</v>
      </c>
      <c r="E27" s="15" t="s">
        <v>485</v>
      </c>
      <c r="F27" s="14">
        <v>0.02</v>
      </c>
      <c r="G27" s="14">
        <v>0.03</v>
      </c>
      <c r="H27" s="14">
        <v>0.02</v>
      </c>
      <c r="I27" s="14">
        <v>0.02</v>
      </c>
      <c r="J27" s="14">
        <v>0.01</v>
      </c>
      <c r="K27" s="14">
        <v>0.01</v>
      </c>
      <c r="L27" s="14">
        <v>0.01</v>
      </c>
      <c r="M27" s="15" t="s">
        <v>485</v>
      </c>
      <c r="N27" s="14">
        <v>0.02</v>
      </c>
      <c r="O27" s="14">
        <v>0.03</v>
      </c>
      <c r="P27" s="15" t="s">
        <v>485</v>
      </c>
      <c r="Q27" s="14">
        <v>0.01</v>
      </c>
      <c r="R27" s="14">
        <v>0.02</v>
      </c>
      <c r="S27" s="15" t="s">
        <v>485</v>
      </c>
      <c r="T27" s="15" t="s">
        <v>485</v>
      </c>
      <c r="U27" s="14">
        <v>0.03</v>
      </c>
      <c r="V27" s="14">
        <v>0.01</v>
      </c>
      <c r="W27" s="14">
        <v>0.01</v>
      </c>
      <c r="X27" s="15" t="s">
        <v>485</v>
      </c>
      <c r="Y27" s="15" t="s">
        <v>485</v>
      </c>
      <c r="Z27" s="14">
        <v>0.01</v>
      </c>
      <c r="AA27" s="14">
        <v>0.02</v>
      </c>
      <c r="AB27" s="14">
        <v>0.04</v>
      </c>
      <c r="AC27" s="14">
        <v>0.01</v>
      </c>
      <c r="AD27" s="15" t="s">
        <v>485</v>
      </c>
      <c r="AE27" s="14">
        <v>0.02</v>
      </c>
      <c r="AF27" s="14">
        <v>0.02</v>
      </c>
    </row>
  </sheetData>
  <mergeCells count="9">
    <mergeCell ref="H3:L3"/>
    <mergeCell ref="C8:AF8"/>
    <mergeCell ref="B3:F3"/>
    <mergeCell ref="B5:F5"/>
    <mergeCell ref="A10:A27"/>
    <mergeCell ref="B10:B11"/>
    <mergeCell ref="H4:L4"/>
    <mergeCell ref="B4:F4"/>
    <mergeCell ref="H5:L5"/>
  </mergeCells>
  <pageMargins left="0.75" right="0.75" top="1" bottom="1" header="0.5" footer="0.5"/>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AF27"/>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36" customHeight="1">
      <c r="B3" s="19" t="s">
        <v>145</v>
      </c>
      <c r="C3" s="19"/>
      <c r="D3" s="19"/>
      <c r="E3" s="19"/>
      <c r="F3" s="19"/>
      <c r="H3" s="19" t="s">
        <v>146</v>
      </c>
      <c r="I3" s="19"/>
      <c r="J3" s="19"/>
      <c r="K3" s="19"/>
      <c r="L3" s="19"/>
    </row>
    <row r="4" spans="1:32" ht="27" customHeight="1">
      <c r="B4" s="19"/>
      <c r="C4" s="19"/>
      <c r="D4" s="19"/>
      <c r="E4" s="19"/>
      <c r="F4" s="19"/>
      <c r="H4" s="19"/>
      <c r="I4" s="19"/>
      <c r="J4" s="19"/>
      <c r="K4" s="19"/>
      <c r="L4" s="19"/>
    </row>
    <row r="5" spans="1:32" ht="24" customHeight="1">
      <c r="B5" s="19" t="s">
        <v>1031</v>
      </c>
      <c r="C5" s="19"/>
      <c r="D5" s="19"/>
      <c r="E5" s="19"/>
      <c r="F5" s="19"/>
      <c r="H5" s="19" t="s">
        <v>1032</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HYPERLINK("#Content!A74","&lt;&lt;Back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14650</v>
      </c>
      <c r="D10" s="10">
        <v>674</v>
      </c>
      <c r="E10" s="10">
        <v>482</v>
      </c>
      <c r="F10" s="10">
        <v>499</v>
      </c>
      <c r="G10" s="10">
        <v>575</v>
      </c>
      <c r="H10" s="10">
        <v>612</v>
      </c>
      <c r="I10" s="10">
        <v>766</v>
      </c>
      <c r="J10" s="10">
        <v>154</v>
      </c>
      <c r="K10" s="10">
        <v>682</v>
      </c>
      <c r="L10" s="10">
        <v>689</v>
      </c>
      <c r="M10" s="10">
        <v>501</v>
      </c>
      <c r="N10" s="10">
        <v>590</v>
      </c>
      <c r="O10" s="10">
        <v>538</v>
      </c>
      <c r="P10" s="10">
        <v>584</v>
      </c>
      <c r="Q10" s="10">
        <v>556</v>
      </c>
      <c r="R10" s="10">
        <v>266</v>
      </c>
      <c r="S10" s="10">
        <v>609</v>
      </c>
      <c r="T10" s="10">
        <v>587</v>
      </c>
      <c r="U10" s="10">
        <v>334</v>
      </c>
      <c r="V10" s="10">
        <v>557</v>
      </c>
      <c r="W10" s="10">
        <v>314</v>
      </c>
      <c r="X10" s="10">
        <v>696</v>
      </c>
      <c r="Y10" s="10">
        <v>602</v>
      </c>
      <c r="Z10" s="10">
        <v>603</v>
      </c>
      <c r="AA10" s="10">
        <v>449</v>
      </c>
      <c r="AB10" s="10">
        <v>501</v>
      </c>
      <c r="AC10" s="10">
        <v>665</v>
      </c>
      <c r="AD10" s="10">
        <v>583</v>
      </c>
      <c r="AE10" s="10">
        <v>709</v>
      </c>
      <c r="AF10" s="10">
        <v>729</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1017</v>
      </c>
      <c r="C12" s="12">
        <v>4136</v>
      </c>
      <c r="D12" s="12">
        <v>219</v>
      </c>
      <c r="E12" s="12">
        <v>191</v>
      </c>
      <c r="F12" s="12">
        <v>185</v>
      </c>
      <c r="G12" s="12">
        <v>208</v>
      </c>
      <c r="H12" s="12">
        <v>198</v>
      </c>
      <c r="I12" s="12">
        <v>256</v>
      </c>
      <c r="J12" s="12">
        <v>58</v>
      </c>
      <c r="K12" s="12">
        <v>245</v>
      </c>
      <c r="L12" s="12">
        <v>208</v>
      </c>
      <c r="M12" s="12">
        <v>205</v>
      </c>
      <c r="N12" s="12">
        <v>136</v>
      </c>
      <c r="O12" s="12">
        <v>121</v>
      </c>
      <c r="P12" s="12">
        <v>146</v>
      </c>
      <c r="Q12" s="12">
        <v>165</v>
      </c>
      <c r="R12" s="12">
        <v>80</v>
      </c>
      <c r="S12" s="12">
        <v>120</v>
      </c>
      <c r="T12" s="12">
        <v>190</v>
      </c>
      <c r="U12" s="12">
        <v>66</v>
      </c>
      <c r="V12" s="12">
        <v>161</v>
      </c>
      <c r="W12" s="12">
        <v>90</v>
      </c>
      <c r="X12" s="12">
        <v>181</v>
      </c>
      <c r="Y12" s="12">
        <v>210</v>
      </c>
      <c r="Z12" s="12">
        <v>124</v>
      </c>
      <c r="AA12" s="12">
        <v>124</v>
      </c>
      <c r="AB12" s="12">
        <v>128</v>
      </c>
      <c r="AC12" s="12">
        <v>182</v>
      </c>
      <c r="AD12" s="12">
        <v>220</v>
      </c>
      <c r="AE12" s="12">
        <v>212</v>
      </c>
      <c r="AF12" s="12">
        <v>221</v>
      </c>
    </row>
    <row r="13" spans="1:32">
      <c r="A13" s="23"/>
      <c r="B13" s="13" t="s">
        <v>1018</v>
      </c>
      <c r="C13" s="14">
        <v>0.34</v>
      </c>
      <c r="D13" s="14">
        <v>0.38</v>
      </c>
      <c r="E13" s="14">
        <v>0.46</v>
      </c>
      <c r="F13" s="14">
        <v>0.45</v>
      </c>
      <c r="G13" s="14">
        <v>0.44</v>
      </c>
      <c r="H13" s="14">
        <v>0.43</v>
      </c>
      <c r="I13" s="14">
        <v>0.44</v>
      </c>
      <c r="J13" s="14">
        <v>0.47</v>
      </c>
      <c r="K13" s="14">
        <v>0.42</v>
      </c>
      <c r="L13" s="14">
        <v>0.38</v>
      </c>
      <c r="M13" s="14">
        <v>0.53</v>
      </c>
      <c r="N13" s="14">
        <v>0.28000000000000003</v>
      </c>
      <c r="O13" s="14">
        <v>0.28000000000000003</v>
      </c>
      <c r="P13" s="14">
        <v>0.28000000000000003</v>
      </c>
      <c r="Q13" s="14">
        <v>0.37</v>
      </c>
      <c r="R13" s="14">
        <v>0.36</v>
      </c>
      <c r="S13" s="14">
        <v>0.25</v>
      </c>
      <c r="T13" s="14">
        <v>0.37</v>
      </c>
      <c r="U13" s="14">
        <v>0.23</v>
      </c>
      <c r="V13" s="14">
        <v>0.33</v>
      </c>
      <c r="W13" s="14">
        <v>0.36</v>
      </c>
      <c r="X13" s="14">
        <v>0.3</v>
      </c>
      <c r="Y13" s="14">
        <v>0.4</v>
      </c>
      <c r="Z13" s="14">
        <v>0.23</v>
      </c>
      <c r="AA13" s="14">
        <v>0.33</v>
      </c>
      <c r="AB13" s="14">
        <v>0.28999999999999998</v>
      </c>
      <c r="AC13" s="14">
        <v>0.33</v>
      </c>
      <c r="AD13" s="14">
        <v>0.45</v>
      </c>
      <c r="AE13" s="14">
        <v>0.35</v>
      </c>
      <c r="AF13" s="14">
        <v>0.36</v>
      </c>
    </row>
    <row r="14" spans="1:32" ht="34.5">
      <c r="A14" s="23"/>
      <c r="B14" s="11" t="s">
        <v>1019</v>
      </c>
      <c r="C14" s="12">
        <v>3140</v>
      </c>
      <c r="D14" s="12">
        <v>108</v>
      </c>
      <c r="E14" s="12">
        <v>113</v>
      </c>
      <c r="F14" s="12">
        <v>64</v>
      </c>
      <c r="G14" s="12">
        <v>132</v>
      </c>
      <c r="H14" s="12">
        <v>137</v>
      </c>
      <c r="I14" s="12">
        <v>175</v>
      </c>
      <c r="J14" s="12">
        <v>38</v>
      </c>
      <c r="K14" s="12">
        <v>77</v>
      </c>
      <c r="L14" s="12">
        <v>132</v>
      </c>
      <c r="M14" s="12">
        <v>173</v>
      </c>
      <c r="N14" s="12">
        <v>97</v>
      </c>
      <c r="O14" s="12">
        <v>88</v>
      </c>
      <c r="P14" s="12">
        <v>138</v>
      </c>
      <c r="Q14" s="12">
        <v>184</v>
      </c>
      <c r="R14" s="12">
        <v>66</v>
      </c>
      <c r="S14" s="12">
        <v>54</v>
      </c>
      <c r="T14" s="12">
        <v>89</v>
      </c>
      <c r="U14" s="12">
        <v>50</v>
      </c>
      <c r="V14" s="12">
        <v>111</v>
      </c>
      <c r="W14" s="12">
        <v>50</v>
      </c>
      <c r="X14" s="12">
        <v>123</v>
      </c>
      <c r="Y14" s="12">
        <v>164</v>
      </c>
      <c r="Z14" s="12">
        <v>87</v>
      </c>
      <c r="AA14" s="12">
        <v>112</v>
      </c>
      <c r="AB14" s="12">
        <v>141</v>
      </c>
      <c r="AC14" s="12">
        <v>98</v>
      </c>
      <c r="AD14" s="12">
        <v>150</v>
      </c>
      <c r="AE14" s="12">
        <v>141</v>
      </c>
      <c r="AF14" s="12">
        <v>188</v>
      </c>
    </row>
    <row r="15" spans="1:32" ht="23.25">
      <c r="A15" s="23"/>
      <c r="B15" s="13" t="s">
        <v>1020</v>
      </c>
      <c r="C15" s="14">
        <v>0.24</v>
      </c>
      <c r="D15" s="14">
        <v>0.17</v>
      </c>
      <c r="E15" s="14">
        <v>0.26</v>
      </c>
      <c r="F15" s="14">
        <v>0.13</v>
      </c>
      <c r="G15" s="14">
        <v>0.25</v>
      </c>
      <c r="H15" s="14">
        <v>0.26</v>
      </c>
      <c r="I15" s="14">
        <v>0.26</v>
      </c>
      <c r="J15" s="14">
        <v>0.27</v>
      </c>
      <c r="K15" s="14">
        <v>0.11</v>
      </c>
      <c r="L15" s="14">
        <v>0.22</v>
      </c>
      <c r="M15" s="14">
        <v>0.39</v>
      </c>
      <c r="N15" s="14">
        <v>0.18</v>
      </c>
      <c r="O15" s="14">
        <v>0.18</v>
      </c>
      <c r="P15" s="14">
        <v>0.27</v>
      </c>
      <c r="Q15" s="14">
        <v>0.37</v>
      </c>
      <c r="R15" s="14">
        <v>0.27</v>
      </c>
      <c r="S15" s="14">
        <v>0.09</v>
      </c>
      <c r="T15" s="14">
        <v>0.16</v>
      </c>
      <c r="U15" s="14">
        <v>0.16</v>
      </c>
      <c r="V15" s="14">
        <v>0.22</v>
      </c>
      <c r="W15" s="14">
        <v>0.18</v>
      </c>
      <c r="X15" s="14">
        <v>0.19</v>
      </c>
      <c r="Y15" s="14">
        <v>0.31</v>
      </c>
      <c r="Z15" s="14">
        <v>0.16</v>
      </c>
      <c r="AA15" s="14">
        <v>0.28000000000000003</v>
      </c>
      <c r="AB15" s="14">
        <v>0.33</v>
      </c>
      <c r="AC15" s="14">
        <v>0.16</v>
      </c>
      <c r="AD15" s="14">
        <v>0.28000000000000003</v>
      </c>
      <c r="AE15" s="14">
        <v>0.21</v>
      </c>
      <c r="AF15" s="14">
        <v>0.28999999999999998</v>
      </c>
    </row>
    <row r="16" spans="1:32" ht="23.25">
      <c r="A16" s="23"/>
      <c r="B16" s="11" t="s">
        <v>1021</v>
      </c>
      <c r="C16" s="12">
        <v>2503</v>
      </c>
      <c r="D16" s="12">
        <v>84</v>
      </c>
      <c r="E16" s="12">
        <v>108</v>
      </c>
      <c r="F16" s="12">
        <v>73</v>
      </c>
      <c r="G16" s="12">
        <v>128</v>
      </c>
      <c r="H16" s="12">
        <v>104</v>
      </c>
      <c r="I16" s="12">
        <v>136</v>
      </c>
      <c r="J16" s="12">
        <v>32</v>
      </c>
      <c r="K16" s="12">
        <v>148</v>
      </c>
      <c r="L16" s="12">
        <v>187</v>
      </c>
      <c r="M16" s="12">
        <v>73</v>
      </c>
      <c r="N16" s="12">
        <v>75</v>
      </c>
      <c r="O16" s="12">
        <v>65</v>
      </c>
      <c r="P16" s="12">
        <v>121</v>
      </c>
      <c r="Q16" s="12">
        <v>114</v>
      </c>
      <c r="R16" s="12">
        <v>51</v>
      </c>
      <c r="S16" s="12">
        <v>86</v>
      </c>
      <c r="T16" s="12">
        <v>138</v>
      </c>
      <c r="U16" s="12">
        <v>57</v>
      </c>
      <c r="V16" s="12">
        <v>86</v>
      </c>
      <c r="W16" s="12">
        <v>84</v>
      </c>
      <c r="X16" s="12">
        <v>168</v>
      </c>
      <c r="Y16" s="12">
        <v>156</v>
      </c>
      <c r="Z16" s="12">
        <v>90</v>
      </c>
      <c r="AA16" s="12">
        <v>81</v>
      </c>
      <c r="AB16" s="12">
        <v>93</v>
      </c>
      <c r="AC16" s="12">
        <v>83</v>
      </c>
      <c r="AD16" s="12">
        <v>108</v>
      </c>
      <c r="AE16" s="12">
        <v>126</v>
      </c>
      <c r="AF16" s="12">
        <v>165</v>
      </c>
    </row>
    <row r="17" spans="1:32">
      <c r="A17" s="23"/>
      <c r="B17" s="13" t="s">
        <v>1022</v>
      </c>
      <c r="C17" s="14">
        <v>0.19</v>
      </c>
      <c r="D17" s="14">
        <v>0.13</v>
      </c>
      <c r="E17" s="14">
        <v>0.24</v>
      </c>
      <c r="F17" s="14">
        <v>0.16</v>
      </c>
      <c r="G17" s="14">
        <v>0.27</v>
      </c>
      <c r="H17" s="14">
        <v>0.19</v>
      </c>
      <c r="I17" s="14">
        <v>0.2</v>
      </c>
      <c r="J17" s="14">
        <v>0.23</v>
      </c>
      <c r="K17" s="14">
        <v>0.23</v>
      </c>
      <c r="L17" s="14">
        <v>0.3</v>
      </c>
      <c r="M17" s="14">
        <v>0.15</v>
      </c>
      <c r="N17" s="14">
        <v>0.14000000000000001</v>
      </c>
      <c r="O17" s="14">
        <v>0.13</v>
      </c>
      <c r="P17" s="14">
        <v>0.22</v>
      </c>
      <c r="Q17" s="14">
        <v>0.22</v>
      </c>
      <c r="R17" s="14">
        <v>0.21</v>
      </c>
      <c r="S17" s="14">
        <v>0.15</v>
      </c>
      <c r="T17" s="14">
        <v>0.24</v>
      </c>
      <c r="U17" s="14">
        <v>0.19</v>
      </c>
      <c r="V17" s="14">
        <v>0.17</v>
      </c>
      <c r="W17" s="14">
        <v>0.33</v>
      </c>
      <c r="X17" s="14">
        <v>0.28000000000000003</v>
      </c>
      <c r="Y17" s="14">
        <v>0.28999999999999998</v>
      </c>
      <c r="Z17" s="14">
        <v>0.17</v>
      </c>
      <c r="AA17" s="14">
        <v>0.2</v>
      </c>
      <c r="AB17" s="14">
        <v>0.21</v>
      </c>
      <c r="AC17" s="14">
        <v>0.13</v>
      </c>
      <c r="AD17" s="14">
        <v>0.2</v>
      </c>
      <c r="AE17" s="14">
        <v>0.2</v>
      </c>
      <c r="AF17" s="14">
        <v>0.27</v>
      </c>
    </row>
    <row r="18" spans="1:32" ht="23.25">
      <c r="A18" s="23"/>
      <c r="B18" s="11" t="s">
        <v>1023</v>
      </c>
      <c r="C18" s="12">
        <v>3253</v>
      </c>
      <c r="D18" s="12">
        <v>180</v>
      </c>
      <c r="E18" s="12">
        <v>151</v>
      </c>
      <c r="F18" s="12">
        <v>125</v>
      </c>
      <c r="G18" s="12">
        <v>115</v>
      </c>
      <c r="H18" s="12">
        <v>92</v>
      </c>
      <c r="I18" s="12">
        <v>128</v>
      </c>
      <c r="J18" s="12">
        <v>36</v>
      </c>
      <c r="K18" s="12">
        <v>180</v>
      </c>
      <c r="L18" s="12">
        <v>186</v>
      </c>
      <c r="M18" s="12">
        <v>226</v>
      </c>
      <c r="N18" s="12">
        <v>109</v>
      </c>
      <c r="O18" s="12">
        <v>106</v>
      </c>
      <c r="P18" s="12">
        <v>180</v>
      </c>
      <c r="Q18" s="12">
        <v>151</v>
      </c>
      <c r="R18" s="12">
        <v>78</v>
      </c>
      <c r="S18" s="12">
        <v>107</v>
      </c>
      <c r="T18" s="12">
        <v>167</v>
      </c>
      <c r="U18" s="12">
        <v>54</v>
      </c>
      <c r="V18" s="12">
        <v>118</v>
      </c>
      <c r="W18" s="12">
        <v>80</v>
      </c>
      <c r="X18" s="12">
        <v>84</v>
      </c>
      <c r="Y18" s="12">
        <v>156</v>
      </c>
      <c r="Z18" s="12">
        <v>151</v>
      </c>
      <c r="AA18" s="12">
        <v>148</v>
      </c>
      <c r="AB18" s="12">
        <v>122</v>
      </c>
      <c r="AC18" s="12">
        <v>129</v>
      </c>
      <c r="AD18" s="12">
        <v>153</v>
      </c>
      <c r="AE18" s="12">
        <v>149</v>
      </c>
      <c r="AF18" s="12">
        <v>174</v>
      </c>
    </row>
    <row r="19" spans="1:32" ht="23.25">
      <c r="A19" s="23"/>
      <c r="B19" s="13" t="s">
        <v>1024</v>
      </c>
      <c r="C19" s="14">
        <v>0.24</v>
      </c>
      <c r="D19" s="14">
        <v>0.3</v>
      </c>
      <c r="E19" s="14">
        <v>0.34</v>
      </c>
      <c r="F19" s="14">
        <v>0.27</v>
      </c>
      <c r="G19" s="14">
        <v>0.21</v>
      </c>
      <c r="H19" s="14">
        <v>0.16</v>
      </c>
      <c r="I19" s="14">
        <v>0.18</v>
      </c>
      <c r="J19" s="14">
        <v>0.24</v>
      </c>
      <c r="K19" s="14">
        <v>0.28000000000000003</v>
      </c>
      <c r="L19" s="14">
        <v>0.31</v>
      </c>
      <c r="M19" s="14">
        <v>0.5</v>
      </c>
      <c r="N19" s="14">
        <v>0.21</v>
      </c>
      <c r="O19" s="14">
        <v>0.21</v>
      </c>
      <c r="P19" s="14">
        <v>0.36</v>
      </c>
      <c r="Q19" s="14">
        <v>0.31</v>
      </c>
      <c r="R19" s="14">
        <v>0.34</v>
      </c>
      <c r="S19" s="14">
        <v>0.19</v>
      </c>
      <c r="T19" s="14">
        <v>0.32</v>
      </c>
      <c r="U19" s="14">
        <v>0.19</v>
      </c>
      <c r="V19" s="14">
        <v>0.23</v>
      </c>
      <c r="W19" s="14">
        <v>0.28000000000000003</v>
      </c>
      <c r="X19" s="14">
        <v>0.12</v>
      </c>
      <c r="Y19" s="14">
        <v>0.28000000000000003</v>
      </c>
      <c r="Z19" s="14">
        <v>0.28000000000000003</v>
      </c>
      <c r="AA19" s="14">
        <v>0.39</v>
      </c>
      <c r="AB19" s="14">
        <v>0.27</v>
      </c>
      <c r="AC19" s="14">
        <v>0.21</v>
      </c>
      <c r="AD19" s="14">
        <v>0.3</v>
      </c>
      <c r="AE19" s="14">
        <v>0.23</v>
      </c>
      <c r="AF19" s="14">
        <v>0.26</v>
      </c>
    </row>
    <row r="20" spans="1:32" ht="23.25">
      <c r="A20" s="23"/>
      <c r="B20" s="11" t="s">
        <v>1025</v>
      </c>
      <c r="C20" s="12">
        <v>2872</v>
      </c>
      <c r="D20" s="12">
        <v>116</v>
      </c>
      <c r="E20" s="12">
        <v>152</v>
      </c>
      <c r="F20" s="12">
        <v>81</v>
      </c>
      <c r="G20" s="12">
        <v>80</v>
      </c>
      <c r="H20" s="12">
        <v>89</v>
      </c>
      <c r="I20" s="12">
        <v>120</v>
      </c>
      <c r="J20" s="12">
        <v>31</v>
      </c>
      <c r="K20" s="12">
        <v>202</v>
      </c>
      <c r="L20" s="12">
        <v>135</v>
      </c>
      <c r="M20" s="12">
        <v>128</v>
      </c>
      <c r="N20" s="12">
        <v>108</v>
      </c>
      <c r="O20" s="12">
        <v>88</v>
      </c>
      <c r="P20" s="12">
        <v>164</v>
      </c>
      <c r="Q20" s="12">
        <v>141</v>
      </c>
      <c r="R20" s="12">
        <v>58</v>
      </c>
      <c r="S20" s="12">
        <v>109</v>
      </c>
      <c r="T20" s="12">
        <v>161</v>
      </c>
      <c r="U20" s="12">
        <v>66</v>
      </c>
      <c r="V20" s="12">
        <v>127</v>
      </c>
      <c r="W20" s="12">
        <v>68</v>
      </c>
      <c r="X20" s="12">
        <v>80</v>
      </c>
      <c r="Y20" s="12">
        <v>157</v>
      </c>
      <c r="Z20" s="12">
        <v>138</v>
      </c>
      <c r="AA20" s="12">
        <v>133</v>
      </c>
      <c r="AB20" s="12">
        <v>114</v>
      </c>
      <c r="AC20" s="12">
        <v>129</v>
      </c>
      <c r="AD20" s="12">
        <v>123</v>
      </c>
      <c r="AE20" s="12">
        <v>108</v>
      </c>
      <c r="AF20" s="12">
        <v>135</v>
      </c>
    </row>
    <row r="21" spans="1:32">
      <c r="A21" s="23"/>
      <c r="B21" s="13" t="s">
        <v>1026</v>
      </c>
      <c r="C21" s="14">
        <v>0.22</v>
      </c>
      <c r="D21" s="14">
        <v>0.19</v>
      </c>
      <c r="E21" s="14">
        <v>0.35</v>
      </c>
      <c r="F21" s="14">
        <v>0.18</v>
      </c>
      <c r="G21" s="14">
        <v>0.15</v>
      </c>
      <c r="H21" s="14">
        <v>0.16</v>
      </c>
      <c r="I21" s="14">
        <v>0.17</v>
      </c>
      <c r="J21" s="14">
        <v>0.22</v>
      </c>
      <c r="K21" s="14">
        <v>0.33</v>
      </c>
      <c r="L21" s="14">
        <v>0.21</v>
      </c>
      <c r="M21" s="14">
        <v>0.28000000000000003</v>
      </c>
      <c r="N21" s="14">
        <v>0.21</v>
      </c>
      <c r="O21" s="14">
        <v>0.19</v>
      </c>
      <c r="P21" s="14">
        <v>0.32</v>
      </c>
      <c r="Q21" s="14">
        <v>0.28000000000000003</v>
      </c>
      <c r="R21" s="14">
        <v>0.25</v>
      </c>
      <c r="S21" s="14">
        <v>0.21</v>
      </c>
      <c r="T21" s="14">
        <v>0.33</v>
      </c>
      <c r="U21" s="14">
        <v>0.23</v>
      </c>
      <c r="V21" s="14">
        <v>0.26</v>
      </c>
      <c r="W21" s="14">
        <v>0.25</v>
      </c>
      <c r="X21" s="14">
        <v>0.12</v>
      </c>
      <c r="Y21" s="14">
        <v>0.28999999999999998</v>
      </c>
      <c r="Z21" s="14">
        <v>0.26</v>
      </c>
      <c r="AA21" s="14">
        <v>0.34</v>
      </c>
      <c r="AB21" s="14">
        <v>0.27</v>
      </c>
      <c r="AC21" s="14">
        <v>0.23</v>
      </c>
      <c r="AD21" s="14">
        <v>0.23</v>
      </c>
      <c r="AE21" s="14">
        <v>0.16</v>
      </c>
      <c r="AF21" s="14">
        <v>0.2</v>
      </c>
    </row>
    <row r="22" spans="1:32" ht="34.5">
      <c r="A22" s="23"/>
      <c r="B22" s="11" t="s">
        <v>1027</v>
      </c>
      <c r="C22" s="12">
        <v>3670</v>
      </c>
      <c r="D22" s="12">
        <v>164</v>
      </c>
      <c r="E22" s="12">
        <v>129</v>
      </c>
      <c r="F22" s="12">
        <v>118</v>
      </c>
      <c r="G22" s="12">
        <v>155</v>
      </c>
      <c r="H22" s="12">
        <v>162</v>
      </c>
      <c r="I22" s="12">
        <v>195</v>
      </c>
      <c r="J22" s="12">
        <v>34</v>
      </c>
      <c r="K22" s="12">
        <v>217</v>
      </c>
      <c r="L22" s="12">
        <v>192</v>
      </c>
      <c r="M22" s="12">
        <v>173</v>
      </c>
      <c r="N22" s="12">
        <v>130</v>
      </c>
      <c r="O22" s="12">
        <v>129</v>
      </c>
      <c r="P22" s="12">
        <v>190</v>
      </c>
      <c r="Q22" s="12">
        <v>155</v>
      </c>
      <c r="R22" s="12">
        <v>62</v>
      </c>
      <c r="S22" s="12">
        <v>142</v>
      </c>
      <c r="T22" s="12">
        <v>179</v>
      </c>
      <c r="U22" s="12">
        <v>54</v>
      </c>
      <c r="V22" s="12">
        <v>141</v>
      </c>
      <c r="W22" s="12">
        <v>78</v>
      </c>
      <c r="X22" s="12">
        <v>191</v>
      </c>
      <c r="Y22" s="12">
        <v>180</v>
      </c>
      <c r="Z22" s="12">
        <v>111</v>
      </c>
      <c r="AA22" s="12">
        <v>115</v>
      </c>
      <c r="AB22" s="12">
        <v>124</v>
      </c>
      <c r="AC22" s="12">
        <v>125</v>
      </c>
      <c r="AD22" s="12">
        <v>174</v>
      </c>
      <c r="AE22" s="12">
        <v>188</v>
      </c>
      <c r="AF22" s="12">
        <v>183</v>
      </c>
    </row>
    <row r="23" spans="1:32" ht="23.25">
      <c r="A23" s="23"/>
      <c r="B23" s="13" t="s">
        <v>1028</v>
      </c>
      <c r="C23" s="14">
        <v>0.35</v>
      </c>
      <c r="D23" s="14">
        <v>0.34</v>
      </c>
      <c r="E23" s="14">
        <v>0.46</v>
      </c>
      <c r="F23" s="14">
        <v>0.41</v>
      </c>
      <c r="G23" s="14">
        <v>0.36</v>
      </c>
      <c r="H23" s="14">
        <v>0.35</v>
      </c>
      <c r="I23" s="14">
        <v>0.35</v>
      </c>
      <c r="J23" s="14">
        <v>0.34</v>
      </c>
      <c r="K23" s="14">
        <v>0.5</v>
      </c>
      <c r="L23" s="14">
        <v>0.37</v>
      </c>
      <c r="M23" s="14">
        <v>0.56000000000000005</v>
      </c>
      <c r="N23" s="14">
        <v>0.3</v>
      </c>
      <c r="O23" s="14">
        <v>0.33</v>
      </c>
      <c r="P23" s="14">
        <v>0.5</v>
      </c>
      <c r="Q23" s="14">
        <v>0.4</v>
      </c>
      <c r="R23" s="14">
        <v>0.31</v>
      </c>
      <c r="S23" s="14">
        <v>0.32</v>
      </c>
      <c r="T23" s="14">
        <v>0.48</v>
      </c>
      <c r="U23" s="14">
        <v>0.21</v>
      </c>
      <c r="V23" s="14">
        <v>0.39</v>
      </c>
      <c r="W23" s="14">
        <v>0.3</v>
      </c>
      <c r="X23" s="14">
        <v>0.38</v>
      </c>
      <c r="Y23" s="14">
        <v>0.39</v>
      </c>
      <c r="Z23" s="14">
        <v>0.26</v>
      </c>
      <c r="AA23" s="14">
        <v>0.34</v>
      </c>
      <c r="AB23" s="14">
        <v>0.35</v>
      </c>
      <c r="AC23" s="14">
        <v>0.24</v>
      </c>
      <c r="AD23" s="14">
        <v>0.47</v>
      </c>
      <c r="AE23" s="14">
        <v>0.36</v>
      </c>
      <c r="AF23" s="14">
        <v>0.33</v>
      </c>
    </row>
    <row r="24" spans="1:32" ht="23.25">
      <c r="A24" s="23"/>
      <c r="B24" s="11" t="s">
        <v>1029</v>
      </c>
      <c r="C24" s="12">
        <v>4307</v>
      </c>
      <c r="D24" s="12">
        <v>217</v>
      </c>
      <c r="E24" s="12">
        <v>131</v>
      </c>
      <c r="F24" s="12">
        <v>144</v>
      </c>
      <c r="G24" s="12">
        <v>158</v>
      </c>
      <c r="H24" s="12">
        <v>208</v>
      </c>
      <c r="I24" s="12">
        <v>254</v>
      </c>
      <c r="J24" s="12">
        <v>46</v>
      </c>
      <c r="K24" s="12">
        <v>256</v>
      </c>
      <c r="L24" s="12">
        <v>198</v>
      </c>
      <c r="M24" s="12">
        <v>177</v>
      </c>
      <c r="N24" s="12">
        <v>151</v>
      </c>
      <c r="O24" s="12">
        <v>173</v>
      </c>
      <c r="P24" s="12">
        <v>143</v>
      </c>
      <c r="Q24" s="12">
        <v>129</v>
      </c>
      <c r="R24" s="12">
        <v>105</v>
      </c>
      <c r="S24" s="12">
        <v>202</v>
      </c>
      <c r="T24" s="12">
        <v>217</v>
      </c>
      <c r="U24" s="12">
        <v>121</v>
      </c>
      <c r="V24" s="12">
        <v>226</v>
      </c>
      <c r="W24" s="12">
        <v>63</v>
      </c>
      <c r="X24" s="12">
        <v>241</v>
      </c>
      <c r="Y24" s="12">
        <v>206</v>
      </c>
      <c r="Z24" s="12">
        <v>128</v>
      </c>
      <c r="AA24" s="12">
        <v>95</v>
      </c>
      <c r="AB24" s="12">
        <v>120</v>
      </c>
      <c r="AC24" s="12">
        <v>185</v>
      </c>
      <c r="AD24" s="12">
        <v>228</v>
      </c>
      <c r="AE24" s="12">
        <v>247</v>
      </c>
      <c r="AF24" s="12">
        <v>286</v>
      </c>
    </row>
    <row r="25" spans="1:32">
      <c r="A25" s="23"/>
      <c r="B25" s="13" t="s">
        <v>1030</v>
      </c>
      <c r="C25" s="14">
        <v>0.35</v>
      </c>
      <c r="D25" s="14">
        <v>0.42</v>
      </c>
      <c r="E25" s="14">
        <v>0.3</v>
      </c>
      <c r="F25" s="14">
        <v>0.33</v>
      </c>
      <c r="G25" s="14">
        <v>0.34</v>
      </c>
      <c r="H25" s="14">
        <v>0.38</v>
      </c>
      <c r="I25" s="14">
        <v>0.38</v>
      </c>
      <c r="J25" s="14">
        <v>0.34</v>
      </c>
      <c r="K25" s="14">
        <v>0.49</v>
      </c>
      <c r="L25" s="14">
        <v>0.32</v>
      </c>
      <c r="M25" s="14">
        <v>0.37</v>
      </c>
      <c r="N25" s="14">
        <v>0.31</v>
      </c>
      <c r="O25" s="14">
        <v>0.39</v>
      </c>
      <c r="P25" s="14">
        <v>0.28000000000000003</v>
      </c>
      <c r="Q25" s="14">
        <v>0.26</v>
      </c>
      <c r="R25" s="14">
        <v>0.47</v>
      </c>
      <c r="S25" s="14">
        <v>0.43</v>
      </c>
      <c r="T25" s="14">
        <v>0.45</v>
      </c>
      <c r="U25" s="14">
        <v>0.43</v>
      </c>
      <c r="V25" s="14">
        <v>0.48</v>
      </c>
      <c r="W25" s="14">
        <v>0.23</v>
      </c>
      <c r="X25" s="14">
        <v>0.46</v>
      </c>
      <c r="Y25" s="14">
        <v>0.42</v>
      </c>
      <c r="Z25" s="14">
        <v>0.27</v>
      </c>
      <c r="AA25" s="14">
        <v>0.23</v>
      </c>
      <c r="AB25" s="14">
        <v>0.26</v>
      </c>
      <c r="AC25" s="14">
        <v>0.36</v>
      </c>
      <c r="AD25" s="14">
        <v>0.44</v>
      </c>
      <c r="AE25" s="14">
        <v>0.46</v>
      </c>
      <c r="AF25" s="14">
        <v>0.49</v>
      </c>
    </row>
    <row r="26" spans="1:32">
      <c r="A26" s="23"/>
      <c r="B26" s="11" t="s">
        <v>497</v>
      </c>
      <c r="C26" s="12">
        <v>582</v>
      </c>
      <c r="D26" s="12">
        <v>17</v>
      </c>
      <c r="E26" s="12">
        <v>6</v>
      </c>
      <c r="F26" s="12">
        <v>8</v>
      </c>
      <c r="G26" s="12">
        <v>27</v>
      </c>
      <c r="H26" s="12">
        <v>13</v>
      </c>
      <c r="I26" s="12">
        <v>15</v>
      </c>
      <c r="J26" s="12">
        <v>2</v>
      </c>
      <c r="K26" s="12">
        <v>39</v>
      </c>
      <c r="L26" s="12">
        <v>10</v>
      </c>
      <c r="M26" s="12">
        <v>2</v>
      </c>
      <c r="N26" s="12">
        <v>49</v>
      </c>
      <c r="O26" s="12">
        <v>46</v>
      </c>
      <c r="P26" s="12">
        <v>3</v>
      </c>
      <c r="Q26" s="12">
        <v>3</v>
      </c>
      <c r="R26" s="12">
        <v>14</v>
      </c>
      <c r="S26" s="12">
        <v>64</v>
      </c>
      <c r="T26" s="12">
        <v>10</v>
      </c>
      <c r="U26" s="12">
        <v>22</v>
      </c>
      <c r="V26" s="12">
        <v>11</v>
      </c>
      <c r="W26" s="12">
        <v>15</v>
      </c>
      <c r="X26" s="12">
        <v>44</v>
      </c>
      <c r="Y26" s="12">
        <v>25</v>
      </c>
      <c r="Z26" s="12">
        <v>11</v>
      </c>
      <c r="AA26" s="12">
        <v>16</v>
      </c>
      <c r="AB26" s="12">
        <v>10</v>
      </c>
      <c r="AC26" s="12">
        <v>38</v>
      </c>
      <c r="AD26" s="12">
        <v>10</v>
      </c>
      <c r="AE26" s="12">
        <v>54</v>
      </c>
      <c r="AF26" s="12">
        <v>35</v>
      </c>
    </row>
    <row r="27" spans="1:32">
      <c r="A27" s="23"/>
      <c r="B27" s="13" t="s">
        <v>498</v>
      </c>
      <c r="C27" s="14">
        <v>0.04</v>
      </c>
      <c r="D27" s="14">
        <v>0.03</v>
      </c>
      <c r="E27" s="14">
        <v>0.01</v>
      </c>
      <c r="F27" s="14">
        <v>0.02</v>
      </c>
      <c r="G27" s="14">
        <v>0.05</v>
      </c>
      <c r="H27" s="14">
        <v>0.02</v>
      </c>
      <c r="I27" s="14">
        <v>0.02</v>
      </c>
      <c r="J27" s="14">
        <v>0.01</v>
      </c>
      <c r="K27" s="14">
        <v>0.06</v>
      </c>
      <c r="L27" s="14">
        <v>0.01</v>
      </c>
      <c r="M27" s="14">
        <v>0.01</v>
      </c>
      <c r="N27" s="14">
        <v>0.08</v>
      </c>
      <c r="O27" s="14">
        <v>0.09</v>
      </c>
      <c r="P27" s="14">
        <v>0.01</v>
      </c>
      <c r="Q27" s="15" t="s">
        <v>485</v>
      </c>
      <c r="R27" s="14">
        <v>0.05</v>
      </c>
      <c r="S27" s="14">
        <v>0.1</v>
      </c>
      <c r="T27" s="14">
        <v>0.02</v>
      </c>
      <c r="U27" s="14">
        <v>7.0000000000000007E-2</v>
      </c>
      <c r="V27" s="14">
        <v>0.02</v>
      </c>
      <c r="W27" s="14">
        <v>0.05</v>
      </c>
      <c r="X27" s="14">
        <v>0.06</v>
      </c>
      <c r="Y27" s="14">
        <v>0.04</v>
      </c>
      <c r="Z27" s="14">
        <v>0.02</v>
      </c>
      <c r="AA27" s="14">
        <v>0.03</v>
      </c>
      <c r="AB27" s="14">
        <v>0.02</v>
      </c>
      <c r="AC27" s="14">
        <v>0.06</v>
      </c>
      <c r="AD27" s="14">
        <v>0.02</v>
      </c>
      <c r="AE27" s="14">
        <v>0.08</v>
      </c>
      <c r="AF27" s="14">
        <v>0.05</v>
      </c>
    </row>
  </sheetData>
  <mergeCells count="9">
    <mergeCell ref="H3:L3"/>
    <mergeCell ref="C8:AF8"/>
    <mergeCell ref="B3:F3"/>
    <mergeCell ref="B5:F5"/>
    <mergeCell ref="A10:A27"/>
    <mergeCell ref="B10:B11"/>
    <mergeCell ref="H4:L4"/>
    <mergeCell ref="B4:F4"/>
    <mergeCell ref="H5:L5"/>
  </mergeCells>
  <pageMargins left="0.75" right="0.75" top="1" bottom="1" header="0.5" footer="0.5"/>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AF27"/>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36" customHeight="1">
      <c r="B3" s="19" t="s">
        <v>147</v>
      </c>
      <c r="C3" s="19"/>
      <c r="D3" s="19"/>
      <c r="E3" s="19"/>
      <c r="F3" s="19"/>
      <c r="H3" s="19" t="s">
        <v>148</v>
      </c>
      <c r="I3" s="19"/>
      <c r="J3" s="19"/>
      <c r="K3" s="19"/>
      <c r="L3" s="19"/>
    </row>
    <row r="4" spans="1:32" ht="27" customHeight="1">
      <c r="B4" s="19"/>
      <c r="C4" s="19"/>
      <c r="D4" s="19"/>
      <c r="E4" s="19"/>
      <c r="F4" s="19"/>
      <c r="H4" s="19"/>
      <c r="I4" s="19"/>
      <c r="J4" s="19"/>
      <c r="K4" s="19"/>
      <c r="L4" s="19"/>
    </row>
    <row r="5" spans="1:32" ht="12" customHeight="1">
      <c r="B5" s="19" t="s">
        <v>1015</v>
      </c>
      <c r="C5" s="19"/>
      <c r="D5" s="19"/>
      <c r="E5" s="19"/>
      <c r="F5" s="19"/>
      <c r="H5" s="19" t="s">
        <v>1016</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HYPERLINK("#Content!A75","&lt;&lt;Back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14890</v>
      </c>
      <c r="D10" s="10">
        <v>675</v>
      </c>
      <c r="E10" s="10">
        <v>484</v>
      </c>
      <c r="F10" s="10">
        <v>508</v>
      </c>
      <c r="G10" s="10">
        <v>591</v>
      </c>
      <c r="H10" s="10">
        <v>627</v>
      </c>
      <c r="I10" s="10">
        <v>783</v>
      </c>
      <c r="J10" s="10">
        <v>156</v>
      </c>
      <c r="K10" s="10">
        <v>690</v>
      </c>
      <c r="L10" s="10">
        <v>696</v>
      </c>
      <c r="M10" s="10">
        <v>501</v>
      </c>
      <c r="N10" s="10">
        <v>602</v>
      </c>
      <c r="O10" s="10">
        <v>556</v>
      </c>
      <c r="P10" s="10">
        <v>586</v>
      </c>
      <c r="Q10" s="10">
        <v>558</v>
      </c>
      <c r="R10" s="10">
        <v>270</v>
      </c>
      <c r="S10" s="10">
        <v>611</v>
      </c>
      <c r="T10" s="10">
        <v>590</v>
      </c>
      <c r="U10" s="10">
        <v>346</v>
      </c>
      <c r="V10" s="10">
        <v>566</v>
      </c>
      <c r="W10" s="10">
        <v>318</v>
      </c>
      <c r="X10" s="10">
        <v>700</v>
      </c>
      <c r="Y10" s="10">
        <v>605</v>
      </c>
      <c r="Z10" s="10">
        <v>608</v>
      </c>
      <c r="AA10" s="10">
        <v>458</v>
      </c>
      <c r="AB10" s="10">
        <v>520</v>
      </c>
      <c r="AC10" s="10">
        <v>669</v>
      </c>
      <c r="AD10" s="10">
        <v>586</v>
      </c>
      <c r="AE10" s="10">
        <v>723</v>
      </c>
      <c r="AF10" s="10">
        <v>742</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1017</v>
      </c>
      <c r="C12" s="12">
        <v>6774</v>
      </c>
      <c r="D12" s="12">
        <v>315</v>
      </c>
      <c r="E12" s="12">
        <v>256</v>
      </c>
      <c r="F12" s="12">
        <v>276</v>
      </c>
      <c r="G12" s="12">
        <v>308</v>
      </c>
      <c r="H12" s="12">
        <v>351</v>
      </c>
      <c r="I12" s="12">
        <v>440</v>
      </c>
      <c r="J12" s="12">
        <v>88</v>
      </c>
      <c r="K12" s="12">
        <v>345</v>
      </c>
      <c r="L12" s="12">
        <v>353</v>
      </c>
      <c r="M12" s="12">
        <v>317</v>
      </c>
      <c r="N12" s="12">
        <v>233</v>
      </c>
      <c r="O12" s="12">
        <v>229</v>
      </c>
      <c r="P12" s="12">
        <v>206</v>
      </c>
      <c r="Q12" s="12">
        <v>277</v>
      </c>
      <c r="R12" s="12">
        <v>125</v>
      </c>
      <c r="S12" s="12">
        <v>241</v>
      </c>
      <c r="T12" s="12">
        <v>262</v>
      </c>
      <c r="U12" s="12">
        <v>116</v>
      </c>
      <c r="V12" s="12">
        <v>234</v>
      </c>
      <c r="W12" s="12">
        <v>155</v>
      </c>
      <c r="X12" s="12">
        <v>281</v>
      </c>
      <c r="Y12" s="12">
        <v>289</v>
      </c>
      <c r="Z12" s="12">
        <v>195</v>
      </c>
      <c r="AA12" s="12">
        <v>202</v>
      </c>
      <c r="AB12" s="12">
        <v>194</v>
      </c>
      <c r="AC12" s="12">
        <v>293</v>
      </c>
      <c r="AD12" s="12">
        <v>318</v>
      </c>
      <c r="AE12" s="12">
        <v>320</v>
      </c>
      <c r="AF12" s="12">
        <v>331</v>
      </c>
    </row>
    <row r="13" spans="1:32">
      <c r="A13" s="23"/>
      <c r="B13" s="13" t="s">
        <v>1018</v>
      </c>
      <c r="C13" s="14">
        <v>0.45</v>
      </c>
      <c r="D13" s="14">
        <v>0.47</v>
      </c>
      <c r="E13" s="14">
        <v>0.53</v>
      </c>
      <c r="F13" s="14">
        <v>0.54</v>
      </c>
      <c r="G13" s="14">
        <v>0.52</v>
      </c>
      <c r="H13" s="14">
        <v>0.56000000000000005</v>
      </c>
      <c r="I13" s="14">
        <v>0.56000000000000005</v>
      </c>
      <c r="J13" s="14">
        <v>0.57000000000000006</v>
      </c>
      <c r="K13" s="14">
        <v>0.5</v>
      </c>
      <c r="L13" s="14">
        <v>0.51</v>
      </c>
      <c r="M13" s="14">
        <v>0.63</v>
      </c>
      <c r="N13" s="14">
        <v>0.39</v>
      </c>
      <c r="O13" s="14">
        <v>0.41</v>
      </c>
      <c r="P13" s="14">
        <v>0.35</v>
      </c>
      <c r="Q13" s="14">
        <v>0.5</v>
      </c>
      <c r="R13" s="14">
        <v>0.46</v>
      </c>
      <c r="S13" s="14">
        <v>0.39</v>
      </c>
      <c r="T13" s="14">
        <v>0.44</v>
      </c>
      <c r="U13" s="14">
        <v>0.34</v>
      </c>
      <c r="V13" s="14">
        <v>0.41</v>
      </c>
      <c r="W13" s="14">
        <v>0.49</v>
      </c>
      <c r="X13" s="14">
        <v>0.4</v>
      </c>
      <c r="Y13" s="14">
        <v>0.48</v>
      </c>
      <c r="Z13" s="14">
        <v>0.32</v>
      </c>
      <c r="AA13" s="14">
        <v>0.44</v>
      </c>
      <c r="AB13" s="14">
        <v>0.37</v>
      </c>
      <c r="AC13" s="14">
        <v>0.44</v>
      </c>
      <c r="AD13" s="14">
        <v>0.54</v>
      </c>
      <c r="AE13" s="14">
        <v>0.44</v>
      </c>
      <c r="AF13" s="14">
        <v>0.45</v>
      </c>
    </row>
    <row r="14" spans="1:32" ht="34.5">
      <c r="A14" s="23"/>
      <c r="B14" s="11" t="s">
        <v>1019</v>
      </c>
      <c r="C14" s="12">
        <v>4627</v>
      </c>
      <c r="D14" s="12">
        <v>157</v>
      </c>
      <c r="E14" s="12">
        <v>165</v>
      </c>
      <c r="F14" s="12">
        <v>86</v>
      </c>
      <c r="G14" s="12">
        <v>189</v>
      </c>
      <c r="H14" s="12">
        <v>217</v>
      </c>
      <c r="I14" s="12">
        <v>271</v>
      </c>
      <c r="J14" s="12">
        <v>54</v>
      </c>
      <c r="K14" s="12">
        <v>91</v>
      </c>
      <c r="L14" s="12">
        <v>222</v>
      </c>
      <c r="M14" s="12">
        <v>231</v>
      </c>
      <c r="N14" s="12">
        <v>154</v>
      </c>
      <c r="O14" s="12">
        <v>139</v>
      </c>
      <c r="P14" s="12">
        <v>203</v>
      </c>
      <c r="Q14" s="12">
        <v>246</v>
      </c>
      <c r="R14" s="12">
        <v>91</v>
      </c>
      <c r="S14" s="12">
        <v>72</v>
      </c>
      <c r="T14" s="12">
        <v>105</v>
      </c>
      <c r="U14" s="12">
        <v>80</v>
      </c>
      <c r="V14" s="12">
        <v>153</v>
      </c>
      <c r="W14" s="12">
        <v>89</v>
      </c>
      <c r="X14" s="12">
        <v>177</v>
      </c>
      <c r="Y14" s="12">
        <v>246</v>
      </c>
      <c r="Z14" s="12">
        <v>134</v>
      </c>
      <c r="AA14" s="12">
        <v>155</v>
      </c>
      <c r="AB14" s="12">
        <v>214</v>
      </c>
      <c r="AC14" s="12">
        <v>163</v>
      </c>
      <c r="AD14" s="12">
        <v>194</v>
      </c>
      <c r="AE14" s="12">
        <v>186</v>
      </c>
      <c r="AF14" s="12">
        <v>275</v>
      </c>
    </row>
    <row r="15" spans="1:32" ht="23.25">
      <c r="A15" s="23"/>
      <c r="B15" s="13" t="s">
        <v>1020</v>
      </c>
      <c r="C15" s="14">
        <v>0.31</v>
      </c>
      <c r="D15" s="14">
        <v>0.23</v>
      </c>
      <c r="E15" s="14">
        <v>0.34</v>
      </c>
      <c r="F15" s="14">
        <v>0.17</v>
      </c>
      <c r="G15" s="14">
        <v>0.32</v>
      </c>
      <c r="H15" s="14">
        <v>0.35</v>
      </c>
      <c r="I15" s="14">
        <v>0.35</v>
      </c>
      <c r="J15" s="14">
        <v>0.35</v>
      </c>
      <c r="K15" s="14">
        <v>0.13</v>
      </c>
      <c r="L15" s="14">
        <v>0.32</v>
      </c>
      <c r="M15" s="14">
        <v>0.46</v>
      </c>
      <c r="N15" s="14">
        <v>0.26</v>
      </c>
      <c r="O15" s="14">
        <v>0.25</v>
      </c>
      <c r="P15" s="14">
        <v>0.35</v>
      </c>
      <c r="Q15" s="14">
        <v>0.44</v>
      </c>
      <c r="R15" s="14">
        <v>0.34</v>
      </c>
      <c r="S15" s="14">
        <v>0.12</v>
      </c>
      <c r="T15" s="14">
        <v>0.18</v>
      </c>
      <c r="U15" s="14">
        <v>0.23</v>
      </c>
      <c r="V15" s="14">
        <v>0.27</v>
      </c>
      <c r="W15" s="14">
        <v>0.28000000000000003</v>
      </c>
      <c r="X15" s="14">
        <v>0.25</v>
      </c>
      <c r="Y15" s="14">
        <v>0.41</v>
      </c>
      <c r="Z15" s="14">
        <v>0.22</v>
      </c>
      <c r="AA15" s="14">
        <v>0.34</v>
      </c>
      <c r="AB15" s="14">
        <v>0.41</v>
      </c>
      <c r="AC15" s="14">
        <v>0.24</v>
      </c>
      <c r="AD15" s="14">
        <v>0.33</v>
      </c>
      <c r="AE15" s="14">
        <v>0.26</v>
      </c>
      <c r="AF15" s="14">
        <v>0.37</v>
      </c>
    </row>
    <row r="16" spans="1:32" ht="23.25">
      <c r="A16" s="23"/>
      <c r="B16" s="11" t="s">
        <v>1021</v>
      </c>
      <c r="C16" s="12">
        <v>3793</v>
      </c>
      <c r="D16" s="12">
        <v>127</v>
      </c>
      <c r="E16" s="12">
        <v>135</v>
      </c>
      <c r="F16" s="12">
        <v>113</v>
      </c>
      <c r="G16" s="12">
        <v>231</v>
      </c>
      <c r="H16" s="12">
        <v>174</v>
      </c>
      <c r="I16" s="12">
        <v>222</v>
      </c>
      <c r="J16" s="12">
        <v>48</v>
      </c>
      <c r="K16" s="12">
        <v>182</v>
      </c>
      <c r="L16" s="12">
        <v>258</v>
      </c>
      <c r="M16" s="12">
        <v>91</v>
      </c>
      <c r="N16" s="12">
        <v>116</v>
      </c>
      <c r="O16" s="12">
        <v>91</v>
      </c>
      <c r="P16" s="12">
        <v>150</v>
      </c>
      <c r="Q16" s="12">
        <v>149</v>
      </c>
      <c r="R16" s="12">
        <v>69</v>
      </c>
      <c r="S16" s="12">
        <v>121</v>
      </c>
      <c r="T16" s="12">
        <v>154</v>
      </c>
      <c r="U16" s="12">
        <v>93</v>
      </c>
      <c r="V16" s="12">
        <v>135</v>
      </c>
      <c r="W16" s="12">
        <v>140</v>
      </c>
      <c r="X16" s="12">
        <v>272</v>
      </c>
      <c r="Y16" s="12">
        <v>225</v>
      </c>
      <c r="Z16" s="12">
        <v>151</v>
      </c>
      <c r="AA16" s="12">
        <v>130</v>
      </c>
      <c r="AB16" s="12">
        <v>152</v>
      </c>
      <c r="AC16" s="12">
        <v>125</v>
      </c>
      <c r="AD16" s="12">
        <v>149</v>
      </c>
      <c r="AE16" s="12">
        <v>214</v>
      </c>
      <c r="AF16" s="12">
        <v>286</v>
      </c>
    </row>
    <row r="17" spans="1:32">
      <c r="A17" s="23"/>
      <c r="B17" s="13" t="s">
        <v>1022</v>
      </c>
      <c r="C17" s="14">
        <v>0.25</v>
      </c>
      <c r="D17" s="14">
        <v>0.19</v>
      </c>
      <c r="E17" s="14">
        <v>0.28000000000000003</v>
      </c>
      <c r="F17" s="14">
        <v>0.22</v>
      </c>
      <c r="G17" s="14">
        <v>0.39</v>
      </c>
      <c r="H17" s="14">
        <v>0.28000000000000003</v>
      </c>
      <c r="I17" s="14">
        <v>0.28000000000000003</v>
      </c>
      <c r="J17" s="14">
        <v>0.31</v>
      </c>
      <c r="K17" s="14">
        <v>0.26</v>
      </c>
      <c r="L17" s="14">
        <v>0.37</v>
      </c>
      <c r="M17" s="14">
        <v>0.18</v>
      </c>
      <c r="N17" s="14">
        <v>0.19</v>
      </c>
      <c r="O17" s="14">
        <v>0.16</v>
      </c>
      <c r="P17" s="14">
        <v>0.26</v>
      </c>
      <c r="Q17" s="14">
        <v>0.27</v>
      </c>
      <c r="R17" s="14">
        <v>0.25</v>
      </c>
      <c r="S17" s="14">
        <v>0.2</v>
      </c>
      <c r="T17" s="14">
        <v>0.26</v>
      </c>
      <c r="U17" s="14">
        <v>0.27</v>
      </c>
      <c r="V17" s="14">
        <v>0.24</v>
      </c>
      <c r="W17" s="14">
        <v>0.44</v>
      </c>
      <c r="X17" s="14">
        <v>0.39</v>
      </c>
      <c r="Y17" s="14">
        <v>0.37</v>
      </c>
      <c r="Z17" s="14">
        <v>0.25</v>
      </c>
      <c r="AA17" s="14">
        <v>0.28000000000000003</v>
      </c>
      <c r="AB17" s="14">
        <v>0.28999999999999998</v>
      </c>
      <c r="AC17" s="14">
        <v>0.19</v>
      </c>
      <c r="AD17" s="14">
        <v>0.25</v>
      </c>
      <c r="AE17" s="14">
        <v>0.3</v>
      </c>
      <c r="AF17" s="14">
        <v>0.39</v>
      </c>
    </row>
    <row r="18" spans="1:32" ht="23.25">
      <c r="A18" s="23"/>
      <c r="B18" s="11" t="s">
        <v>1023</v>
      </c>
      <c r="C18" s="12">
        <v>4570</v>
      </c>
      <c r="D18" s="12">
        <v>255</v>
      </c>
      <c r="E18" s="12">
        <v>190</v>
      </c>
      <c r="F18" s="12">
        <v>167</v>
      </c>
      <c r="G18" s="12">
        <v>149</v>
      </c>
      <c r="H18" s="12">
        <v>130</v>
      </c>
      <c r="I18" s="12">
        <v>172</v>
      </c>
      <c r="J18" s="12">
        <v>42</v>
      </c>
      <c r="K18" s="12">
        <v>224</v>
      </c>
      <c r="L18" s="12">
        <v>278</v>
      </c>
      <c r="M18" s="12">
        <v>273</v>
      </c>
      <c r="N18" s="12">
        <v>175</v>
      </c>
      <c r="O18" s="12">
        <v>145</v>
      </c>
      <c r="P18" s="12">
        <v>261</v>
      </c>
      <c r="Q18" s="12">
        <v>222</v>
      </c>
      <c r="R18" s="12">
        <v>116</v>
      </c>
      <c r="S18" s="12">
        <v>157</v>
      </c>
      <c r="T18" s="12">
        <v>234</v>
      </c>
      <c r="U18" s="12">
        <v>99</v>
      </c>
      <c r="V18" s="12">
        <v>165</v>
      </c>
      <c r="W18" s="12">
        <v>107</v>
      </c>
      <c r="X18" s="12">
        <v>103</v>
      </c>
      <c r="Y18" s="12">
        <v>208</v>
      </c>
      <c r="Z18" s="12">
        <v>217</v>
      </c>
      <c r="AA18" s="12">
        <v>218</v>
      </c>
      <c r="AB18" s="12">
        <v>164</v>
      </c>
      <c r="AC18" s="12">
        <v>181</v>
      </c>
      <c r="AD18" s="12">
        <v>221</v>
      </c>
      <c r="AE18" s="12">
        <v>214</v>
      </c>
      <c r="AF18" s="12">
        <v>223</v>
      </c>
    </row>
    <row r="19" spans="1:32" ht="23.25">
      <c r="A19" s="23"/>
      <c r="B19" s="13" t="s">
        <v>1024</v>
      </c>
      <c r="C19" s="14">
        <v>0.31</v>
      </c>
      <c r="D19" s="14">
        <v>0.38</v>
      </c>
      <c r="E19" s="14">
        <v>0.39</v>
      </c>
      <c r="F19" s="14">
        <v>0.33</v>
      </c>
      <c r="G19" s="14">
        <v>0.25</v>
      </c>
      <c r="H19" s="14">
        <v>0.21</v>
      </c>
      <c r="I19" s="14">
        <v>0.22</v>
      </c>
      <c r="J19" s="14">
        <v>0.27</v>
      </c>
      <c r="K19" s="14">
        <v>0.32</v>
      </c>
      <c r="L19" s="14">
        <v>0.4</v>
      </c>
      <c r="M19" s="14">
        <v>0.54</v>
      </c>
      <c r="N19" s="14">
        <v>0.28999999999999998</v>
      </c>
      <c r="O19" s="14">
        <v>0.26</v>
      </c>
      <c r="P19" s="14">
        <v>0.45</v>
      </c>
      <c r="Q19" s="14">
        <v>0.4</v>
      </c>
      <c r="R19" s="14">
        <v>0.43</v>
      </c>
      <c r="S19" s="14">
        <v>0.26</v>
      </c>
      <c r="T19" s="14">
        <v>0.4</v>
      </c>
      <c r="U19" s="14">
        <v>0.28999999999999998</v>
      </c>
      <c r="V19" s="14">
        <v>0.28999999999999998</v>
      </c>
      <c r="W19" s="14">
        <v>0.34</v>
      </c>
      <c r="X19" s="14">
        <v>0.15</v>
      </c>
      <c r="Y19" s="14">
        <v>0.34</v>
      </c>
      <c r="Z19" s="14">
        <v>0.36</v>
      </c>
      <c r="AA19" s="14">
        <v>0.48</v>
      </c>
      <c r="AB19" s="14">
        <v>0.32</v>
      </c>
      <c r="AC19" s="14">
        <v>0.27</v>
      </c>
      <c r="AD19" s="14">
        <v>0.38</v>
      </c>
      <c r="AE19" s="14">
        <v>0.3</v>
      </c>
      <c r="AF19" s="14">
        <v>0.3</v>
      </c>
    </row>
    <row r="20" spans="1:32" ht="23.25">
      <c r="A20" s="23"/>
      <c r="B20" s="11" t="s">
        <v>1025</v>
      </c>
      <c r="C20" s="12">
        <v>4359</v>
      </c>
      <c r="D20" s="12">
        <v>186</v>
      </c>
      <c r="E20" s="12">
        <v>204</v>
      </c>
      <c r="F20" s="12">
        <v>117</v>
      </c>
      <c r="G20" s="12">
        <v>118</v>
      </c>
      <c r="H20" s="12">
        <v>133</v>
      </c>
      <c r="I20" s="12">
        <v>178</v>
      </c>
      <c r="J20" s="12">
        <v>45</v>
      </c>
      <c r="K20" s="12">
        <v>279</v>
      </c>
      <c r="L20" s="12">
        <v>186</v>
      </c>
      <c r="M20" s="12">
        <v>178</v>
      </c>
      <c r="N20" s="12">
        <v>178</v>
      </c>
      <c r="O20" s="12">
        <v>153</v>
      </c>
      <c r="P20" s="12">
        <v>242</v>
      </c>
      <c r="Q20" s="12">
        <v>192</v>
      </c>
      <c r="R20" s="12">
        <v>93</v>
      </c>
      <c r="S20" s="12">
        <v>190</v>
      </c>
      <c r="T20" s="12">
        <v>262</v>
      </c>
      <c r="U20" s="12">
        <v>113</v>
      </c>
      <c r="V20" s="12">
        <v>193</v>
      </c>
      <c r="W20" s="12">
        <v>104</v>
      </c>
      <c r="X20" s="12">
        <v>136</v>
      </c>
      <c r="Y20" s="12">
        <v>219</v>
      </c>
      <c r="Z20" s="12">
        <v>204</v>
      </c>
      <c r="AA20" s="12">
        <v>193</v>
      </c>
      <c r="AB20" s="12">
        <v>188</v>
      </c>
      <c r="AC20" s="12">
        <v>223</v>
      </c>
      <c r="AD20" s="12">
        <v>180</v>
      </c>
      <c r="AE20" s="12">
        <v>157</v>
      </c>
      <c r="AF20" s="12">
        <v>187</v>
      </c>
    </row>
    <row r="21" spans="1:32">
      <c r="A21" s="23"/>
      <c r="B21" s="13" t="s">
        <v>1026</v>
      </c>
      <c r="C21" s="14">
        <v>0.28999999999999998</v>
      </c>
      <c r="D21" s="14">
        <v>0.28000000000000003</v>
      </c>
      <c r="E21" s="14">
        <v>0.42</v>
      </c>
      <c r="F21" s="14">
        <v>0.23</v>
      </c>
      <c r="G21" s="14">
        <v>0.2</v>
      </c>
      <c r="H21" s="14">
        <v>0.21</v>
      </c>
      <c r="I21" s="14">
        <v>0.23</v>
      </c>
      <c r="J21" s="14">
        <v>0.28999999999999998</v>
      </c>
      <c r="K21" s="14">
        <v>0.4</v>
      </c>
      <c r="L21" s="14">
        <v>0.27</v>
      </c>
      <c r="M21" s="14">
        <v>0.36</v>
      </c>
      <c r="N21" s="14">
        <v>0.3</v>
      </c>
      <c r="O21" s="14">
        <v>0.28000000000000003</v>
      </c>
      <c r="P21" s="14">
        <v>0.41</v>
      </c>
      <c r="Q21" s="14">
        <v>0.34</v>
      </c>
      <c r="R21" s="14">
        <v>0.35</v>
      </c>
      <c r="S21" s="14">
        <v>0.31</v>
      </c>
      <c r="T21" s="14">
        <v>0.44</v>
      </c>
      <c r="U21" s="14">
        <v>0.33</v>
      </c>
      <c r="V21" s="14">
        <v>0.34</v>
      </c>
      <c r="W21" s="14">
        <v>0.33</v>
      </c>
      <c r="X21" s="14">
        <v>0.19</v>
      </c>
      <c r="Y21" s="14">
        <v>0.36</v>
      </c>
      <c r="Z21" s="14">
        <v>0.34</v>
      </c>
      <c r="AA21" s="14">
        <v>0.42</v>
      </c>
      <c r="AB21" s="14">
        <v>0.36</v>
      </c>
      <c r="AC21" s="14">
        <v>0.33</v>
      </c>
      <c r="AD21" s="14">
        <v>0.31</v>
      </c>
      <c r="AE21" s="14">
        <v>0.22</v>
      </c>
      <c r="AF21" s="14">
        <v>0.25</v>
      </c>
    </row>
    <row r="22" spans="1:32" ht="34.5">
      <c r="A22" s="23"/>
      <c r="B22" s="11" t="s">
        <v>1027</v>
      </c>
      <c r="C22" s="12">
        <v>7846</v>
      </c>
      <c r="D22" s="12">
        <v>348</v>
      </c>
      <c r="E22" s="12">
        <v>329</v>
      </c>
      <c r="F22" s="12">
        <v>332</v>
      </c>
      <c r="G22" s="12">
        <v>293</v>
      </c>
      <c r="H22" s="12">
        <v>316</v>
      </c>
      <c r="I22" s="12">
        <v>404</v>
      </c>
      <c r="J22" s="12">
        <v>88</v>
      </c>
      <c r="K22" s="12">
        <v>468</v>
      </c>
      <c r="L22" s="12">
        <v>359</v>
      </c>
      <c r="M22" s="12">
        <v>364</v>
      </c>
      <c r="N22" s="12">
        <v>288</v>
      </c>
      <c r="O22" s="12">
        <v>278</v>
      </c>
      <c r="P22" s="12">
        <v>392</v>
      </c>
      <c r="Q22" s="12">
        <v>320</v>
      </c>
      <c r="R22" s="12">
        <v>126</v>
      </c>
      <c r="S22" s="12">
        <v>305</v>
      </c>
      <c r="T22" s="12">
        <v>389</v>
      </c>
      <c r="U22" s="12">
        <v>130</v>
      </c>
      <c r="V22" s="12">
        <v>338</v>
      </c>
      <c r="W22" s="12">
        <v>128</v>
      </c>
      <c r="X22" s="12">
        <v>387</v>
      </c>
      <c r="Y22" s="12">
        <v>323</v>
      </c>
      <c r="Z22" s="12">
        <v>280</v>
      </c>
      <c r="AA22" s="12">
        <v>228</v>
      </c>
      <c r="AB22" s="12">
        <v>266</v>
      </c>
      <c r="AC22" s="12">
        <v>273</v>
      </c>
      <c r="AD22" s="12">
        <v>390</v>
      </c>
      <c r="AE22" s="12">
        <v>371</v>
      </c>
      <c r="AF22" s="12">
        <v>352</v>
      </c>
    </row>
    <row r="23" spans="1:32" ht="23.25">
      <c r="A23" s="23"/>
      <c r="B23" s="13" t="s">
        <v>1028</v>
      </c>
      <c r="C23" s="14">
        <v>0.53</v>
      </c>
      <c r="D23" s="14">
        <v>0.51</v>
      </c>
      <c r="E23" s="14">
        <v>0.68</v>
      </c>
      <c r="F23" s="14">
        <v>0.65</v>
      </c>
      <c r="G23" s="14">
        <v>0.5</v>
      </c>
      <c r="H23" s="14">
        <v>0.5</v>
      </c>
      <c r="I23" s="14">
        <v>0.52</v>
      </c>
      <c r="J23" s="14">
        <v>0.56000000000000005</v>
      </c>
      <c r="K23" s="14">
        <v>0.68</v>
      </c>
      <c r="L23" s="14">
        <v>0.52</v>
      </c>
      <c r="M23" s="14">
        <v>0.73</v>
      </c>
      <c r="N23" s="14">
        <v>0.48</v>
      </c>
      <c r="O23" s="14">
        <v>0.5</v>
      </c>
      <c r="P23" s="14">
        <v>0.67</v>
      </c>
      <c r="Q23" s="14">
        <v>0.57000000000000006</v>
      </c>
      <c r="R23" s="14">
        <v>0.47</v>
      </c>
      <c r="S23" s="14">
        <v>0.5</v>
      </c>
      <c r="T23" s="14">
        <v>0.66</v>
      </c>
      <c r="U23" s="14">
        <v>0.38</v>
      </c>
      <c r="V23" s="14">
        <v>0.6</v>
      </c>
      <c r="W23" s="14">
        <v>0.4</v>
      </c>
      <c r="X23" s="14">
        <v>0.55000000000000004</v>
      </c>
      <c r="Y23" s="14">
        <v>0.53</v>
      </c>
      <c r="Z23" s="14">
        <v>0.46</v>
      </c>
      <c r="AA23" s="14">
        <v>0.5</v>
      </c>
      <c r="AB23" s="14">
        <v>0.51</v>
      </c>
      <c r="AC23" s="14">
        <v>0.41</v>
      </c>
      <c r="AD23" s="14">
        <v>0.67</v>
      </c>
      <c r="AE23" s="14">
        <v>0.51</v>
      </c>
      <c r="AF23" s="14">
        <v>0.47</v>
      </c>
    </row>
    <row r="24" spans="1:32" ht="23.25">
      <c r="A24" s="23"/>
      <c r="B24" s="11" t="s">
        <v>1029</v>
      </c>
      <c r="C24" s="12">
        <v>6563</v>
      </c>
      <c r="D24" s="12">
        <v>374</v>
      </c>
      <c r="E24" s="12">
        <v>177</v>
      </c>
      <c r="F24" s="12">
        <v>199</v>
      </c>
      <c r="G24" s="12">
        <v>264</v>
      </c>
      <c r="H24" s="12">
        <v>279</v>
      </c>
      <c r="I24" s="12">
        <v>343</v>
      </c>
      <c r="J24" s="12">
        <v>65</v>
      </c>
      <c r="K24" s="12">
        <v>421</v>
      </c>
      <c r="L24" s="12">
        <v>272</v>
      </c>
      <c r="M24" s="12">
        <v>204</v>
      </c>
      <c r="N24" s="12">
        <v>252</v>
      </c>
      <c r="O24" s="12">
        <v>273</v>
      </c>
      <c r="P24" s="12">
        <v>213</v>
      </c>
      <c r="Q24" s="12">
        <v>187</v>
      </c>
      <c r="R24" s="12">
        <v>146</v>
      </c>
      <c r="S24" s="12">
        <v>342</v>
      </c>
      <c r="T24" s="12">
        <v>322</v>
      </c>
      <c r="U24" s="12">
        <v>173</v>
      </c>
      <c r="V24" s="12">
        <v>309</v>
      </c>
      <c r="W24" s="12">
        <v>106</v>
      </c>
      <c r="X24" s="12">
        <v>408</v>
      </c>
      <c r="Y24" s="12">
        <v>322</v>
      </c>
      <c r="Z24" s="12">
        <v>250</v>
      </c>
      <c r="AA24" s="12">
        <v>130</v>
      </c>
      <c r="AB24" s="12">
        <v>166</v>
      </c>
      <c r="AC24" s="12">
        <v>338</v>
      </c>
      <c r="AD24" s="12">
        <v>288</v>
      </c>
      <c r="AE24" s="12">
        <v>417</v>
      </c>
      <c r="AF24" s="12">
        <v>427</v>
      </c>
    </row>
    <row r="25" spans="1:32">
      <c r="A25" s="23"/>
      <c r="B25" s="13" t="s">
        <v>1030</v>
      </c>
      <c r="C25" s="14">
        <v>0.44</v>
      </c>
      <c r="D25" s="14">
        <v>0.55000000000000004</v>
      </c>
      <c r="E25" s="14">
        <v>0.37</v>
      </c>
      <c r="F25" s="14">
        <v>0.39</v>
      </c>
      <c r="G25" s="14">
        <v>0.45</v>
      </c>
      <c r="H25" s="14">
        <v>0.44</v>
      </c>
      <c r="I25" s="14">
        <v>0.44</v>
      </c>
      <c r="J25" s="14">
        <v>0.42</v>
      </c>
      <c r="K25" s="14">
        <v>0.61</v>
      </c>
      <c r="L25" s="14">
        <v>0.39</v>
      </c>
      <c r="M25" s="14">
        <v>0.41</v>
      </c>
      <c r="N25" s="14">
        <v>0.42</v>
      </c>
      <c r="O25" s="14">
        <v>0.49</v>
      </c>
      <c r="P25" s="14">
        <v>0.36</v>
      </c>
      <c r="Q25" s="14">
        <v>0.33</v>
      </c>
      <c r="R25" s="14">
        <v>0.54</v>
      </c>
      <c r="S25" s="14">
        <v>0.56000000000000005</v>
      </c>
      <c r="T25" s="14">
        <v>0.55000000000000004</v>
      </c>
      <c r="U25" s="14">
        <v>0.5</v>
      </c>
      <c r="V25" s="14">
        <v>0.55000000000000004</v>
      </c>
      <c r="W25" s="14">
        <v>0.33</v>
      </c>
      <c r="X25" s="14">
        <v>0.57999999999999996</v>
      </c>
      <c r="Y25" s="14">
        <v>0.53</v>
      </c>
      <c r="Z25" s="14">
        <v>0.41</v>
      </c>
      <c r="AA25" s="14">
        <v>0.28000000000000003</v>
      </c>
      <c r="AB25" s="14">
        <v>0.32</v>
      </c>
      <c r="AC25" s="14">
        <v>0.51</v>
      </c>
      <c r="AD25" s="14">
        <v>0.49</v>
      </c>
      <c r="AE25" s="14">
        <v>0.57999999999999996</v>
      </c>
      <c r="AF25" s="14">
        <v>0.57000000000000006</v>
      </c>
    </row>
    <row r="26" spans="1:32">
      <c r="A26" s="23"/>
      <c r="B26" s="11" t="s">
        <v>497</v>
      </c>
      <c r="C26" s="12">
        <v>240</v>
      </c>
      <c r="D26" s="12">
        <v>2</v>
      </c>
      <c r="E26" s="12">
        <v>2</v>
      </c>
      <c r="F26" s="12">
        <v>9</v>
      </c>
      <c r="G26" s="12">
        <v>16</v>
      </c>
      <c r="H26" s="12">
        <v>15</v>
      </c>
      <c r="I26" s="12">
        <v>17</v>
      </c>
      <c r="J26" s="12">
        <v>2</v>
      </c>
      <c r="K26" s="12">
        <v>8</v>
      </c>
      <c r="L26" s="12">
        <v>7</v>
      </c>
      <c r="M26" s="12">
        <v>0</v>
      </c>
      <c r="N26" s="12">
        <v>12</v>
      </c>
      <c r="O26" s="12">
        <v>17</v>
      </c>
      <c r="P26" s="12">
        <v>2</v>
      </c>
      <c r="Q26" s="12">
        <v>2</v>
      </c>
      <c r="R26" s="12">
        <v>4</v>
      </c>
      <c r="S26" s="12">
        <v>3</v>
      </c>
      <c r="T26" s="12">
        <v>3</v>
      </c>
      <c r="U26" s="12">
        <v>11</v>
      </c>
      <c r="V26" s="12">
        <v>9</v>
      </c>
      <c r="W26" s="12">
        <v>3</v>
      </c>
      <c r="X26" s="12">
        <v>4</v>
      </c>
      <c r="Y26" s="12">
        <v>2</v>
      </c>
      <c r="Z26" s="12">
        <v>5</v>
      </c>
      <c r="AA26" s="12">
        <v>8</v>
      </c>
      <c r="AB26" s="12">
        <v>19</v>
      </c>
      <c r="AC26" s="12">
        <v>4</v>
      </c>
      <c r="AD26" s="12">
        <v>2</v>
      </c>
      <c r="AE26" s="12">
        <v>15</v>
      </c>
      <c r="AF26" s="12">
        <v>13</v>
      </c>
    </row>
    <row r="27" spans="1:32">
      <c r="A27" s="23"/>
      <c r="B27" s="13" t="s">
        <v>498</v>
      </c>
      <c r="C27" s="14">
        <v>0.02</v>
      </c>
      <c r="D27" s="15" t="s">
        <v>485</v>
      </c>
      <c r="E27" s="15" t="s">
        <v>485</v>
      </c>
      <c r="F27" s="14">
        <v>0.02</v>
      </c>
      <c r="G27" s="14">
        <v>0.03</v>
      </c>
      <c r="H27" s="14">
        <v>0.02</v>
      </c>
      <c r="I27" s="14">
        <v>0.02</v>
      </c>
      <c r="J27" s="14">
        <v>0.01</v>
      </c>
      <c r="K27" s="14">
        <v>0.01</v>
      </c>
      <c r="L27" s="14">
        <v>0.01</v>
      </c>
      <c r="M27" s="15" t="s">
        <v>485</v>
      </c>
      <c r="N27" s="14">
        <v>0.02</v>
      </c>
      <c r="O27" s="14">
        <v>0.03</v>
      </c>
      <c r="P27" s="15" t="s">
        <v>485</v>
      </c>
      <c r="Q27" s="15" t="s">
        <v>485</v>
      </c>
      <c r="R27" s="14">
        <v>0.01</v>
      </c>
      <c r="S27" s="15" t="s">
        <v>485</v>
      </c>
      <c r="T27" s="14">
        <v>0.01</v>
      </c>
      <c r="U27" s="14">
        <v>0.03</v>
      </c>
      <c r="V27" s="14">
        <v>0.02</v>
      </c>
      <c r="W27" s="14">
        <v>0.01</v>
      </c>
      <c r="X27" s="14">
        <v>0.01</v>
      </c>
      <c r="Y27" s="15" t="s">
        <v>485</v>
      </c>
      <c r="Z27" s="14">
        <v>0.01</v>
      </c>
      <c r="AA27" s="14">
        <v>0.02</v>
      </c>
      <c r="AB27" s="14">
        <v>0.04</v>
      </c>
      <c r="AC27" s="14">
        <v>0.01</v>
      </c>
      <c r="AD27" s="15" t="s">
        <v>485</v>
      </c>
      <c r="AE27" s="14">
        <v>0.02</v>
      </c>
      <c r="AF27" s="14">
        <v>0.02</v>
      </c>
    </row>
  </sheetData>
  <mergeCells count="9">
    <mergeCell ref="H3:L3"/>
    <mergeCell ref="C8:AF8"/>
    <mergeCell ref="B3:F3"/>
    <mergeCell ref="B5:F5"/>
    <mergeCell ref="A10:A27"/>
    <mergeCell ref="B10:B11"/>
    <mergeCell ref="H4:L4"/>
    <mergeCell ref="B4:F4"/>
    <mergeCell ref="H5:L5"/>
  </mergeCells>
  <pageMargins left="0.75" right="0.75" top="1" bottom="1" header="0.5" footer="0.5"/>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36" customHeight="1">
      <c r="B3" s="19" t="s">
        <v>1033</v>
      </c>
      <c r="C3" s="19"/>
      <c r="D3" s="19"/>
      <c r="E3" s="19"/>
      <c r="F3" s="19"/>
      <c r="H3" s="19" t="s">
        <v>1034</v>
      </c>
      <c r="I3" s="19"/>
      <c r="J3" s="19"/>
      <c r="K3" s="19"/>
      <c r="L3" s="19"/>
    </row>
    <row r="4" spans="1:32" ht="27" customHeight="1">
      <c r="B4" s="19" t="s">
        <v>1035</v>
      </c>
      <c r="C4" s="19"/>
      <c r="D4" s="19"/>
      <c r="E4" s="19"/>
      <c r="F4" s="19"/>
      <c r="H4" s="19" t="s">
        <v>1036</v>
      </c>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HYPERLINK("#Content!A76","&lt;&lt;Back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1037</v>
      </c>
      <c r="C12" s="12">
        <v>11685</v>
      </c>
      <c r="D12" s="12">
        <v>422</v>
      </c>
      <c r="E12" s="12">
        <v>504</v>
      </c>
      <c r="F12" s="12">
        <v>266</v>
      </c>
      <c r="G12" s="12">
        <v>418</v>
      </c>
      <c r="H12" s="12">
        <v>460</v>
      </c>
      <c r="I12" s="12">
        <v>565</v>
      </c>
      <c r="J12" s="12">
        <v>104</v>
      </c>
      <c r="K12" s="12">
        <v>419</v>
      </c>
      <c r="L12" s="12">
        <v>663</v>
      </c>
      <c r="M12" s="12">
        <v>548</v>
      </c>
      <c r="N12" s="12">
        <v>636</v>
      </c>
      <c r="O12" s="12">
        <v>571</v>
      </c>
      <c r="P12" s="12">
        <v>479</v>
      </c>
      <c r="Q12" s="12">
        <v>406</v>
      </c>
      <c r="R12" s="12">
        <v>318</v>
      </c>
      <c r="S12" s="12">
        <v>482</v>
      </c>
      <c r="T12" s="12">
        <v>519</v>
      </c>
      <c r="U12" s="12">
        <v>332</v>
      </c>
      <c r="V12" s="12">
        <v>365</v>
      </c>
      <c r="W12" s="12">
        <v>369</v>
      </c>
      <c r="X12" s="12">
        <v>415</v>
      </c>
      <c r="Y12" s="12">
        <v>452</v>
      </c>
      <c r="Z12" s="12">
        <v>320</v>
      </c>
      <c r="AA12" s="12">
        <v>359</v>
      </c>
      <c r="AB12" s="12">
        <v>325</v>
      </c>
      <c r="AC12" s="12">
        <v>417</v>
      </c>
      <c r="AD12" s="12">
        <v>370</v>
      </c>
      <c r="AE12" s="12">
        <v>434</v>
      </c>
      <c r="AF12" s="12">
        <v>492</v>
      </c>
    </row>
    <row r="13" spans="1:32">
      <c r="A13" s="23"/>
      <c r="B13" s="13" t="s">
        <v>1038</v>
      </c>
      <c r="C13" s="14">
        <v>0.44</v>
      </c>
      <c r="D13" s="14">
        <v>0.42</v>
      </c>
      <c r="E13" s="14">
        <v>0.48</v>
      </c>
      <c r="F13" s="14">
        <v>0.26</v>
      </c>
      <c r="G13" s="14">
        <v>0.42</v>
      </c>
      <c r="H13" s="14">
        <v>0.38</v>
      </c>
      <c r="I13" s="14">
        <v>0.38</v>
      </c>
      <c r="J13" s="14">
        <v>0.36</v>
      </c>
      <c r="K13" s="14">
        <v>0.42</v>
      </c>
      <c r="L13" s="14">
        <v>0.66</v>
      </c>
      <c r="M13" s="14">
        <v>0.54</v>
      </c>
      <c r="N13" s="14">
        <v>0.64</v>
      </c>
      <c r="O13" s="14">
        <v>0.57000000000000006</v>
      </c>
      <c r="P13" s="14">
        <v>0.48</v>
      </c>
      <c r="Q13" s="14">
        <v>0.4</v>
      </c>
      <c r="R13" s="14">
        <v>0.63</v>
      </c>
      <c r="S13" s="14">
        <v>0.48</v>
      </c>
      <c r="T13" s="14">
        <v>0.52</v>
      </c>
      <c r="U13" s="14">
        <v>0.66</v>
      </c>
      <c r="V13" s="14">
        <v>0.36</v>
      </c>
      <c r="W13" s="14">
        <v>0.73</v>
      </c>
      <c r="X13" s="14">
        <v>0.41</v>
      </c>
      <c r="Y13" s="14">
        <v>0.45</v>
      </c>
      <c r="Z13" s="14">
        <v>0.32</v>
      </c>
      <c r="AA13" s="14">
        <v>0.34</v>
      </c>
      <c r="AB13" s="14">
        <v>0.32</v>
      </c>
      <c r="AC13" s="14">
        <v>0.41</v>
      </c>
      <c r="AD13" s="14">
        <v>0.37</v>
      </c>
      <c r="AE13" s="14">
        <v>0.43</v>
      </c>
      <c r="AF13" s="14">
        <v>0.46</v>
      </c>
    </row>
    <row r="14" spans="1:32">
      <c r="A14" s="23"/>
      <c r="B14" s="11" t="s">
        <v>1039</v>
      </c>
      <c r="C14" s="12">
        <v>10394</v>
      </c>
      <c r="D14" s="12">
        <v>445</v>
      </c>
      <c r="E14" s="12">
        <v>372</v>
      </c>
      <c r="F14" s="12">
        <v>480</v>
      </c>
      <c r="G14" s="12">
        <v>336</v>
      </c>
      <c r="H14" s="12">
        <v>523</v>
      </c>
      <c r="I14" s="12">
        <v>653</v>
      </c>
      <c r="J14" s="12">
        <v>130</v>
      </c>
      <c r="K14" s="12">
        <v>369</v>
      </c>
      <c r="L14" s="12">
        <v>247</v>
      </c>
      <c r="M14" s="12">
        <v>372</v>
      </c>
      <c r="N14" s="12">
        <v>251</v>
      </c>
      <c r="O14" s="12">
        <v>311</v>
      </c>
      <c r="P14" s="12">
        <v>417</v>
      </c>
      <c r="Q14" s="12">
        <v>495</v>
      </c>
      <c r="R14" s="12">
        <v>120</v>
      </c>
      <c r="S14" s="12">
        <v>370</v>
      </c>
      <c r="T14" s="12">
        <v>296</v>
      </c>
      <c r="U14" s="12">
        <v>131</v>
      </c>
      <c r="V14" s="12">
        <v>480</v>
      </c>
      <c r="W14" s="12">
        <v>109</v>
      </c>
      <c r="X14" s="12">
        <v>390</v>
      </c>
      <c r="Y14" s="12">
        <v>395</v>
      </c>
      <c r="Z14" s="12">
        <v>488</v>
      </c>
      <c r="AA14" s="12">
        <v>464</v>
      </c>
      <c r="AB14" s="12">
        <v>434</v>
      </c>
      <c r="AC14" s="12">
        <v>421</v>
      </c>
      <c r="AD14" s="12">
        <v>540</v>
      </c>
      <c r="AE14" s="12">
        <v>369</v>
      </c>
      <c r="AF14" s="12">
        <v>349</v>
      </c>
    </row>
    <row r="15" spans="1:32">
      <c r="A15" s="23"/>
      <c r="B15" s="13" t="s">
        <v>1040</v>
      </c>
      <c r="C15" s="14">
        <v>0.39</v>
      </c>
      <c r="D15" s="14">
        <v>0.44</v>
      </c>
      <c r="E15" s="14">
        <v>0.36</v>
      </c>
      <c r="F15" s="14">
        <v>0.48</v>
      </c>
      <c r="G15" s="14">
        <v>0.34</v>
      </c>
      <c r="H15" s="14">
        <v>0.43</v>
      </c>
      <c r="I15" s="14">
        <v>0.43</v>
      </c>
      <c r="J15" s="14">
        <v>0.44</v>
      </c>
      <c r="K15" s="14">
        <v>0.37</v>
      </c>
      <c r="L15" s="14">
        <v>0.25</v>
      </c>
      <c r="M15" s="14">
        <v>0.37</v>
      </c>
      <c r="N15" s="14">
        <v>0.25</v>
      </c>
      <c r="O15" s="14">
        <v>0.31</v>
      </c>
      <c r="P15" s="14">
        <v>0.41</v>
      </c>
      <c r="Q15" s="14">
        <v>0.48</v>
      </c>
      <c r="R15" s="14">
        <v>0.24</v>
      </c>
      <c r="S15" s="14">
        <v>0.37</v>
      </c>
      <c r="T15" s="14">
        <v>0.28999999999999998</v>
      </c>
      <c r="U15" s="14">
        <v>0.26</v>
      </c>
      <c r="V15" s="14">
        <v>0.47</v>
      </c>
      <c r="W15" s="14">
        <v>0.22</v>
      </c>
      <c r="X15" s="14">
        <v>0.38</v>
      </c>
      <c r="Y15" s="14">
        <v>0.39</v>
      </c>
      <c r="Z15" s="14">
        <v>0.48</v>
      </c>
      <c r="AA15" s="14">
        <v>0.45</v>
      </c>
      <c r="AB15" s="14">
        <v>0.42</v>
      </c>
      <c r="AC15" s="14">
        <v>0.42</v>
      </c>
      <c r="AD15" s="14">
        <v>0.54</v>
      </c>
      <c r="AE15" s="14">
        <v>0.36</v>
      </c>
      <c r="AF15" s="14">
        <v>0.33</v>
      </c>
    </row>
    <row r="16" spans="1:32">
      <c r="A16" s="23"/>
      <c r="B16" s="11" t="s">
        <v>1041</v>
      </c>
      <c r="C16" s="12">
        <v>2689</v>
      </c>
      <c r="D16" s="12">
        <v>117</v>
      </c>
      <c r="E16" s="12">
        <v>80</v>
      </c>
      <c r="F16" s="12">
        <v>175</v>
      </c>
      <c r="G16" s="12">
        <v>134</v>
      </c>
      <c r="H16" s="12">
        <v>126</v>
      </c>
      <c r="I16" s="12">
        <v>174</v>
      </c>
      <c r="J16" s="12">
        <v>47</v>
      </c>
      <c r="K16" s="12">
        <v>134</v>
      </c>
      <c r="L16" s="12">
        <v>50</v>
      </c>
      <c r="M16" s="12">
        <v>65</v>
      </c>
      <c r="N16" s="12">
        <v>53</v>
      </c>
      <c r="O16" s="12">
        <v>68</v>
      </c>
      <c r="P16" s="12">
        <v>82</v>
      </c>
      <c r="Q16" s="12">
        <v>84</v>
      </c>
      <c r="R16" s="12">
        <v>34</v>
      </c>
      <c r="S16" s="12">
        <v>88</v>
      </c>
      <c r="T16" s="12">
        <v>108</v>
      </c>
      <c r="U16" s="12">
        <v>18</v>
      </c>
      <c r="V16" s="12">
        <v>121</v>
      </c>
      <c r="W16" s="12">
        <v>11</v>
      </c>
      <c r="X16" s="12">
        <v>153</v>
      </c>
      <c r="Y16" s="12">
        <v>84</v>
      </c>
      <c r="Z16" s="12">
        <v>136</v>
      </c>
      <c r="AA16" s="12">
        <v>153</v>
      </c>
      <c r="AB16" s="12">
        <v>204</v>
      </c>
      <c r="AC16" s="12">
        <v>111</v>
      </c>
      <c r="AD16" s="12">
        <v>60</v>
      </c>
      <c r="AE16" s="12">
        <v>129</v>
      </c>
      <c r="AF16" s="12">
        <v>149</v>
      </c>
    </row>
    <row r="17" spans="1:32">
      <c r="A17" s="23"/>
      <c r="B17" s="13" t="s">
        <v>1042</v>
      </c>
      <c r="C17" s="14">
        <v>0.1</v>
      </c>
      <c r="D17" s="14">
        <v>0.12</v>
      </c>
      <c r="E17" s="14">
        <v>7.0000000000000007E-2</v>
      </c>
      <c r="F17" s="14">
        <v>0.17</v>
      </c>
      <c r="G17" s="14">
        <v>0.13</v>
      </c>
      <c r="H17" s="14">
        <v>0.1</v>
      </c>
      <c r="I17" s="14">
        <v>0.12</v>
      </c>
      <c r="J17" s="14">
        <v>0.16</v>
      </c>
      <c r="K17" s="14">
        <v>0.13</v>
      </c>
      <c r="L17" s="14">
        <v>0.05</v>
      </c>
      <c r="M17" s="14">
        <v>0.06</v>
      </c>
      <c r="N17" s="14">
        <v>0.05</v>
      </c>
      <c r="O17" s="14">
        <v>7.0000000000000007E-2</v>
      </c>
      <c r="P17" s="14">
        <v>0.08</v>
      </c>
      <c r="Q17" s="14">
        <v>0.08</v>
      </c>
      <c r="R17" s="14">
        <v>7.0000000000000007E-2</v>
      </c>
      <c r="S17" s="14">
        <v>0.09</v>
      </c>
      <c r="T17" s="14">
        <v>0.11</v>
      </c>
      <c r="U17" s="14">
        <v>0.04</v>
      </c>
      <c r="V17" s="14">
        <v>0.12</v>
      </c>
      <c r="W17" s="14">
        <v>0.02</v>
      </c>
      <c r="X17" s="14">
        <v>0.15</v>
      </c>
      <c r="Y17" s="14">
        <v>0.09</v>
      </c>
      <c r="Z17" s="14">
        <v>0.13</v>
      </c>
      <c r="AA17" s="14">
        <v>0.15</v>
      </c>
      <c r="AB17" s="14">
        <v>0.2</v>
      </c>
      <c r="AC17" s="14">
        <v>0.11</v>
      </c>
      <c r="AD17" s="14">
        <v>0.06</v>
      </c>
      <c r="AE17" s="14">
        <v>0.13</v>
      </c>
      <c r="AF17" s="14">
        <v>0.14000000000000001</v>
      </c>
    </row>
    <row r="18" spans="1:32">
      <c r="A18" s="23"/>
      <c r="B18" s="11" t="s">
        <v>1043</v>
      </c>
      <c r="C18" s="12">
        <v>920</v>
      </c>
      <c r="D18" s="12">
        <v>19</v>
      </c>
      <c r="E18" s="12">
        <v>29</v>
      </c>
      <c r="F18" s="12">
        <v>40</v>
      </c>
      <c r="G18" s="12">
        <v>74</v>
      </c>
      <c r="H18" s="12">
        <v>69</v>
      </c>
      <c r="I18" s="12">
        <v>78</v>
      </c>
      <c r="J18" s="12">
        <v>10</v>
      </c>
      <c r="K18" s="12">
        <v>45</v>
      </c>
      <c r="L18" s="12">
        <v>25</v>
      </c>
      <c r="M18" s="12">
        <v>11</v>
      </c>
      <c r="N18" s="12">
        <v>27</v>
      </c>
      <c r="O18" s="12">
        <v>25</v>
      </c>
      <c r="P18" s="12">
        <v>21</v>
      </c>
      <c r="Q18" s="12">
        <v>26</v>
      </c>
      <c r="R18" s="12">
        <v>24</v>
      </c>
      <c r="S18" s="12">
        <v>24</v>
      </c>
      <c r="T18" s="12">
        <v>32</v>
      </c>
      <c r="U18" s="12">
        <v>9</v>
      </c>
      <c r="V18" s="12">
        <v>27</v>
      </c>
      <c r="W18" s="12">
        <v>7</v>
      </c>
      <c r="X18" s="12">
        <v>50</v>
      </c>
      <c r="Y18" s="12">
        <v>43</v>
      </c>
      <c r="Z18" s="12">
        <v>41</v>
      </c>
      <c r="AA18" s="12">
        <v>25</v>
      </c>
      <c r="AB18" s="12">
        <v>37</v>
      </c>
      <c r="AC18" s="12">
        <v>37</v>
      </c>
      <c r="AD18" s="12">
        <v>8</v>
      </c>
      <c r="AE18" s="12">
        <v>38</v>
      </c>
      <c r="AF18" s="12">
        <v>68</v>
      </c>
    </row>
    <row r="19" spans="1:32">
      <c r="A19" s="23"/>
      <c r="B19" s="13" t="s">
        <v>1044</v>
      </c>
      <c r="C19" s="14">
        <v>0.04</v>
      </c>
      <c r="D19" s="14">
        <v>0.02</v>
      </c>
      <c r="E19" s="14">
        <v>0.03</v>
      </c>
      <c r="F19" s="14">
        <v>0.04</v>
      </c>
      <c r="G19" s="14">
        <v>7.0000000000000007E-2</v>
      </c>
      <c r="H19" s="14">
        <v>0.06</v>
      </c>
      <c r="I19" s="14">
        <v>0.05</v>
      </c>
      <c r="J19" s="14">
        <v>0.03</v>
      </c>
      <c r="K19" s="14">
        <v>0.04</v>
      </c>
      <c r="L19" s="14">
        <v>0.02</v>
      </c>
      <c r="M19" s="14">
        <v>0.01</v>
      </c>
      <c r="N19" s="14">
        <v>0.03</v>
      </c>
      <c r="O19" s="14">
        <v>0.02</v>
      </c>
      <c r="P19" s="14">
        <v>0.02</v>
      </c>
      <c r="Q19" s="14">
        <v>0.03</v>
      </c>
      <c r="R19" s="14">
        <v>0.05</v>
      </c>
      <c r="S19" s="14">
        <v>0.02</v>
      </c>
      <c r="T19" s="14">
        <v>0.03</v>
      </c>
      <c r="U19" s="14">
        <v>0.02</v>
      </c>
      <c r="V19" s="14">
        <v>0.03</v>
      </c>
      <c r="W19" s="14">
        <v>0.01</v>
      </c>
      <c r="X19" s="14">
        <v>0.05</v>
      </c>
      <c r="Y19" s="14">
        <v>0.04</v>
      </c>
      <c r="Z19" s="14">
        <v>0.04</v>
      </c>
      <c r="AA19" s="14">
        <v>0.02</v>
      </c>
      <c r="AB19" s="14">
        <v>0.03</v>
      </c>
      <c r="AC19" s="14">
        <v>0.04</v>
      </c>
      <c r="AD19" s="14">
        <v>0.01</v>
      </c>
      <c r="AE19" s="14">
        <v>0.04</v>
      </c>
      <c r="AF19" s="14">
        <v>0.06</v>
      </c>
    </row>
    <row r="20" spans="1:32">
      <c r="A20" s="23"/>
      <c r="B20" s="11" t="s">
        <v>497</v>
      </c>
      <c r="C20" s="12">
        <v>666</v>
      </c>
      <c r="D20" s="12">
        <v>4</v>
      </c>
      <c r="E20" s="12">
        <v>59</v>
      </c>
      <c r="F20" s="12">
        <v>47</v>
      </c>
      <c r="G20" s="12">
        <v>41</v>
      </c>
      <c r="H20" s="12">
        <v>32</v>
      </c>
      <c r="I20" s="12">
        <v>35</v>
      </c>
      <c r="J20" s="12">
        <v>2</v>
      </c>
      <c r="K20" s="12">
        <v>37</v>
      </c>
      <c r="L20" s="12">
        <v>22</v>
      </c>
      <c r="M20" s="12">
        <v>15</v>
      </c>
      <c r="N20" s="12">
        <v>32</v>
      </c>
      <c r="O20" s="12">
        <v>31</v>
      </c>
      <c r="P20" s="12">
        <v>11</v>
      </c>
      <c r="Q20" s="12">
        <v>13</v>
      </c>
      <c r="R20" s="12">
        <v>6</v>
      </c>
      <c r="S20" s="12">
        <v>41</v>
      </c>
      <c r="T20" s="12">
        <v>49</v>
      </c>
      <c r="U20" s="12">
        <v>12</v>
      </c>
      <c r="V20" s="12">
        <v>18</v>
      </c>
      <c r="W20" s="12">
        <v>7</v>
      </c>
      <c r="X20" s="12">
        <v>7</v>
      </c>
      <c r="Y20" s="12">
        <v>32</v>
      </c>
      <c r="Z20" s="12">
        <v>32</v>
      </c>
      <c r="AA20" s="12">
        <v>39</v>
      </c>
      <c r="AB20" s="12">
        <v>31</v>
      </c>
      <c r="AC20" s="12">
        <v>19</v>
      </c>
      <c r="AD20" s="12">
        <v>24</v>
      </c>
      <c r="AE20" s="12">
        <v>37</v>
      </c>
      <c r="AF20" s="12">
        <v>16</v>
      </c>
    </row>
    <row r="21" spans="1:32">
      <c r="A21" s="23"/>
      <c r="B21" s="13" t="s">
        <v>498</v>
      </c>
      <c r="C21" s="14">
        <v>0.03</v>
      </c>
      <c r="D21" s="15" t="s">
        <v>485</v>
      </c>
      <c r="E21" s="14">
        <v>0.06</v>
      </c>
      <c r="F21" s="14">
        <v>0.05</v>
      </c>
      <c r="G21" s="14">
        <v>0.04</v>
      </c>
      <c r="H21" s="14">
        <v>0.03</v>
      </c>
      <c r="I21" s="14">
        <v>0.02</v>
      </c>
      <c r="J21" s="14">
        <v>0.01</v>
      </c>
      <c r="K21" s="14">
        <v>0.04</v>
      </c>
      <c r="L21" s="14">
        <v>0.02</v>
      </c>
      <c r="M21" s="14">
        <v>0.02</v>
      </c>
      <c r="N21" s="14">
        <v>0.03</v>
      </c>
      <c r="O21" s="14">
        <v>0.03</v>
      </c>
      <c r="P21" s="14">
        <v>0.01</v>
      </c>
      <c r="Q21" s="14">
        <v>0.01</v>
      </c>
      <c r="R21" s="14">
        <v>0.01</v>
      </c>
      <c r="S21" s="14">
        <v>0.04</v>
      </c>
      <c r="T21" s="14">
        <v>0.05</v>
      </c>
      <c r="U21" s="14">
        <v>0.02</v>
      </c>
      <c r="V21" s="14">
        <v>0.02</v>
      </c>
      <c r="W21" s="14">
        <v>0.02</v>
      </c>
      <c r="X21" s="14">
        <v>0.01</v>
      </c>
      <c r="Y21" s="14">
        <v>0.03</v>
      </c>
      <c r="Z21" s="14">
        <v>0.03</v>
      </c>
      <c r="AA21" s="14">
        <v>0.04</v>
      </c>
      <c r="AB21" s="14">
        <v>0.03</v>
      </c>
      <c r="AC21" s="14">
        <v>0.02</v>
      </c>
      <c r="AD21" s="14">
        <v>0.02</v>
      </c>
      <c r="AE21" s="14">
        <v>0.04</v>
      </c>
      <c r="AF21" s="14">
        <v>0.01</v>
      </c>
    </row>
    <row r="22" spans="1:32">
      <c r="A22" s="23"/>
      <c r="B22" s="11" t="s">
        <v>1045</v>
      </c>
      <c r="C22" s="12">
        <v>22079</v>
      </c>
      <c r="D22" s="12">
        <v>867</v>
      </c>
      <c r="E22" s="12">
        <v>876</v>
      </c>
      <c r="F22" s="12">
        <v>746</v>
      </c>
      <c r="G22" s="12">
        <v>754</v>
      </c>
      <c r="H22" s="12">
        <v>983</v>
      </c>
      <c r="I22" s="12">
        <v>1218</v>
      </c>
      <c r="J22" s="12">
        <v>234</v>
      </c>
      <c r="K22" s="12">
        <v>788</v>
      </c>
      <c r="L22" s="12">
        <v>910</v>
      </c>
      <c r="M22" s="12">
        <v>920</v>
      </c>
      <c r="N22" s="12">
        <v>887</v>
      </c>
      <c r="O22" s="12">
        <v>882</v>
      </c>
      <c r="P22" s="12">
        <v>896</v>
      </c>
      <c r="Q22" s="12">
        <v>901</v>
      </c>
      <c r="R22" s="12">
        <v>438</v>
      </c>
      <c r="S22" s="12">
        <v>852</v>
      </c>
      <c r="T22" s="12">
        <v>815</v>
      </c>
      <c r="U22" s="12">
        <v>463</v>
      </c>
      <c r="V22" s="12">
        <v>845</v>
      </c>
      <c r="W22" s="12">
        <v>478</v>
      </c>
      <c r="X22" s="12">
        <v>805</v>
      </c>
      <c r="Y22" s="12">
        <v>847</v>
      </c>
      <c r="Z22" s="12">
        <v>808</v>
      </c>
      <c r="AA22" s="12">
        <v>823</v>
      </c>
      <c r="AB22" s="12">
        <v>759</v>
      </c>
      <c r="AC22" s="12">
        <v>838</v>
      </c>
      <c r="AD22" s="12">
        <v>910</v>
      </c>
      <c r="AE22" s="12">
        <v>803</v>
      </c>
      <c r="AF22" s="12">
        <v>841</v>
      </c>
    </row>
    <row r="23" spans="1:32">
      <c r="A23" s="23"/>
      <c r="B23" s="13" t="s">
        <v>1046</v>
      </c>
      <c r="C23" s="14">
        <v>0.83000000000000007</v>
      </c>
      <c r="D23" s="14">
        <v>0.86</v>
      </c>
      <c r="E23" s="14">
        <v>0.84</v>
      </c>
      <c r="F23" s="14">
        <v>0.74</v>
      </c>
      <c r="G23" s="14">
        <v>0.76</v>
      </c>
      <c r="H23" s="14">
        <v>0.81</v>
      </c>
      <c r="I23" s="14">
        <v>0.81</v>
      </c>
      <c r="J23" s="14">
        <v>0.8</v>
      </c>
      <c r="K23" s="14">
        <v>0.79</v>
      </c>
      <c r="L23" s="14">
        <v>0.91</v>
      </c>
      <c r="M23" s="14">
        <v>0.91</v>
      </c>
      <c r="N23" s="14">
        <v>0.89</v>
      </c>
      <c r="O23" s="14">
        <v>0.88</v>
      </c>
      <c r="P23" s="14">
        <v>0.89</v>
      </c>
      <c r="Q23" s="14">
        <v>0.88</v>
      </c>
      <c r="R23" s="14">
        <v>0.87</v>
      </c>
      <c r="S23" s="14">
        <v>0.85</v>
      </c>
      <c r="T23" s="14">
        <v>0.81</v>
      </c>
      <c r="U23" s="14">
        <v>0.92</v>
      </c>
      <c r="V23" s="14">
        <v>0.83000000000000007</v>
      </c>
      <c r="W23" s="14">
        <v>0.95000000000000007</v>
      </c>
      <c r="X23" s="14">
        <v>0.79</v>
      </c>
      <c r="Y23" s="14">
        <v>0.84</v>
      </c>
      <c r="Z23" s="14">
        <v>0.8</v>
      </c>
      <c r="AA23" s="14">
        <v>0.79</v>
      </c>
      <c r="AB23" s="14">
        <v>0.74</v>
      </c>
      <c r="AC23" s="14">
        <v>0.83000000000000007</v>
      </c>
      <c r="AD23" s="14">
        <v>0.91</v>
      </c>
      <c r="AE23" s="14">
        <v>0.79</v>
      </c>
      <c r="AF23" s="14">
        <v>0.79</v>
      </c>
    </row>
    <row r="24" spans="1:32">
      <c r="A24" s="23"/>
      <c r="B24" s="11" t="s">
        <v>1047</v>
      </c>
      <c r="C24" s="12">
        <v>3609</v>
      </c>
      <c r="D24" s="12">
        <v>136</v>
      </c>
      <c r="E24" s="12">
        <v>109</v>
      </c>
      <c r="F24" s="12">
        <v>215</v>
      </c>
      <c r="G24" s="12">
        <v>208</v>
      </c>
      <c r="H24" s="12">
        <v>195</v>
      </c>
      <c r="I24" s="12">
        <v>252</v>
      </c>
      <c r="J24" s="12">
        <v>57</v>
      </c>
      <c r="K24" s="12">
        <v>179</v>
      </c>
      <c r="L24" s="12">
        <v>75</v>
      </c>
      <c r="M24" s="12">
        <v>76</v>
      </c>
      <c r="N24" s="12">
        <v>80</v>
      </c>
      <c r="O24" s="12">
        <v>93</v>
      </c>
      <c r="P24" s="12">
        <v>103</v>
      </c>
      <c r="Q24" s="12">
        <v>110</v>
      </c>
      <c r="R24" s="12">
        <v>58</v>
      </c>
      <c r="S24" s="12">
        <v>112</v>
      </c>
      <c r="T24" s="12">
        <v>140</v>
      </c>
      <c r="U24" s="12">
        <v>27</v>
      </c>
      <c r="V24" s="12">
        <v>148</v>
      </c>
      <c r="W24" s="12">
        <v>18</v>
      </c>
      <c r="X24" s="12">
        <v>203</v>
      </c>
      <c r="Y24" s="12">
        <v>127</v>
      </c>
      <c r="Z24" s="12">
        <v>177</v>
      </c>
      <c r="AA24" s="12">
        <v>178</v>
      </c>
      <c r="AB24" s="12">
        <v>241</v>
      </c>
      <c r="AC24" s="12">
        <v>148</v>
      </c>
      <c r="AD24" s="12">
        <v>68</v>
      </c>
      <c r="AE24" s="12">
        <v>167</v>
      </c>
      <c r="AF24" s="12">
        <v>217</v>
      </c>
    </row>
    <row r="25" spans="1:32">
      <c r="A25" s="23"/>
      <c r="B25" s="13" t="s">
        <v>1048</v>
      </c>
      <c r="C25" s="14">
        <v>0.14000000000000001</v>
      </c>
      <c r="D25" s="14">
        <v>0.14000000000000001</v>
      </c>
      <c r="E25" s="14">
        <v>0.1</v>
      </c>
      <c r="F25" s="14">
        <v>0.21</v>
      </c>
      <c r="G25" s="14">
        <v>0.2</v>
      </c>
      <c r="H25" s="14">
        <v>0.16</v>
      </c>
      <c r="I25" s="14">
        <v>0.17</v>
      </c>
      <c r="J25" s="14">
        <v>0.19</v>
      </c>
      <c r="K25" s="14">
        <v>0.17</v>
      </c>
      <c r="L25" s="14">
        <v>7.0000000000000007E-2</v>
      </c>
      <c r="M25" s="14">
        <v>7.0000000000000007E-2</v>
      </c>
      <c r="N25" s="14">
        <v>0.08</v>
      </c>
      <c r="O25" s="14">
        <v>0.09</v>
      </c>
      <c r="P25" s="14">
        <v>0.1</v>
      </c>
      <c r="Q25" s="14">
        <v>0.11</v>
      </c>
      <c r="R25" s="14">
        <v>0.12</v>
      </c>
      <c r="S25" s="14">
        <v>0.11</v>
      </c>
      <c r="T25" s="14">
        <v>0.14000000000000001</v>
      </c>
      <c r="U25" s="14">
        <v>0.06</v>
      </c>
      <c r="V25" s="14">
        <v>0.15</v>
      </c>
      <c r="W25" s="14">
        <v>0.03</v>
      </c>
      <c r="X25" s="14">
        <v>0.2</v>
      </c>
      <c r="Y25" s="14">
        <v>0.13</v>
      </c>
      <c r="Z25" s="14">
        <v>0.17</v>
      </c>
      <c r="AA25" s="14">
        <v>0.17</v>
      </c>
      <c r="AB25" s="14">
        <v>0.23</v>
      </c>
      <c r="AC25" s="14">
        <v>0.15</v>
      </c>
      <c r="AD25" s="14">
        <v>7.0000000000000007E-2</v>
      </c>
      <c r="AE25" s="14">
        <v>0.17</v>
      </c>
      <c r="AF25" s="14">
        <v>0.2</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36" customHeight="1">
      <c r="B3" s="19" t="s">
        <v>1049</v>
      </c>
      <c r="C3" s="19"/>
      <c r="D3" s="19"/>
      <c r="E3" s="19"/>
      <c r="F3" s="19"/>
      <c r="H3" s="19" t="s">
        <v>1050</v>
      </c>
      <c r="I3" s="19"/>
      <c r="J3" s="19"/>
      <c r="K3" s="19"/>
      <c r="L3" s="19"/>
    </row>
    <row r="4" spans="1:32" ht="27" customHeight="1">
      <c r="B4" s="19" t="s">
        <v>1051</v>
      </c>
      <c r="C4" s="19"/>
      <c r="D4" s="19"/>
      <c r="E4" s="19"/>
      <c r="F4" s="19"/>
      <c r="H4" s="19" t="s">
        <v>1052</v>
      </c>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HYPERLINK("#Content!A77","&lt;&lt;Back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1037</v>
      </c>
      <c r="C12" s="12">
        <v>10409</v>
      </c>
      <c r="D12" s="12">
        <v>355</v>
      </c>
      <c r="E12" s="12">
        <v>367</v>
      </c>
      <c r="F12" s="12">
        <v>220</v>
      </c>
      <c r="G12" s="12">
        <v>414</v>
      </c>
      <c r="H12" s="12">
        <v>420</v>
      </c>
      <c r="I12" s="12">
        <v>495</v>
      </c>
      <c r="J12" s="12">
        <v>75</v>
      </c>
      <c r="K12" s="12">
        <v>253</v>
      </c>
      <c r="L12" s="12">
        <v>636</v>
      </c>
      <c r="M12" s="12">
        <v>510</v>
      </c>
      <c r="N12" s="12">
        <v>560</v>
      </c>
      <c r="O12" s="12">
        <v>460</v>
      </c>
      <c r="P12" s="12">
        <v>442</v>
      </c>
      <c r="Q12" s="12">
        <v>399</v>
      </c>
      <c r="R12" s="12">
        <v>303</v>
      </c>
      <c r="S12" s="12">
        <v>303</v>
      </c>
      <c r="T12" s="12">
        <v>373</v>
      </c>
      <c r="U12" s="12">
        <v>276</v>
      </c>
      <c r="V12" s="12">
        <v>312</v>
      </c>
      <c r="W12" s="12">
        <v>302</v>
      </c>
      <c r="X12" s="12">
        <v>464</v>
      </c>
      <c r="Y12" s="12">
        <v>387</v>
      </c>
      <c r="Z12" s="12">
        <v>291</v>
      </c>
      <c r="AA12" s="12">
        <v>357</v>
      </c>
      <c r="AB12" s="12">
        <v>296</v>
      </c>
      <c r="AC12" s="12">
        <v>360</v>
      </c>
      <c r="AD12" s="12">
        <v>319</v>
      </c>
      <c r="AE12" s="12">
        <v>311</v>
      </c>
      <c r="AF12" s="12">
        <v>546</v>
      </c>
    </row>
    <row r="13" spans="1:32">
      <c r="A13" s="23"/>
      <c r="B13" s="13" t="s">
        <v>1038</v>
      </c>
      <c r="C13" s="14">
        <v>0.4</v>
      </c>
      <c r="D13" s="14">
        <v>0.35</v>
      </c>
      <c r="E13" s="14">
        <v>0.35</v>
      </c>
      <c r="F13" s="14">
        <v>0.22</v>
      </c>
      <c r="G13" s="14">
        <v>0.41</v>
      </c>
      <c r="H13" s="14">
        <v>0.35</v>
      </c>
      <c r="I13" s="14">
        <v>0.33</v>
      </c>
      <c r="J13" s="14">
        <v>0.25</v>
      </c>
      <c r="K13" s="14">
        <v>0.25</v>
      </c>
      <c r="L13" s="14">
        <v>0.63</v>
      </c>
      <c r="M13" s="14">
        <v>0.51</v>
      </c>
      <c r="N13" s="14">
        <v>0.56000000000000005</v>
      </c>
      <c r="O13" s="14">
        <v>0.46</v>
      </c>
      <c r="P13" s="14">
        <v>0.44</v>
      </c>
      <c r="Q13" s="14">
        <v>0.39</v>
      </c>
      <c r="R13" s="14">
        <v>0.61</v>
      </c>
      <c r="S13" s="14">
        <v>0.3</v>
      </c>
      <c r="T13" s="14">
        <v>0.37</v>
      </c>
      <c r="U13" s="14">
        <v>0.55000000000000004</v>
      </c>
      <c r="V13" s="14">
        <v>0.31</v>
      </c>
      <c r="W13" s="14">
        <v>0.6</v>
      </c>
      <c r="X13" s="14">
        <v>0.46</v>
      </c>
      <c r="Y13" s="14">
        <v>0.38</v>
      </c>
      <c r="Z13" s="14">
        <v>0.28999999999999998</v>
      </c>
      <c r="AA13" s="14">
        <v>0.34</v>
      </c>
      <c r="AB13" s="14">
        <v>0.28999999999999998</v>
      </c>
      <c r="AC13" s="14">
        <v>0.36</v>
      </c>
      <c r="AD13" s="14">
        <v>0.32</v>
      </c>
      <c r="AE13" s="14">
        <v>0.31</v>
      </c>
      <c r="AF13" s="14">
        <v>0.51</v>
      </c>
    </row>
    <row r="14" spans="1:32">
      <c r="A14" s="23"/>
      <c r="B14" s="11" t="s">
        <v>1039</v>
      </c>
      <c r="C14" s="12">
        <v>10628</v>
      </c>
      <c r="D14" s="12">
        <v>456</v>
      </c>
      <c r="E14" s="12">
        <v>413</v>
      </c>
      <c r="F14" s="12">
        <v>458</v>
      </c>
      <c r="G14" s="12">
        <v>356</v>
      </c>
      <c r="H14" s="12">
        <v>509</v>
      </c>
      <c r="I14" s="12">
        <v>650</v>
      </c>
      <c r="J14" s="12">
        <v>141</v>
      </c>
      <c r="K14" s="12">
        <v>321</v>
      </c>
      <c r="L14" s="12">
        <v>259</v>
      </c>
      <c r="M14" s="12">
        <v>365</v>
      </c>
      <c r="N14" s="12">
        <v>292</v>
      </c>
      <c r="O14" s="12">
        <v>331</v>
      </c>
      <c r="P14" s="12">
        <v>450</v>
      </c>
      <c r="Q14" s="12">
        <v>494</v>
      </c>
      <c r="R14" s="12">
        <v>127</v>
      </c>
      <c r="S14" s="12">
        <v>390</v>
      </c>
      <c r="T14" s="12">
        <v>325</v>
      </c>
      <c r="U14" s="12">
        <v>150</v>
      </c>
      <c r="V14" s="12">
        <v>478</v>
      </c>
      <c r="W14" s="12">
        <v>165</v>
      </c>
      <c r="X14" s="12">
        <v>373</v>
      </c>
      <c r="Y14" s="12">
        <v>387</v>
      </c>
      <c r="Z14" s="12">
        <v>481</v>
      </c>
      <c r="AA14" s="12">
        <v>474</v>
      </c>
      <c r="AB14" s="12">
        <v>449</v>
      </c>
      <c r="AC14" s="12">
        <v>438</v>
      </c>
      <c r="AD14" s="12">
        <v>545</v>
      </c>
      <c r="AE14" s="12">
        <v>456</v>
      </c>
      <c r="AF14" s="12">
        <v>353</v>
      </c>
    </row>
    <row r="15" spans="1:32">
      <c r="A15" s="23"/>
      <c r="B15" s="13" t="s">
        <v>1040</v>
      </c>
      <c r="C15" s="14">
        <v>0.4</v>
      </c>
      <c r="D15" s="14">
        <v>0.45</v>
      </c>
      <c r="E15" s="14">
        <v>0.4</v>
      </c>
      <c r="F15" s="14">
        <v>0.46</v>
      </c>
      <c r="G15" s="14">
        <v>0.36</v>
      </c>
      <c r="H15" s="14">
        <v>0.42</v>
      </c>
      <c r="I15" s="14">
        <v>0.43</v>
      </c>
      <c r="J15" s="14">
        <v>0.48</v>
      </c>
      <c r="K15" s="14">
        <v>0.32</v>
      </c>
      <c r="L15" s="14">
        <v>0.26</v>
      </c>
      <c r="M15" s="14">
        <v>0.36</v>
      </c>
      <c r="N15" s="14">
        <v>0.28999999999999998</v>
      </c>
      <c r="O15" s="14">
        <v>0.33</v>
      </c>
      <c r="P15" s="14">
        <v>0.45</v>
      </c>
      <c r="Q15" s="14">
        <v>0.48</v>
      </c>
      <c r="R15" s="14">
        <v>0.25</v>
      </c>
      <c r="S15" s="14">
        <v>0.39</v>
      </c>
      <c r="T15" s="14">
        <v>0.32</v>
      </c>
      <c r="U15" s="14">
        <v>0.3</v>
      </c>
      <c r="V15" s="14">
        <v>0.47</v>
      </c>
      <c r="W15" s="14">
        <v>0.33</v>
      </c>
      <c r="X15" s="14">
        <v>0.37</v>
      </c>
      <c r="Y15" s="14">
        <v>0.39</v>
      </c>
      <c r="Z15" s="14">
        <v>0.47</v>
      </c>
      <c r="AA15" s="14">
        <v>0.46</v>
      </c>
      <c r="AB15" s="14">
        <v>0.43</v>
      </c>
      <c r="AC15" s="14">
        <v>0.44</v>
      </c>
      <c r="AD15" s="14">
        <v>0.54</v>
      </c>
      <c r="AE15" s="14">
        <v>0.45</v>
      </c>
      <c r="AF15" s="14">
        <v>0.33</v>
      </c>
    </row>
    <row r="16" spans="1:32">
      <c r="A16" s="23"/>
      <c r="B16" s="11" t="s">
        <v>1041</v>
      </c>
      <c r="C16" s="12">
        <v>3307</v>
      </c>
      <c r="D16" s="12">
        <v>159</v>
      </c>
      <c r="E16" s="12">
        <v>130</v>
      </c>
      <c r="F16" s="12">
        <v>214</v>
      </c>
      <c r="G16" s="12">
        <v>136</v>
      </c>
      <c r="H16" s="12">
        <v>156</v>
      </c>
      <c r="I16" s="12">
        <v>212</v>
      </c>
      <c r="J16" s="12">
        <v>56</v>
      </c>
      <c r="K16" s="12">
        <v>247</v>
      </c>
      <c r="L16" s="12">
        <v>61</v>
      </c>
      <c r="M16" s="12">
        <v>93</v>
      </c>
      <c r="N16" s="12">
        <v>86</v>
      </c>
      <c r="O16" s="12">
        <v>124</v>
      </c>
      <c r="P16" s="12">
        <v>85</v>
      </c>
      <c r="Q16" s="12">
        <v>78</v>
      </c>
      <c r="R16" s="12">
        <v>41</v>
      </c>
      <c r="S16" s="12">
        <v>165</v>
      </c>
      <c r="T16" s="12">
        <v>142</v>
      </c>
      <c r="U16" s="12">
        <v>42</v>
      </c>
      <c r="V16" s="12">
        <v>172</v>
      </c>
      <c r="W16" s="12">
        <v>16</v>
      </c>
      <c r="X16" s="12">
        <v>131</v>
      </c>
      <c r="Y16" s="12">
        <v>118</v>
      </c>
      <c r="Z16" s="12">
        <v>168</v>
      </c>
      <c r="AA16" s="12">
        <v>135</v>
      </c>
      <c r="AB16" s="12">
        <v>197</v>
      </c>
      <c r="AC16" s="12">
        <v>148</v>
      </c>
      <c r="AD16" s="12">
        <v>91</v>
      </c>
      <c r="AE16" s="12">
        <v>156</v>
      </c>
      <c r="AF16" s="12">
        <v>123</v>
      </c>
    </row>
    <row r="17" spans="1:32">
      <c r="A17" s="23"/>
      <c r="B17" s="13" t="s">
        <v>1042</v>
      </c>
      <c r="C17" s="14">
        <v>0.13</v>
      </c>
      <c r="D17" s="14">
        <v>0.16</v>
      </c>
      <c r="E17" s="14">
        <v>0.12</v>
      </c>
      <c r="F17" s="14">
        <v>0.21</v>
      </c>
      <c r="G17" s="14">
        <v>0.14000000000000001</v>
      </c>
      <c r="H17" s="14">
        <v>0.13</v>
      </c>
      <c r="I17" s="14">
        <v>0.14000000000000001</v>
      </c>
      <c r="J17" s="14">
        <v>0.19</v>
      </c>
      <c r="K17" s="14">
        <v>0.25</v>
      </c>
      <c r="L17" s="14">
        <v>0.06</v>
      </c>
      <c r="M17" s="14">
        <v>0.09</v>
      </c>
      <c r="N17" s="14">
        <v>0.08</v>
      </c>
      <c r="O17" s="14">
        <v>0.12</v>
      </c>
      <c r="P17" s="14">
        <v>0.08</v>
      </c>
      <c r="Q17" s="14">
        <v>0.08</v>
      </c>
      <c r="R17" s="14">
        <v>0.08</v>
      </c>
      <c r="S17" s="14">
        <v>0.17</v>
      </c>
      <c r="T17" s="14">
        <v>0.14000000000000001</v>
      </c>
      <c r="U17" s="14">
        <v>0.08</v>
      </c>
      <c r="V17" s="14">
        <v>0.17</v>
      </c>
      <c r="W17" s="14">
        <v>0.03</v>
      </c>
      <c r="X17" s="14">
        <v>0.13</v>
      </c>
      <c r="Y17" s="14">
        <v>0.12</v>
      </c>
      <c r="Z17" s="14">
        <v>0.17</v>
      </c>
      <c r="AA17" s="14">
        <v>0.13</v>
      </c>
      <c r="AB17" s="14">
        <v>0.19</v>
      </c>
      <c r="AC17" s="14">
        <v>0.15</v>
      </c>
      <c r="AD17" s="14">
        <v>0.09</v>
      </c>
      <c r="AE17" s="14">
        <v>0.15</v>
      </c>
      <c r="AF17" s="14">
        <v>0.11</v>
      </c>
    </row>
    <row r="18" spans="1:32">
      <c r="A18" s="23"/>
      <c r="B18" s="11" t="s">
        <v>1043</v>
      </c>
      <c r="C18" s="12">
        <v>1114</v>
      </c>
      <c r="D18" s="12">
        <v>29</v>
      </c>
      <c r="E18" s="12">
        <v>44</v>
      </c>
      <c r="F18" s="12">
        <v>64</v>
      </c>
      <c r="G18" s="12">
        <v>45</v>
      </c>
      <c r="H18" s="12">
        <v>85</v>
      </c>
      <c r="I18" s="12">
        <v>102</v>
      </c>
      <c r="J18" s="12">
        <v>17</v>
      </c>
      <c r="K18" s="12">
        <v>111</v>
      </c>
      <c r="L18" s="12">
        <v>28</v>
      </c>
      <c r="M18" s="12">
        <v>15</v>
      </c>
      <c r="N18" s="12">
        <v>27</v>
      </c>
      <c r="O18" s="12">
        <v>41</v>
      </c>
      <c r="P18" s="12">
        <v>20</v>
      </c>
      <c r="Q18" s="12">
        <v>32</v>
      </c>
      <c r="R18" s="12">
        <v>26</v>
      </c>
      <c r="S18" s="12">
        <v>54</v>
      </c>
      <c r="T18" s="12">
        <v>74</v>
      </c>
      <c r="U18" s="12">
        <v>17</v>
      </c>
      <c r="V18" s="12">
        <v>27</v>
      </c>
      <c r="W18" s="12">
        <v>10</v>
      </c>
      <c r="X18" s="12">
        <v>43</v>
      </c>
      <c r="Y18" s="12">
        <v>70</v>
      </c>
      <c r="Z18" s="12">
        <v>41</v>
      </c>
      <c r="AA18" s="12">
        <v>24</v>
      </c>
      <c r="AB18" s="12">
        <v>51</v>
      </c>
      <c r="AC18" s="12">
        <v>35</v>
      </c>
      <c r="AD18" s="12">
        <v>6</v>
      </c>
      <c r="AE18" s="12">
        <v>37</v>
      </c>
      <c r="AF18" s="12">
        <v>32</v>
      </c>
    </row>
    <row r="19" spans="1:32">
      <c r="A19" s="23"/>
      <c r="B19" s="13" t="s">
        <v>1044</v>
      </c>
      <c r="C19" s="14">
        <v>0.04</v>
      </c>
      <c r="D19" s="14">
        <v>0.03</v>
      </c>
      <c r="E19" s="14">
        <v>0.04</v>
      </c>
      <c r="F19" s="14">
        <v>0.06</v>
      </c>
      <c r="G19" s="14">
        <v>0.04</v>
      </c>
      <c r="H19" s="14">
        <v>7.0000000000000007E-2</v>
      </c>
      <c r="I19" s="14">
        <v>7.0000000000000007E-2</v>
      </c>
      <c r="J19" s="14">
        <v>0.06</v>
      </c>
      <c r="K19" s="14">
        <v>0.11</v>
      </c>
      <c r="L19" s="14">
        <v>0.03</v>
      </c>
      <c r="M19" s="14">
        <v>0.01</v>
      </c>
      <c r="N19" s="14">
        <v>0.03</v>
      </c>
      <c r="O19" s="14">
        <v>0.04</v>
      </c>
      <c r="P19" s="14">
        <v>0.02</v>
      </c>
      <c r="Q19" s="14">
        <v>0.03</v>
      </c>
      <c r="R19" s="14">
        <v>0.05</v>
      </c>
      <c r="S19" s="14">
        <v>0.05</v>
      </c>
      <c r="T19" s="14">
        <v>0.08</v>
      </c>
      <c r="U19" s="14">
        <v>0.03</v>
      </c>
      <c r="V19" s="14">
        <v>0.03</v>
      </c>
      <c r="W19" s="14">
        <v>0.02</v>
      </c>
      <c r="X19" s="14">
        <v>0.04</v>
      </c>
      <c r="Y19" s="14">
        <v>7.0000000000000007E-2</v>
      </c>
      <c r="Z19" s="14">
        <v>0.04</v>
      </c>
      <c r="AA19" s="14">
        <v>0.02</v>
      </c>
      <c r="AB19" s="14">
        <v>0.05</v>
      </c>
      <c r="AC19" s="14">
        <v>0.03</v>
      </c>
      <c r="AD19" s="14">
        <v>0.01</v>
      </c>
      <c r="AE19" s="14">
        <v>0.04</v>
      </c>
      <c r="AF19" s="14">
        <v>0.03</v>
      </c>
    </row>
    <row r="20" spans="1:32">
      <c r="A20" s="23"/>
      <c r="B20" s="11" t="s">
        <v>497</v>
      </c>
      <c r="C20" s="12">
        <v>897</v>
      </c>
      <c r="D20" s="12">
        <v>7</v>
      </c>
      <c r="E20" s="12">
        <v>90</v>
      </c>
      <c r="F20" s="12">
        <v>51</v>
      </c>
      <c r="G20" s="12">
        <v>52</v>
      </c>
      <c r="H20" s="12">
        <v>40</v>
      </c>
      <c r="I20" s="12">
        <v>45</v>
      </c>
      <c r="J20" s="12">
        <v>5</v>
      </c>
      <c r="K20" s="12">
        <v>73</v>
      </c>
      <c r="L20" s="12">
        <v>23</v>
      </c>
      <c r="M20" s="12">
        <v>28</v>
      </c>
      <c r="N20" s="12">
        <v>36</v>
      </c>
      <c r="O20" s="12">
        <v>49</v>
      </c>
      <c r="P20" s="12">
        <v>14</v>
      </c>
      <c r="Q20" s="12">
        <v>21</v>
      </c>
      <c r="R20" s="12">
        <v>5</v>
      </c>
      <c r="S20" s="12">
        <v>93</v>
      </c>
      <c r="T20" s="12">
        <v>90</v>
      </c>
      <c r="U20" s="12">
        <v>18</v>
      </c>
      <c r="V20" s="12">
        <v>22</v>
      </c>
      <c r="W20" s="12">
        <v>10</v>
      </c>
      <c r="X20" s="12">
        <v>5</v>
      </c>
      <c r="Y20" s="12">
        <v>45</v>
      </c>
      <c r="Z20" s="12">
        <v>36</v>
      </c>
      <c r="AA20" s="12">
        <v>50</v>
      </c>
      <c r="AB20" s="12">
        <v>38</v>
      </c>
      <c r="AC20" s="12">
        <v>23</v>
      </c>
      <c r="AD20" s="12">
        <v>41</v>
      </c>
      <c r="AE20" s="12">
        <v>48</v>
      </c>
      <c r="AF20" s="12">
        <v>18</v>
      </c>
    </row>
    <row r="21" spans="1:32">
      <c r="A21" s="23"/>
      <c r="B21" s="13" t="s">
        <v>498</v>
      </c>
      <c r="C21" s="14">
        <v>0.03</v>
      </c>
      <c r="D21" s="14">
        <v>0.01</v>
      </c>
      <c r="E21" s="14">
        <v>0.09</v>
      </c>
      <c r="F21" s="14">
        <v>0.05</v>
      </c>
      <c r="G21" s="14">
        <v>0.05</v>
      </c>
      <c r="H21" s="14">
        <v>0.03</v>
      </c>
      <c r="I21" s="14">
        <v>0.03</v>
      </c>
      <c r="J21" s="14">
        <v>0.02</v>
      </c>
      <c r="K21" s="14">
        <v>7.0000000000000007E-2</v>
      </c>
      <c r="L21" s="14">
        <v>0.02</v>
      </c>
      <c r="M21" s="14">
        <v>0.03</v>
      </c>
      <c r="N21" s="14">
        <v>0.04</v>
      </c>
      <c r="O21" s="14">
        <v>0.05</v>
      </c>
      <c r="P21" s="14">
        <v>0.01</v>
      </c>
      <c r="Q21" s="14">
        <v>0.02</v>
      </c>
      <c r="R21" s="14">
        <v>0.01</v>
      </c>
      <c r="S21" s="14">
        <v>0.09</v>
      </c>
      <c r="T21" s="14">
        <v>0.09</v>
      </c>
      <c r="U21" s="14">
        <v>0.04</v>
      </c>
      <c r="V21" s="14">
        <v>0.02</v>
      </c>
      <c r="W21" s="14">
        <v>0.02</v>
      </c>
      <c r="X21" s="15" t="s">
        <v>485</v>
      </c>
      <c r="Y21" s="14">
        <v>0.04</v>
      </c>
      <c r="Z21" s="14">
        <v>0.03</v>
      </c>
      <c r="AA21" s="14">
        <v>0.05</v>
      </c>
      <c r="AB21" s="14">
        <v>0.04</v>
      </c>
      <c r="AC21" s="14">
        <v>0.02</v>
      </c>
      <c r="AD21" s="14">
        <v>0.04</v>
      </c>
      <c r="AE21" s="14">
        <v>0.05</v>
      </c>
      <c r="AF21" s="14">
        <v>0.02</v>
      </c>
    </row>
    <row r="22" spans="1:32">
      <c r="A22" s="23"/>
      <c r="B22" s="11" t="s">
        <v>1045</v>
      </c>
      <c r="C22" s="12">
        <v>21037</v>
      </c>
      <c r="D22" s="12">
        <v>811</v>
      </c>
      <c r="E22" s="12">
        <v>780</v>
      </c>
      <c r="F22" s="12">
        <v>678</v>
      </c>
      <c r="G22" s="12">
        <v>770</v>
      </c>
      <c r="H22" s="12">
        <v>929</v>
      </c>
      <c r="I22" s="12">
        <v>1145</v>
      </c>
      <c r="J22" s="12">
        <v>216</v>
      </c>
      <c r="K22" s="12">
        <v>574</v>
      </c>
      <c r="L22" s="12">
        <v>895</v>
      </c>
      <c r="M22" s="12">
        <v>875</v>
      </c>
      <c r="N22" s="12">
        <v>852</v>
      </c>
      <c r="O22" s="12">
        <v>791</v>
      </c>
      <c r="P22" s="12">
        <v>892</v>
      </c>
      <c r="Q22" s="12">
        <v>893</v>
      </c>
      <c r="R22" s="12">
        <v>430</v>
      </c>
      <c r="S22" s="12">
        <v>693</v>
      </c>
      <c r="T22" s="12">
        <v>698</v>
      </c>
      <c r="U22" s="12">
        <v>426</v>
      </c>
      <c r="V22" s="12">
        <v>790</v>
      </c>
      <c r="W22" s="12">
        <v>467</v>
      </c>
      <c r="X22" s="12">
        <v>837</v>
      </c>
      <c r="Y22" s="12">
        <v>774</v>
      </c>
      <c r="Z22" s="12">
        <v>772</v>
      </c>
      <c r="AA22" s="12">
        <v>831</v>
      </c>
      <c r="AB22" s="12">
        <v>745</v>
      </c>
      <c r="AC22" s="12">
        <v>798</v>
      </c>
      <c r="AD22" s="12">
        <v>864</v>
      </c>
      <c r="AE22" s="12">
        <v>767</v>
      </c>
      <c r="AF22" s="12">
        <v>899</v>
      </c>
    </row>
    <row r="23" spans="1:32">
      <c r="A23" s="23"/>
      <c r="B23" s="13" t="s">
        <v>1046</v>
      </c>
      <c r="C23" s="14">
        <v>0.8</v>
      </c>
      <c r="D23" s="14">
        <v>0.8</v>
      </c>
      <c r="E23" s="14">
        <v>0.75</v>
      </c>
      <c r="F23" s="14">
        <v>0.68</v>
      </c>
      <c r="G23" s="14">
        <v>0.77</v>
      </c>
      <c r="H23" s="14">
        <v>0.77</v>
      </c>
      <c r="I23" s="14">
        <v>0.76</v>
      </c>
      <c r="J23" s="14">
        <v>0.73</v>
      </c>
      <c r="K23" s="14">
        <v>0.57000000000000006</v>
      </c>
      <c r="L23" s="14">
        <v>0.89</v>
      </c>
      <c r="M23" s="14">
        <v>0.87</v>
      </c>
      <c r="N23" s="14">
        <v>0.85</v>
      </c>
      <c r="O23" s="14">
        <v>0.79</v>
      </c>
      <c r="P23" s="14">
        <v>0.89</v>
      </c>
      <c r="Q23" s="14">
        <v>0.87</v>
      </c>
      <c r="R23" s="14">
        <v>0.86</v>
      </c>
      <c r="S23" s="14">
        <v>0.69000000000000006</v>
      </c>
      <c r="T23" s="14">
        <v>0.69000000000000006</v>
      </c>
      <c r="U23" s="14">
        <v>0.85</v>
      </c>
      <c r="V23" s="14">
        <v>0.78</v>
      </c>
      <c r="W23" s="14">
        <v>0.93</v>
      </c>
      <c r="X23" s="14">
        <v>0.83000000000000007</v>
      </c>
      <c r="Y23" s="14">
        <v>0.77</v>
      </c>
      <c r="Z23" s="14">
        <v>0.76</v>
      </c>
      <c r="AA23" s="14">
        <v>0.8</v>
      </c>
      <c r="AB23" s="14">
        <v>0.72</v>
      </c>
      <c r="AC23" s="14">
        <v>0.8</v>
      </c>
      <c r="AD23" s="14">
        <v>0.86</v>
      </c>
      <c r="AE23" s="14">
        <v>0.76</v>
      </c>
      <c r="AF23" s="14">
        <v>0.84</v>
      </c>
    </row>
    <row r="24" spans="1:32">
      <c r="A24" s="23"/>
      <c r="B24" s="11" t="s">
        <v>1047</v>
      </c>
      <c r="C24" s="12">
        <v>4421</v>
      </c>
      <c r="D24" s="12">
        <v>188</v>
      </c>
      <c r="E24" s="12">
        <v>174</v>
      </c>
      <c r="F24" s="12">
        <v>278</v>
      </c>
      <c r="G24" s="12">
        <v>181</v>
      </c>
      <c r="H24" s="12">
        <v>241</v>
      </c>
      <c r="I24" s="12">
        <v>314</v>
      </c>
      <c r="J24" s="12">
        <v>73</v>
      </c>
      <c r="K24" s="12">
        <v>358</v>
      </c>
      <c r="L24" s="12">
        <v>89</v>
      </c>
      <c r="M24" s="12">
        <v>108</v>
      </c>
      <c r="N24" s="12">
        <v>113</v>
      </c>
      <c r="O24" s="12">
        <v>165</v>
      </c>
      <c r="P24" s="12">
        <v>105</v>
      </c>
      <c r="Q24" s="12">
        <v>110</v>
      </c>
      <c r="R24" s="12">
        <v>67</v>
      </c>
      <c r="S24" s="12">
        <v>219</v>
      </c>
      <c r="T24" s="12">
        <v>216</v>
      </c>
      <c r="U24" s="12">
        <v>59</v>
      </c>
      <c r="V24" s="12">
        <v>199</v>
      </c>
      <c r="W24" s="12">
        <v>26</v>
      </c>
      <c r="X24" s="12">
        <v>174</v>
      </c>
      <c r="Y24" s="12">
        <v>188</v>
      </c>
      <c r="Z24" s="12">
        <v>209</v>
      </c>
      <c r="AA24" s="12">
        <v>159</v>
      </c>
      <c r="AB24" s="12">
        <v>248</v>
      </c>
      <c r="AC24" s="12">
        <v>183</v>
      </c>
      <c r="AD24" s="12">
        <v>97</v>
      </c>
      <c r="AE24" s="12">
        <v>193</v>
      </c>
      <c r="AF24" s="12">
        <v>155</v>
      </c>
    </row>
    <row r="25" spans="1:32">
      <c r="A25" s="23"/>
      <c r="B25" s="13" t="s">
        <v>1048</v>
      </c>
      <c r="C25" s="14">
        <v>0.17</v>
      </c>
      <c r="D25" s="14">
        <v>0.19</v>
      </c>
      <c r="E25" s="14">
        <v>0.16</v>
      </c>
      <c r="F25" s="14">
        <v>0.27</v>
      </c>
      <c r="G25" s="14">
        <v>0.18</v>
      </c>
      <c r="H25" s="14">
        <v>0.2</v>
      </c>
      <c r="I25" s="14">
        <v>0.21</v>
      </c>
      <c r="J25" s="14">
        <v>0.25</v>
      </c>
      <c r="K25" s="14">
        <v>0.36</v>
      </c>
      <c r="L25" s="14">
        <v>0.09</v>
      </c>
      <c r="M25" s="14">
        <v>0.1</v>
      </c>
      <c r="N25" s="14">
        <v>0.11</v>
      </c>
      <c r="O25" s="14">
        <v>0.16</v>
      </c>
      <c r="P25" s="14">
        <v>0.1</v>
      </c>
      <c r="Q25" s="14">
        <v>0.11</v>
      </c>
      <c r="R25" s="14">
        <v>0.13</v>
      </c>
      <c r="S25" s="14">
        <v>0.22</v>
      </c>
      <c r="T25" s="14">
        <v>0.22</v>
      </c>
      <c r="U25" s="14">
        <v>0.11</v>
      </c>
      <c r="V25" s="14">
        <v>0.2</v>
      </c>
      <c r="W25" s="14">
        <v>0.05</v>
      </c>
      <c r="X25" s="14">
        <v>0.17</v>
      </c>
      <c r="Y25" s="14">
        <v>0.19</v>
      </c>
      <c r="Z25" s="14">
        <v>0.21</v>
      </c>
      <c r="AA25" s="14">
        <v>0.15</v>
      </c>
      <c r="AB25" s="14">
        <v>0.24</v>
      </c>
      <c r="AC25" s="14">
        <v>0.18</v>
      </c>
      <c r="AD25" s="14">
        <v>0.1</v>
      </c>
      <c r="AE25" s="14">
        <v>0.19</v>
      </c>
      <c r="AF25" s="14">
        <v>0.14000000000000001</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36" customHeight="1">
      <c r="B3" s="19" t="s">
        <v>1053</v>
      </c>
      <c r="C3" s="19"/>
      <c r="D3" s="19"/>
      <c r="E3" s="19"/>
      <c r="F3" s="19"/>
      <c r="H3" s="19" t="s">
        <v>1054</v>
      </c>
      <c r="I3" s="19"/>
      <c r="J3" s="19"/>
      <c r="K3" s="19"/>
      <c r="L3" s="19"/>
    </row>
    <row r="4" spans="1:32" ht="27" customHeight="1">
      <c r="B4" s="19" t="s">
        <v>1055</v>
      </c>
      <c r="C4" s="19"/>
      <c r="D4" s="19"/>
      <c r="E4" s="19"/>
      <c r="F4" s="19"/>
      <c r="H4" s="19" t="s">
        <v>1056</v>
      </c>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HYPERLINK("#Content!A78","&lt;&lt;Back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1037</v>
      </c>
      <c r="C12" s="12">
        <v>12531</v>
      </c>
      <c r="D12" s="12">
        <v>488</v>
      </c>
      <c r="E12" s="12">
        <v>547</v>
      </c>
      <c r="F12" s="12">
        <v>325</v>
      </c>
      <c r="G12" s="12">
        <v>588</v>
      </c>
      <c r="H12" s="12">
        <v>451</v>
      </c>
      <c r="I12" s="12">
        <v>540</v>
      </c>
      <c r="J12" s="12">
        <v>90</v>
      </c>
      <c r="K12" s="12">
        <v>437</v>
      </c>
      <c r="L12" s="12">
        <v>705</v>
      </c>
      <c r="M12" s="12">
        <v>564</v>
      </c>
      <c r="N12" s="12">
        <v>675</v>
      </c>
      <c r="O12" s="12">
        <v>591</v>
      </c>
      <c r="P12" s="12">
        <v>457</v>
      </c>
      <c r="Q12" s="12">
        <v>418</v>
      </c>
      <c r="R12" s="12">
        <v>324</v>
      </c>
      <c r="S12" s="12">
        <v>483</v>
      </c>
      <c r="T12" s="12">
        <v>553</v>
      </c>
      <c r="U12" s="12">
        <v>373</v>
      </c>
      <c r="V12" s="12">
        <v>415</v>
      </c>
      <c r="W12" s="12">
        <v>360</v>
      </c>
      <c r="X12" s="12">
        <v>578</v>
      </c>
      <c r="Y12" s="12">
        <v>479</v>
      </c>
      <c r="Z12" s="12">
        <v>340</v>
      </c>
      <c r="AA12" s="12">
        <v>402</v>
      </c>
      <c r="AB12" s="12">
        <v>352</v>
      </c>
      <c r="AC12" s="12">
        <v>468</v>
      </c>
      <c r="AD12" s="12">
        <v>497</v>
      </c>
      <c r="AE12" s="12">
        <v>560</v>
      </c>
      <c r="AF12" s="12">
        <v>704</v>
      </c>
    </row>
    <row r="13" spans="1:32">
      <c r="A13" s="23"/>
      <c r="B13" s="13" t="s">
        <v>1038</v>
      </c>
      <c r="C13" s="14">
        <v>0.48</v>
      </c>
      <c r="D13" s="14">
        <v>0.48</v>
      </c>
      <c r="E13" s="14">
        <v>0.53</v>
      </c>
      <c r="F13" s="14">
        <v>0.32</v>
      </c>
      <c r="G13" s="14">
        <v>0.59</v>
      </c>
      <c r="H13" s="14">
        <v>0.37</v>
      </c>
      <c r="I13" s="14">
        <v>0.36</v>
      </c>
      <c r="J13" s="14">
        <v>0.3</v>
      </c>
      <c r="K13" s="14">
        <v>0.44</v>
      </c>
      <c r="L13" s="14">
        <v>0.70000000000000007</v>
      </c>
      <c r="M13" s="14">
        <v>0.56000000000000005</v>
      </c>
      <c r="N13" s="14">
        <v>0.67</v>
      </c>
      <c r="O13" s="14">
        <v>0.59</v>
      </c>
      <c r="P13" s="14">
        <v>0.45</v>
      </c>
      <c r="Q13" s="14">
        <v>0.41</v>
      </c>
      <c r="R13" s="14">
        <v>0.65</v>
      </c>
      <c r="S13" s="14">
        <v>0.48</v>
      </c>
      <c r="T13" s="14">
        <v>0.55000000000000004</v>
      </c>
      <c r="U13" s="14">
        <v>0.74</v>
      </c>
      <c r="V13" s="14">
        <v>0.41</v>
      </c>
      <c r="W13" s="14">
        <v>0.72</v>
      </c>
      <c r="X13" s="14">
        <v>0.57000000000000006</v>
      </c>
      <c r="Y13" s="14">
        <v>0.48</v>
      </c>
      <c r="Z13" s="14">
        <v>0.33</v>
      </c>
      <c r="AA13" s="14">
        <v>0.39</v>
      </c>
      <c r="AB13" s="14">
        <v>0.34</v>
      </c>
      <c r="AC13" s="14">
        <v>0.47</v>
      </c>
      <c r="AD13" s="14">
        <v>0.5</v>
      </c>
      <c r="AE13" s="14">
        <v>0.55000000000000004</v>
      </c>
      <c r="AF13" s="14">
        <v>0.65</v>
      </c>
    </row>
    <row r="14" spans="1:32">
      <c r="A14" s="23"/>
      <c r="B14" s="11" t="s">
        <v>1039</v>
      </c>
      <c r="C14" s="12">
        <v>9676</v>
      </c>
      <c r="D14" s="12">
        <v>392</v>
      </c>
      <c r="E14" s="12">
        <v>344</v>
      </c>
      <c r="F14" s="12">
        <v>444</v>
      </c>
      <c r="G14" s="12">
        <v>289</v>
      </c>
      <c r="H14" s="12">
        <v>520</v>
      </c>
      <c r="I14" s="12">
        <v>655</v>
      </c>
      <c r="J14" s="12">
        <v>135</v>
      </c>
      <c r="K14" s="12">
        <v>370</v>
      </c>
      <c r="L14" s="12">
        <v>225</v>
      </c>
      <c r="M14" s="12">
        <v>355</v>
      </c>
      <c r="N14" s="12">
        <v>229</v>
      </c>
      <c r="O14" s="12">
        <v>271</v>
      </c>
      <c r="P14" s="12">
        <v>423</v>
      </c>
      <c r="Q14" s="12">
        <v>482</v>
      </c>
      <c r="R14" s="12">
        <v>118</v>
      </c>
      <c r="S14" s="12">
        <v>363</v>
      </c>
      <c r="T14" s="12">
        <v>290</v>
      </c>
      <c r="U14" s="12">
        <v>96</v>
      </c>
      <c r="V14" s="12">
        <v>449</v>
      </c>
      <c r="W14" s="12">
        <v>113</v>
      </c>
      <c r="X14" s="12">
        <v>310</v>
      </c>
      <c r="Y14" s="12">
        <v>354</v>
      </c>
      <c r="Z14" s="12">
        <v>436</v>
      </c>
      <c r="AA14" s="12">
        <v>445</v>
      </c>
      <c r="AB14" s="12">
        <v>427</v>
      </c>
      <c r="AC14" s="12">
        <v>388</v>
      </c>
      <c r="AD14" s="12">
        <v>425</v>
      </c>
      <c r="AE14" s="12">
        <v>319</v>
      </c>
      <c r="AF14" s="12">
        <v>256</v>
      </c>
    </row>
    <row r="15" spans="1:32">
      <c r="A15" s="23"/>
      <c r="B15" s="13" t="s">
        <v>1040</v>
      </c>
      <c r="C15" s="14">
        <v>0.37</v>
      </c>
      <c r="D15" s="14">
        <v>0.39</v>
      </c>
      <c r="E15" s="14">
        <v>0.33</v>
      </c>
      <c r="F15" s="14">
        <v>0.44</v>
      </c>
      <c r="G15" s="14">
        <v>0.28999999999999998</v>
      </c>
      <c r="H15" s="14">
        <v>0.43</v>
      </c>
      <c r="I15" s="14">
        <v>0.44</v>
      </c>
      <c r="J15" s="14">
        <v>0.46</v>
      </c>
      <c r="K15" s="14">
        <v>0.37</v>
      </c>
      <c r="L15" s="14">
        <v>0.22</v>
      </c>
      <c r="M15" s="14">
        <v>0.35</v>
      </c>
      <c r="N15" s="14">
        <v>0.23</v>
      </c>
      <c r="O15" s="14">
        <v>0.27</v>
      </c>
      <c r="P15" s="14">
        <v>0.42</v>
      </c>
      <c r="Q15" s="14">
        <v>0.47</v>
      </c>
      <c r="R15" s="14">
        <v>0.24</v>
      </c>
      <c r="S15" s="14">
        <v>0.36</v>
      </c>
      <c r="T15" s="14">
        <v>0.28999999999999998</v>
      </c>
      <c r="U15" s="14">
        <v>0.19</v>
      </c>
      <c r="V15" s="14">
        <v>0.44</v>
      </c>
      <c r="W15" s="14">
        <v>0.23</v>
      </c>
      <c r="X15" s="14">
        <v>0.31</v>
      </c>
      <c r="Y15" s="14">
        <v>0.35</v>
      </c>
      <c r="Z15" s="14">
        <v>0.43</v>
      </c>
      <c r="AA15" s="14">
        <v>0.43</v>
      </c>
      <c r="AB15" s="14">
        <v>0.41</v>
      </c>
      <c r="AC15" s="14">
        <v>0.39</v>
      </c>
      <c r="AD15" s="14">
        <v>0.42</v>
      </c>
      <c r="AE15" s="14">
        <v>0.32</v>
      </c>
      <c r="AF15" s="14">
        <v>0.24</v>
      </c>
    </row>
    <row r="16" spans="1:32">
      <c r="A16" s="23"/>
      <c r="B16" s="11" t="s">
        <v>1041</v>
      </c>
      <c r="C16" s="12">
        <v>2566</v>
      </c>
      <c r="D16" s="12">
        <v>118</v>
      </c>
      <c r="E16" s="12">
        <v>94</v>
      </c>
      <c r="F16" s="12">
        <v>165</v>
      </c>
      <c r="G16" s="12">
        <v>65</v>
      </c>
      <c r="H16" s="12">
        <v>120</v>
      </c>
      <c r="I16" s="12">
        <v>169</v>
      </c>
      <c r="J16" s="12">
        <v>49</v>
      </c>
      <c r="K16" s="12">
        <v>132</v>
      </c>
      <c r="L16" s="12">
        <v>44</v>
      </c>
      <c r="M16" s="12">
        <v>74</v>
      </c>
      <c r="N16" s="12">
        <v>48</v>
      </c>
      <c r="O16" s="12">
        <v>75</v>
      </c>
      <c r="P16" s="12">
        <v>97</v>
      </c>
      <c r="Q16" s="12">
        <v>79</v>
      </c>
      <c r="R16" s="12">
        <v>26</v>
      </c>
      <c r="S16" s="12">
        <v>90</v>
      </c>
      <c r="T16" s="12">
        <v>95</v>
      </c>
      <c r="U16" s="12">
        <v>10</v>
      </c>
      <c r="V16" s="12">
        <v>121</v>
      </c>
      <c r="W16" s="12">
        <v>18</v>
      </c>
      <c r="X16" s="12">
        <v>92</v>
      </c>
      <c r="Y16" s="12">
        <v>91</v>
      </c>
      <c r="Z16" s="12">
        <v>168</v>
      </c>
      <c r="AA16" s="12">
        <v>136</v>
      </c>
      <c r="AB16" s="12">
        <v>185</v>
      </c>
      <c r="AC16" s="12">
        <v>99</v>
      </c>
      <c r="AD16" s="12">
        <v>62</v>
      </c>
      <c r="AE16" s="12">
        <v>73</v>
      </c>
      <c r="AF16" s="12">
        <v>73</v>
      </c>
    </row>
    <row r="17" spans="1:32">
      <c r="A17" s="23"/>
      <c r="B17" s="13" t="s">
        <v>1042</v>
      </c>
      <c r="C17" s="14">
        <v>0.1</v>
      </c>
      <c r="D17" s="14">
        <v>0.12</v>
      </c>
      <c r="E17" s="14">
        <v>0.09</v>
      </c>
      <c r="F17" s="14">
        <v>0.16</v>
      </c>
      <c r="G17" s="14">
        <v>0.06</v>
      </c>
      <c r="H17" s="14">
        <v>0.1</v>
      </c>
      <c r="I17" s="14">
        <v>0.11</v>
      </c>
      <c r="J17" s="14">
        <v>0.17</v>
      </c>
      <c r="K17" s="14">
        <v>0.13</v>
      </c>
      <c r="L17" s="14">
        <v>0.04</v>
      </c>
      <c r="M17" s="14">
        <v>7.0000000000000007E-2</v>
      </c>
      <c r="N17" s="14">
        <v>0.05</v>
      </c>
      <c r="O17" s="14">
        <v>7.0000000000000007E-2</v>
      </c>
      <c r="P17" s="14">
        <v>0.1</v>
      </c>
      <c r="Q17" s="14">
        <v>0.08</v>
      </c>
      <c r="R17" s="14">
        <v>0.05</v>
      </c>
      <c r="S17" s="14">
        <v>0.09</v>
      </c>
      <c r="T17" s="14">
        <v>0.09</v>
      </c>
      <c r="U17" s="14">
        <v>0.02</v>
      </c>
      <c r="V17" s="14">
        <v>0.12</v>
      </c>
      <c r="W17" s="14">
        <v>0.03</v>
      </c>
      <c r="X17" s="14">
        <v>0.09</v>
      </c>
      <c r="Y17" s="14">
        <v>0.09</v>
      </c>
      <c r="Z17" s="14">
        <v>0.17</v>
      </c>
      <c r="AA17" s="14">
        <v>0.13</v>
      </c>
      <c r="AB17" s="14">
        <v>0.18</v>
      </c>
      <c r="AC17" s="14">
        <v>0.1</v>
      </c>
      <c r="AD17" s="14">
        <v>0.06</v>
      </c>
      <c r="AE17" s="14">
        <v>7.0000000000000007E-2</v>
      </c>
      <c r="AF17" s="14">
        <v>7.0000000000000007E-2</v>
      </c>
    </row>
    <row r="18" spans="1:32">
      <c r="A18" s="23"/>
      <c r="B18" s="11" t="s">
        <v>1043</v>
      </c>
      <c r="C18" s="12">
        <v>920</v>
      </c>
      <c r="D18" s="12">
        <v>6</v>
      </c>
      <c r="E18" s="12">
        <v>25</v>
      </c>
      <c r="F18" s="12">
        <v>36</v>
      </c>
      <c r="G18" s="12">
        <v>31</v>
      </c>
      <c r="H18" s="12">
        <v>79</v>
      </c>
      <c r="I18" s="12">
        <v>95</v>
      </c>
      <c r="J18" s="12">
        <v>17</v>
      </c>
      <c r="K18" s="12">
        <v>41</v>
      </c>
      <c r="L18" s="12">
        <v>18</v>
      </c>
      <c r="M18" s="12">
        <v>9</v>
      </c>
      <c r="N18" s="12">
        <v>16</v>
      </c>
      <c r="O18" s="12">
        <v>34</v>
      </c>
      <c r="P18" s="12">
        <v>26</v>
      </c>
      <c r="Q18" s="12">
        <v>34</v>
      </c>
      <c r="R18" s="12">
        <v>26</v>
      </c>
      <c r="S18" s="12">
        <v>25</v>
      </c>
      <c r="T18" s="12">
        <v>29</v>
      </c>
      <c r="U18" s="12">
        <v>11</v>
      </c>
      <c r="V18" s="12">
        <v>16</v>
      </c>
      <c r="W18" s="12">
        <v>5</v>
      </c>
      <c r="X18" s="12">
        <v>30</v>
      </c>
      <c r="Y18" s="12">
        <v>48</v>
      </c>
      <c r="Z18" s="12">
        <v>40</v>
      </c>
      <c r="AA18" s="12">
        <v>24</v>
      </c>
      <c r="AB18" s="12">
        <v>40</v>
      </c>
      <c r="AC18" s="12">
        <v>34</v>
      </c>
      <c r="AD18" s="12">
        <v>7</v>
      </c>
      <c r="AE18" s="12">
        <v>20</v>
      </c>
      <c r="AF18" s="12">
        <v>23</v>
      </c>
    </row>
    <row r="19" spans="1:32">
      <c r="A19" s="23"/>
      <c r="B19" s="13" t="s">
        <v>1044</v>
      </c>
      <c r="C19" s="14">
        <v>0.03</v>
      </c>
      <c r="D19" s="14">
        <v>0.01</v>
      </c>
      <c r="E19" s="14">
        <v>0.02</v>
      </c>
      <c r="F19" s="14">
        <v>0.04</v>
      </c>
      <c r="G19" s="14">
        <v>0.03</v>
      </c>
      <c r="H19" s="14">
        <v>7.0000000000000007E-2</v>
      </c>
      <c r="I19" s="14">
        <v>0.06</v>
      </c>
      <c r="J19" s="14">
        <v>0.06</v>
      </c>
      <c r="K19" s="14">
        <v>0.04</v>
      </c>
      <c r="L19" s="14">
        <v>0.02</v>
      </c>
      <c r="M19" s="14">
        <v>0.01</v>
      </c>
      <c r="N19" s="14">
        <v>0.02</v>
      </c>
      <c r="O19" s="14">
        <v>0.03</v>
      </c>
      <c r="P19" s="14">
        <v>0.02</v>
      </c>
      <c r="Q19" s="14">
        <v>0.03</v>
      </c>
      <c r="R19" s="14">
        <v>0.05</v>
      </c>
      <c r="S19" s="14">
        <v>0.03</v>
      </c>
      <c r="T19" s="14">
        <v>0.03</v>
      </c>
      <c r="U19" s="14">
        <v>0.02</v>
      </c>
      <c r="V19" s="14">
        <v>0.02</v>
      </c>
      <c r="W19" s="14">
        <v>0.01</v>
      </c>
      <c r="X19" s="14">
        <v>0.03</v>
      </c>
      <c r="Y19" s="14">
        <v>0.05</v>
      </c>
      <c r="Z19" s="14">
        <v>0.04</v>
      </c>
      <c r="AA19" s="14">
        <v>0.02</v>
      </c>
      <c r="AB19" s="14">
        <v>0.04</v>
      </c>
      <c r="AC19" s="14">
        <v>0.03</v>
      </c>
      <c r="AD19" s="14">
        <v>0.01</v>
      </c>
      <c r="AE19" s="14">
        <v>0.02</v>
      </c>
      <c r="AF19" s="14">
        <v>0.02</v>
      </c>
    </row>
    <row r="20" spans="1:32">
      <c r="A20" s="23"/>
      <c r="B20" s="11" t="s">
        <v>497</v>
      </c>
      <c r="C20" s="12">
        <v>661</v>
      </c>
      <c r="D20" s="12">
        <v>3</v>
      </c>
      <c r="E20" s="12">
        <v>35</v>
      </c>
      <c r="F20" s="12">
        <v>36</v>
      </c>
      <c r="G20" s="12">
        <v>30</v>
      </c>
      <c r="H20" s="12">
        <v>40</v>
      </c>
      <c r="I20" s="12">
        <v>44</v>
      </c>
      <c r="J20" s="12">
        <v>3</v>
      </c>
      <c r="K20" s="12">
        <v>24</v>
      </c>
      <c r="L20" s="12">
        <v>16</v>
      </c>
      <c r="M20" s="12">
        <v>9</v>
      </c>
      <c r="N20" s="12">
        <v>32</v>
      </c>
      <c r="O20" s="12">
        <v>35</v>
      </c>
      <c r="P20" s="12">
        <v>9</v>
      </c>
      <c r="Q20" s="12">
        <v>11</v>
      </c>
      <c r="R20" s="12">
        <v>8</v>
      </c>
      <c r="S20" s="12">
        <v>44</v>
      </c>
      <c r="T20" s="12">
        <v>38</v>
      </c>
      <c r="U20" s="12">
        <v>14</v>
      </c>
      <c r="V20" s="12">
        <v>10</v>
      </c>
      <c r="W20" s="12">
        <v>7</v>
      </c>
      <c r="X20" s="12">
        <v>5</v>
      </c>
      <c r="Y20" s="12">
        <v>35</v>
      </c>
      <c r="Z20" s="12">
        <v>32</v>
      </c>
      <c r="AA20" s="12">
        <v>33</v>
      </c>
      <c r="AB20" s="12">
        <v>28</v>
      </c>
      <c r="AC20" s="12">
        <v>16</v>
      </c>
      <c r="AD20" s="12">
        <v>10</v>
      </c>
      <c r="AE20" s="12">
        <v>36</v>
      </c>
      <c r="AF20" s="12">
        <v>18</v>
      </c>
    </row>
    <row r="21" spans="1:32">
      <c r="A21" s="23"/>
      <c r="B21" s="13" t="s">
        <v>498</v>
      </c>
      <c r="C21" s="14">
        <v>0.02</v>
      </c>
      <c r="D21" s="15" t="s">
        <v>485</v>
      </c>
      <c r="E21" s="14">
        <v>0.03</v>
      </c>
      <c r="F21" s="14">
        <v>0.04</v>
      </c>
      <c r="G21" s="14">
        <v>0.03</v>
      </c>
      <c r="H21" s="14">
        <v>0.03</v>
      </c>
      <c r="I21" s="14">
        <v>0.03</v>
      </c>
      <c r="J21" s="14">
        <v>0.01</v>
      </c>
      <c r="K21" s="14">
        <v>0.02</v>
      </c>
      <c r="L21" s="14">
        <v>0.02</v>
      </c>
      <c r="M21" s="14">
        <v>0.01</v>
      </c>
      <c r="N21" s="14">
        <v>0.03</v>
      </c>
      <c r="O21" s="14">
        <v>0.04</v>
      </c>
      <c r="P21" s="14">
        <v>0.01</v>
      </c>
      <c r="Q21" s="14">
        <v>0.01</v>
      </c>
      <c r="R21" s="14">
        <v>0.01</v>
      </c>
      <c r="S21" s="14">
        <v>0.04</v>
      </c>
      <c r="T21" s="14">
        <v>0.04</v>
      </c>
      <c r="U21" s="14">
        <v>0.03</v>
      </c>
      <c r="V21" s="14">
        <v>0.01</v>
      </c>
      <c r="W21" s="14">
        <v>0.01</v>
      </c>
      <c r="X21" s="15" t="s">
        <v>485</v>
      </c>
      <c r="Y21" s="14">
        <v>0.03</v>
      </c>
      <c r="Z21" s="14">
        <v>0.03</v>
      </c>
      <c r="AA21" s="14">
        <v>0.03</v>
      </c>
      <c r="AB21" s="14">
        <v>0.03</v>
      </c>
      <c r="AC21" s="14">
        <v>0.01</v>
      </c>
      <c r="AD21" s="14">
        <v>0.01</v>
      </c>
      <c r="AE21" s="14">
        <v>0.04</v>
      </c>
      <c r="AF21" s="14">
        <v>0.02</v>
      </c>
    </row>
    <row r="22" spans="1:32">
      <c r="A22" s="23"/>
      <c r="B22" s="11" t="s">
        <v>1045</v>
      </c>
      <c r="C22" s="12">
        <v>22207</v>
      </c>
      <c r="D22" s="12">
        <v>880</v>
      </c>
      <c r="E22" s="12">
        <v>891</v>
      </c>
      <c r="F22" s="12">
        <v>769</v>
      </c>
      <c r="G22" s="12">
        <v>877</v>
      </c>
      <c r="H22" s="12">
        <v>971</v>
      </c>
      <c r="I22" s="12">
        <v>1195</v>
      </c>
      <c r="J22" s="12">
        <v>225</v>
      </c>
      <c r="K22" s="12">
        <v>807</v>
      </c>
      <c r="L22" s="12">
        <v>930</v>
      </c>
      <c r="M22" s="12">
        <v>919</v>
      </c>
      <c r="N22" s="12">
        <v>904</v>
      </c>
      <c r="O22" s="12">
        <v>862</v>
      </c>
      <c r="P22" s="12">
        <v>880</v>
      </c>
      <c r="Q22" s="12">
        <v>900</v>
      </c>
      <c r="R22" s="12">
        <v>442</v>
      </c>
      <c r="S22" s="12">
        <v>846</v>
      </c>
      <c r="T22" s="12">
        <v>843</v>
      </c>
      <c r="U22" s="12">
        <v>469</v>
      </c>
      <c r="V22" s="12">
        <v>864</v>
      </c>
      <c r="W22" s="12">
        <v>473</v>
      </c>
      <c r="X22" s="12">
        <v>888</v>
      </c>
      <c r="Y22" s="12">
        <v>833</v>
      </c>
      <c r="Z22" s="12">
        <v>776</v>
      </c>
      <c r="AA22" s="12">
        <v>847</v>
      </c>
      <c r="AB22" s="12">
        <v>779</v>
      </c>
      <c r="AC22" s="12">
        <v>856</v>
      </c>
      <c r="AD22" s="12">
        <v>922</v>
      </c>
      <c r="AE22" s="12">
        <v>879</v>
      </c>
      <c r="AF22" s="12">
        <v>960</v>
      </c>
    </row>
    <row r="23" spans="1:32">
      <c r="A23" s="23"/>
      <c r="B23" s="13" t="s">
        <v>1046</v>
      </c>
      <c r="C23" s="14">
        <v>0.85</v>
      </c>
      <c r="D23" s="14">
        <v>0.87</v>
      </c>
      <c r="E23" s="14">
        <v>0.86</v>
      </c>
      <c r="F23" s="14">
        <v>0.76</v>
      </c>
      <c r="G23" s="14">
        <v>0.88</v>
      </c>
      <c r="H23" s="14">
        <v>0.8</v>
      </c>
      <c r="I23" s="14">
        <v>0.8</v>
      </c>
      <c r="J23" s="14">
        <v>0.76</v>
      </c>
      <c r="K23" s="14">
        <v>0.81</v>
      </c>
      <c r="L23" s="14">
        <v>0.92</v>
      </c>
      <c r="M23" s="14">
        <v>0.91</v>
      </c>
      <c r="N23" s="14">
        <v>0.9</v>
      </c>
      <c r="O23" s="14">
        <v>0.86</v>
      </c>
      <c r="P23" s="14">
        <v>0.87</v>
      </c>
      <c r="Q23" s="14">
        <v>0.88</v>
      </c>
      <c r="R23" s="14">
        <v>0.89</v>
      </c>
      <c r="S23" s="14">
        <v>0.84</v>
      </c>
      <c r="T23" s="14">
        <v>0.84</v>
      </c>
      <c r="U23" s="14">
        <v>0.93</v>
      </c>
      <c r="V23" s="14">
        <v>0.85</v>
      </c>
      <c r="W23" s="14">
        <v>0.95000000000000007</v>
      </c>
      <c r="X23" s="14">
        <v>0.88</v>
      </c>
      <c r="Y23" s="14">
        <v>0.83000000000000007</v>
      </c>
      <c r="Z23" s="14">
        <v>0.76</v>
      </c>
      <c r="AA23" s="14">
        <v>0.82000000000000006</v>
      </c>
      <c r="AB23" s="14">
        <v>0.75</v>
      </c>
      <c r="AC23" s="14">
        <v>0.86</v>
      </c>
      <c r="AD23" s="14">
        <v>0.92</v>
      </c>
      <c r="AE23" s="14">
        <v>0.87</v>
      </c>
      <c r="AF23" s="14">
        <v>0.89</v>
      </c>
    </row>
    <row r="24" spans="1:32">
      <c r="A24" s="23"/>
      <c r="B24" s="11" t="s">
        <v>1047</v>
      </c>
      <c r="C24" s="12">
        <v>3486</v>
      </c>
      <c r="D24" s="12">
        <v>124</v>
      </c>
      <c r="E24" s="12">
        <v>119</v>
      </c>
      <c r="F24" s="12">
        <v>201</v>
      </c>
      <c r="G24" s="12">
        <v>96</v>
      </c>
      <c r="H24" s="12">
        <v>199</v>
      </c>
      <c r="I24" s="12">
        <v>264</v>
      </c>
      <c r="J24" s="12">
        <v>66</v>
      </c>
      <c r="K24" s="12">
        <v>173</v>
      </c>
      <c r="L24" s="12">
        <v>62</v>
      </c>
      <c r="M24" s="12">
        <v>83</v>
      </c>
      <c r="N24" s="12">
        <v>64</v>
      </c>
      <c r="O24" s="12">
        <v>109</v>
      </c>
      <c r="P24" s="12">
        <v>123</v>
      </c>
      <c r="Q24" s="12">
        <v>113</v>
      </c>
      <c r="R24" s="12">
        <v>52</v>
      </c>
      <c r="S24" s="12">
        <v>115</v>
      </c>
      <c r="T24" s="12">
        <v>124</v>
      </c>
      <c r="U24" s="12">
        <v>21</v>
      </c>
      <c r="V24" s="12">
        <v>137</v>
      </c>
      <c r="W24" s="12">
        <v>23</v>
      </c>
      <c r="X24" s="12">
        <v>122</v>
      </c>
      <c r="Y24" s="12">
        <v>139</v>
      </c>
      <c r="Z24" s="12">
        <v>208</v>
      </c>
      <c r="AA24" s="12">
        <v>160</v>
      </c>
      <c r="AB24" s="12">
        <v>225</v>
      </c>
      <c r="AC24" s="12">
        <v>133</v>
      </c>
      <c r="AD24" s="12">
        <v>69</v>
      </c>
      <c r="AE24" s="12">
        <v>93</v>
      </c>
      <c r="AF24" s="12">
        <v>96</v>
      </c>
    </row>
    <row r="25" spans="1:32">
      <c r="A25" s="23"/>
      <c r="B25" s="13" t="s">
        <v>1048</v>
      </c>
      <c r="C25" s="14">
        <v>0.13</v>
      </c>
      <c r="D25" s="14">
        <v>0.13</v>
      </c>
      <c r="E25" s="14">
        <v>0.11</v>
      </c>
      <c r="F25" s="14">
        <v>0.2</v>
      </c>
      <c r="G25" s="14">
        <v>0.09</v>
      </c>
      <c r="H25" s="14">
        <v>0.17</v>
      </c>
      <c r="I25" s="14">
        <v>0.17</v>
      </c>
      <c r="J25" s="14">
        <v>0.23</v>
      </c>
      <c r="K25" s="14">
        <v>0.17</v>
      </c>
      <c r="L25" s="14">
        <v>0.06</v>
      </c>
      <c r="M25" s="14">
        <v>0.08</v>
      </c>
      <c r="N25" s="14">
        <v>7.0000000000000007E-2</v>
      </c>
      <c r="O25" s="14">
        <v>0.1</v>
      </c>
      <c r="P25" s="14">
        <v>0.12</v>
      </c>
      <c r="Q25" s="14">
        <v>0.11</v>
      </c>
      <c r="R25" s="14">
        <v>0.1</v>
      </c>
      <c r="S25" s="14">
        <v>0.12</v>
      </c>
      <c r="T25" s="14">
        <v>0.12</v>
      </c>
      <c r="U25" s="14">
        <v>0.04</v>
      </c>
      <c r="V25" s="14">
        <v>0.14000000000000001</v>
      </c>
      <c r="W25" s="14">
        <v>0.04</v>
      </c>
      <c r="X25" s="14">
        <v>0.12</v>
      </c>
      <c r="Y25" s="14">
        <v>0.14000000000000001</v>
      </c>
      <c r="Z25" s="14">
        <v>0.21</v>
      </c>
      <c r="AA25" s="14">
        <v>0.15</v>
      </c>
      <c r="AB25" s="14">
        <v>0.22</v>
      </c>
      <c r="AC25" s="14">
        <v>0.13</v>
      </c>
      <c r="AD25" s="14">
        <v>7.0000000000000007E-2</v>
      </c>
      <c r="AE25" s="14">
        <v>0.09</v>
      </c>
      <c r="AF25" s="14">
        <v>0.09</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1057</v>
      </c>
      <c r="C3" s="19"/>
      <c r="D3" s="19"/>
      <c r="E3" s="19"/>
      <c r="F3" s="19"/>
      <c r="H3" s="19" t="s">
        <v>1058</v>
      </c>
      <c r="I3" s="19"/>
      <c r="J3" s="19"/>
      <c r="K3" s="19"/>
      <c r="L3" s="19"/>
    </row>
    <row r="4" spans="1:32" ht="27" customHeight="1">
      <c r="B4" s="19" t="s">
        <v>1059</v>
      </c>
      <c r="C4" s="19"/>
      <c r="D4" s="19"/>
      <c r="E4" s="19"/>
      <c r="F4" s="19"/>
      <c r="H4" s="19" t="s">
        <v>1060</v>
      </c>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HYPERLINK("#Content!A79","&lt;&lt;Back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921</v>
      </c>
      <c r="C12" s="12">
        <v>2604</v>
      </c>
      <c r="D12" s="12">
        <v>127</v>
      </c>
      <c r="E12" s="12">
        <v>95</v>
      </c>
      <c r="F12" s="12">
        <v>127</v>
      </c>
      <c r="G12" s="12">
        <v>241</v>
      </c>
      <c r="H12" s="12">
        <v>57</v>
      </c>
      <c r="I12" s="12">
        <v>69</v>
      </c>
      <c r="J12" s="12">
        <v>12</v>
      </c>
      <c r="K12" s="12">
        <v>76</v>
      </c>
      <c r="L12" s="12">
        <v>92</v>
      </c>
      <c r="M12" s="12">
        <v>35</v>
      </c>
      <c r="N12" s="12">
        <v>187</v>
      </c>
      <c r="O12" s="12">
        <v>75</v>
      </c>
      <c r="P12" s="12">
        <v>131</v>
      </c>
      <c r="Q12" s="12">
        <v>86</v>
      </c>
      <c r="R12" s="12">
        <v>44</v>
      </c>
      <c r="S12" s="12">
        <v>74</v>
      </c>
      <c r="T12" s="12">
        <v>58</v>
      </c>
      <c r="U12" s="12">
        <v>132</v>
      </c>
      <c r="V12" s="12">
        <v>95</v>
      </c>
      <c r="W12" s="12">
        <v>99</v>
      </c>
      <c r="X12" s="12">
        <v>111</v>
      </c>
      <c r="Y12" s="12">
        <v>183</v>
      </c>
      <c r="Z12" s="12">
        <v>90</v>
      </c>
      <c r="AA12" s="12">
        <v>73</v>
      </c>
      <c r="AB12" s="12">
        <v>96</v>
      </c>
      <c r="AC12" s="12">
        <v>199</v>
      </c>
      <c r="AD12" s="12">
        <v>52</v>
      </c>
      <c r="AE12" s="12">
        <v>151</v>
      </c>
      <c r="AF12" s="12">
        <v>272</v>
      </c>
    </row>
    <row r="13" spans="1:32">
      <c r="A13" s="23"/>
      <c r="B13" s="13" t="s">
        <v>922</v>
      </c>
      <c r="C13" s="14">
        <v>0.1</v>
      </c>
      <c r="D13" s="14">
        <v>0.13</v>
      </c>
      <c r="E13" s="14">
        <v>0.09</v>
      </c>
      <c r="F13" s="14">
        <v>0.13</v>
      </c>
      <c r="G13" s="14">
        <v>0.24</v>
      </c>
      <c r="H13" s="14">
        <v>0.05</v>
      </c>
      <c r="I13" s="14">
        <v>0.05</v>
      </c>
      <c r="J13" s="14">
        <v>0.04</v>
      </c>
      <c r="K13" s="14">
        <v>0.08</v>
      </c>
      <c r="L13" s="14">
        <v>0.09</v>
      </c>
      <c r="M13" s="14">
        <v>0.03</v>
      </c>
      <c r="N13" s="14">
        <v>0.19</v>
      </c>
      <c r="O13" s="14">
        <v>0.08</v>
      </c>
      <c r="P13" s="14">
        <v>0.13</v>
      </c>
      <c r="Q13" s="14">
        <v>0.08</v>
      </c>
      <c r="R13" s="14">
        <v>0.09</v>
      </c>
      <c r="S13" s="14">
        <v>0.08</v>
      </c>
      <c r="T13" s="14">
        <v>0.06</v>
      </c>
      <c r="U13" s="14">
        <v>0.26</v>
      </c>
      <c r="V13" s="14">
        <v>0.09</v>
      </c>
      <c r="W13" s="14">
        <v>0.2</v>
      </c>
      <c r="X13" s="14">
        <v>0.11</v>
      </c>
      <c r="Y13" s="14">
        <v>0.18</v>
      </c>
      <c r="Z13" s="14">
        <v>0.09</v>
      </c>
      <c r="AA13" s="14">
        <v>7.0000000000000007E-2</v>
      </c>
      <c r="AB13" s="14">
        <v>0.09</v>
      </c>
      <c r="AC13" s="14">
        <v>0.2</v>
      </c>
      <c r="AD13" s="14">
        <v>0.05</v>
      </c>
      <c r="AE13" s="14">
        <v>0.15</v>
      </c>
      <c r="AF13" s="14">
        <v>0.25</v>
      </c>
    </row>
    <row r="14" spans="1:32">
      <c r="A14" s="23"/>
      <c r="B14" s="11" t="s">
        <v>923</v>
      </c>
      <c r="C14" s="12">
        <v>10548</v>
      </c>
      <c r="D14" s="12">
        <v>478</v>
      </c>
      <c r="E14" s="12">
        <v>377</v>
      </c>
      <c r="F14" s="12">
        <v>574</v>
      </c>
      <c r="G14" s="12">
        <v>418</v>
      </c>
      <c r="H14" s="12">
        <v>333</v>
      </c>
      <c r="I14" s="12">
        <v>440</v>
      </c>
      <c r="J14" s="12">
        <v>108</v>
      </c>
      <c r="K14" s="12">
        <v>402</v>
      </c>
      <c r="L14" s="12">
        <v>309</v>
      </c>
      <c r="M14" s="12">
        <v>203</v>
      </c>
      <c r="N14" s="12">
        <v>456</v>
      </c>
      <c r="O14" s="12">
        <v>385</v>
      </c>
      <c r="P14" s="12">
        <v>396</v>
      </c>
      <c r="Q14" s="12">
        <v>414</v>
      </c>
      <c r="R14" s="12">
        <v>186</v>
      </c>
      <c r="S14" s="12">
        <v>372</v>
      </c>
      <c r="T14" s="12">
        <v>428</v>
      </c>
      <c r="U14" s="12">
        <v>217</v>
      </c>
      <c r="V14" s="12">
        <v>391</v>
      </c>
      <c r="W14" s="12">
        <v>264</v>
      </c>
      <c r="X14" s="12">
        <v>443</v>
      </c>
      <c r="Y14" s="12">
        <v>413</v>
      </c>
      <c r="Z14" s="12">
        <v>536</v>
      </c>
      <c r="AA14" s="12">
        <v>299</v>
      </c>
      <c r="AB14" s="12">
        <v>428</v>
      </c>
      <c r="AC14" s="12">
        <v>582</v>
      </c>
      <c r="AD14" s="12">
        <v>624</v>
      </c>
      <c r="AE14" s="12">
        <v>478</v>
      </c>
      <c r="AF14" s="12">
        <v>535</v>
      </c>
    </row>
    <row r="15" spans="1:32">
      <c r="A15" s="23"/>
      <c r="B15" s="13" t="s">
        <v>924</v>
      </c>
      <c r="C15" s="14">
        <v>0.4</v>
      </c>
      <c r="D15" s="14">
        <v>0.47</v>
      </c>
      <c r="E15" s="14">
        <v>0.36</v>
      </c>
      <c r="F15" s="14">
        <v>0.57000000000000006</v>
      </c>
      <c r="G15" s="14">
        <v>0.41</v>
      </c>
      <c r="H15" s="14">
        <v>0.27</v>
      </c>
      <c r="I15" s="14">
        <v>0.28999999999999998</v>
      </c>
      <c r="J15" s="14">
        <v>0.37</v>
      </c>
      <c r="K15" s="14">
        <v>0.4</v>
      </c>
      <c r="L15" s="14">
        <v>0.31</v>
      </c>
      <c r="M15" s="14">
        <v>0.2</v>
      </c>
      <c r="N15" s="14">
        <v>0.46</v>
      </c>
      <c r="O15" s="14">
        <v>0.38</v>
      </c>
      <c r="P15" s="14">
        <v>0.39</v>
      </c>
      <c r="Q15" s="14">
        <v>0.41</v>
      </c>
      <c r="R15" s="14">
        <v>0.37</v>
      </c>
      <c r="S15" s="14">
        <v>0.37</v>
      </c>
      <c r="T15" s="14">
        <v>0.43</v>
      </c>
      <c r="U15" s="14">
        <v>0.43</v>
      </c>
      <c r="V15" s="14">
        <v>0.39</v>
      </c>
      <c r="W15" s="14">
        <v>0.52</v>
      </c>
      <c r="X15" s="14">
        <v>0.44</v>
      </c>
      <c r="Y15" s="14">
        <v>0.41</v>
      </c>
      <c r="Z15" s="14">
        <v>0.53</v>
      </c>
      <c r="AA15" s="14">
        <v>0.28999999999999998</v>
      </c>
      <c r="AB15" s="14">
        <v>0.42</v>
      </c>
      <c r="AC15" s="14">
        <v>0.57999999999999996</v>
      </c>
      <c r="AD15" s="14">
        <v>0.62</v>
      </c>
      <c r="AE15" s="14">
        <v>0.47</v>
      </c>
      <c r="AF15" s="14">
        <v>0.5</v>
      </c>
    </row>
    <row r="16" spans="1:32">
      <c r="A16" s="23"/>
      <c r="B16" s="11" t="s">
        <v>925</v>
      </c>
      <c r="C16" s="12">
        <v>7241</v>
      </c>
      <c r="D16" s="12">
        <v>243</v>
      </c>
      <c r="E16" s="12">
        <v>210</v>
      </c>
      <c r="F16" s="12">
        <v>195</v>
      </c>
      <c r="G16" s="12">
        <v>148</v>
      </c>
      <c r="H16" s="12">
        <v>464</v>
      </c>
      <c r="I16" s="12">
        <v>570</v>
      </c>
      <c r="J16" s="12">
        <v>107</v>
      </c>
      <c r="K16" s="12">
        <v>232</v>
      </c>
      <c r="L16" s="12">
        <v>240</v>
      </c>
      <c r="M16" s="12">
        <v>412</v>
      </c>
      <c r="N16" s="12">
        <v>174</v>
      </c>
      <c r="O16" s="12">
        <v>246</v>
      </c>
      <c r="P16" s="12">
        <v>382</v>
      </c>
      <c r="Q16" s="12">
        <v>321</v>
      </c>
      <c r="R16" s="12">
        <v>169</v>
      </c>
      <c r="S16" s="12">
        <v>304</v>
      </c>
      <c r="T16" s="12">
        <v>249</v>
      </c>
      <c r="U16" s="12">
        <v>43</v>
      </c>
      <c r="V16" s="12">
        <v>317</v>
      </c>
      <c r="W16" s="12">
        <v>74</v>
      </c>
      <c r="X16" s="12">
        <v>218</v>
      </c>
      <c r="Y16" s="12">
        <v>212</v>
      </c>
      <c r="Z16" s="12">
        <v>234</v>
      </c>
      <c r="AA16" s="12">
        <v>388</v>
      </c>
      <c r="AB16" s="12">
        <v>376</v>
      </c>
      <c r="AC16" s="12">
        <v>137</v>
      </c>
      <c r="AD16" s="12">
        <v>239</v>
      </c>
      <c r="AE16" s="12">
        <v>135</v>
      </c>
      <c r="AF16" s="12">
        <v>109</v>
      </c>
    </row>
    <row r="17" spans="1:32">
      <c r="A17" s="23"/>
      <c r="B17" s="13" t="s">
        <v>926</v>
      </c>
      <c r="C17" s="14">
        <v>0.27</v>
      </c>
      <c r="D17" s="14">
        <v>0.24</v>
      </c>
      <c r="E17" s="14">
        <v>0.2</v>
      </c>
      <c r="F17" s="14">
        <v>0.19</v>
      </c>
      <c r="G17" s="14">
        <v>0.15</v>
      </c>
      <c r="H17" s="14">
        <v>0.38</v>
      </c>
      <c r="I17" s="14">
        <v>0.38</v>
      </c>
      <c r="J17" s="14">
        <v>0.36</v>
      </c>
      <c r="K17" s="14">
        <v>0.23</v>
      </c>
      <c r="L17" s="14">
        <v>0.24</v>
      </c>
      <c r="M17" s="14">
        <v>0.41</v>
      </c>
      <c r="N17" s="14">
        <v>0.17</v>
      </c>
      <c r="O17" s="14">
        <v>0.25</v>
      </c>
      <c r="P17" s="14">
        <v>0.38</v>
      </c>
      <c r="Q17" s="14">
        <v>0.31</v>
      </c>
      <c r="R17" s="14">
        <v>0.33</v>
      </c>
      <c r="S17" s="14">
        <v>0.3</v>
      </c>
      <c r="T17" s="14">
        <v>0.25</v>
      </c>
      <c r="U17" s="14">
        <v>0.09</v>
      </c>
      <c r="V17" s="14">
        <v>0.31</v>
      </c>
      <c r="W17" s="14">
        <v>0.15</v>
      </c>
      <c r="X17" s="14">
        <v>0.21</v>
      </c>
      <c r="Y17" s="14">
        <v>0.21</v>
      </c>
      <c r="Z17" s="14">
        <v>0.23</v>
      </c>
      <c r="AA17" s="14">
        <v>0.37</v>
      </c>
      <c r="AB17" s="14">
        <v>0.36</v>
      </c>
      <c r="AC17" s="14">
        <v>0.14000000000000001</v>
      </c>
      <c r="AD17" s="14">
        <v>0.24</v>
      </c>
      <c r="AE17" s="14">
        <v>0.14000000000000001</v>
      </c>
      <c r="AF17" s="14">
        <v>0.1</v>
      </c>
    </row>
    <row r="18" spans="1:32">
      <c r="A18" s="23"/>
      <c r="B18" s="11" t="s">
        <v>927</v>
      </c>
      <c r="C18" s="12">
        <v>2506</v>
      </c>
      <c r="D18" s="12">
        <v>69</v>
      </c>
      <c r="E18" s="12">
        <v>113</v>
      </c>
      <c r="F18" s="12">
        <v>39</v>
      </c>
      <c r="G18" s="12">
        <v>47</v>
      </c>
      <c r="H18" s="12">
        <v>167</v>
      </c>
      <c r="I18" s="12">
        <v>209</v>
      </c>
      <c r="J18" s="12">
        <v>42</v>
      </c>
      <c r="K18" s="12">
        <v>56</v>
      </c>
      <c r="L18" s="12">
        <v>206</v>
      </c>
      <c r="M18" s="12">
        <v>261</v>
      </c>
      <c r="N18" s="12">
        <v>69</v>
      </c>
      <c r="O18" s="12">
        <v>85</v>
      </c>
      <c r="P18" s="12">
        <v>88</v>
      </c>
      <c r="Q18" s="12">
        <v>118</v>
      </c>
      <c r="R18" s="12">
        <v>44</v>
      </c>
      <c r="S18" s="12">
        <v>62</v>
      </c>
      <c r="T18" s="12">
        <v>31</v>
      </c>
      <c r="U18" s="12">
        <v>11</v>
      </c>
      <c r="V18" s="12">
        <v>102</v>
      </c>
      <c r="W18" s="12">
        <v>18</v>
      </c>
      <c r="X18" s="12">
        <v>41</v>
      </c>
      <c r="Y18" s="12">
        <v>65</v>
      </c>
      <c r="Z18" s="12">
        <v>66</v>
      </c>
      <c r="AA18" s="12">
        <v>155</v>
      </c>
      <c r="AB18" s="12">
        <v>84</v>
      </c>
      <c r="AC18" s="12">
        <v>22</v>
      </c>
      <c r="AD18" s="12">
        <v>39</v>
      </c>
      <c r="AE18" s="12">
        <v>21</v>
      </c>
      <c r="AF18" s="12">
        <v>12</v>
      </c>
    </row>
    <row r="19" spans="1:32">
      <c r="A19" s="23"/>
      <c r="B19" s="13" t="s">
        <v>928</v>
      </c>
      <c r="C19" s="14">
        <v>0.1</v>
      </c>
      <c r="D19" s="14">
        <v>7.0000000000000007E-2</v>
      </c>
      <c r="E19" s="14">
        <v>0.11</v>
      </c>
      <c r="F19" s="14">
        <v>0.04</v>
      </c>
      <c r="G19" s="14">
        <v>0.05</v>
      </c>
      <c r="H19" s="14">
        <v>0.14000000000000001</v>
      </c>
      <c r="I19" s="14">
        <v>0.14000000000000001</v>
      </c>
      <c r="J19" s="14">
        <v>0.14000000000000001</v>
      </c>
      <c r="K19" s="14">
        <v>0.05</v>
      </c>
      <c r="L19" s="14">
        <v>0.2</v>
      </c>
      <c r="M19" s="14">
        <v>0.26</v>
      </c>
      <c r="N19" s="14">
        <v>7.0000000000000007E-2</v>
      </c>
      <c r="O19" s="14">
        <v>0.08</v>
      </c>
      <c r="P19" s="14">
        <v>0.09</v>
      </c>
      <c r="Q19" s="14">
        <v>0.12</v>
      </c>
      <c r="R19" s="14">
        <v>0.09</v>
      </c>
      <c r="S19" s="14">
        <v>0.06</v>
      </c>
      <c r="T19" s="14">
        <v>0.03</v>
      </c>
      <c r="U19" s="14">
        <v>0.02</v>
      </c>
      <c r="V19" s="14">
        <v>0.1</v>
      </c>
      <c r="W19" s="14">
        <v>0.03</v>
      </c>
      <c r="X19" s="14">
        <v>0.04</v>
      </c>
      <c r="Y19" s="14">
        <v>7.0000000000000007E-2</v>
      </c>
      <c r="Z19" s="14">
        <v>0.06</v>
      </c>
      <c r="AA19" s="14">
        <v>0.15</v>
      </c>
      <c r="AB19" s="14">
        <v>0.08</v>
      </c>
      <c r="AC19" s="14">
        <v>0.02</v>
      </c>
      <c r="AD19" s="14">
        <v>0.04</v>
      </c>
      <c r="AE19" s="14">
        <v>0.02</v>
      </c>
      <c r="AF19" s="14">
        <v>0.01</v>
      </c>
    </row>
    <row r="20" spans="1:32">
      <c r="A20" s="23"/>
      <c r="B20" s="11" t="s">
        <v>497</v>
      </c>
      <c r="C20" s="12">
        <v>3455</v>
      </c>
      <c r="D20" s="12">
        <v>89</v>
      </c>
      <c r="E20" s="12">
        <v>249</v>
      </c>
      <c r="F20" s="12">
        <v>73</v>
      </c>
      <c r="G20" s="12">
        <v>148</v>
      </c>
      <c r="H20" s="12">
        <v>190</v>
      </c>
      <c r="I20" s="12">
        <v>215</v>
      </c>
      <c r="J20" s="12">
        <v>25</v>
      </c>
      <c r="K20" s="12">
        <v>238</v>
      </c>
      <c r="L20" s="12">
        <v>160</v>
      </c>
      <c r="M20" s="12">
        <v>99</v>
      </c>
      <c r="N20" s="12">
        <v>114</v>
      </c>
      <c r="O20" s="12">
        <v>215</v>
      </c>
      <c r="P20" s="12">
        <v>13</v>
      </c>
      <c r="Q20" s="12">
        <v>86</v>
      </c>
      <c r="R20" s="12">
        <v>59</v>
      </c>
      <c r="S20" s="12">
        <v>193</v>
      </c>
      <c r="T20" s="12">
        <v>238</v>
      </c>
      <c r="U20" s="12">
        <v>99</v>
      </c>
      <c r="V20" s="12">
        <v>106</v>
      </c>
      <c r="W20" s="12">
        <v>49</v>
      </c>
      <c r="X20" s="12">
        <v>203</v>
      </c>
      <c r="Y20" s="12">
        <v>133</v>
      </c>
      <c r="Z20" s="12">
        <v>91</v>
      </c>
      <c r="AA20" s="12">
        <v>124</v>
      </c>
      <c r="AB20" s="12">
        <v>47</v>
      </c>
      <c r="AC20" s="12">
        <v>65</v>
      </c>
      <c r="AD20" s="12">
        <v>47</v>
      </c>
      <c r="AE20" s="12">
        <v>223</v>
      </c>
      <c r="AF20" s="12">
        <v>145</v>
      </c>
    </row>
    <row r="21" spans="1:32">
      <c r="A21" s="23"/>
      <c r="B21" s="13" t="s">
        <v>498</v>
      </c>
      <c r="C21" s="14">
        <v>0.13</v>
      </c>
      <c r="D21" s="14">
        <v>0.09</v>
      </c>
      <c r="E21" s="14">
        <v>0.24</v>
      </c>
      <c r="F21" s="14">
        <v>7.0000000000000007E-2</v>
      </c>
      <c r="G21" s="14">
        <v>0.15</v>
      </c>
      <c r="H21" s="14">
        <v>0.16</v>
      </c>
      <c r="I21" s="14">
        <v>0.14000000000000001</v>
      </c>
      <c r="J21" s="14">
        <v>0.09</v>
      </c>
      <c r="K21" s="14">
        <v>0.24</v>
      </c>
      <c r="L21" s="14">
        <v>0.16</v>
      </c>
      <c r="M21" s="14">
        <v>0.1</v>
      </c>
      <c r="N21" s="14">
        <v>0.11</v>
      </c>
      <c r="O21" s="14">
        <v>0.21</v>
      </c>
      <c r="P21" s="14">
        <v>0.01</v>
      </c>
      <c r="Q21" s="14">
        <v>0.08</v>
      </c>
      <c r="R21" s="14">
        <v>0.12</v>
      </c>
      <c r="S21" s="14">
        <v>0.19</v>
      </c>
      <c r="T21" s="14">
        <v>0.23</v>
      </c>
      <c r="U21" s="14">
        <v>0.2</v>
      </c>
      <c r="V21" s="14">
        <v>0.11</v>
      </c>
      <c r="W21" s="14">
        <v>0.1</v>
      </c>
      <c r="X21" s="14">
        <v>0.2</v>
      </c>
      <c r="Y21" s="14">
        <v>0.13</v>
      </c>
      <c r="Z21" s="14">
        <v>0.09</v>
      </c>
      <c r="AA21" s="14">
        <v>0.12</v>
      </c>
      <c r="AB21" s="14">
        <v>0.05</v>
      </c>
      <c r="AC21" s="14">
        <v>0.06</v>
      </c>
      <c r="AD21" s="14">
        <v>0.05</v>
      </c>
      <c r="AE21" s="14">
        <v>0.22</v>
      </c>
      <c r="AF21" s="14">
        <v>0.14000000000000001</v>
      </c>
    </row>
    <row r="22" spans="1:32">
      <c r="A22" s="23"/>
      <c r="B22" s="11" t="s">
        <v>929</v>
      </c>
      <c r="C22" s="12">
        <v>13152</v>
      </c>
      <c r="D22" s="12">
        <v>605</v>
      </c>
      <c r="E22" s="12">
        <v>472</v>
      </c>
      <c r="F22" s="12">
        <v>701</v>
      </c>
      <c r="G22" s="12">
        <v>659</v>
      </c>
      <c r="H22" s="12">
        <v>390</v>
      </c>
      <c r="I22" s="12">
        <v>509</v>
      </c>
      <c r="J22" s="12">
        <v>120</v>
      </c>
      <c r="K22" s="12">
        <v>478</v>
      </c>
      <c r="L22" s="12">
        <v>401</v>
      </c>
      <c r="M22" s="12">
        <v>238</v>
      </c>
      <c r="N22" s="12">
        <v>643</v>
      </c>
      <c r="O22" s="12">
        <v>460</v>
      </c>
      <c r="P22" s="12">
        <v>527</v>
      </c>
      <c r="Q22" s="12">
        <v>500</v>
      </c>
      <c r="R22" s="12">
        <v>230</v>
      </c>
      <c r="S22" s="12">
        <v>446</v>
      </c>
      <c r="T22" s="12">
        <v>486</v>
      </c>
      <c r="U22" s="12">
        <v>349</v>
      </c>
      <c r="V22" s="12">
        <v>486</v>
      </c>
      <c r="W22" s="12">
        <v>363</v>
      </c>
      <c r="X22" s="12">
        <v>554</v>
      </c>
      <c r="Y22" s="12">
        <v>596</v>
      </c>
      <c r="Z22" s="12">
        <v>626</v>
      </c>
      <c r="AA22" s="12">
        <v>372</v>
      </c>
      <c r="AB22" s="12">
        <v>524</v>
      </c>
      <c r="AC22" s="12">
        <v>781</v>
      </c>
      <c r="AD22" s="12">
        <v>676</v>
      </c>
      <c r="AE22" s="12">
        <v>629</v>
      </c>
      <c r="AF22" s="12">
        <v>807</v>
      </c>
    </row>
    <row r="23" spans="1:32">
      <c r="A23" s="23"/>
      <c r="B23" s="13" t="s">
        <v>930</v>
      </c>
      <c r="C23" s="14">
        <v>0.5</v>
      </c>
      <c r="D23" s="14">
        <v>0.6</v>
      </c>
      <c r="E23" s="14">
        <v>0.45</v>
      </c>
      <c r="F23" s="14">
        <v>0.70000000000000007</v>
      </c>
      <c r="G23" s="14">
        <v>0.65</v>
      </c>
      <c r="H23" s="14">
        <v>0.32</v>
      </c>
      <c r="I23" s="14">
        <v>0.34</v>
      </c>
      <c r="J23" s="14">
        <v>0.41</v>
      </c>
      <c r="K23" s="14">
        <v>0.48</v>
      </c>
      <c r="L23" s="14">
        <v>0.4</v>
      </c>
      <c r="M23" s="14">
        <v>0.23</v>
      </c>
      <c r="N23" s="14">
        <v>0.65</v>
      </c>
      <c r="O23" s="14">
        <v>0.46</v>
      </c>
      <c r="P23" s="14">
        <v>0.52</v>
      </c>
      <c r="Q23" s="14">
        <v>0.49</v>
      </c>
      <c r="R23" s="14">
        <v>0.46</v>
      </c>
      <c r="S23" s="14">
        <v>0.45</v>
      </c>
      <c r="T23" s="14">
        <v>0.49</v>
      </c>
      <c r="U23" s="14">
        <v>0.69000000000000006</v>
      </c>
      <c r="V23" s="14">
        <v>0.48</v>
      </c>
      <c r="W23" s="14">
        <v>0.72</v>
      </c>
      <c r="X23" s="14">
        <v>0.55000000000000004</v>
      </c>
      <c r="Y23" s="14">
        <v>0.59</v>
      </c>
      <c r="Z23" s="14">
        <v>0.62</v>
      </c>
      <c r="AA23" s="14">
        <v>0.36</v>
      </c>
      <c r="AB23" s="14">
        <v>0.51</v>
      </c>
      <c r="AC23" s="14">
        <v>0.78</v>
      </c>
      <c r="AD23" s="14">
        <v>0.67</v>
      </c>
      <c r="AE23" s="14">
        <v>0.62</v>
      </c>
      <c r="AF23" s="14">
        <v>0.75</v>
      </c>
    </row>
    <row r="24" spans="1:32">
      <c r="A24" s="23"/>
      <c r="B24" s="11" t="s">
        <v>931</v>
      </c>
      <c r="C24" s="12">
        <v>9747</v>
      </c>
      <c r="D24" s="12">
        <v>312</v>
      </c>
      <c r="E24" s="12">
        <v>323</v>
      </c>
      <c r="F24" s="12">
        <v>234</v>
      </c>
      <c r="G24" s="12">
        <v>195</v>
      </c>
      <c r="H24" s="12">
        <v>631</v>
      </c>
      <c r="I24" s="12">
        <v>779</v>
      </c>
      <c r="J24" s="12">
        <v>149</v>
      </c>
      <c r="K24" s="12">
        <v>288</v>
      </c>
      <c r="L24" s="12">
        <v>446</v>
      </c>
      <c r="M24" s="12">
        <v>673</v>
      </c>
      <c r="N24" s="12">
        <v>243</v>
      </c>
      <c r="O24" s="12">
        <v>331</v>
      </c>
      <c r="P24" s="12">
        <v>470</v>
      </c>
      <c r="Q24" s="12">
        <v>439</v>
      </c>
      <c r="R24" s="12">
        <v>213</v>
      </c>
      <c r="S24" s="12">
        <v>366</v>
      </c>
      <c r="T24" s="12">
        <v>280</v>
      </c>
      <c r="U24" s="12">
        <v>54</v>
      </c>
      <c r="V24" s="12">
        <v>419</v>
      </c>
      <c r="W24" s="12">
        <v>92</v>
      </c>
      <c r="X24" s="12">
        <v>259</v>
      </c>
      <c r="Y24" s="12">
        <v>277</v>
      </c>
      <c r="Z24" s="12">
        <v>300</v>
      </c>
      <c r="AA24" s="12">
        <v>543</v>
      </c>
      <c r="AB24" s="12">
        <v>460</v>
      </c>
      <c r="AC24" s="12">
        <v>159</v>
      </c>
      <c r="AD24" s="12">
        <v>278</v>
      </c>
      <c r="AE24" s="12">
        <v>156</v>
      </c>
      <c r="AF24" s="12">
        <v>121</v>
      </c>
    </row>
    <row r="25" spans="1:32">
      <c r="A25" s="23"/>
      <c r="B25" s="13" t="s">
        <v>932</v>
      </c>
      <c r="C25" s="14">
        <v>0.37</v>
      </c>
      <c r="D25" s="14">
        <v>0.31</v>
      </c>
      <c r="E25" s="14">
        <v>0.31</v>
      </c>
      <c r="F25" s="14">
        <v>0.23</v>
      </c>
      <c r="G25" s="14">
        <v>0.2</v>
      </c>
      <c r="H25" s="14">
        <v>0.52</v>
      </c>
      <c r="I25" s="14">
        <v>0.52</v>
      </c>
      <c r="J25" s="14">
        <v>0.5</v>
      </c>
      <c r="K25" s="14">
        <v>0.28000000000000003</v>
      </c>
      <c r="L25" s="14">
        <v>0.44</v>
      </c>
      <c r="M25" s="14">
        <v>0.67</v>
      </c>
      <c r="N25" s="14">
        <v>0.24</v>
      </c>
      <c r="O25" s="14">
        <v>0.33</v>
      </c>
      <c r="P25" s="14">
        <v>0.47</v>
      </c>
      <c r="Q25" s="14">
        <v>0.43</v>
      </c>
      <c r="R25" s="14">
        <v>0.42</v>
      </c>
      <c r="S25" s="14">
        <v>0.36</v>
      </c>
      <c r="T25" s="14">
        <v>0.28000000000000003</v>
      </c>
      <c r="U25" s="14">
        <v>0.11</v>
      </c>
      <c r="V25" s="14">
        <v>0.41</v>
      </c>
      <c r="W25" s="14">
        <v>0.18</v>
      </c>
      <c r="X25" s="14">
        <v>0.25</v>
      </c>
      <c r="Y25" s="14">
        <v>0.28000000000000003</v>
      </c>
      <c r="Z25" s="14">
        <v>0.28999999999999998</v>
      </c>
      <c r="AA25" s="14">
        <v>0.52</v>
      </c>
      <c r="AB25" s="14">
        <v>0.44</v>
      </c>
      <c r="AC25" s="14">
        <v>0.16</v>
      </c>
      <c r="AD25" s="14">
        <v>0.28000000000000003</v>
      </c>
      <c r="AE25" s="14">
        <v>0.16</v>
      </c>
      <c r="AF25" s="14">
        <v>0.11</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1061</v>
      </c>
      <c r="C3" s="19"/>
      <c r="D3" s="19"/>
      <c r="E3" s="19"/>
      <c r="F3" s="19"/>
      <c r="H3" s="19" t="s">
        <v>1062</v>
      </c>
      <c r="I3" s="19"/>
      <c r="J3" s="19"/>
      <c r="K3" s="19"/>
      <c r="L3" s="19"/>
    </row>
    <row r="4" spans="1:32" ht="27" customHeight="1">
      <c r="B4" s="19" t="s">
        <v>1063</v>
      </c>
      <c r="C4" s="19"/>
      <c r="D4" s="19"/>
      <c r="E4" s="19"/>
      <c r="F4" s="19"/>
      <c r="H4" s="19" t="s">
        <v>1064</v>
      </c>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HYPERLINK("#Content!A80","&lt;&lt;Back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921</v>
      </c>
      <c r="C12" s="12">
        <v>2364</v>
      </c>
      <c r="D12" s="12">
        <v>116</v>
      </c>
      <c r="E12" s="12">
        <v>85</v>
      </c>
      <c r="F12" s="12">
        <v>88</v>
      </c>
      <c r="G12" s="12">
        <v>139</v>
      </c>
      <c r="H12" s="12">
        <v>55</v>
      </c>
      <c r="I12" s="12">
        <v>63</v>
      </c>
      <c r="J12" s="12">
        <v>8</v>
      </c>
      <c r="K12" s="12">
        <v>38</v>
      </c>
      <c r="L12" s="12">
        <v>108</v>
      </c>
      <c r="M12" s="12">
        <v>37</v>
      </c>
      <c r="N12" s="12">
        <v>169</v>
      </c>
      <c r="O12" s="12">
        <v>80</v>
      </c>
      <c r="P12" s="12">
        <v>116</v>
      </c>
      <c r="Q12" s="12">
        <v>96</v>
      </c>
      <c r="R12" s="12">
        <v>30</v>
      </c>
      <c r="S12" s="12">
        <v>48</v>
      </c>
      <c r="T12" s="12">
        <v>60</v>
      </c>
      <c r="U12" s="12">
        <v>123</v>
      </c>
      <c r="V12" s="12">
        <v>105</v>
      </c>
      <c r="W12" s="12">
        <v>107</v>
      </c>
      <c r="X12" s="12">
        <v>102</v>
      </c>
      <c r="Y12" s="12">
        <v>180</v>
      </c>
      <c r="Z12" s="12">
        <v>77</v>
      </c>
      <c r="AA12" s="12">
        <v>73</v>
      </c>
      <c r="AB12" s="12">
        <v>120</v>
      </c>
      <c r="AC12" s="12">
        <v>64</v>
      </c>
      <c r="AD12" s="12">
        <v>42</v>
      </c>
      <c r="AE12" s="12">
        <v>47</v>
      </c>
      <c r="AF12" s="12">
        <v>119</v>
      </c>
    </row>
    <row r="13" spans="1:32">
      <c r="A13" s="23"/>
      <c r="B13" s="13" t="s">
        <v>922</v>
      </c>
      <c r="C13" s="14">
        <v>0.09</v>
      </c>
      <c r="D13" s="14">
        <v>0.12</v>
      </c>
      <c r="E13" s="14">
        <v>0.08</v>
      </c>
      <c r="F13" s="14">
        <v>0.09</v>
      </c>
      <c r="G13" s="14">
        <v>0.14000000000000001</v>
      </c>
      <c r="H13" s="14">
        <v>0.04</v>
      </c>
      <c r="I13" s="14">
        <v>0.04</v>
      </c>
      <c r="J13" s="14">
        <v>0.03</v>
      </c>
      <c r="K13" s="14">
        <v>0.04</v>
      </c>
      <c r="L13" s="14">
        <v>0.11</v>
      </c>
      <c r="M13" s="14">
        <v>0.04</v>
      </c>
      <c r="N13" s="14">
        <v>0.17</v>
      </c>
      <c r="O13" s="14">
        <v>0.08</v>
      </c>
      <c r="P13" s="14">
        <v>0.11</v>
      </c>
      <c r="Q13" s="14">
        <v>0.1</v>
      </c>
      <c r="R13" s="14">
        <v>0.06</v>
      </c>
      <c r="S13" s="14">
        <v>0.05</v>
      </c>
      <c r="T13" s="14">
        <v>0.06</v>
      </c>
      <c r="U13" s="14">
        <v>0.24</v>
      </c>
      <c r="V13" s="14">
        <v>0.1</v>
      </c>
      <c r="W13" s="14">
        <v>0.21</v>
      </c>
      <c r="X13" s="14">
        <v>0.1</v>
      </c>
      <c r="Y13" s="14">
        <v>0.18</v>
      </c>
      <c r="Z13" s="14">
        <v>0.08</v>
      </c>
      <c r="AA13" s="14">
        <v>7.0000000000000007E-2</v>
      </c>
      <c r="AB13" s="14">
        <v>0.12</v>
      </c>
      <c r="AC13" s="14">
        <v>0.06</v>
      </c>
      <c r="AD13" s="14">
        <v>0.04</v>
      </c>
      <c r="AE13" s="14">
        <v>0.05</v>
      </c>
      <c r="AF13" s="14">
        <v>0.11</v>
      </c>
    </row>
    <row r="14" spans="1:32">
      <c r="A14" s="23"/>
      <c r="B14" s="11" t="s">
        <v>923</v>
      </c>
      <c r="C14" s="12">
        <v>8428</v>
      </c>
      <c r="D14" s="12">
        <v>514</v>
      </c>
      <c r="E14" s="12">
        <v>251</v>
      </c>
      <c r="F14" s="12">
        <v>456</v>
      </c>
      <c r="G14" s="12">
        <v>388</v>
      </c>
      <c r="H14" s="12">
        <v>284</v>
      </c>
      <c r="I14" s="12">
        <v>357</v>
      </c>
      <c r="J14" s="12">
        <v>73</v>
      </c>
      <c r="K14" s="12">
        <v>216</v>
      </c>
      <c r="L14" s="12">
        <v>272</v>
      </c>
      <c r="M14" s="12">
        <v>128</v>
      </c>
      <c r="N14" s="12">
        <v>324</v>
      </c>
      <c r="O14" s="12">
        <v>324</v>
      </c>
      <c r="P14" s="12">
        <v>311</v>
      </c>
      <c r="Q14" s="12">
        <v>372</v>
      </c>
      <c r="R14" s="12">
        <v>130</v>
      </c>
      <c r="S14" s="12">
        <v>249</v>
      </c>
      <c r="T14" s="12">
        <v>325</v>
      </c>
      <c r="U14" s="12">
        <v>204</v>
      </c>
      <c r="V14" s="12">
        <v>323</v>
      </c>
      <c r="W14" s="12">
        <v>271</v>
      </c>
      <c r="X14" s="12">
        <v>378</v>
      </c>
      <c r="Y14" s="12">
        <v>332</v>
      </c>
      <c r="Z14" s="12">
        <v>393</v>
      </c>
      <c r="AA14" s="12">
        <v>226</v>
      </c>
      <c r="AB14" s="12">
        <v>352</v>
      </c>
      <c r="AC14" s="12">
        <v>318</v>
      </c>
      <c r="AD14" s="12">
        <v>332</v>
      </c>
      <c r="AE14" s="12">
        <v>234</v>
      </c>
      <c r="AF14" s="12">
        <v>409</v>
      </c>
    </row>
    <row r="15" spans="1:32">
      <c r="A15" s="23"/>
      <c r="B15" s="13" t="s">
        <v>924</v>
      </c>
      <c r="C15" s="14">
        <v>0.32</v>
      </c>
      <c r="D15" s="14">
        <v>0.51</v>
      </c>
      <c r="E15" s="14">
        <v>0.24</v>
      </c>
      <c r="F15" s="14">
        <v>0.45</v>
      </c>
      <c r="G15" s="14">
        <v>0.39</v>
      </c>
      <c r="H15" s="14">
        <v>0.23</v>
      </c>
      <c r="I15" s="14">
        <v>0.24</v>
      </c>
      <c r="J15" s="14">
        <v>0.25</v>
      </c>
      <c r="K15" s="14">
        <v>0.22</v>
      </c>
      <c r="L15" s="14">
        <v>0.27</v>
      </c>
      <c r="M15" s="14">
        <v>0.13</v>
      </c>
      <c r="N15" s="14">
        <v>0.32</v>
      </c>
      <c r="O15" s="14">
        <v>0.32</v>
      </c>
      <c r="P15" s="14">
        <v>0.31</v>
      </c>
      <c r="Q15" s="14">
        <v>0.36</v>
      </c>
      <c r="R15" s="14">
        <v>0.26</v>
      </c>
      <c r="S15" s="14">
        <v>0.25</v>
      </c>
      <c r="T15" s="14">
        <v>0.32</v>
      </c>
      <c r="U15" s="14">
        <v>0.41</v>
      </c>
      <c r="V15" s="14">
        <v>0.32</v>
      </c>
      <c r="W15" s="14">
        <v>0.54</v>
      </c>
      <c r="X15" s="14">
        <v>0.37</v>
      </c>
      <c r="Y15" s="14">
        <v>0.33</v>
      </c>
      <c r="Z15" s="14">
        <v>0.39</v>
      </c>
      <c r="AA15" s="14">
        <v>0.22</v>
      </c>
      <c r="AB15" s="14">
        <v>0.34</v>
      </c>
      <c r="AC15" s="14">
        <v>0.32</v>
      </c>
      <c r="AD15" s="14">
        <v>0.33</v>
      </c>
      <c r="AE15" s="14">
        <v>0.23</v>
      </c>
      <c r="AF15" s="14">
        <v>0.38</v>
      </c>
    </row>
    <row r="16" spans="1:32">
      <c r="A16" s="23"/>
      <c r="B16" s="11" t="s">
        <v>925</v>
      </c>
      <c r="C16" s="12">
        <v>9199</v>
      </c>
      <c r="D16" s="12">
        <v>275</v>
      </c>
      <c r="E16" s="12">
        <v>332</v>
      </c>
      <c r="F16" s="12">
        <v>283</v>
      </c>
      <c r="G16" s="12">
        <v>273</v>
      </c>
      <c r="H16" s="12">
        <v>480</v>
      </c>
      <c r="I16" s="12">
        <v>609</v>
      </c>
      <c r="J16" s="12">
        <v>128</v>
      </c>
      <c r="K16" s="12">
        <v>345</v>
      </c>
      <c r="L16" s="12">
        <v>296</v>
      </c>
      <c r="M16" s="12">
        <v>384</v>
      </c>
      <c r="N16" s="12">
        <v>303</v>
      </c>
      <c r="O16" s="12">
        <v>359</v>
      </c>
      <c r="P16" s="12">
        <v>430</v>
      </c>
      <c r="Q16" s="12">
        <v>372</v>
      </c>
      <c r="R16" s="12">
        <v>201</v>
      </c>
      <c r="S16" s="12">
        <v>369</v>
      </c>
      <c r="T16" s="12">
        <v>288</v>
      </c>
      <c r="U16" s="12">
        <v>51</v>
      </c>
      <c r="V16" s="12">
        <v>320</v>
      </c>
      <c r="W16" s="12">
        <v>83</v>
      </c>
      <c r="X16" s="12">
        <v>386</v>
      </c>
      <c r="Y16" s="12">
        <v>254</v>
      </c>
      <c r="Z16" s="12">
        <v>332</v>
      </c>
      <c r="AA16" s="12">
        <v>294</v>
      </c>
      <c r="AB16" s="12">
        <v>365</v>
      </c>
      <c r="AC16" s="12">
        <v>378</v>
      </c>
      <c r="AD16" s="12">
        <v>407</v>
      </c>
      <c r="AE16" s="12">
        <v>429</v>
      </c>
      <c r="AF16" s="12">
        <v>348</v>
      </c>
    </row>
    <row r="17" spans="1:32">
      <c r="A17" s="23"/>
      <c r="B17" s="13" t="s">
        <v>926</v>
      </c>
      <c r="C17" s="14">
        <v>0.35</v>
      </c>
      <c r="D17" s="14">
        <v>0.27</v>
      </c>
      <c r="E17" s="14">
        <v>0.32</v>
      </c>
      <c r="F17" s="14">
        <v>0.28000000000000003</v>
      </c>
      <c r="G17" s="14">
        <v>0.27</v>
      </c>
      <c r="H17" s="14">
        <v>0.4</v>
      </c>
      <c r="I17" s="14">
        <v>0.4</v>
      </c>
      <c r="J17" s="14">
        <v>0.44</v>
      </c>
      <c r="K17" s="14">
        <v>0.34</v>
      </c>
      <c r="L17" s="14">
        <v>0.28999999999999998</v>
      </c>
      <c r="M17" s="14">
        <v>0.38</v>
      </c>
      <c r="N17" s="14">
        <v>0.3</v>
      </c>
      <c r="O17" s="14">
        <v>0.36</v>
      </c>
      <c r="P17" s="14">
        <v>0.43</v>
      </c>
      <c r="Q17" s="14">
        <v>0.36</v>
      </c>
      <c r="R17" s="14">
        <v>0.4</v>
      </c>
      <c r="S17" s="14">
        <v>0.37</v>
      </c>
      <c r="T17" s="14">
        <v>0.28999999999999998</v>
      </c>
      <c r="U17" s="14">
        <v>0.1</v>
      </c>
      <c r="V17" s="14">
        <v>0.32</v>
      </c>
      <c r="W17" s="14">
        <v>0.17</v>
      </c>
      <c r="X17" s="14">
        <v>0.38</v>
      </c>
      <c r="Y17" s="14">
        <v>0.25</v>
      </c>
      <c r="Z17" s="14">
        <v>0.33</v>
      </c>
      <c r="AA17" s="14">
        <v>0.28000000000000003</v>
      </c>
      <c r="AB17" s="14">
        <v>0.35</v>
      </c>
      <c r="AC17" s="14">
        <v>0.37</v>
      </c>
      <c r="AD17" s="14">
        <v>0.41</v>
      </c>
      <c r="AE17" s="14">
        <v>0.43</v>
      </c>
      <c r="AF17" s="14">
        <v>0.33</v>
      </c>
    </row>
    <row r="18" spans="1:32">
      <c r="A18" s="23"/>
      <c r="B18" s="11" t="s">
        <v>927</v>
      </c>
      <c r="C18" s="12">
        <v>3798</v>
      </c>
      <c r="D18" s="12">
        <v>64</v>
      </c>
      <c r="E18" s="12">
        <v>164</v>
      </c>
      <c r="F18" s="12">
        <v>81</v>
      </c>
      <c r="G18" s="12">
        <v>90</v>
      </c>
      <c r="H18" s="12">
        <v>225</v>
      </c>
      <c r="I18" s="12">
        <v>297</v>
      </c>
      <c r="J18" s="12">
        <v>72</v>
      </c>
      <c r="K18" s="12">
        <v>190</v>
      </c>
      <c r="L18" s="12">
        <v>206</v>
      </c>
      <c r="M18" s="12">
        <v>370</v>
      </c>
      <c r="N18" s="12">
        <v>110</v>
      </c>
      <c r="O18" s="12">
        <v>114</v>
      </c>
      <c r="P18" s="12">
        <v>147</v>
      </c>
      <c r="Q18" s="12">
        <v>132</v>
      </c>
      <c r="R18" s="12">
        <v>86</v>
      </c>
      <c r="S18" s="12">
        <v>131</v>
      </c>
      <c r="T18" s="12">
        <v>84</v>
      </c>
      <c r="U18" s="12">
        <v>15</v>
      </c>
      <c r="V18" s="12">
        <v>174</v>
      </c>
      <c r="W18" s="12">
        <v>15</v>
      </c>
      <c r="X18" s="12">
        <v>94</v>
      </c>
      <c r="Y18" s="12">
        <v>135</v>
      </c>
      <c r="Z18" s="12">
        <v>118</v>
      </c>
      <c r="AA18" s="12">
        <v>348</v>
      </c>
      <c r="AB18" s="12">
        <v>132</v>
      </c>
      <c r="AC18" s="12">
        <v>188</v>
      </c>
      <c r="AD18" s="12">
        <v>87</v>
      </c>
      <c r="AE18" s="12">
        <v>207</v>
      </c>
      <c r="AF18" s="12">
        <v>101</v>
      </c>
    </row>
    <row r="19" spans="1:32">
      <c r="A19" s="23"/>
      <c r="B19" s="13" t="s">
        <v>928</v>
      </c>
      <c r="C19" s="14">
        <v>0.14000000000000001</v>
      </c>
      <c r="D19" s="14">
        <v>0.06</v>
      </c>
      <c r="E19" s="14">
        <v>0.16</v>
      </c>
      <c r="F19" s="14">
        <v>0.08</v>
      </c>
      <c r="G19" s="14">
        <v>0.09</v>
      </c>
      <c r="H19" s="14">
        <v>0.19</v>
      </c>
      <c r="I19" s="14">
        <v>0.2</v>
      </c>
      <c r="J19" s="14">
        <v>0.24</v>
      </c>
      <c r="K19" s="14">
        <v>0.19</v>
      </c>
      <c r="L19" s="14">
        <v>0.2</v>
      </c>
      <c r="M19" s="14">
        <v>0.36</v>
      </c>
      <c r="N19" s="14">
        <v>0.11</v>
      </c>
      <c r="O19" s="14">
        <v>0.11</v>
      </c>
      <c r="P19" s="14">
        <v>0.14000000000000001</v>
      </c>
      <c r="Q19" s="14">
        <v>0.13</v>
      </c>
      <c r="R19" s="14">
        <v>0.17</v>
      </c>
      <c r="S19" s="14">
        <v>0.13</v>
      </c>
      <c r="T19" s="14">
        <v>0.08</v>
      </c>
      <c r="U19" s="14">
        <v>0.03</v>
      </c>
      <c r="V19" s="14">
        <v>0.17</v>
      </c>
      <c r="W19" s="14">
        <v>0.03</v>
      </c>
      <c r="X19" s="14">
        <v>0.09</v>
      </c>
      <c r="Y19" s="14">
        <v>0.13</v>
      </c>
      <c r="Z19" s="14">
        <v>0.11</v>
      </c>
      <c r="AA19" s="14">
        <v>0.33</v>
      </c>
      <c r="AB19" s="14">
        <v>0.13</v>
      </c>
      <c r="AC19" s="14">
        <v>0.19</v>
      </c>
      <c r="AD19" s="14">
        <v>0.09</v>
      </c>
      <c r="AE19" s="14">
        <v>0.2</v>
      </c>
      <c r="AF19" s="14">
        <v>0.09</v>
      </c>
    </row>
    <row r="20" spans="1:32">
      <c r="A20" s="23"/>
      <c r="B20" s="11" t="s">
        <v>497</v>
      </c>
      <c r="C20" s="12">
        <v>2564</v>
      </c>
      <c r="D20" s="12">
        <v>38</v>
      </c>
      <c r="E20" s="12">
        <v>211</v>
      </c>
      <c r="F20" s="12">
        <v>99</v>
      </c>
      <c r="G20" s="12">
        <v>112</v>
      </c>
      <c r="H20" s="12">
        <v>166</v>
      </c>
      <c r="I20" s="12">
        <v>178</v>
      </c>
      <c r="J20" s="12">
        <v>13</v>
      </c>
      <c r="K20" s="12">
        <v>214</v>
      </c>
      <c r="L20" s="12">
        <v>125</v>
      </c>
      <c r="M20" s="12">
        <v>92</v>
      </c>
      <c r="N20" s="12">
        <v>95</v>
      </c>
      <c r="O20" s="12">
        <v>129</v>
      </c>
      <c r="P20" s="12">
        <v>7</v>
      </c>
      <c r="Q20" s="12">
        <v>52</v>
      </c>
      <c r="R20" s="12">
        <v>55</v>
      </c>
      <c r="S20" s="12">
        <v>208</v>
      </c>
      <c r="T20" s="12">
        <v>246</v>
      </c>
      <c r="U20" s="12">
        <v>109</v>
      </c>
      <c r="V20" s="12">
        <v>89</v>
      </c>
      <c r="W20" s="12">
        <v>27</v>
      </c>
      <c r="X20" s="12">
        <v>56</v>
      </c>
      <c r="Y20" s="12">
        <v>105</v>
      </c>
      <c r="Z20" s="12">
        <v>98</v>
      </c>
      <c r="AA20" s="12">
        <v>99</v>
      </c>
      <c r="AB20" s="12">
        <v>61</v>
      </c>
      <c r="AC20" s="12">
        <v>57</v>
      </c>
      <c r="AD20" s="12">
        <v>134</v>
      </c>
      <c r="AE20" s="12">
        <v>91</v>
      </c>
      <c r="AF20" s="12">
        <v>97</v>
      </c>
    </row>
    <row r="21" spans="1:32">
      <c r="A21" s="23"/>
      <c r="B21" s="13" t="s">
        <v>498</v>
      </c>
      <c r="C21" s="14">
        <v>0.1</v>
      </c>
      <c r="D21" s="14">
        <v>0.04</v>
      </c>
      <c r="E21" s="14">
        <v>0.2</v>
      </c>
      <c r="F21" s="14">
        <v>0.1</v>
      </c>
      <c r="G21" s="14">
        <v>0.11</v>
      </c>
      <c r="H21" s="14">
        <v>0.14000000000000001</v>
      </c>
      <c r="I21" s="14">
        <v>0.12</v>
      </c>
      <c r="J21" s="14">
        <v>0.04</v>
      </c>
      <c r="K21" s="14">
        <v>0.21</v>
      </c>
      <c r="L21" s="14">
        <v>0.13</v>
      </c>
      <c r="M21" s="14">
        <v>0.09</v>
      </c>
      <c r="N21" s="14">
        <v>0.1</v>
      </c>
      <c r="O21" s="14">
        <v>0.13</v>
      </c>
      <c r="P21" s="14">
        <v>0.01</v>
      </c>
      <c r="Q21" s="14">
        <v>0.05</v>
      </c>
      <c r="R21" s="14">
        <v>0.11</v>
      </c>
      <c r="S21" s="14">
        <v>0.2</v>
      </c>
      <c r="T21" s="14">
        <v>0.25</v>
      </c>
      <c r="U21" s="14">
        <v>0.22</v>
      </c>
      <c r="V21" s="14">
        <v>0.09</v>
      </c>
      <c r="W21" s="14">
        <v>0.05</v>
      </c>
      <c r="X21" s="14">
        <v>0.06</v>
      </c>
      <c r="Y21" s="14">
        <v>0.11</v>
      </c>
      <c r="Z21" s="14">
        <v>0.09</v>
      </c>
      <c r="AA21" s="14">
        <v>0.1</v>
      </c>
      <c r="AB21" s="14">
        <v>0.06</v>
      </c>
      <c r="AC21" s="14">
        <v>0.06</v>
      </c>
      <c r="AD21" s="14">
        <v>0.13</v>
      </c>
      <c r="AE21" s="14">
        <v>0.09</v>
      </c>
      <c r="AF21" s="14">
        <v>0.09</v>
      </c>
    </row>
    <row r="22" spans="1:32">
      <c r="A22" s="23"/>
      <c r="B22" s="11" t="s">
        <v>929</v>
      </c>
      <c r="C22" s="12">
        <v>10792</v>
      </c>
      <c r="D22" s="12">
        <v>630</v>
      </c>
      <c r="E22" s="12">
        <v>336</v>
      </c>
      <c r="F22" s="12">
        <v>544</v>
      </c>
      <c r="G22" s="12">
        <v>527</v>
      </c>
      <c r="H22" s="12">
        <v>339</v>
      </c>
      <c r="I22" s="12">
        <v>420</v>
      </c>
      <c r="J22" s="12">
        <v>81</v>
      </c>
      <c r="K22" s="12">
        <v>254</v>
      </c>
      <c r="L22" s="12">
        <v>380</v>
      </c>
      <c r="M22" s="12">
        <v>165</v>
      </c>
      <c r="N22" s="12">
        <v>493</v>
      </c>
      <c r="O22" s="12">
        <v>404</v>
      </c>
      <c r="P22" s="12">
        <v>427</v>
      </c>
      <c r="Q22" s="12">
        <v>468</v>
      </c>
      <c r="R22" s="12">
        <v>160</v>
      </c>
      <c r="S22" s="12">
        <v>297</v>
      </c>
      <c r="T22" s="12">
        <v>385</v>
      </c>
      <c r="U22" s="12">
        <v>327</v>
      </c>
      <c r="V22" s="12">
        <v>428</v>
      </c>
      <c r="W22" s="12">
        <v>378</v>
      </c>
      <c r="X22" s="12">
        <v>480</v>
      </c>
      <c r="Y22" s="12">
        <v>512</v>
      </c>
      <c r="Z22" s="12">
        <v>470</v>
      </c>
      <c r="AA22" s="12">
        <v>299</v>
      </c>
      <c r="AB22" s="12">
        <v>472</v>
      </c>
      <c r="AC22" s="12">
        <v>382</v>
      </c>
      <c r="AD22" s="12">
        <v>374</v>
      </c>
      <c r="AE22" s="12">
        <v>281</v>
      </c>
      <c r="AF22" s="12">
        <v>528</v>
      </c>
    </row>
    <row r="23" spans="1:32">
      <c r="A23" s="23"/>
      <c r="B23" s="13" t="s">
        <v>930</v>
      </c>
      <c r="C23" s="14">
        <v>0.41</v>
      </c>
      <c r="D23" s="14">
        <v>0.63</v>
      </c>
      <c r="E23" s="14">
        <v>0.32</v>
      </c>
      <c r="F23" s="14">
        <v>0.54</v>
      </c>
      <c r="G23" s="14">
        <v>0.53</v>
      </c>
      <c r="H23" s="14">
        <v>0.27</v>
      </c>
      <c r="I23" s="14">
        <v>0.28000000000000003</v>
      </c>
      <c r="J23" s="14">
        <v>0.28000000000000003</v>
      </c>
      <c r="K23" s="14">
        <v>0.26</v>
      </c>
      <c r="L23" s="14">
        <v>0.38</v>
      </c>
      <c r="M23" s="14">
        <v>0.17</v>
      </c>
      <c r="N23" s="14">
        <v>0.49</v>
      </c>
      <c r="O23" s="14">
        <v>0.4</v>
      </c>
      <c r="P23" s="14">
        <v>0.42</v>
      </c>
      <c r="Q23" s="14">
        <v>0.46</v>
      </c>
      <c r="R23" s="14">
        <v>0.32</v>
      </c>
      <c r="S23" s="14">
        <v>0.3</v>
      </c>
      <c r="T23" s="14">
        <v>0.38</v>
      </c>
      <c r="U23" s="14">
        <v>0.65</v>
      </c>
      <c r="V23" s="14">
        <v>0.42</v>
      </c>
      <c r="W23" s="14">
        <v>0.75</v>
      </c>
      <c r="X23" s="14">
        <v>0.47</v>
      </c>
      <c r="Y23" s="14">
        <v>0.51</v>
      </c>
      <c r="Z23" s="14">
        <v>0.47</v>
      </c>
      <c r="AA23" s="14">
        <v>0.28999999999999998</v>
      </c>
      <c r="AB23" s="14">
        <v>0.46</v>
      </c>
      <c r="AC23" s="14">
        <v>0.38</v>
      </c>
      <c r="AD23" s="14">
        <v>0.37</v>
      </c>
      <c r="AE23" s="14">
        <v>0.28000000000000003</v>
      </c>
      <c r="AF23" s="14">
        <v>0.49</v>
      </c>
    </row>
    <row r="24" spans="1:32">
      <c r="A24" s="23"/>
      <c r="B24" s="11" t="s">
        <v>931</v>
      </c>
      <c r="C24" s="12">
        <v>12997</v>
      </c>
      <c r="D24" s="12">
        <v>339</v>
      </c>
      <c r="E24" s="12">
        <v>496</v>
      </c>
      <c r="F24" s="12">
        <v>364</v>
      </c>
      <c r="G24" s="12">
        <v>363</v>
      </c>
      <c r="H24" s="12">
        <v>705</v>
      </c>
      <c r="I24" s="12">
        <v>906</v>
      </c>
      <c r="J24" s="12">
        <v>200</v>
      </c>
      <c r="K24" s="12">
        <v>535</v>
      </c>
      <c r="L24" s="12">
        <v>502</v>
      </c>
      <c r="M24" s="12">
        <v>754</v>
      </c>
      <c r="N24" s="12">
        <v>413</v>
      </c>
      <c r="O24" s="12">
        <v>473</v>
      </c>
      <c r="P24" s="12">
        <v>577</v>
      </c>
      <c r="Q24" s="12">
        <v>504</v>
      </c>
      <c r="R24" s="12">
        <v>287</v>
      </c>
      <c r="S24" s="12">
        <v>500</v>
      </c>
      <c r="T24" s="12">
        <v>372</v>
      </c>
      <c r="U24" s="12">
        <v>66</v>
      </c>
      <c r="V24" s="12">
        <v>494</v>
      </c>
      <c r="W24" s="12">
        <v>98</v>
      </c>
      <c r="X24" s="12">
        <v>480</v>
      </c>
      <c r="Y24" s="12">
        <v>389</v>
      </c>
      <c r="Z24" s="12">
        <v>450</v>
      </c>
      <c r="AA24" s="12">
        <v>642</v>
      </c>
      <c r="AB24" s="12">
        <v>497</v>
      </c>
      <c r="AC24" s="12">
        <v>566</v>
      </c>
      <c r="AD24" s="12">
        <v>494</v>
      </c>
      <c r="AE24" s="12">
        <v>636</v>
      </c>
      <c r="AF24" s="12">
        <v>449</v>
      </c>
    </row>
    <row r="25" spans="1:32">
      <c r="A25" s="23"/>
      <c r="B25" s="13" t="s">
        <v>932</v>
      </c>
      <c r="C25" s="14">
        <v>0.49</v>
      </c>
      <c r="D25" s="14">
        <v>0.33</v>
      </c>
      <c r="E25" s="14">
        <v>0.48</v>
      </c>
      <c r="F25" s="14">
        <v>0.36</v>
      </c>
      <c r="G25" s="14">
        <v>0.36</v>
      </c>
      <c r="H25" s="14">
        <v>0.59</v>
      </c>
      <c r="I25" s="14">
        <v>0.6</v>
      </c>
      <c r="J25" s="14">
        <v>0.68</v>
      </c>
      <c r="K25" s="14">
        <v>0.53</v>
      </c>
      <c r="L25" s="14">
        <v>0.49</v>
      </c>
      <c r="M25" s="14">
        <v>0.74</v>
      </c>
      <c r="N25" s="14">
        <v>0.41</v>
      </c>
      <c r="O25" s="14">
        <v>0.47</v>
      </c>
      <c r="P25" s="14">
        <v>0.57000000000000006</v>
      </c>
      <c r="Q25" s="14">
        <v>0.49</v>
      </c>
      <c r="R25" s="14">
        <v>0.57000000000000006</v>
      </c>
      <c r="S25" s="14">
        <v>0.5</v>
      </c>
      <c r="T25" s="14">
        <v>0.37</v>
      </c>
      <c r="U25" s="14">
        <v>0.13</v>
      </c>
      <c r="V25" s="14">
        <v>0.49</v>
      </c>
      <c r="W25" s="14">
        <v>0.2</v>
      </c>
      <c r="X25" s="14">
        <v>0.47</v>
      </c>
      <c r="Y25" s="14">
        <v>0.38</v>
      </c>
      <c r="Z25" s="14">
        <v>0.44</v>
      </c>
      <c r="AA25" s="14">
        <v>0.61</v>
      </c>
      <c r="AB25" s="14">
        <v>0.48</v>
      </c>
      <c r="AC25" s="14">
        <v>0.56000000000000005</v>
      </c>
      <c r="AD25" s="14">
        <v>0.5</v>
      </c>
      <c r="AE25" s="14">
        <v>0.63</v>
      </c>
      <c r="AF25" s="14">
        <v>0.42</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1065</v>
      </c>
      <c r="C3" s="19"/>
      <c r="D3" s="19"/>
      <c r="E3" s="19"/>
      <c r="F3" s="19"/>
      <c r="H3" s="19" t="s">
        <v>1066</v>
      </c>
      <c r="I3" s="19"/>
      <c r="J3" s="19"/>
      <c r="K3" s="19"/>
      <c r="L3" s="19"/>
    </row>
    <row r="4" spans="1:32" ht="27" customHeight="1">
      <c r="B4" s="19" t="s">
        <v>1067</v>
      </c>
      <c r="C4" s="19"/>
      <c r="D4" s="19"/>
      <c r="E4" s="19"/>
      <c r="F4" s="19"/>
      <c r="H4" s="19" t="s">
        <v>1068</v>
      </c>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HYPERLINK("#Content!A81","&lt;&lt;Back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921</v>
      </c>
      <c r="C12" s="12">
        <v>1857</v>
      </c>
      <c r="D12" s="12">
        <v>102</v>
      </c>
      <c r="E12" s="12">
        <v>66</v>
      </c>
      <c r="F12" s="12">
        <v>71</v>
      </c>
      <c r="G12" s="12">
        <v>97</v>
      </c>
      <c r="H12" s="12">
        <v>46</v>
      </c>
      <c r="I12" s="12">
        <v>56</v>
      </c>
      <c r="J12" s="12">
        <v>10</v>
      </c>
      <c r="K12" s="12">
        <v>41</v>
      </c>
      <c r="L12" s="12">
        <v>98</v>
      </c>
      <c r="M12" s="12">
        <v>35</v>
      </c>
      <c r="N12" s="12">
        <v>133</v>
      </c>
      <c r="O12" s="12">
        <v>63</v>
      </c>
      <c r="P12" s="12">
        <v>129</v>
      </c>
      <c r="Q12" s="12">
        <v>73</v>
      </c>
      <c r="R12" s="12">
        <v>32</v>
      </c>
      <c r="S12" s="12">
        <v>36</v>
      </c>
      <c r="T12" s="12">
        <v>60</v>
      </c>
      <c r="U12" s="12">
        <v>62</v>
      </c>
      <c r="V12" s="12">
        <v>73</v>
      </c>
      <c r="W12" s="12">
        <v>59</v>
      </c>
      <c r="X12" s="12">
        <v>29</v>
      </c>
      <c r="Y12" s="12">
        <v>169</v>
      </c>
      <c r="Z12" s="12">
        <v>74</v>
      </c>
      <c r="AA12" s="12">
        <v>84</v>
      </c>
      <c r="AB12" s="12">
        <v>89</v>
      </c>
      <c r="AC12" s="12">
        <v>45</v>
      </c>
      <c r="AD12" s="12">
        <v>32</v>
      </c>
      <c r="AE12" s="12">
        <v>45</v>
      </c>
      <c r="AF12" s="12">
        <v>35</v>
      </c>
    </row>
    <row r="13" spans="1:32">
      <c r="A13" s="23"/>
      <c r="B13" s="13" t="s">
        <v>922</v>
      </c>
      <c r="C13" s="14">
        <v>7.0000000000000007E-2</v>
      </c>
      <c r="D13" s="14">
        <v>0.1</v>
      </c>
      <c r="E13" s="14">
        <v>0.06</v>
      </c>
      <c r="F13" s="14">
        <v>7.0000000000000007E-2</v>
      </c>
      <c r="G13" s="14">
        <v>0.1</v>
      </c>
      <c r="H13" s="14">
        <v>0.04</v>
      </c>
      <c r="I13" s="14">
        <v>0.04</v>
      </c>
      <c r="J13" s="14">
        <v>0.03</v>
      </c>
      <c r="K13" s="14">
        <v>0.04</v>
      </c>
      <c r="L13" s="14">
        <v>0.1</v>
      </c>
      <c r="M13" s="14">
        <v>0.03</v>
      </c>
      <c r="N13" s="14">
        <v>0.13</v>
      </c>
      <c r="O13" s="14">
        <v>0.06</v>
      </c>
      <c r="P13" s="14">
        <v>0.13</v>
      </c>
      <c r="Q13" s="14">
        <v>7.0000000000000007E-2</v>
      </c>
      <c r="R13" s="14">
        <v>7.0000000000000007E-2</v>
      </c>
      <c r="S13" s="14">
        <v>0.03</v>
      </c>
      <c r="T13" s="14">
        <v>0.06</v>
      </c>
      <c r="U13" s="14">
        <v>0.12</v>
      </c>
      <c r="V13" s="14">
        <v>7.0000000000000007E-2</v>
      </c>
      <c r="W13" s="14">
        <v>0.12</v>
      </c>
      <c r="X13" s="14">
        <v>0.03</v>
      </c>
      <c r="Y13" s="14">
        <v>0.17</v>
      </c>
      <c r="Z13" s="14">
        <v>0.08</v>
      </c>
      <c r="AA13" s="14">
        <v>0.08</v>
      </c>
      <c r="AB13" s="14">
        <v>0.09</v>
      </c>
      <c r="AC13" s="14">
        <v>0.04</v>
      </c>
      <c r="AD13" s="14">
        <v>0.03</v>
      </c>
      <c r="AE13" s="14">
        <v>0.04</v>
      </c>
      <c r="AF13" s="14">
        <v>0.03</v>
      </c>
    </row>
    <row r="14" spans="1:32">
      <c r="A14" s="23"/>
      <c r="B14" s="11" t="s">
        <v>923</v>
      </c>
      <c r="C14" s="12">
        <v>6504</v>
      </c>
      <c r="D14" s="12">
        <v>318</v>
      </c>
      <c r="E14" s="12">
        <v>187</v>
      </c>
      <c r="F14" s="12">
        <v>211</v>
      </c>
      <c r="G14" s="12">
        <v>349</v>
      </c>
      <c r="H14" s="12">
        <v>225</v>
      </c>
      <c r="I14" s="12">
        <v>289</v>
      </c>
      <c r="J14" s="12">
        <v>65</v>
      </c>
      <c r="K14" s="12">
        <v>200</v>
      </c>
      <c r="L14" s="12">
        <v>181</v>
      </c>
      <c r="M14" s="12">
        <v>116</v>
      </c>
      <c r="N14" s="12">
        <v>215</v>
      </c>
      <c r="O14" s="12">
        <v>257</v>
      </c>
      <c r="P14" s="12">
        <v>286</v>
      </c>
      <c r="Q14" s="12">
        <v>344</v>
      </c>
      <c r="R14" s="12">
        <v>79</v>
      </c>
      <c r="S14" s="12">
        <v>258</v>
      </c>
      <c r="T14" s="12">
        <v>205</v>
      </c>
      <c r="U14" s="12">
        <v>92</v>
      </c>
      <c r="V14" s="12">
        <v>330</v>
      </c>
      <c r="W14" s="12">
        <v>147</v>
      </c>
      <c r="X14" s="12">
        <v>78</v>
      </c>
      <c r="Y14" s="12">
        <v>323</v>
      </c>
      <c r="Z14" s="12">
        <v>328</v>
      </c>
      <c r="AA14" s="12">
        <v>176</v>
      </c>
      <c r="AB14" s="12">
        <v>314</v>
      </c>
      <c r="AC14" s="12">
        <v>144</v>
      </c>
      <c r="AD14" s="12">
        <v>214</v>
      </c>
      <c r="AE14" s="12">
        <v>368</v>
      </c>
      <c r="AF14" s="12">
        <v>244</v>
      </c>
    </row>
    <row r="15" spans="1:32">
      <c r="A15" s="23"/>
      <c r="B15" s="13" t="s">
        <v>924</v>
      </c>
      <c r="C15" s="14">
        <v>0.25</v>
      </c>
      <c r="D15" s="14">
        <v>0.32</v>
      </c>
      <c r="E15" s="14">
        <v>0.18</v>
      </c>
      <c r="F15" s="14">
        <v>0.21</v>
      </c>
      <c r="G15" s="14">
        <v>0.35</v>
      </c>
      <c r="H15" s="14">
        <v>0.19</v>
      </c>
      <c r="I15" s="14">
        <v>0.19</v>
      </c>
      <c r="J15" s="14">
        <v>0.22</v>
      </c>
      <c r="K15" s="14">
        <v>0.2</v>
      </c>
      <c r="L15" s="14">
        <v>0.18</v>
      </c>
      <c r="M15" s="14">
        <v>0.11</v>
      </c>
      <c r="N15" s="14">
        <v>0.22</v>
      </c>
      <c r="O15" s="14">
        <v>0.26</v>
      </c>
      <c r="P15" s="14">
        <v>0.28000000000000003</v>
      </c>
      <c r="Q15" s="14">
        <v>0.34</v>
      </c>
      <c r="R15" s="14">
        <v>0.16</v>
      </c>
      <c r="S15" s="14">
        <v>0.26</v>
      </c>
      <c r="T15" s="14">
        <v>0.2</v>
      </c>
      <c r="U15" s="14">
        <v>0.18</v>
      </c>
      <c r="V15" s="14">
        <v>0.33</v>
      </c>
      <c r="W15" s="14">
        <v>0.28999999999999998</v>
      </c>
      <c r="X15" s="14">
        <v>0.08</v>
      </c>
      <c r="Y15" s="14">
        <v>0.32</v>
      </c>
      <c r="Z15" s="14">
        <v>0.32</v>
      </c>
      <c r="AA15" s="14">
        <v>0.17</v>
      </c>
      <c r="AB15" s="14">
        <v>0.3</v>
      </c>
      <c r="AC15" s="14">
        <v>0.14000000000000001</v>
      </c>
      <c r="AD15" s="14">
        <v>0.21</v>
      </c>
      <c r="AE15" s="14">
        <v>0.37</v>
      </c>
      <c r="AF15" s="14">
        <v>0.23</v>
      </c>
    </row>
    <row r="16" spans="1:32">
      <c r="A16" s="23"/>
      <c r="B16" s="11" t="s">
        <v>925</v>
      </c>
      <c r="C16" s="12">
        <v>9867</v>
      </c>
      <c r="D16" s="12">
        <v>397</v>
      </c>
      <c r="E16" s="12">
        <v>300</v>
      </c>
      <c r="F16" s="12">
        <v>360</v>
      </c>
      <c r="G16" s="12">
        <v>347</v>
      </c>
      <c r="H16" s="12">
        <v>486</v>
      </c>
      <c r="I16" s="12">
        <v>613</v>
      </c>
      <c r="J16" s="12">
        <v>128</v>
      </c>
      <c r="K16" s="12">
        <v>390</v>
      </c>
      <c r="L16" s="12">
        <v>303</v>
      </c>
      <c r="M16" s="12">
        <v>422</v>
      </c>
      <c r="N16" s="12">
        <v>310</v>
      </c>
      <c r="O16" s="12">
        <v>425</v>
      </c>
      <c r="P16" s="12">
        <v>397</v>
      </c>
      <c r="Q16" s="12">
        <v>377</v>
      </c>
      <c r="R16" s="12">
        <v>182</v>
      </c>
      <c r="S16" s="12">
        <v>365</v>
      </c>
      <c r="T16" s="12">
        <v>368</v>
      </c>
      <c r="U16" s="12">
        <v>140</v>
      </c>
      <c r="V16" s="12">
        <v>364</v>
      </c>
      <c r="W16" s="12">
        <v>123</v>
      </c>
      <c r="X16" s="12">
        <v>399</v>
      </c>
      <c r="Y16" s="12">
        <v>304</v>
      </c>
      <c r="Z16" s="12">
        <v>337</v>
      </c>
      <c r="AA16" s="12">
        <v>275</v>
      </c>
      <c r="AB16" s="12">
        <v>351</v>
      </c>
      <c r="AC16" s="12">
        <v>401</v>
      </c>
      <c r="AD16" s="12">
        <v>500</v>
      </c>
      <c r="AE16" s="12">
        <v>397</v>
      </c>
      <c r="AF16" s="12">
        <v>524</v>
      </c>
    </row>
    <row r="17" spans="1:32">
      <c r="A17" s="23"/>
      <c r="B17" s="13" t="s">
        <v>926</v>
      </c>
      <c r="C17" s="14">
        <v>0.37</v>
      </c>
      <c r="D17" s="14">
        <v>0.39</v>
      </c>
      <c r="E17" s="14">
        <v>0.28999999999999998</v>
      </c>
      <c r="F17" s="14">
        <v>0.36</v>
      </c>
      <c r="G17" s="14">
        <v>0.34</v>
      </c>
      <c r="H17" s="14">
        <v>0.4</v>
      </c>
      <c r="I17" s="14">
        <v>0.41</v>
      </c>
      <c r="J17" s="14">
        <v>0.43</v>
      </c>
      <c r="K17" s="14">
        <v>0.39</v>
      </c>
      <c r="L17" s="14">
        <v>0.3</v>
      </c>
      <c r="M17" s="14">
        <v>0.42</v>
      </c>
      <c r="N17" s="14">
        <v>0.31</v>
      </c>
      <c r="O17" s="14">
        <v>0.42</v>
      </c>
      <c r="P17" s="14">
        <v>0.39</v>
      </c>
      <c r="Q17" s="14">
        <v>0.37</v>
      </c>
      <c r="R17" s="14">
        <v>0.36</v>
      </c>
      <c r="S17" s="14">
        <v>0.36</v>
      </c>
      <c r="T17" s="14">
        <v>0.37</v>
      </c>
      <c r="U17" s="14">
        <v>0.28000000000000003</v>
      </c>
      <c r="V17" s="14">
        <v>0.36</v>
      </c>
      <c r="W17" s="14">
        <v>0.25</v>
      </c>
      <c r="X17" s="14">
        <v>0.39</v>
      </c>
      <c r="Y17" s="14">
        <v>0.3</v>
      </c>
      <c r="Z17" s="14">
        <v>0.33</v>
      </c>
      <c r="AA17" s="14">
        <v>0.26</v>
      </c>
      <c r="AB17" s="14">
        <v>0.34</v>
      </c>
      <c r="AC17" s="14">
        <v>0.4</v>
      </c>
      <c r="AD17" s="14">
        <v>0.5</v>
      </c>
      <c r="AE17" s="14">
        <v>0.39</v>
      </c>
      <c r="AF17" s="14">
        <v>0.49</v>
      </c>
    </row>
    <row r="18" spans="1:32">
      <c r="A18" s="23"/>
      <c r="B18" s="11" t="s">
        <v>927</v>
      </c>
      <c r="C18" s="12">
        <v>6719</v>
      </c>
      <c r="D18" s="12">
        <v>161</v>
      </c>
      <c r="E18" s="12">
        <v>355</v>
      </c>
      <c r="F18" s="12">
        <v>340</v>
      </c>
      <c r="G18" s="12">
        <v>129</v>
      </c>
      <c r="H18" s="12">
        <v>366</v>
      </c>
      <c r="I18" s="12">
        <v>447</v>
      </c>
      <c r="J18" s="12">
        <v>81</v>
      </c>
      <c r="K18" s="12">
        <v>242</v>
      </c>
      <c r="L18" s="12">
        <v>396</v>
      </c>
      <c r="M18" s="12">
        <v>401</v>
      </c>
      <c r="N18" s="12">
        <v>307</v>
      </c>
      <c r="O18" s="12">
        <v>208</v>
      </c>
      <c r="P18" s="12">
        <v>188</v>
      </c>
      <c r="Q18" s="12">
        <v>164</v>
      </c>
      <c r="R18" s="12">
        <v>183</v>
      </c>
      <c r="S18" s="12">
        <v>168</v>
      </c>
      <c r="T18" s="12">
        <v>278</v>
      </c>
      <c r="U18" s="12">
        <v>174</v>
      </c>
      <c r="V18" s="12">
        <v>215</v>
      </c>
      <c r="W18" s="12">
        <v>148</v>
      </c>
      <c r="X18" s="12">
        <v>484</v>
      </c>
      <c r="Y18" s="12">
        <v>148</v>
      </c>
      <c r="Z18" s="12">
        <v>213</v>
      </c>
      <c r="AA18" s="12">
        <v>475</v>
      </c>
      <c r="AB18" s="12">
        <v>240</v>
      </c>
      <c r="AC18" s="12">
        <v>387</v>
      </c>
      <c r="AD18" s="12">
        <v>222</v>
      </c>
      <c r="AE18" s="12">
        <v>95</v>
      </c>
      <c r="AF18" s="12">
        <v>212</v>
      </c>
    </row>
    <row r="19" spans="1:32">
      <c r="A19" s="23"/>
      <c r="B19" s="13" t="s">
        <v>928</v>
      </c>
      <c r="C19" s="14">
        <v>0.26</v>
      </c>
      <c r="D19" s="14">
        <v>0.16</v>
      </c>
      <c r="E19" s="14">
        <v>0.34</v>
      </c>
      <c r="F19" s="14">
        <v>0.34</v>
      </c>
      <c r="G19" s="14">
        <v>0.13</v>
      </c>
      <c r="H19" s="14">
        <v>0.3</v>
      </c>
      <c r="I19" s="14">
        <v>0.3</v>
      </c>
      <c r="J19" s="14">
        <v>0.28000000000000003</v>
      </c>
      <c r="K19" s="14">
        <v>0.24</v>
      </c>
      <c r="L19" s="14">
        <v>0.39</v>
      </c>
      <c r="M19" s="14">
        <v>0.4</v>
      </c>
      <c r="N19" s="14">
        <v>0.31</v>
      </c>
      <c r="O19" s="14">
        <v>0.21</v>
      </c>
      <c r="P19" s="14">
        <v>0.19</v>
      </c>
      <c r="Q19" s="14">
        <v>0.16</v>
      </c>
      <c r="R19" s="14">
        <v>0.36</v>
      </c>
      <c r="S19" s="14">
        <v>0.17</v>
      </c>
      <c r="T19" s="14">
        <v>0.28000000000000003</v>
      </c>
      <c r="U19" s="14">
        <v>0.35</v>
      </c>
      <c r="V19" s="14">
        <v>0.21</v>
      </c>
      <c r="W19" s="14">
        <v>0.28999999999999998</v>
      </c>
      <c r="X19" s="14">
        <v>0.48</v>
      </c>
      <c r="Y19" s="14">
        <v>0.15</v>
      </c>
      <c r="Z19" s="14">
        <v>0.21</v>
      </c>
      <c r="AA19" s="14">
        <v>0.46</v>
      </c>
      <c r="AB19" s="14">
        <v>0.23</v>
      </c>
      <c r="AC19" s="14">
        <v>0.39</v>
      </c>
      <c r="AD19" s="14">
        <v>0.22</v>
      </c>
      <c r="AE19" s="14">
        <v>0.1</v>
      </c>
      <c r="AF19" s="14">
        <v>0.2</v>
      </c>
    </row>
    <row r="20" spans="1:32">
      <c r="A20" s="23"/>
      <c r="B20" s="11" t="s">
        <v>497</v>
      </c>
      <c r="C20" s="12">
        <v>1408</v>
      </c>
      <c r="D20" s="12">
        <v>28</v>
      </c>
      <c r="E20" s="12">
        <v>136</v>
      </c>
      <c r="F20" s="12">
        <v>25</v>
      </c>
      <c r="G20" s="12">
        <v>81</v>
      </c>
      <c r="H20" s="12">
        <v>88</v>
      </c>
      <c r="I20" s="12">
        <v>99</v>
      </c>
      <c r="J20" s="12">
        <v>11</v>
      </c>
      <c r="K20" s="12">
        <v>131</v>
      </c>
      <c r="L20" s="12">
        <v>30</v>
      </c>
      <c r="M20" s="12">
        <v>37</v>
      </c>
      <c r="N20" s="12">
        <v>35</v>
      </c>
      <c r="O20" s="12">
        <v>52</v>
      </c>
      <c r="P20" s="12">
        <v>10</v>
      </c>
      <c r="Q20" s="12">
        <v>66</v>
      </c>
      <c r="R20" s="12">
        <v>27</v>
      </c>
      <c r="S20" s="12">
        <v>178</v>
      </c>
      <c r="T20" s="12">
        <v>93</v>
      </c>
      <c r="U20" s="12">
        <v>35</v>
      </c>
      <c r="V20" s="12">
        <v>28</v>
      </c>
      <c r="W20" s="12">
        <v>27</v>
      </c>
      <c r="X20" s="12">
        <v>25</v>
      </c>
      <c r="Y20" s="12">
        <v>63</v>
      </c>
      <c r="Z20" s="12">
        <v>64</v>
      </c>
      <c r="AA20" s="12">
        <v>31</v>
      </c>
      <c r="AB20" s="12">
        <v>36</v>
      </c>
      <c r="AC20" s="12">
        <v>28</v>
      </c>
      <c r="AD20" s="12">
        <v>34</v>
      </c>
      <c r="AE20" s="12">
        <v>103</v>
      </c>
      <c r="AF20" s="12">
        <v>58</v>
      </c>
    </row>
    <row r="21" spans="1:32">
      <c r="A21" s="23"/>
      <c r="B21" s="13" t="s">
        <v>498</v>
      </c>
      <c r="C21" s="14">
        <v>0.05</v>
      </c>
      <c r="D21" s="14">
        <v>0.03</v>
      </c>
      <c r="E21" s="14">
        <v>0.13</v>
      </c>
      <c r="F21" s="14">
        <v>0.02</v>
      </c>
      <c r="G21" s="14">
        <v>0.08</v>
      </c>
      <c r="H21" s="14">
        <v>7.0000000000000007E-2</v>
      </c>
      <c r="I21" s="14">
        <v>0.06</v>
      </c>
      <c r="J21" s="14">
        <v>0.04</v>
      </c>
      <c r="K21" s="14">
        <v>0.13</v>
      </c>
      <c r="L21" s="14">
        <v>0.03</v>
      </c>
      <c r="M21" s="14">
        <v>0.04</v>
      </c>
      <c r="N21" s="14">
        <v>0.03</v>
      </c>
      <c r="O21" s="14">
        <v>0.05</v>
      </c>
      <c r="P21" s="14">
        <v>0.01</v>
      </c>
      <c r="Q21" s="14">
        <v>0.06</v>
      </c>
      <c r="R21" s="14">
        <v>0.05</v>
      </c>
      <c r="S21" s="14">
        <v>0.18</v>
      </c>
      <c r="T21" s="14">
        <v>0.09</v>
      </c>
      <c r="U21" s="14">
        <v>7.0000000000000007E-2</v>
      </c>
      <c r="V21" s="14">
        <v>0.03</v>
      </c>
      <c r="W21" s="14">
        <v>0.05</v>
      </c>
      <c r="X21" s="14">
        <v>0.02</v>
      </c>
      <c r="Y21" s="14">
        <v>0.06</v>
      </c>
      <c r="Z21" s="14">
        <v>0.06</v>
      </c>
      <c r="AA21" s="14">
        <v>0.03</v>
      </c>
      <c r="AB21" s="14">
        <v>0.04</v>
      </c>
      <c r="AC21" s="14">
        <v>0.03</v>
      </c>
      <c r="AD21" s="14">
        <v>0.04</v>
      </c>
      <c r="AE21" s="14">
        <v>0.1</v>
      </c>
      <c r="AF21" s="14">
        <v>0.05</v>
      </c>
    </row>
    <row r="22" spans="1:32">
      <c r="A22" s="23"/>
      <c r="B22" s="11" t="s">
        <v>929</v>
      </c>
      <c r="C22" s="12">
        <v>8361</v>
      </c>
      <c r="D22" s="12">
        <v>420</v>
      </c>
      <c r="E22" s="12">
        <v>253</v>
      </c>
      <c r="F22" s="12">
        <v>282</v>
      </c>
      <c r="G22" s="12">
        <v>446</v>
      </c>
      <c r="H22" s="12">
        <v>271</v>
      </c>
      <c r="I22" s="12">
        <v>345</v>
      </c>
      <c r="J22" s="12">
        <v>75</v>
      </c>
      <c r="K22" s="12">
        <v>241</v>
      </c>
      <c r="L22" s="12">
        <v>279</v>
      </c>
      <c r="M22" s="12">
        <v>151</v>
      </c>
      <c r="N22" s="12">
        <v>348</v>
      </c>
      <c r="O22" s="12">
        <v>320</v>
      </c>
      <c r="P22" s="12">
        <v>415</v>
      </c>
      <c r="Q22" s="12">
        <v>417</v>
      </c>
      <c r="R22" s="12">
        <v>111</v>
      </c>
      <c r="S22" s="12">
        <v>294</v>
      </c>
      <c r="T22" s="12">
        <v>265</v>
      </c>
      <c r="U22" s="12">
        <v>154</v>
      </c>
      <c r="V22" s="12">
        <v>403</v>
      </c>
      <c r="W22" s="12">
        <v>206</v>
      </c>
      <c r="X22" s="12">
        <v>107</v>
      </c>
      <c r="Y22" s="12">
        <v>492</v>
      </c>
      <c r="Z22" s="12">
        <v>402</v>
      </c>
      <c r="AA22" s="12">
        <v>260</v>
      </c>
      <c r="AB22" s="12">
        <v>403</v>
      </c>
      <c r="AC22" s="12">
        <v>189</v>
      </c>
      <c r="AD22" s="12">
        <v>246</v>
      </c>
      <c r="AE22" s="12">
        <v>413</v>
      </c>
      <c r="AF22" s="12">
        <v>279</v>
      </c>
    </row>
    <row r="23" spans="1:32">
      <c r="A23" s="23"/>
      <c r="B23" s="13" t="s">
        <v>930</v>
      </c>
      <c r="C23" s="14">
        <v>0.32</v>
      </c>
      <c r="D23" s="14">
        <v>0.42</v>
      </c>
      <c r="E23" s="14">
        <v>0.24</v>
      </c>
      <c r="F23" s="14">
        <v>0.28000000000000003</v>
      </c>
      <c r="G23" s="14">
        <v>0.45</v>
      </c>
      <c r="H23" s="14">
        <v>0.23</v>
      </c>
      <c r="I23" s="14">
        <v>0.23</v>
      </c>
      <c r="J23" s="14">
        <v>0.25</v>
      </c>
      <c r="K23" s="14">
        <v>0.24</v>
      </c>
      <c r="L23" s="14">
        <v>0.28000000000000003</v>
      </c>
      <c r="M23" s="14">
        <v>0.14000000000000001</v>
      </c>
      <c r="N23" s="14">
        <v>0.35</v>
      </c>
      <c r="O23" s="14">
        <v>0.32</v>
      </c>
      <c r="P23" s="14">
        <v>0.41</v>
      </c>
      <c r="Q23" s="14">
        <v>0.41</v>
      </c>
      <c r="R23" s="14">
        <v>0.23</v>
      </c>
      <c r="S23" s="14">
        <v>0.28999999999999998</v>
      </c>
      <c r="T23" s="14">
        <v>0.26</v>
      </c>
      <c r="U23" s="14">
        <v>0.3</v>
      </c>
      <c r="V23" s="14">
        <v>0.4</v>
      </c>
      <c r="W23" s="14">
        <v>0.41</v>
      </c>
      <c r="X23" s="14">
        <v>0.11</v>
      </c>
      <c r="Y23" s="14">
        <v>0.49</v>
      </c>
      <c r="Z23" s="14">
        <v>0.4</v>
      </c>
      <c r="AA23" s="14">
        <v>0.25</v>
      </c>
      <c r="AB23" s="14">
        <v>0.39</v>
      </c>
      <c r="AC23" s="14">
        <v>0.18</v>
      </c>
      <c r="AD23" s="14">
        <v>0.24</v>
      </c>
      <c r="AE23" s="14">
        <v>0.41</v>
      </c>
      <c r="AF23" s="14">
        <v>0.26</v>
      </c>
    </row>
    <row r="24" spans="1:32">
      <c r="A24" s="23"/>
      <c r="B24" s="11" t="s">
        <v>931</v>
      </c>
      <c r="C24" s="12">
        <v>16586</v>
      </c>
      <c r="D24" s="12">
        <v>558</v>
      </c>
      <c r="E24" s="12">
        <v>655</v>
      </c>
      <c r="F24" s="12">
        <v>700</v>
      </c>
      <c r="G24" s="12">
        <v>476</v>
      </c>
      <c r="H24" s="12">
        <v>852</v>
      </c>
      <c r="I24" s="12">
        <v>1060</v>
      </c>
      <c r="J24" s="12">
        <v>209</v>
      </c>
      <c r="K24" s="12">
        <v>632</v>
      </c>
      <c r="L24" s="12">
        <v>699</v>
      </c>
      <c r="M24" s="12">
        <v>823</v>
      </c>
      <c r="N24" s="12">
        <v>617</v>
      </c>
      <c r="O24" s="12">
        <v>633</v>
      </c>
      <c r="P24" s="12">
        <v>585</v>
      </c>
      <c r="Q24" s="12">
        <v>541</v>
      </c>
      <c r="R24" s="12">
        <v>365</v>
      </c>
      <c r="S24" s="12">
        <v>533</v>
      </c>
      <c r="T24" s="12">
        <v>646</v>
      </c>
      <c r="U24" s="12">
        <v>314</v>
      </c>
      <c r="V24" s="12">
        <v>579</v>
      </c>
      <c r="W24" s="12">
        <v>271</v>
      </c>
      <c r="X24" s="12">
        <v>883</v>
      </c>
      <c r="Y24" s="12">
        <v>452</v>
      </c>
      <c r="Z24" s="12">
        <v>550</v>
      </c>
      <c r="AA24" s="12">
        <v>750</v>
      </c>
      <c r="AB24" s="12">
        <v>591</v>
      </c>
      <c r="AC24" s="12">
        <v>788</v>
      </c>
      <c r="AD24" s="12">
        <v>722</v>
      </c>
      <c r="AE24" s="12">
        <v>492</v>
      </c>
      <c r="AF24" s="12">
        <v>736</v>
      </c>
    </row>
    <row r="25" spans="1:32">
      <c r="A25" s="23"/>
      <c r="B25" s="13" t="s">
        <v>932</v>
      </c>
      <c r="C25" s="14">
        <v>0.63</v>
      </c>
      <c r="D25" s="14">
        <v>0.55000000000000004</v>
      </c>
      <c r="E25" s="14">
        <v>0.63</v>
      </c>
      <c r="F25" s="14">
        <v>0.70000000000000007</v>
      </c>
      <c r="G25" s="14">
        <v>0.47</v>
      </c>
      <c r="H25" s="14">
        <v>0.70000000000000007</v>
      </c>
      <c r="I25" s="14">
        <v>0.71</v>
      </c>
      <c r="J25" s="14">
        <v>0.71</v>
      </c>
      <c r="K25" s="14">
        <v>0.63</v>
      </c>
      <c r="L25" s="14">
        <v>0.69000000000000006</v>
      </c>
      <c r="M25" s="14">
        <v>0.82000000000000006</v>
      </c>
      <c r="N25" s="14">
        <v>0.62</v>
      </c>
      <c r="O25" s="14">
        <v>0.63</v>
      </c>
      <c r="P25" s="14">
        <v>0.57999999999999996</v>
      </c>
      <c r="Q25" s="14">
        <v>0.53</v>
      </c>
      <c r="R25" s="14">
        <v>0.72</v>
      </c>
      <c r="S25" s="14">
        <v>0.53</v>
      </c>
      <c r="T25" s="14">
        <v>0.65</v>
      </c>
      <c r="U25" s="14">
        <v>0.63</v>
      </c>
      <c r="V25" s="14">
        <v>0.57000000000000006</v>
      </c>
      <c r="W25" s="14">
        <v>0.54</v>
      </c>
      <c r="X25" s="14">
        <v>0.87</v>
      </c>
      <c r="Y25" s="14">
        <v>0.45</v>
      </c>
      <c r="Z25" s="14">
        <v>0.54</v>
      </c>
      <c r="AA25" s="14">
        <v>0.72</v>
      </c>
      <c r="AB25" s="14">
        <v>0.57000000000000006</v>
      </c>
      <c r="AC25" s="14">
        <v>0.79</v>
      </c>
      <c r="AD25" s="14">
        <v>0.72</v>
      </c>
      <c r="AE25" s="14">
        <v>0.49</v>
      </c>
      <c r="AF25" s="14">
        <v>0.69000000000000006</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1069</v>
      </c>
      <c r="C3" s="19"/>
      <c r="D3" s="19"/>
      <c r="E3" s="19"/>
      <c r="F3" s="19"/>
      <c r="H3" s="19" t="s">
        <v>1070</v>
      </c>
      <c r="I3" s="19"/>
      <c r="J3" s="19"/>
      <c r="K3" s="19"/>
      <c r="L3" s="19"/>
    </row>
    <row r="4" spans="1:32" ht="27" customHeight="1">
      <c r="B4" s="19" t="s">
        <v>1071</v>
      </c>
      <c r="C4" s="19"/>
      <c r="D4" s="19"/>
      <c r="E4" s="19"/>
      <c r="F4" s="19"/>
      <c r="H4" s="19" t="s">
        <v>1072</v>
      </c>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HYPERLINK("#Content!A82","&lt;&lt;Back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921</v>
      </c>
      <c r="C12" s="12">
        <v>3214</v>
      </c>
      <c r="D12" s="12">
        <v>298</v>
      </c>
      <c r="E12" s="12">
        <v>95</v>
      </c>
      <c r="F12" s="12">
        <v>157</v>
      </c>
      <c r="G12" s="12">
        <v>318</v>
      </c>
      <c r="H12" s="12">
        <v>95</v>
      </c>
      <c r="I12" s="12">
        <v>111</v>
      </c>
      <c r="J12" s="12">
        <v>16</v>
      </c>
      <c r="K12" s="12">
        <v>85</v>
      </c>
      <c r="L12" s="12">
        <v>126</v>
      </c>
      <c r="M12" s="12">
        <v>43</v>
      </c>
      <c r="N12" s="12">
        <v>206</v>
      </c>
      <c r="O12" s="12">
        <v>122</v>
      </c>
      <c r="P12" s="12">
        <v>142</v>
      </c>
      <c r="Q12" s="12">
        <v>87</v>
      </c>
      <c r="R12" s="12">
        <v>49</v>
      </c>
      <c r="S12" s="12">
        <v>67</v>
      </c>
      <c r="T12" s="12">
        <v>95</v>
      </c>
      <c r="U12" s="12">
        <v>184</v>
      </c>
      <c r="V12" s="12">
        <v>73</v>
      </c>
      <c r="W12" s="12">
        <v>120</v>
      </c>
      <c r="X12" s="12">
        <v>236</v>
      </c>
      <c r="Y12" s="12">
        <v>238</v>
      </c>
      <c r="Z12" s="12">
        <v>82</v>
      </c>
      <c r="AA12" s="12">
        <v>76</v>
      </c>
      <c r="AB12" s="12">
        <v>92</v>
      </c>
      <c r="AC12" s="12">
        <v>88</v>
      </c>
      <c r="AD12" s="12">
        <v>32</v>
      </c>
      <c r="AE12" s="12">
        <v>83</v>
      </c>
      <c r="AF12" s="12">
        <v>203</v>
      </c>
    </row>
    <row r="13" spans="1:32">
      <c r="A13" s="23"/>
      <c r="B13" s="13" t="s">
        <v>922</v>
      </c>
      <c r="C13" s="14">
        <v>0.12</v>
      </c>
      <c r="D13" s="14">
        <v>0.3</v>
      </c>
      <c r="E13" s="14">
        <v>0.09</v>
      </c>
      <c r="F13" s="14">
        <v>0.16</v>
      </c>
      <c r="G13" s="14">
        <v>0.32</v>
      </c>
      <c r="H13" s="14">
        <v>0.08</v>
      </c>
      <c r="I13" s="14">
        <v>7.0000000000000007E-2</v>
      </c>
      <c r="J13" s="14">
        <v>0.05</v>
      </c>
      <c r="K13" s="14">
        <v>0.09</v>
      </c>
      <c r="L13" s="14">
        <v>0.12</v>
      </c>
      <c r="M13" s="14">
        <v>0.04</v>
      </c>
      <c r="N13" s="14">
        <v>0.21</v>
      </c>
      <c r="O13" s="14">
        <v>0.12</v>
      </c>
      <c r="P13" s="14">
        <v>0.14000000000000001</v>
      </c>
      <c r="Q13" s="14">
        <v>0.08</v>
      </c>
      <c r="R13" s="14">
        <v>0.1</v>
      </c>
      <c r="S13" s="14">
        <v>7.0000000000000007E-2</v>
      </c>
      <c r="T13" s="14">
        <v>0.09</v>
      </c>
      <c r="U13" s="14">
        <v>0.37</v>
      </c>
      <c r="V13" s="14">
        <v>7.0000000000000007E-2</v>
      </c>
      <c r="W13" s="14">
        <v>0.24</v>
      </c>
      <c r="X13" s="14">
        <v>0.23</v>
      </c>
      <c r="Y13" s="14">
        <v>0.23</v>
      </c>
      <c r="Z13" s="14">
        <v>0.08</v>
      </c>
      <c r="AA13" s="14">
        <v>7.0000000000000007E-2</v>
      </c>
      <c r="AB13" s="14">
        <v>0.09</v>
      </c>
      <c r="AC13" s="14">
        <v>0.09</v>
      </c>
      <c r="AD13" s="14">
        <v>0.03</v>
      </c>
      <c r="AE13" s="14">
        <v>0.08</v>
      </c>
      <c r="AF13" s="14">
        <v>0.19</v>
      </c>
    </row>
    <row r="14" spans="1:32">
      <c r="A14" s="23"/>
      <c r="B14" s="11" t="s">
        <v>923</v>
      </c>
      <c r="C14" s="12">
        <v>10509</v>
      </c>
      <c r="D14" s="12">
        <v>497</v>
      </c>
      <c r="E14" s="12">
        <v>401</v>
      </c>
      <c r="F14" s="12">
        <v>537</v>
      </c>
      <c r="G14" s="12">
        <v>405</v>
      </c>
      <c r="H14" s="12">
        <v>465</v>
      </c>
      <c r="I14" s="12">
        <v>574</v>
      </c>
      <c r="J14" s="12">
        <v>109</v>
      </c>
      <c r="K14" s="12">
        <v>395</v>
      </c>
      <c r="L14" s="12">
        <v>302</v>
      </c>
      <c r="M14" s="12">
        <v>145</v>
      </c>
      <c r="N14" s="12">
        <v>400</v>
      </c>
      <c r="O14" s="12">
        <v>461</v>
      </c>
      <c r="P14" s="12">
        <v>414</v>
      </c>
      <c r="Q14" s="12">
        <v>355</v>
      </c>
      <c r="R14" s="12">
        <v>174</v>
      </c>
      <c r="S14" s="12">
        <v>293</v>
      </c>
      <c r="T14" s="12">
        <v>372</v>
      </c>
      <c r="U14" s="12">
        <v>246</v>
      </c>
      <c r="V14" s="12">
        <v>322</v>
      </c>
      <c r="W14" s="12">
        <v>213</v>
      </c>
      <c r="X14" s="12">
        <v>521</v>
      </c>
      <c r="Y14" s="12">
        <v>513</v>
      </c>
      <c r="Z14" s="12">
        <v>412</v>
      </c>
      <c r="AA14" s="12">
        <v>268</v>
      </c>
      <c r="AB14" s="12">
        <v>387</v>
      </c>
      <c r="AC14" s="12">
        <v>365</v>
      </c>
      <c r="AD14" s="12">
        <v>393</v>
      </c>
      <c r="AE14" s="12">
        <v>424</v>
      </c>
      <c r="AF14" s="12">
        <v>542</v>
      </c>
    </row>
    <row r="15" spans="1:32">
      <c r="A15" s="23"/>
      <c r="B15" s="13" t="s">
        <v>924</v>
      </c>
      <c r="C15" s="14">
        <v>0.4</v>
      </c>
      <c r="D15" s="14">
        <v>0.49</v>
      </c>
      <c r="E15" s="14">
        <v>0.39</v>
      </c>
      <c r="F15" s="14">
        <v>0.53</v>
      </c>
      <c r="G15" s="14">
        <v>0.4</v>
      </c>
      <c r="H15" s="14">
        <v>0.39</v>
      </c>
      <c r="I15" s="14">
        <v>0.38</v>
      </c>
      <c r="J15" s="14">
        <v>0.37</v>
      </c>
      <c r="K15" s="14">
        <v>0.39</v>
      </c>
      <c r="L15" s="14">
        <v>0.3</v>
      </c>
      <c r="M15" s="14">
        <v>0.14000000000000001</v>
      </c>
      <c r="N15" s="14">
        <v>0.4</v>
      </c>
      <c r="O15" s="14">
        <v>0.46</v>
      </c>
      <c r="P15" s="14">
        <v>0.41</v>
      </c>
      <c r="Q15" s="14">
        <v>0.35</v>
      </c>
      <c r="R15" s="14">
        <v>0.35</v>
      </c>
      <c r="S15" s="14">
        <v>0.28999999999999998</v>
      </c>
      <c r="T15" s="14">
        <v>0.37</v>
      </c>
      <c r="U15" s="14">
        <v>0.49</v>
      </c>
      <c r="V15" s="14">
        <v>0.32</v>
      </c>
      <c r="W15" s="14">
        <v>0.42</v>
      </c>
      <c r="X15" s="14">
        <v>0.51</v>
      </c>
      <c r="Y15" s="14">
        <v>0.51</v>
      </c>
      <c r="Z15" s="14">
        <v>0.4</v>
      </c>
      <c r="AA15" s="14">
        <v>0.26</v>
      </c>
      <c r="AB15" s="14">
        <v>0.38</v>
      </c>
      <c r="AC15" s="14">
        <v>0.36</v>
      </c>
      <c r="AD15" s="14">
        <v>0.39</v>
      </c>
      <c r="AE15" s="14">
        <v>0.42</v>
      </c>
      <c r="AF15" s="14">
        <v>0.5</v>
      </c>
    </row>
    <row r="16" spans="1:32">
      <c r="A16" s="23"/>
      <c r="B16" s="11" t="s">
        <v>925</v>
      </c>
      <c r="C16" s="12">
        <v>8334</v>
      </c>
      <c r="D16" s="12">
        <v>168</v>
      </c>
      <c r="E16" s="12">
        <v>349</v>
      </c>
      <c r="F16" s="12">
        <v>214</v>
      </c>
      <c r="G16" s="12">
        <v>196</v>
      </c>
      <c r="H16" s="12">
        <v>425</v>
      </c>
      <c r="I16" s="12">
        <v>527</v>
      </c>
      <c r="J16" s="12">
        <v>102</v>
      </c>
      <c r="K16" s="12">
        <v>323</v>
      </c>
      <c r="L16" s="12">
        <v>315</v>
      </c>
      <c r="M16" s="12">
        <v>417</v>
      </c>
      <c r="N16" s="12">
        <v>275</v>
      </c>
      <c r="O16" s="12">
        <v>291</v>
      </c>
      <c r="P16" s="12">
        <v>329</v>
      </c>
      <c r="Q16" s="12">
        <v>347</v>
      </c>
      <c r="R16" s="12">
        <v>195</v>
      </c>
      <c r="S16" s="12">
        <v>403</v>
      </c>
      <c r="T16" s="12">
        <v>360</v>
      </c>
      <c r="U16" s="12">
        <v>53</v>
      </c>
      <c r="V16" s="12">
        <v>359</v>
      </c>
      <c r="W16" s="12">
        <v>138</v>
      </c>
      <c r="X16" s="12">
        <v>208</v>
      </c>
      <c r="Y16" s="12">
        <v>171</v>
      </c>
      <c r="Z16" s="12">
        <v>385</v>
      </c>
      <c r="AA16" s="12">
        <v>382</v>
      </c>
      <c r="AB16" s="12">
        <v>434</v>
      </c>
      <c r="AC16" s="12">
        <v>381</v>
      </c>
      <c r="AD16" s="12">
        <v>412</v>
      </c>
      <c r="AE16" s="12">
        <v>347</v>
      </c>
      <c r="AF16" s="12">
        <v>243</v>
      </c>
    </row>
    <row r="17" spans="1:32">
      <c r="A17" s="23"/>
      <c r="B17" s="13" t="s">
        <v>926</v>
      </c>
      <c r="C17" s="14">
        <v>0.32</v>
      </c>
      <c r="D17" s="14">
        <v>0.17</v>
      </c>
      <c r="E17" s="14">
        <v>0.33</v>
      </c>
      <c r="F17" s="14">
        <v>0.21</v>
      </c>
      <c r="G17" s="14">
        <v>0.2</v>
      </c>
      <c r="H17" s="14">
        <v>0.35</v>
      </c>
      <c r="I17" s="14">
        <v>0.35</v>
      </c>
      <c r="J17" s="14">
        <v>0.35</v>
      </c>
      <c r="K17" s="14">
        <v>0.32</v>
      </c>
      <c r="L17" s="14">
        <v>0.31</v>
      </c>
      <c r="M17" s="14">
        <v>0.41</v>
      </c>
      <c r="N17" s="14">
        <v>0.27</v>
      </c>
      <c r="O17" s="14">
        <v>0.28999999999999998</v>
      </c>
      <c r="P17" s="14">
        <v>0.33</v>
      </c>
      <c r="Q17" s="14">
        <v>0.34</v>
      </c>
      <c r="R17" s="14">
        <v>0.39</v>
      </c>
      <c r="S17" s="14">
        <v>0.4</v>
      </c>
      <c r="T17" s="14">
        <v>0.36</v>
      </c>
      <c r="U17" s="14">
        <v>0.1</v>
      </c>
      <c r="V17" s="14">
        <v>0.35</v>
      </c>
      <c r="W17" s="14">
        <v>0.27</v>
      </c>
      <c r="X17" s="14">
        <v>0.21</v>
      </c>
      <c r="Y17" s="14">
        <v>0.17</v>
      </c>
      <c r="Z17" s="14">
        <v>0.38</v>
      </c>
      <c r="AA17" s="14">
        <v>0.37</v>
      </c>
      <c r="AB17" s="14">
        <v>0.42</v>
      </c>
      <c r="AC17" s="14">
        <v>0.38</v>
      </c>
      <c r="AD17" s="14">
        <v>0.41</v>
      </c>
      <c r="AE17" s="14">
        <v>0.35</v>
      </c>
      <c r="AF17" s="14">
        <v>0.23</v>
      </c>
    </row>
    <row r="18" spans="1:32">
      <c r="A18" s="23"/>
      <c r="B18" s="11" t="s">
        <v>927</v>
      </c>
      <c r="C18" s="12">
        <v>3916</v>
      </c>
      <c r="D18" s="12">
        <v>39</v>
      </c>
      <c r="E18" s="12">
        <v>187</v>
      </c>
      <c r="F18" s="12">
        <v>80</v>
      </c>
      <c r="G18" s="12">
        <v>61</v>
      </c>
      <c r="H18" s="12">
        <v>186</v>
      </c>
      <c r="I18" s="12">
        <v>251</v>
      </c>
      <c r="J18" s="12">
        <v>64</v>
      </c>
      <c r="K18" s="12">
        <v>182</v>
      </c>
      <c r="L18" s="12">
        <v>247</v>
      </c>
      <c r="M18" s="12">
        <v>392</v>
      </c>
      <c r="N18" s="12">
        <v>110</v>
      </c>
      <c r="O18" s="12">
        <v>122</v>
      </c>
      <c r="P18" s="12">
        <v>124</v>
      </c>
      <c r="Q18" s="12">
        <v>222</v>
      </c>
      <c r="R18" s="12">
        <v>78</v>
      </c>
      <c r="S18" s="12">
        <v>230</v>
      </c>
      <c r="T18" s="12">
        <v>168</v>
      </c>
      <c r="U18" s="12">
        <v>16</v>
      </c>
      <c r="V18" s="12">
        <v>249</v>
      </c>
      <c r="W18" s="12">
        <v>28</v>
      </c>
      <c r="X18" s="12">
        <v>48</v>
      </c>
      <c r="Y18" s="12">
        <v>77</v>
      </c>
      <c r="Z18" s="12">
        <v>121</v>
      </c>
      <c r="AA18" s="12">
        <v>297</v>
      </c>
      <c r="AB18" s="12">
        <v>105</v>
      </c>
      <c r="AC18" s="12">
        <v>168</v>
      </c>
      <c r="AD18" s="12">
        <v>161</v>
      </c>
      <c r="AE18" s="12">
        <v>142</v>
      </c>
      <c r="AF18" s="12">
        <v>82</v>
      </c>
    </row>
    <row r="19" spans="1:32">
      <c r="A19" s="23"/>
      <c r="B19" s="13" t="s">
        <v>928</v>
      </c>
      <c r="C19" s="14">
        <v>0.15</v>
      </c>
      <c r="D19" s="14">
        <v>0.04</v>
      </c>
      <c r="E19" s="14">
        <v>0.18</v>
      </c>
      <c r="F19" s="14">
        <v>0.08</v>
      </c>
      <c r="G19" s="14">
        <v>0.06</v>
      </c>
      <c r="H19" s="14">
        <v>0.15</v>
      </c>
      <c r="I19" s="14">
        <v>0.17</v>
      </c>
      <c r="J19" s="14">
        <v>0.22</v>
      </c>
      <c r="K19" s="14">
        <v>0.18</v>
      </c>
      <c r="L19" s="14">
        <v>0.25</v>
      </c>
      <c r="M19" s="14">
        <v>0.39</v>
      </c>
      <c r="N19" s="14">
        <v>0.11</v>
      </c>
      <c r="O19" s="14">
        <v>0.12</v>
      </c>
      <c r="P19" s="14">
        <v>0.12</v>
      </c>
      <c r="Q19" s="14">
        <v>0.22</v>
      </c>
      <c r="R19" s="14">
        <v>0.15</v>
      </c>
      <c r="S19" s="14">
        <v>0.23</v>
      </c>
      <c r="T19" s="14">
        <v>0.17</v>
      </c>
      <c r="U19" s="14">
        <v>0.03</v>
      </c>
      <c r="V19" s="14">
        <v>0.25</v>
      </c>
      <c r="W19" s="14">
        <v>0.06</v>
      </c>
      <c r="X19" s="14">
        <v>0.05</v>
      </c>
      <c r="Y19" s="14">
        <v>0.08</v>
      </c>
      <c r="Z19" s="14">
        <v>0.12</v>
      </c>
      <c r="AA19" s="14">
        <v>0.28000000000000003</v>
      </c>
      <c r="AB19" s="14">
        <v>0.1</v>
      </c>
      <c r="AC19" s="14">
        <v>0.17</v>
      </c>
      <c r="AD19" s="14">
        <v>0.16</v>
      </c>
      <c r="AE19" s="14">
        <v>0.14000000000000001</v>
      </c>
      <c r="AF19" s="14">
        <v>0.08</v>
      </c>
    </row>
    <row r="20" spans="1:32">
      <c r="A20" s="23"/>
      <c r="B20" s="11" t="s">
        <v>497</v>
      </c>
      <c r="C20" s="12">
        <v>381</v>
      </c>
      <c r="D20" s="12">
        <v>5</v>
      </c>
      <c r="E20" s="12">
        <v>12</v>
      </c>
      <c r="F20" s="12">
        <v>20</v>
      </c>
      <c r="G20" s="12">
        <v>22</v>
      </c>
      <c r="H20" s="12">
        <v>40</v>
      </c>
      <c r="I20" s="12">
        <v>41</v>
      </c>
      <c r="J20" s="12">
        <v>2</v>
      </c>
      <c r="K20" s="12">
        <v>19</v>
      </c>
      <c r="L20" s="12">
        <v>17</v>
      </c>
      <c r="M20" s="12">
        <v>14</v>
      </c>
      <c r="N20" s="12">
        <v>10</v>
      </c>
      <c r="O20" s="12">
        <v>11</v>
      </c>
      <c r="P20" s="12">
        <v>3</v>
      </c>
      <c r="Q20" s="12">
        <v>13</v>
      </c>
      <c r="R20" s="12">
        <v>7</v>
      </c>
      <c r="S20" s="12">
        <v>12</v>
      </c>
      <c r="T20" s="12">
        <v>9</v>
      </c>
      <c r="U20" s="12">
        <v>5</v>
      </c>
      <c r="V20" s="12">
        <v>8</v>
      </c>
      <c r="W20" s="12">
        <v>4</v>
      </c>
      <c r="X20" s="12">
        <v>3</v>
      </c>
      <c r="Y20" s="12">
        <v>8</v>
      </c>
      <c r="Z20" s="12">
        <v>18</v>
      </c>
      <c r="AA20" s="12">
        <v>17</v>
      </c>
      <c r="AB20" s="12">
        <v>13</v>
      </c>
      <c r="AC20" s="12">
        <v>3</v>
      </c>
      <c r="AD20" s="12">
        <v>4</v>
      </c>
      <c r="AE20" s="12">
        <v>12</v>
      </c>
      <c r="AF20" s="12">
        <v>2</v>
      </c>
    </row>
    <row r="21" spans="1:32">
      <c r="A21" s="23"/>
      <c r="B21" s="13" t="s">
        <v>498</v>
      </c>
      <c r="C21" s="14">
        <v>0.01</v>
      </c>
      <c r="D21" s="15" t="s">
        <v>485</v>
      </c>
      <c r="E21" s="14">
        <v>0.01</v>
      </c>
      <c r="F21" s="14">
        <v>0.02</v>
      </c>
      <c r="G21" s="14">
        <v>0.02</v>
      </c>
      <c r="H21" s="14">
        <v>0.03</v>
      </c>
      <c r="I21" s="14">
        <v>0.03</v>
      </c>
      <c r="J21" s="14">
        <v>0.01</v>
      </c>
      <c r="K21" s="14">
        <v>0.02</v>
      </c>
      <c r="L21" s="14">
        <v>0.02</v>
      </c>
      <c r="M21" s="14">
        <v>0.02</v>
      </c>
      <c r="N21" s="14">
        <v>0.01</v>
      </c>
      <c r="O21" s="14">
        <v>0.01</v>
      </c>
      <c r="P21" s="15" t="s">
        <v>485</v>
      </c>
      <c r="Q21" s="14">
        <v>0.01</v>
      </c>
      <c r="R21" s="14">
        <v>0.01</v>
      </c>
      <c r="S21" s="14">
        <v>0.01</v>
      </c>
      <c r="T21" s="14">
        <v>0.01</v>
      </c>
      <c r="U21" s="14">
        <v>0.01</v>
      </c>
      <c r="V21" s="14">
        <v>0.01</v>
      </c>
      <c r="W21" s="14">
        <v>0.01</v>
      </c>
      <c r="X21" s="15" t="s">
        <v>485</v>
      </c>
      <c r="Y21" s="14">
        <v>0.01</v>
      </c>
      <c r="Z21" s="14">
        <v>0.02</v>
      </c>
      <c r="AA21" s="14">
        <v>0.02</v>
      </c>
      <c r="AB21" s="14">
        <v>0.01</v>
      </c>
      <c r="AC21" s="15" t="s">
        <v>485</v>
      </c>
      <c r="AD21" s="14">
        <v>0.01</v>
      </c>
      <c r="AE21" s="14">
        <v>0.01</v>
      </c>
      <c r="AF21" s="15" t="s">
        <v>485</v>
      </c>
    </row>
    <row r="22" spans="1:32">
      <c r="A22" s="23"/>
      <c r="B22" s="11" t="s">
        <v>929</v>
      </c>
      <c r="C22" s="12">
        <v>13723</v>
      </c>
      <c r="D22" s="12">
        <v>795</v>
      </c>
      <c r="E22" s="12">
        <v>496</v>
      </c>
      <c r="F22" s="12">
        <v>694</v>
      </c>
      <c r="G22" s="12">
        <v>723</v>
      </c>
      <c r="H22" s="12">
        <v>560</v>
      </c>
      <c r="I22" s="12">
        <v>685</v>
      </c>
      <c r="J22" s="12">
        <v>125</v>
      </c>
      <c r="K22" s="12">
        <v>480</v>
      </c>
      <c r="L22" s="12">
        <v>428</v>
      </c>
      <c r="M22" s="12">
        <v>188</v>
      </c>
      <c r="N22" s="12">
        <v>606</v>
      </c>
      <c r="O22" s="12">
        <v>583</v>
      </c>
      <c r="P22" s="12">
        <v>556</v>
      </c>
      <c r="Q22" s="12">
        <v>442</v>
      </c>
      <c r="R22" s="12">
        <v>223</v>
      </c>
      <c r="S22" s="12">
        <v>360</v>
      </c>
      <c r="T22" s="12">
        <v>467</v>
      </c>
      <c r="U22" s="12">
        <v>430</v>
      </c>
      <c r="V22" s="12">
        <v>395</v>
      </c>
      <c r="W22" s="12">
        <v>333</v>
      </c>
      <c r="X22" s="12">
        <v>757</v>
      </c>
      <c r="Y22" s="12">
        <v>751</v>
      </c>
      <c r="Z22" s="12">
        <v>494</v>
      </c>
      <c r="AA22" s="12">
        <v>344</v>
      </c>
      <c r="AB22" s="12">
        <v>479</v>
      </c>
      <c r="AC22" s="12">
        <v>453</v>
      </c>
      <c r="AD22" s="12">
        <v>425</v>
      </c>
      <c r="AE22" s="12">
        <v>507</v>
      </c>
      <c r="AF22" s="12">
        <v>745</v>
      </c>
    </row>
    <row r="23" spans="1:32">
      <c r="A23" s="23"/>
      <c r="B23" s="13" t="s">
        <v>930</v>
      </c>
      <c r="C23" s="14">
        <v>0.52</v>
      </c>
      <c r="D23" s="14">
        <v>0.79</v>
      </c>
      <c r="E23" s="14">
        <v>0.48</v>
      </c>
      <c r="F23" s="14">
        <v>0.69000000000000006</v>
      </c>
      <c r="G23" s="14">
        <v>0.72</v>
      </c>
      <c r="H23" s="14">
        <v>0.47</v>
      </c>
      <c r="I23" s="14">
        <v>0.45</v>
      </c>
      <c r="J23" s="14">
        <v>0.42</v>
      </c>
      <c r="K23" s="14">
        <v>0.48</v>
      </c>
      <c r="L23" s="14">
        <v>0.42</v>
      </c>
      <c r="M23" s="14">
        <v>0.18</v>
      </c>
      <c r="N23" s="14">
        <v>0.61</v>
      </c>
      <c r="O23" s="14">
        <v>0.57999999999999996</v>
      </c>
      <c r="P23" s="14">
        <v>0.55000000000000004</v>
      </c>
      <c r="Q23" s="14">
        <v>0.43</v>
      </c>
      <c r="R23" s="14">
        <v>0.45</v>
      </c>
      <c r="S23" s="14">
        <v>0.36</v>
      </c>
      <c r="T23" s="14">
        <v>0.46</v>
      </c>
      <c r="U23" s="14">
        <v>0.86</v>
      </c>
      <c r="V23" s="14">
        <v>0.39</v>
      </c>
      <c r="W23" s="14">
        <v>0.66</v>
      </c>
      <c r="X23" s="14">
        <v>0.74</v>
      </c>
      <c r="Y23" s="14">
        <v>0.74</v>
      </c>
      <c r="Z23" s="14">
        <v>0.48</v>
      </c>
      <c r="AA23" s="14">
        <v>0.33</v>
      </c>
      <c r="AB23" s="14">
        <v>0.47</v>
      </c>
      <c r="AC23" s="14">
        <v>0.45</v>
      </c>
      <c r="AD23" s="14">
        <v>0.42</v>
      </c>
      <c r="AE23" s="14">
        <v>0.5</v>
      </c>
      <c r="AF23" s="14">
        <v>0.69000000000000006</v>
      </c>
    </row>
    <row r="24" spans="1:32">
      <c r="A24" s="23"/>
      <c r="B24" s="11" t="s">
        <v>931</v>
      </c>
      <c r="C24" s="12">
        <v>12250</v>
      </c>
      <c r="D24" s="12">
        <v>207</v>
      </c>
      <c r="E24" s="12">
        <v>536</v>
      </c>
      <c r="F24" s="12">
        <v>294</v>
      </c>
      <c r="G24" s="12">
        <v>257</v>
      </c>
      <c r="H24" s="12">
        <v>611</v>
      </c>
      <c r="I24" s="12">
        <v>778</v>
      </c>
      <c r="J24" s="12">
        <v>166</v>
      </c>
      <c r="K24" s="12">
        <v>505</v>
      </c>
      <c r="L24" s="12">
        <v>562</v>
      </c>
      <c r="M24" s="12">
        <v>809</v>
      </c>
      <c r="N24" s="12">
        <v>385</v>
      </c>
      <c r="O24" s="12">
        <v>413</v>
      </c>
      <c r="P24" s="12">
        <v>453</v>
      </c>
      <c r="Q24" s="12">
        <v>569</v>
      </c>
      <c r="R24" s="12">
        <v>273</v>
      </c>
      <c r="S24" s="12">
        <v>633</v>
      </c>
      <c r="T24" s="12">
        <v>528</v>
      </c>
      <c r="U24" s="12">
        <v>69</v>
      </c>
      <c r="V24" s="12">
        <v>608</v>
      </c>
      <c r="W24" s="12">
        <v>166</v>
      </c>
      <c r="X24" s="12">
        <v>256</v>
      </c>
      <c r="Y24" s="12">
        <v>248</v>
      </c>
      <c r="Z24" s="12">
        <v>506</v>
      </c>
      <c r="AA24" s="12">
        <v>679</v>
      </c>
      <c r="AB24" s="12">
        <v>539</v>
      </c>
      <c r="AC24" s="12">
        <v>549</v>
      </c>
      <c r="AD24" s="12">
        <v>573</v>
      </c>
      <c r="AE24" s="12">
        <v>489</v>
      </c>
      <c r="AF24" s="12">
        <v>325</v>
      </c>
    </row>
    <row r="25" spans="1:32">
      <c r="A25" s="23"/>
      <c r="B25" s="13" t="s">
        <v>932</v>
      </c>
      <c r="C25" s="14">
        <v>0.47</v>
      </c>
      <c r="D25" s="14">
        <v>0.21</v>
      </c>
      <c r="E25" s="14">
        <v>0.51</v>
      </c>
      <c r="F25" s="14">
        <v>0.28999999999999998</v>
      </c>
      <c r="G25" s="14">
        <v>0.26</v>
      </c>
      <c r="H25" s="14">
        <v>0.5</v>
      </c>
      <c r="I25" s="14">
        <v>0.52</v>
      </c>
      <c r="J25" s="14">
        <v>0.57000000000000006</v>
      </c>
      <c r="K25" s="14">
        <v>0.5</v>
      </c>
      <c r="L25" s="14">
        <v>0.56000000000000005</v>
      </c>
      <c r="M25" s="14">
        <v>0.8</v>
      </c>
      <c r="N25" s="14">
        <v>0.38</v>
      </c>
      <c r="O25" s="14">
        <v>0.41</v>
      </c>
      <c r="P25" s="14">
        <v>0.45</v>
      </c>
      <c r="Q25" s="14">
        <v>0.56000000000000005</v>
      </c>
      <c r="R25" s="14">
        <v>0.54</v>
      </c>
      <c r="S25" s="14">
        <v>0.63</v>
      </c>
      <c r="T25" s="14">
        <v>0.53</v>
      </c>
      <c r="U25" s="14">
        <v>0.13</v>
      </c>
      <c r="V25" s="14">
        <v>0.6</v>
      </c>
      <c r="W25" s="14">
        <v>0.33</v>
      </c>
      <c r="X25" s="14">
        <v>0.26</v>
      </c>
      <c r="Y25" s="14">
        <v>0.25</v>
      </c>
      <c r="Z25" s="14">
        <v>0.5</v>
      </c>
      <c r="AA25" s="14">
        <v>0.65</v>
      </c>
      <c r="AB25" s="14">
        <v>0.52</v>
      </c>
      <c r="AC25" s="14">
        <v>0.55000000000000004</v>
      </c>
      <c r="AD25" s="14">
        <v>0.57000000000000006</v>
      </c>
      <c r="AE25" s="14">
        <v>0.49</v>
      </c>
      <c r="AF25" s="14">
        <v>0.31</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1073</v>
      </c>
      <c r="C3" s="19"/>
      <c r="D3" s="19"/>
      <c r="E3" s="19"/>
      <c r="F3" s="19"/>
      <c r="H3" s="19" t="s">
        <v>1074</v>
      </c>
      <c r="I3" s="19"/>
      <c r="J3" s="19"/>
      <c r="K3" s="19"/>
      <c r="L3" s="19"/>
    </row>
    <row r="4" spans="1:32" ht="27" customHeight="1">
      <c r="B4" s="19" t="s">
        <v>1075</v>
      </c>
      <c r="C4" s="19"/>
      <c r="D4" s="19"/>
      <c r="E4" s="19"/>
      <c r="F4" s="19"/>
      <c r="H4" s="19" t="s">
        <v>1076</v>
      </c>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HYPERLINK("#Content!A83","&lt;&lt;Back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921</v>
      </c>
      <c r="C12" s="12">
        <v>2567</v>
      </c>
      <c r="D12" s="12">
        <v>172</v>
      </c>
      <c r="E12" s="12">
        <v>92</v>
      </c>
      <c r="F12" s="12">
        <v>97</v>
      </c>
      <c r="G12" s="12">
        <v>242</v>
      </c>
      <c r="H12" s="12">
        <v>70</v>
      </c>
      <c r="I12" s="12">
        <v>81</v>
      </c>
      <c r="J12" s="12">
        <v>11</v>
      </c>
      <c r="K12" s="12">
        <v>52</v>
      </c>
      <c r="L12" s="12">
        <v>128</v>
      </c>
      <c r="M12" s="12">
        <v>38</v>
      </c>
      <c r="N12" s="12">
        <v>182</v>
      </c>
      <c r="O12" s="12">
        <v>85</v>
      </c>
      <c r="P12" s="12">
        <v>111</v>
      </c>
      <c r="Q12" s="12">
        <v>83</v>
      </c>
      <c r="R12" s="12">
        <v>26</v>
      </c>
      <c r="S12" s="12">
        <v>63</v>
      </c>
      <c r="T12" s="12">
        <v>87</v>
      </c>
      <c r="U12" s="12">
        <v>146</v>
      </c>
      <c r="V12" s="12">
        <v>93</v>
      </c>
      <c r="W12" s="12">
        <v>92</v>
      </c>
      <c r="X12" s="12">
        <v>163</v>
      </c>
      <c r="Y12" s="12">
        <v>194</v>
      </c>
      <c r="Z12" s="12">
        <v>75</v>
      </c>
      <c r="AA12" s="12">
        <v>63</v>
      </c>
      <c r="AB12" s="12">
        <v>97</v>
      </c>
      <c r="AC12" s="12">
        <v>90</v>
      </c>
      <c r="AD12" s="12">
        <v>30</v>
      </c>
      <c r="AE12" s="12">
        <v>46</v>
      </c>
      <c r="AF12" s="12">
        <v>142</v>
      </c>
    </row>
    <row r="13" spans="1:32">
      <c r="A13" s="23"/>
      <c r="B13" s="13" t="s">
        <v>922</v>
      </c>
      <c r="C13" s="14">
        <v>0.1</v>
      </c>
      <c r="D13" s="14">
        <v>0.17</v>
      </c>
      <c r="E13" s="14">
        <v>0.09</v>
      </c>
      <c r="F13" s="14">
        <v>0.1</v>
      </c>
      <c r="G13" s="14">
        <v>0.24</v>
      </c>
      <c r="H13" s="14">
        <v>0.06</v>
      </c>
      <c r="I13" s="14">
        <v>0.05</v>
      </c>
      <c r="J13" s="14">
        <v>0.04</v>
      </c>
      <c r="K13" s="14">
        <v>0.05</v>
      </c>
      <c r="L13" s="14">
        <v>0.13</v>
      </c>
      <c r="M13" s="14">
        <v>0.04</v>
      </c>
      <c r="N13" s="14">
        <v>0.18</v>
      </c>
      <c r="O13" s="14">
        <v>0.08</v>
      </c>
      <c r="P13" s="14">
        <v>0.11</v>
      </c>
      <c r="Q13" s="14">
        <v>0.08</v>
      </c>
      <c r="R13" s="14">
        <v>0.05</v>
      </c>
      <c r="S13" s="14">
        <v>0.06</v>
      </c>
      <c r="T13" s="14">
        <v>0.09</v>
      </c>
      <c r="U13" s="14">
        <v>0.28999999999999998</v>
      </c>
      <c r="V13" s="14">
        <v>0.09</v>
      </c>
      <c r="W13" s="14">
        <v>0.18</v>
      </c>
      <c r="X13" s="14">
        <v>0.16</v>
      </c>
      <c r="Y13" s="14">
        <v>0.19</v>
      </c>
      <c r="Z13" s="14">
        <v>7.0000000000000007E-2</v>
      </c>
      <c r="AA13" s="14">
        <v>0.06</v>
      </c>
      <c r="AB13" s="14">
        <v>0.09</v>
      </c>
      <c r="AC13" s="14">
        <v>0.09</v>
      </c>
      <c r="AD13" s="14">
        <v>0.03</v>
      </c>
      <c r="AE13" s="14">
        <v>0.05</v>
      </c>
      <c r="AF13" s="14">
        <v>0.13</v>
      </c>
    </row>
    <row r="14" spans="1:32">
      <c r="A14" s="23"/>
      <c r="B14" s="11" t="s">
        <v>923</v>
      </c>
      <c r="C14" s="12">
        <v>11019</v>
      </c>
      <c r="D14" s="12">
        <v>590</v>
      </c>
      <c r="E14" s="12">
        <v>348</v>
      </c>
      <c r="F14" s="12">
        <v>554</v>
      </c>
      <c r="G14" s="12">
        <v>490</v>
      </c>
      <c r="H14" s="12">
        <v>513</v>
      </c>
      <c r="I14" s="12">
        <v>625</v>
      </c>
      <c r="J14" s="12">
        <v>112</v>
      </c>
      <c r="K14" s="12">
        <v>393</v>
      </c>
      <c r="L14" s="12">
        <v>395</v>
      </c>
      <c r="M14" s="12">
        <v>181</v>
      </c>
      <c r="N14" s="12">
        <v>401</v>
      </c>
      <c r="O14" s="12">
        <v>457</v>
      </c>
      <c r="P14" s="12">
        <v>395</v>
      </c>
      <c r="Q14" s="12">
        <v>389</v>
      </c>
      <c r="R14" s="12">
        <v>166</v>
      </c>
      <c r="S14" s="12">
        <v>414</v>
      </c>
      <c r="T14" s="12">
        <v>408</v>
      </c>
      <c r="U14" s="12">
        <v>240</v>
      </c>
      <c r="V14" s="12">
        <v>370</v>
      </c>
      <c r="W14" s="12">
        <v>235</v>
      </c>
      <c r="X14" s="12">
        <v>548</v>
      </c>
      <c r="Y14" s="12">
        <v>521</v>
      </c>
      <c r="Z14" s="12">
        <v>425</v>
      </c>
      <c r="AA14" s="12">
        <v>272</v>
      </c>
      <c r="AB14" s="12">
        <v>368</v>
      </c>
      <c r="AC14" s="12">
        <v>469</v>
      </c>
      <c r="AD14" s="12">
        <v>450</v>
      </c>
      <c r="AE14" s="12">
        <v>364</v>
      </c>
      <c r="AF14" s="12">
        <v>554</v>
      </c>
    </row>
    <row r="15" spans="1:32">
      <c r="A15" s="23"/>
      <c r="B15" s="13" t="s">
        <v>924</v>
      </c>
      <c r="C15" s="14">
        <v>0.42</v>
      </c>
      <c r="D15" s="14">
        <v>0.59</v>
      </c>
      <c r="E15" s="14">
        <v>0.33</v>
      </c>
      <c r="F15" s="14">
        <v>0.55000000000000004</v>
      </c>
      <c r="G15" s="14">
        <v>0.49</v>
      </c>
      <c r="H15" s="14">
        <v>0.42</v>
      </c>
      <c r="I15" s="14">
        <v>0.42</v>
      </c>
      <c r="J15" s="14">
        <v>0.38</v>
      </c>
      <c r="K15" s="14">
        <v>0.39</v>
      </c>
      <c r="L15" s="14">
        <v>0.39</v>
      </c>
      <c r="M15" s="14">
        <v>0.18</v>
      </c>
      <c r="N15" s="14">
        <v>0.4</v>
      </c>
      <c r="O15" s="14">
        <v>0.46</v>
      </c>
      <c r="P15" s="14">
        <v>0.39</v>
      </c>
      <c r="Q15" s="14">
        <v>0.38</v>
      </c>
      <c r="R15" s="14">
        <v>0.33</v>
      </c>
      <c r="S15" s="14">
        <v>0.41</v>
      </c>
      <c r="T15" s="14">
        <v>0.41</v>
      </c>
      <c r="U15" s="14">
        <v>0.48</v>
      </c>
      <c r="V15" s="14">
        <v>0.37</v>
      </c>
      <c r="W15" s="14">
        <v>0.47</v>
      </c>
      <c r="X15" s="14">
        <v>0.54</v>
      </c>
      <c r="Y15" s="14">
        <v>0.52</v>
      </c>
      <c r="Z15" s="14">
        <v>0.42</v>
      </c>
      <c r="AA15" s="14">
        <v>0.26</v>
      </c>
      <c r="AB15" s="14">
        <v>0.36</v>
      </c>
      <c r="AC15" s="14">
        <v>0.47</v>
      </c>
      <c r="AD15" s="14">
        <v>0.45</v>
      </c>
      <c r="AE15" s="14">
        <v>0.36</v>
      </c>
      <c r="AF15" s="14">
        <v>0.52</v>
      </c>
    </row>
    <row r="16" spans="1:32">
      <c r="A16" s="23"/>
      <c r="B16" s="11" t="s">
        <v>925</v>
      </c>
      <c r="C16" s="12">
        <v>8303</v>
      </c>
      <c r="D16" s="12">
        <v>187</v>
      </c>
      <c r="E16" s="12">
        <v>324</v>
      </c>
      <c r="F16" s="12">
        <v>242</v>
      </c>
      <c r="G16" s="12">
        <v>165</v>
      </c>
      <c r="H16" s="12">
        <v>409</v>
      </c>
      <c r="I16" s="12">
        <v>533</v>
      </c>
      <c r="J16" s="12">
        <v>124</v>
      </c>
      <c r="K16" s="12">
        <v>291</v>
      </c>
      <c r="L16" s="12">
        <v>276</v>
      </c>
      <c r="M16" s="12">
        <v>444</v>
      </c>
      <c r="N16" s="12">
        <v>269</v>
      </c>
      <c r="O16" s="12">
        <v>275</v>
      </c>
      <c r="P16" s="12">
        <v>382</v>
      </c>
      <c r="Q16" s="12">
        <v>378</v>
      </c>
      <c r="R16" s="12">
        <v>209</v>
      </c>
      <c r="S16" s="12">
        <v>327</v>
      </c>
      <c r="T16" s="12">
        <v>335</v>
      </c>
      <c r="U16" s="12">
        <v>36</v>
      </c>
      <c r="V16" s="12">
        <v>327</v>
      </c>
      <c r="W16" s="12">
        <v>143</v>
      </c>
      <c r="X16" s="12">
        <v>239</v>
      </c>
      <c r="Y16" s="12">
        <v>178</v>
      </c>
      <c r="Z16" s="12">
        <v>343</v>
      </c>
      <c r="AA16" s="12">
        <v>427</v>
      </c>
      <c r="AB16" s="12">
        <v>409</v>
      </c>
      <c r="AC16" s="12">
        <v>309</v>
      </c>
      <c r="AD16" s="12">
        <v>384</v>
      </c>
      <c r="AE16" s="12">
        <v>342</v>
      </c>
      <c r="AF16" s="12">
        <v>234</v>
      </c>
    </row>
    <row r="17" spans="1:32">
      <c r="A17" s="23"/>
      <c r="B17" s="13" t="s">
        <v>926</v>
      </c>
      <c r="C17" s="14">
        <v>0.31</v>
      </c>
      <c r="D17" s="14">
        <v>0.18</v>
      </c>
      <c r="E17" s="14">
        <v>0.31</v>
      </c>
      <c r="F17" s="14">
        <v>0.24</v>
      </c>
      <c r="G17" s="14">
        <v>0.17</v>
      </c>
      <c r="H17" s="14">
        <v>0.34</v>
      </c>
      <c r="I17" s="14">
        <v>0.36</v>
      </c>
      <c r="J17" s="14">
        <v>0.42</v>
      </c>
      <c r="K17" s="14">
        <v>0.28999999999999998</v>
      </c>
      <c r="L17" s="14">
        <v>0.27</v>
      </c>
      <c r="M17" s="14">
        <v>0.44</v>
      </c>
      <c r="N17" s="14">
        <v>0.27</v>
      </c>
      <c r="O17" s="14">
        <v>0.27</v>
      </c>
      <c r="P17" s="14">
        <v>0.38</v>
      </c>
      <c r="Q17" s="14">
        <v>0.37</v>
      </c>
      <c r="R17" s="14">
        <v>0.42</v>
      </c>
      <c r="S17" s="14">
        <v>0.33</v>
      </c>
      <c r="T17" s="14">
        <v>0.33</v>
      </c>
      <c r="U17" s="14">
        <v>7.0000000000000007E-2</v>
      </c>
      <c r="V17" s="14">
        <v>0.32</v>
      </c>
      <c r="W17" s="14">
        <v>0.28000000000000003</v>
      </c>
      <c r="X17" s="14">
        <v>0.24</v>
      </c>
      <c r="Y17" s="14">
        <v>0.18</v>
      </c>
      <c r="Z17" s="14">
        <v>0.34</v>
      </c>
      <c r="AA17" s="14">
        <v>0.41</v>
      </c>
      <c r="AB17" s="14">
        <v>0.4</v>
      </c>
      <c r="AC17" s="14">
        <v>0.31</v>
      </c>
      <c r="AD17" s="14">
        <v>0.38</v>
      </c>
      <c r="AE17" s="14">
        <v>0.34</v>
      </c>
      <c r="AF17" s="14">
        <v>0.22</v>
      </c>
    </row>
    <row r="18" spans="1:32">
      <c r="A18" s="23"/>
      <c r="B18" s="11" t="s">
        <v>927</v>
      </c>
      <c r="C18" s="12">
        <v>2814</v>
      </c>
      <c r="D18" s="12">
        <v>38</v>
      </c>
      <c r="E18" s="12">
        <v>153</v>
      </c>
      <c r="F18" s="12">
        <v>63</v>
      </c>
      <c r="G18" s="12">
        <v>41</v>
      </c>
      <c r="H18" s="12">
        <v>134</v>
      </c>
      <c r="I18" s="12">
        <v>172</v>
      </c>
      <c r="J18" s="12">
        <v>38</v>
      </c>
      <c r="K18" s="12">
        <v>126</v>
      </c>
      <c r="L18" s="12">
        <v>152</v>
      </c>
      <c r="M18" s="12">
        <v>323</v>
      </c>
      <c r="N18" s="12">
        <v>88</v>
      </c>
      <c r="O18" s="12">
        <v>97</v>
      </c>
      <c r="P18" s="12">
        <v>112</v>
      </c>
      <c r="Q18" s="12">
        <v>138</v>
      </c>
      <c r="R18" s="12">
        <v>77</v>
      </c>
      <c r="S18" s="12">
        <v>96</v>
      </c>
      <c r="T18" s="12">
        <v>48</v>
      </c>
      <c r="U18" s="12">
        <v>12</v>
      </c>
      <c r="V18" s="12">
        <v>182</v>
      </c>
      <c r="W18" s="12">
        <v>14</v>
      </c>
      <c r="X18" s="12">
        <v>35</v>
      </c>
      <c r="Y18" s="12">
        <v>56</v>
      </c>
      <c r="Z18" s="12">
        <v>87</v>
      </c>
      <c r="AA18" s="12">
        <v>216</v>
      </c>
      <c r="AB18" s="12">
        <v>108</v>
      </c>
      <c r="AC18" s="12">
        <v>82</v>
      </c>
      <c r="AD18" s="12">
        <v>88</v>
      </c>
      <c r="AE18" s="12">
        <v>94</v>
      </c>
      <c r="AF18" s="12">
        <v>55</v>
      </c>
    </row>
    <row r="19" spans="1:32">
      <c r="A19" s="23"/>
      <c r="B19" s="13" t="s">
        <v>928</v>
      </c>
      <c r="C19" s="14">
        <v>0.11</v>
      </c>
      <c r="D19" s="14">
        <v>0.04</v>
      </c>
      <c r="E19" s="14">
        <v>0.15</v>
      </c>
      <c r="F19" s="14">
        <v>0.06</v>
      </c>
      <c r="G19" s="14">
        <v>0.04</v>
      </c>
      <c r="H19" s="14">
        <v>0.11</v>
      </c>
      <c r="I19" s="14">
        <v>0.11</v>
      </c>
      <c r="J19" s="14">
        <v>0.13</v>
      </c>
      <c r="K19" s="14">
        <v>0.13</v>
      </c>
      <c r="L19" s="14">
        <v>0.15</v>
      </c>
      <c r="M19" s="14">
        <v>0.32</v>
      </c>
      <c r="N19" s="14">
        <v>0.09</v>
      </c>
      <c r="O19" s="14">
        <v>0.1</v>
      </c>
      <c r="P19" s="14">
        <v>0.11</v>
      </c>
      <c r="Q19" s="14">
        <v>0.13</v>
      </c>
      <c r="R19" s="14">
        <v>0.15</v>
      </c>
      <c r="S19" s="14">
        <v>0.1</v>
      </c>
      <c r="T19" s="14">
        <v>0.05</v>
      </c>
      <c r="U19" s="14">
        <v>0.02</v>
      </c>
      <c r="V19" s="14">
        <v>0.18</v>
      </c>
      <c r="W19" s="14">
        <v>0.03</v>
      </c>
      <c r="X19" s="14">
        <v>0.03</v>
      </c>
      <c r="Y19" s="14">
        <v>0.05</v>
      </c>
      <c r="Z19" s="14">
        <v>0.09</v>
      </c>
      <c r="AA19" s="14">
        <v>0.21</v>
      </c>
      <c r="AB19" s="14">
        <v>0.1</v>
      </c>
      <c r="AC19" s="14">
        <v>0.08</v>
      </c>
      <c r="AD19" s="14">
        <v>0.09</v>
      </c>
      <c r="AE19" s="14">
        <v>0.09</v>
      </c>
      <c r="AF19" s="14">
        <v>0.05</v>
      </c>
    </row>
    <row r="20" spans="1:32">
      <c r="A20" s="23"/>
      <c r="B20" s="11" t="s">
        <v>497</v>
      </c>
      <c r="C20" s="12">
        <v>1652</v>
      </c>
      <c r="D20" s="12">
        <v>19</v>
      </c>
      <c r="E20" s="12">
        <v>126</v>
      </c>
      <c r="F20" s="12">
        <v>52</v>
      </c>
      <c r="G20" s="12">
        <v>65</v>
      </c>
      <c r="H20" s="12">
        <v>85</v>
      </c>
      <c r="I20" s="12">
        <v>93</v>
      </c>
      <c r="J20" s="12">
        <v>8</v>
      </c>
      <c r="K20" s="12">
        <v>142</v>
      </c>
      <c r="L20" s="12">
        <v>57</v>
      </c>
      <c r="M20" s="12">
        <v>25</v>
      </c>
      <c r="N20" s="12">
        <v>60</v>
      </c>
      <c r="O20" s="12">
        <v>93</v>
      </c>
      <c r="P20" s="12">
        <v>9</v>
      </c>
      <c r="Q20" s="12">
        <v>36</v>
      </c>
      <c r="R20" s="12">
        <v>24</v>
      </c>
      <c r="S20" s="12">
        <v>105</v>
      </c>
      <c r="T20" s="12">
        <v>126</v>
      </c>
      <c r="U20" s="12">
        <v>70</v>
      </c>
      <c r="V20" s="12">
        <v>40</v>
      </c>
      <c r="W20" s="12">
        <v>19</v>
      </c>
      <c r="X20" s="12">
        <v>31</v>
      </c>
      <c r="Y20" s="12">
        <v>58</v>
      </c>
      <c r="Z20" s="12">
        <v>87</v>
      </c>
      <c r="AA20" s="12">
        <v>63</v>
      </c>
      <c r="AB20" s="12">
        <v>49</v>
      </c>
      <c r="AC20" s="12">
        <v>55</v>
      </c>
      <c r="AD20" s="12">
        <v>50</v>
      </c>
      <c r="AE20" s="12">
        <v>162</v>
      </c>
      <c r="AF20" s="12">
        <v>89</v>
      </c>
    </row>
    <row r="21" spans="1:32">
      <c r="A21" s="23"/>
      <c r="B21" s="13" t="s">
        <v>498</v>
      </c>
      <c r="C21" s="14">
        <v>0.06</v>
      </c>
      <c r="D21" s="14">
        <v>0.02</v>
      </c>
      <c r="E21" s="14">
        <v>0.12</v>
      </c>
      <c r="F21" s="14">
        <v>0.05</v>
      </c>
      <c r="G21" s="14">
        <v>0.06</v>
      </c>
      <c r="H21" s="14">
        <v>7.0000000000000007E-2</v>
      </c>
      <c r="I21" s="14">
        <v>0.06</v>
      </c>
      <c r="J21" s="14">
        <v>0.03</v>
      </c>
      <c r="K21" s="14">
        <v>0.14000000000000001</v>
      </c>
      <c r="L21" s="14">
        <v>0.06</v>
      </c>
      <c r="M21" s="14">
        <v>0.02</v>
      </c>
      <c r="N21" s="14">
        <v>0.06</v>
      </c>
      <c r="O21" s="14">
        <v>0.09</v>
      </c>
      <c r="P21" s="14">
        <v>0.01</v>
      </c>
      <c r="Q21" s="14">
        <v>0.04</v>
      </c>
      <c r="R21" s="14">
        <v>0.05</v>
      </c>
      <c r="S21" s="14">
        <v>0.1</v>
      </c>
      <c r="T21" s="14">
        <v>0.12</v>
      </c>
      <c r="U21" s="14">
        <v>0.14000000000000001</v>
      </c>
      <c r="V21" s="14">
        <v>0.04</v>
      </c>
      <c r="W21" s="14">
        <v>0.04</v>
      </c>
      <c r="X21" s="14">
        <v>0.03</v>
      </c>
      <c r="Y21" s="14">
        <v>0.06</v>
      </c>
      <c r="Z21" s="14">
        <v>0.08</v>
      </c>
      <c r="AA21" s="14">
        <v>0.06</v>
      </c>
      <c r="AB21" s="14">
        <v>0.05</v>
      </c>
      <c r="AC21" s="14">
        <v>0.05</v>
      </c>
      <c r="AD21" s="14">
        <v>0.05</v>
      </c>
      <c r="AE21" s="14">
        <v>0.16</v>
      </c>
      <c r="AF21" s="14">
        <v>0.08</v>
      </c>
    </row>
    <row r="22" spans="1:32">
      <c r="A22" s="23"/>
      <c r="B22" s="11" t="s">
        <v>929</v>
      </c>
      <c r="C22" s="12">
        <v>13586</v>
      </c>
      <c r="D22" s="12">
        <v>762</v>
      </c>
      <c r="E22" s="12">
        <v>440</v>
      </c>
      <c r="F22" s="12">
        <v>651</v>
      </c>
      <c r="G22" s="12">
        <v>732</v>
      </c>
      <c r="H22" s="12">
        <v>583</v>
      </c>
      <c r="I22" s="12">
        <v>706</v>
      </c>
      <c r="J22" s="12">
        <v>123</v>
      </c>
      <c r="K22" s="12">
        <v>445</v>
      </c>
      <c r="L22" s="12">
        <v>523</v>
      </c>
      <c r="M22" s="12">
        <v>219</v>
      </c>
      <c r="N22" s="12">
        <v>583</v>
      </c>
      <c r="O22" s="12">
        <v>542</v>
      </c>
      <c r="P22" s="12">
        <v>506</v>
      </c>
      <c r="Q22" s="12">
        <v>472</v>
      </c>
      <c r="R22" s="12">
        <v>192</v>
      </c>
      <c r="S22" s="12">
        <v>477</v>
      </c>
      <c r="T22" s="12">
        <v>495</v>
      </c>
      <c r="U22" s="12">
        <v>386</v>
      </c>
      <c r="V22" s="12">
        <v>463</v>
      </c>
      <c r="W22" s="12">
        <v>327</v>
      </c>
      <c r="X22" s="12">
        <v>711</v>
      </c>
      <c r="Y22" s="12">
        <v>715</v>
      </c>
      <c r="Z22" s="12">
        <v>500</v>
      </c>
      <c r="AA22" s="12">
        <v>335</v>
      </c>
      <c r="AB22" s="12">
        <v>465</v>
      </c>
      <c r="AC22" s="12">
        <v>559</v>
      </c>
      <c r="AD22" s="12">
        <v>480</v>
      </c>
      <c r="AE22" s="12">
        <v>410</v>
      </c>
      <c r="AF22" s="12">
        <v>696</v>
      </c>
    </row>
    <row r="23" spans="1:32">
      <c r="A23" s="23"/>
      <c r="B23" s="13" t="s">
        <v>930</v>
      </c>
      <c r="C23" s="14">
        <v>0.52</v>
      </c>
      <c r="D23" s="14">
        <v>0.76</v>
      </c>
      <c r="E23" s="14">
        <v>0.42</v>
      </c>
      <c r="F23" s="14">
        <v>0.65</v>
      </c>
      <c r="G23" s="14">
        <v>0.73</v>
      </c>
      <c r="H23" s="14">
        <v>0.48</v>
      </c>
      <c r="I23" s="14">
        <v>0.47</v>
      </c>
      <c r="J23" s="14">
        <v>0.42</v>
      </c>
      <c r="K23" s="14">
        <v>0.44</v>
      </c>
      <c r="L23" s="14">
        <v>0.52</v>
      </c>
      <c r="M23" s="14">
        <v>0.22</v>
      </c>
      <c r="N23" s="14">
        <v>0.57999999999999996</v>
      </c>
      <c r="O23" s="14">
        <v>0.54</v>
      </c>
      <c r="P23" s="14">
        <v>0.5</v>
      </c>
      <c r="Q23" s="14">
        <v>0.46</v>
      </c>
      <c r="R23" s="14">
        <v>0.38</v>
      </c>
      <c r="S23" s="14">
        <v>0.47</v>
      </c>
      <c r="T23" s="14">
        <v>0.5</v>
      </c>
      <c r="U23" s="14">
        <v>0.77</v>
      </c>
      <c r="V23" s="14">
        <v>0.46</v>
      </c>
      <c r="W23" s="14">
        <v>0.65</v>
      </c>
      <c r="X23" s="14">
        <v>0.70000000000000007</v>
      </c>
      <c r="Y23" s="14">
        <v>0.71</v>
      </c>
      <c r="Z23" s="14">
        <v>0.49</v>
      </c>
      <c r="AA23" s="14">
        <v>0.32</v>
      </c>
      <c r="AB23" s="14">
        <v>0.45</v>
      </c>
      <c r="AC23" s="14">
        <v>0.56000000000000005</v>
      </c>
      <c r="AD23" s="14">
        <v>0.48</v>
      </c>
      <c r="AE23" s="14">
        <v>0.41</v>
      </c>
      <c r="AF23" s="14">
        <v>0.65</v>
      </c>
    </row>
    <row r="24" spans="1:32">
      <c r="A24" s="23"/>
      <c r="B24" s="11" t="s">
        <v>931</v>
      </c>
      <c r="C24" s="12">
        <v>11117</v>
      </c>
      <c r="D24" s="12">
        <v>225</v>
      </c>
      <c r="E24" s="12">
        <v>477</v>
      </c>
      <c r="F24" s="12">
        <v>305</v>
      </c>
      <c r="G24" s="12">
        <v>206</v>
      </c>
      <c r="H24" s="12">
        <v>543</v>
      </c>
      <c r="I24" s="12">
        <v>705</v>
      </c>
      <c r="J24" s="12">
        <v>162</v>
      </c>
      <c r="K24" s="12">
        <v>417</v>
      </c>
      <c r="L24" s="12">
        <v>428</v>
      </c>
      <c r="M24" s="12">
        <v>767</v>
      </c>
      <c r="N24" s="12">
        <v>357</v>
      </c>
      <c r="O24" s="12">
        <v>372</v>
      </c>
      <c r="P24" s="12">
        <v>494</v>
      </c>
      <c r="Q24" s="12">
        <v>516</v>
      </c>
      <c r="R24" s="12">
        <v>286</v>
      </c>
      <c r="S24" s="12">
        <v>423</v>
      </c>
      <c r="T24" s="12">
        <v>383</v>
      </c>
      <c r="U24" s="12">
        <v>48</v>
      </c>
      <c r="V24" s="12">
        <v>509</v>
      </c>
      <c r="W24" s="12">
        <v>157</v>
      </c>
      <c r="X24" s="12">
        <v>274</v>
      </c>
      <c r="Y24" s="12">
        <v>234</v>
      </c>
      <c r="Z24" s="12">
        <v>430</v>
      </c>
      <c r="AA24" s="12">
        <v>643</v>
      </c>
      <c r="AB24" s="12">
        <v>517</v>
      </c>
      <c r="AC24" s="12">
        <v>391</v>
      </c>
      <c r="AD24" s="12">
        <v>472</v>
      </c>
      <c r="AE24" s="12">
        <v>436</v>
      </c>
      <c r="AF24" s="12">
        <v>289</v>
      </c>
    </row>
    <row r="25" spans="1:32">
      <c r="A25" s="23"/>
      <c r="B25" s="13" t="s">
        <v>932</v>
      </c>
      <c r="C25" s="14">
        <v>0.42</v>
      </c>
      <c r="D25" s="14">
        <v>0.22</v>
      </c>
      <c r="E25" s="14">
        <v>0.46</v>
      </c>
      <c r="F25" s="14">
        <v>0.3</v>
      </c>
      <c r="G25" s="14">
        <v>0.21</v>
      </c>
      <c r="H25" s="14">
        <v>0.45</v>
      </c>
      <c r="I25" s="14">
        <v>0.47</v>
      </c>
      <c r="J25" s="14">
        <v>0.55000000000000004</v>
      </c>
      <c r="K25" s="14">
        <v>0.42</v>
      </c>
      <c r="L25" s="14">
        <v>0.42</v>
      </c>
      <c r="M25" s="14">
        <v>0.76</v>
      </c>
      <c r="N25" s="14">
        <v>0.36</v>
      </c>
      <c r="O25" s="14">
        <v>0.37</v>
      </c>
      <c r="P25" s="14">
        <v>0.49</v>
      </c>
      <c r="Q25" s="14">
        <v>0.5</v>
      </c>
      <c r="R25" s="14">
        <v>0.57000000000000006</v>
      </c>
      <c r="S25" s="14">
        <v>0.43</v>
      </c>
      <c r="T25" s="14">
        <v>0.38</v>
      </c>
      <c r="U25" s="14">
        <v>0.09</v>
      </c>
      <c r="V25" s="14">
        <v>0.5</v>
      </c>
      <c r="W25" s="14">
        <v>0.31</v>
      </c>
      <c r="X25" s="14">
        <v>0.27</v>
      </c>
      <c r="Y25" s="14">
        <v>0.23</v>
      </c>
      <c r="Z25" s="14">
        <v>0.43</v>
      </c>
      <c r="AA25" s="14">
        <v>0.62</v>
      </c>
      <c r="AB25" s="14">
        <v>0.5</v>
      </c>
      <c r="AC25" s="14">
        <v>0.39</v>
      </c>
      <c r="AD25" s="14">
        <v>0.47</v>
      </c>
      <c r="AE25" s="14">
        <v>0.43</v>
      </c>
      <c r="AF25" s="14">
        <v>0.27</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36" customHeight="1">
      <c r="B3" s="19" t="s">
        <v>1077</v>
      </c>
      <c r="C3" s="19"/>
      <c r="D3" s="19"/>
      <c r="E3" s="19"/>
      <c r="F3" s="19"/>
      <c r="H3" s="19" t="s">
        <v>1078</v>
      </c>
      <c r="I3" s="19"/>
      <c r="J3" s="19"/>
      <c r="K3" s="19"/>
      <c r="L3" s="19"/>
    </row>
    <row r="4" spans="1:32" ht="27" customHeight="1">
      <c r="B4" s="19" t="s">
        <v>1079</v>
      </c>
      <c r="C4" s="19"/>
      <c r="D4" s="19"/>
      <c r="E4" s="19"/>
      <c r="F4" s="19"/>
      <c r="H4" s="19" t="s">
        <v>1080</v>
      </c>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HYPERLINK("#Content!A84","&lt;&lt;Back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707</v>
      </c>
      <c r="C12" s="12">
        <v>2892</v>
      </c>
      <c r="D12" s="12">
        <v>151</v>
      </c>
      <c r="E12" s="12">
        <v>66</v>
      </c>
      <c r="F12" s="12">
        <v>163</v>
      </c>
      <c r="G12" s="12">
        <v>112</v>
      </c>
      <c r="H12" s="12">
        <v>93</v>
      </c>
      <c r="I12" s="12">
        <v>122</v>
      </c>
      <c r="J12" s="12">
        <v>29</v>
      </c>
      <c r="K12" s="12">
        <v>66</v>
      </c>
      <c r="L12" s="12">
        <v>118</v>
      </c>
      <c r="M12" s="12">
        <v>48</v>
      </c>
      <c r="N12" s="12">
        <v>136</v>
      </c>
      <c r="O12" s="12">
        <v>99</v>
      </c>
      <c r="P12" s="12">
        <v>142</v>
      </c>
      <c r="Q12" s="12">
        <v>164</v>
      </c>
      <c r="R12" s="12">
        <v>49</v>
      </c>
      <c r="S12" s="12">
        <v>121</v>
      </c>
      <c r="T12" s="12">
        <v>57</v>
      </c>
      <c r="U12" s="12">
        <v>79</v>
      </c>
      <c r="V12" s="12">
        <v>90</v>
      </c>
      <c r="W12" s="12">
        <v>93</v>
      </c>
      <c r="X12" s="12">
        <v>119</v>
      </c>
      <c r="Y12" s="12">
        <v>244</v>
      </c>
      <c r="Z12" s="12">
        <v>81</v>
      </c>
      <c r="AA12" s="12">
        <v>77</v>
      </c>
      <c r="AB12" s="12">
        <v>105</v>
      </c>
      <c r="AC12" s="12">
        <v>148</v>
      </c>
      <c r="AD12" s="12">
        <v>63</v>
      </c>
      <c r="AE12" s="12">
        <v>58</v>
      </c>
      <c r="AF12" s="12">
        <v>84</v>
      </c>
    </row>
    <row r="13" spans="1:32">
      <c r="A13" s="23"/>
      <c r="B13" s="13" t="s">
        <v>708</v>
      </c>
      <c r="C13" s="14">
        <v>0.11</v>
      </c>
      <c r="D13" s="14">
        <v>0.15</v>
      </c>
      <c r="E13" s="14">
        <v>0.06</v>
      </c>
      <c r="F13" s="14">
        <v>0.16</v>
      </c>
      <c r="G13" s="14">
        <v>0.11</v>
      </c>
      <c r="H13" s="14">
        <v>0.08</v>
      </c>
      <c r="I13" s="14">
        <v>0.08</v>
      </c>
      <c r="J13" s="14">
        <v>0.1</v>
      </c>
      <c r="K13" s="14">
        <v>7.0000000000000007E-2</v>
      </c>
      <c r="L13" s="14">
        <v>0.12</v>
      </c>
      <c r="M13" s="14">
        <v>0.05</v>
      </c>
      <c r="N13" s="14">
        <v>0.14000000000000001</v>
      </c>
      <c r="O13" s="14">
        <v>0.1</v>
      </c>
      <c r="P13" s="14">
        <v>0.14000000000000001</v>
      </c>
      <c r="Q13" s="14">
        <v>0.16</v>
      </c>
      <c r="R13" s="14">
        <v>0.1</v>
      </c>
      <c r="S13" s="14">
        <v>0.12</v>
      </c>
      <c r="T13" s="14">
        <v>0.06</v>
      </c>
      <c r="U13" s="14">
        <v>0.16</v>
      </c>
      <c r="V13" s="14">
        <v>0.09</v>
      </c>
      <c r="W13" s="14">
        <v>0.18</v>
      </c>
      <c r="X13" s="14">
        <v>0.12</v>
      </c>
      <c r="Y13" s="14">
        <v>0.24</v>
      </c>
      <c r="Z13" s="14">
        <v>0.08</v>
      </c>
      <c r="AA13" s="14">
        <v>7.0000000000000007E-2</v>
      </c>
      <c r="AB13" s="14">
        <v>0.1</v>
      </c>
      <c r="AC13" s="14">
        <v>0.15</v>
      </c>
      <c r="AD13" s="14">
        <v>0.06</v>
      </c>
      <c r="AE13" s="14">
        <v>0.06</v>
      </c>
      <c r="AF13" s="14">
        <v>0.08</v>
      </c>
    </row>
    <row r="14" spans="1:32">
      <c r="A14" s="23"/>
      <c r="B14" s="11" t="s">
        <v>709</v>
      </c>
      <c r="C14" s="12">
        <v>8456</v>
      </c>
      <c r="D14" s="12">
        <v>424</v>
      </c>
      <c r="E14" s="12">
        <v>232</v>
      </c>
      <c r="F14" s="12">
        <v>410</v>
      </c>
      <c r="G14" s="12">
        <v>362</v>
      </c>
      <c r="H14" s="12">
        <v>397</v>
      </c>
      <c r="I14" s="12">
        <v>495</v>
      </c>
      <c r="J14" s="12">
        <v>97</v>
      </c>
      <c r="K14" s="12">
        <v>225</v>
      </c>
      <c r="L14" s="12">
        <v>307</v>
      </c>
      <c r="M14" s="12">
        <v>163</v>
      </c>
      <c r="N14" s="12">
        <v>273</v>
      </c>
      <c r="O14" s="12">
        <v>307</v>
      </c>
      <c r="P14" s="12">
        <v>426</v>
      </c>
      <c r="Q14" s="12">
        <v>329</v>
      </c>
      <c r="R14" s="12">
        <v>113</v>
      </c>
      <c r="S14" s="12">
        <v>290</v>
      </c>
      <c r="T14" s="12">
        <v>311</v>
      </c>
      <c r="U14" s="12">
        <v>183</v>
      </c>
      <c r="V14" s="12">
        <v>281</v>
      </c>
      <c r="W14" s="12">
        <v>177</v>
      </c>
      <c r="X14" s="12">
        <v>299</v>
      </c>
      <c r="Y14" s="12">
        <v>357</v>
      </c>
      <c r="Z14" s="12">
        <v>451</v>
      </c>
      <c r="AA14" s="12">
        <v>261</v>
      </c>
      <c r="AB14" s="12">
        <v>358</v>
      </c>
      <c r="AC14" s="12">
        <v>425</v>
      </c>
      <c r="AD14" s="12">
        <v>304</v>
      </c>
      <c r="AE14" s="12">
        <v>188</v>
      </c>
      <c r="AF14" s="12">
        <v>302</v>
      </c>
    </row>
    <row r="15" spans="1:32">
      <c r="A15" s="23"/>
      <c r="B15" s="13" t="s">
        <v>710</v>
      </c>
      <c r="C15" s="14">
        <v>0.32</v>
      </c>
      <c r="D15" s="14">
        <v>0.42</v>
      </c>
      <c r="E15" s="14">
        <v>0.22</v>
      </c>
      <c r="F15" s="14">
        <v>0.41</v>
      </c>
      <c r="G15" s="14">
        <v>0.36</v>
      </c>
      <c r="H15" s="14">
        <v>0.33</v>
      </c>
      <c r="I15" s="14">
        <v>0.33</v>
      </c>
      <c r="J15" s="14">
        <v>0.33</v>
      </c>
      <c r="K15" s="14">
        <v>0.22</v>
      </c>
      <c r="L15" s="14">
        <v>0.3</v>
      </c>
      <c r="M15" s="14">
        <v>0.16</v>
      </c>
      <c r="N15" s="14">
        <v>0.27</v>
      </c>
      <c r="O15" s="14">
        <v>0.31</v>
      </c>
      <c r="P15" s="14">
        <v>0.42</v>
      </c>
      <c r="Q15" s="14">
        <v>0.32</v>
      </c>
      <c r="R15" s="14">
        <v>0.22</v>
      </c>
      <c r="S15" s="14">
        <v>0.28999999999999998</v>
      </c>
      <c r="T15" s="14">
        <v>0.31</v>
      </c>
      <c r="U15" s="14">
        <v>0.36</v>
      </c>
      <c r="V15" s="14">
        <v>0.28000000000000003</v>
      </c>
      <c r="W15" s="14">
        <v>0.35</v>
      </c>
      <c r="X15" s="14">
        <v>0.28999999999999998</v>
      </c>
      <c r="Y15" s="14">
        <v>0.36</v>
      </c>
      <c r="Z15" s="14">
        <v>0.44</v>
      </c>
      <c r="AA15" s="14">
        <v>0.25</v>
      </c>
      <c r="AB15" s="14">
        <v>0.35</v>
      </c>
      <c r="AC15" s="14">
        <v>0.42</v>
      </c>
      <c r="AD15" s="14">
        <v>0.3</v>
      </c>
      <c r="AE15" s="14">
        <v>0.19</v>
      </c>
      <c r="AF15" s="14">
        <v>0.28000000000000003</v>
      </c>
    </row>
    <row r="16" spans="1:32">
      <c r="A16" s="23"/>
      <c r="B16" s="11" t="s">
        <v>711</v>
      </c>
      <c r="C16" s="12">
        <v>9867</v>
      </c>
      <c r="D16" s="12">
        <v>338</v>
      </c>
      <c r="E16" s="12">
        <v>382</v>
      </c>
      <c r="F16" s="12">
        <v>278</v>
      </c>
      <c r="G16" s="12">
        <v>335</v>
      </c>
      <c r="H16" s="12">
        <v>458</v>
      </c>
      <c r="I16" s="12">
        <v>577</v>
      </c>
      <c r="J16" s="12">
        <v>120</v>
      </c>
      <c r="K16" s="12">
        <v>433</v>
      </c>
      <c r="L16" s="12">
        <v>363</v>
      </c>
      <c r="M16" s="12">
        <v>399</v>
      </c>
      <c r="N16" s="12">
        <v>395</v>
      </c>
      <c r="O16" s="12">
        <v>393</v>
      </c>
      <c r="P16" s="12">
        <v>333</v>
      </c>
      <c r="Q16" s="12">
        <v>372</v>
      </c>
      <c r="R16" s="12">
        <v>200</v>
      </c>
      <c r="S16" s="12">
        <v>324</v>
      </c>
      <c r="T16" s="12">
        <v>372</v>
      </c>
      <c r="U16" s="12">
        <v>122</v>
      </c>
      <c r="V16" s="12">
        <v>422</v>
      </c>
      <c r="W16" s="12">
        <v>185</v>
      </c>
      <c r="X16" s="12">
        <v>459</v>
      </c>
      <c r="Y16" s="12">
        <v>225</v>
      </c>
      <c r="Z16" s="12">
        <v>312</v>
      </c>
      <c r="AA16" s="12">
        <v>401</v>
      </c>
      <c r="AB16" s="12">
        <v>393</v>
      </c>
      <c r="AC16" s="12">
        <v>323</v>
      </c>
      <c r="AD16" s="12">
        <v>446</v>
      </c>
      <c r="AE16" s="12">
        <v>499</v>
      </c>
      <c r="AF16" s="12">
        <v>464</v>
      </c>
    </row>
    <row r="17" spans="1:32">
      <c r="A17" s="23"/>
      <c r="B17" s="13" t="s">
        <v>712</v>
      </c>
      <c r="C17" s="14">
        <v>0.38</v>
      </c>
      <c r="D17" s="14">
        <v>0.34</v>
      </c>
      <c r="E17" s="14">
        <v>0.37</v>
      </c>
      <c r="F17" s="14">
        <v>0.28000000000000003</v>
      </c>
      <c r="G17" s="14">
        <v>0.33</v>
      </c>
      <c r="H17" s="14">
        <v>0.38</v>
      </c>
      <c r="I17" s="14">
        <v>0.39</v>
      </c>
      <c r="J17" s="14">
        <v>0.41</v>
      </c>
      <c r="K17" s="14">
        <v>0.43</v>
      </c>
      <c r="L17" s="14">
        <v>0.36</v>
      </c>
      <c r="M17" s="14">
        <v>0.39</v>
      </c>
      <c r="N17" s="14">
        <v>0.39</v>
      </c>
      <c r="O17" s="14">
        <v>0.39</v>
      </c>
      <c r="P17" s="14">
        <v>0.33</v>
      </c>
      <c r="Q17" s="14">
        <v>0.36</v>
      </c>
      <c r="R17" s="14">
        <v>0.4</v>
      </c>
      <c r="S17" s="14">
        <v>0.32</v>
      </c>
      <c r="T17" s="14">
        <v>0.37</v>
      </c>
      <c r="U17" s="14">
        <v>0.24</v>
      </c>
      <c r="V17" s="14">
        <v>0.42</v>
      </c>
      <c r="W17" s="14">
        <v>0.37</v>
      </c>
      <c r="X17" s="14">
        <v>0.45</v>
      </c>
      <c r="Y17" s="14">
        <v>0.22</v>
      </c>
      <c r="Z17" s="14">
        <v>0.31</v>
      </c>
      <c r="AA17" s="14">
        <v>0.39</v>
      </c>
      <c r="AB17" s="14">
        <v>0.38</v>
      </c>
      <c r="AC17" s="14">
        <v>0.32</v>
      </c>
      <c r="AD17" s="14">
        <v>0.45</v>
      </c>
      <c r="AE17" s="14">
        <v>0.49</v>
      </c>
      <c r="AF17" s="14">
        <v>0.43</v>
      </c>
    </row>
    <row r="18" spans="1:32">
      <c r="A18" s="23"/>
      <c r="B18" s="11" t="s">
        <v>713</v>
      </c>
      <c r="C18" s="12">
        <v>3786</v>
      </c>
      <c r="D18" s="12">
        <v>75</v>
      </c>
      <c r="E18" s="12">
        <v>277</v>
      </c>
      <c r="F18" s="12">
        <v>95</v>
      </c>
      <c r="G18" s="12">
        <v>117</v>
      </c>
      <c r="H18" s="12">
        <v>164</v>
      </c>
      <c r="I18" s="12">
        <v>200</v>
      </c>
      <c r="J18" s="12">
        <v>36</v>
      </c>
      <c r="K18" s="12">
        <v>204</v>
      </c>
      <c r="L18" s="12">
        <v>151</v>
      </c>
      <c r="M18" s="12">
        <v>361</v>
      </c>
      <c r="N18" s="12">
        <v>150</v>
      </c>
      <c r="O18" s="12">
        <v>146</v>
      </c>
      <c r="P18" s="12">
        <v>107</v>
      </c>
      <c r="Q18" s="12">
        <v>137</v>
      </c>
      <c r="R18" s="12">
        <v>114</v>
      </c>
      <c r="S18" s="12">
        <v>152</v>
      </c>
      <c r="T18" s="12">
        <v>181</v>
      </c>
      <c r="U18" s="12">
        <v>44</v>
      </c>
      <c r="V18" s="12">
        <v>186</v>
      </c>
      <c r="W18" s="12">
        <v>33</v>
      </c>
      <c r="X18" s="12">
        <v>103</v>
      </c>
      <c r="Y18" s="12">
        <v>101</v>
      </c>
      <c r="Z18" s="12">
        <v>122</v>
      </c>
      <c r="AA18" s="12">
        <v>230</v>
      </c>
      <c r="AB18" s="12">
        <v>141</v>
      </c>
      <c r="AC18" s="12">
        <v>63</v>
      </c>
      <c r="AD18" s="12">
        <v>145</v>
      </c>
      <c r="AE18" s="12">
        <v>214</v>
      </c>
      <c r="AF18" s="12">
        <v>175</v>
      </c>
    </row>
    <row r="19" spans="1:32">
      <c r="A19" s="23"/>
      <c r="B19" s="13" t="s">
        <v>714</v>
      </c>
      <c r="C19" s="14">
        <v>0.14000000000000001</v>
      </c>
      <c r="D19" s="14">
        <v>7.0000000000000007E-2</v>
      </c>
      <c r="E19" s="14">
        <v>0.27</v>
      </c>
      <c r="F19" s="14">
        <v>0.09</v>
      </c>
      <c r="G19" s="14">
        <v>0.12</v>
      </c>
      <c r="H19" s="14">
        <v>0.13</v>
      </c>
      <c r="I19" s="14">
        <v>0.13</v>
      </c>
      <c r="J19" s="14">
        <v>0.12</v>
      </c>
      <c r="K19" s="14">
        <v>0.2</v>
      </c>
      <c r="L19" s="14">
        <v>0.15</v>
      </c>
      <c r="M19" s="14">
        <v>0.36</v>
      </c>
      <c r="N19" s="14">
        <v>0.15</v>
      </c>
      <c r="O19" s="14">
        <v>0.14000000000000001</v>
      </c>
      <c r="P19" s="14">
        <v>0.11</v>
      </c>
      <c r="Q19" s="14">
        <v>0.14000000000000001</v>
      </c>
      <c r="R19" s="14">
        <v>0.23</v>
      </c>
      <c r="S19" s="14">
        <v>0.15</v>
      </c>
      <c r="T19" s="14">
        <v>0.18</v>
      </c>
      <c r="U19" s="14">
        <v>0.09</v>
      </c>
      <c r="V19" s="14">
        <v>0.18</v>
      </c>
      <c r="W19" s="14">
        <v>7.0000000000000007E-2</v>
      </c>
      <c r="X19" s="14">
        <v>0.1</v>
      </c>
      <c r="Y19" s="14">
        <v>0.1</v>
      </c>
      <c r="Z19" s="14">
        <v>0.12</v>
      </c>
      <c r="AA19" s="14">
        <v>0.22</v>
      </c>
      <c r="AB19" s="14">
        <v>0.14000000000000001</v>
      </c>
      <c r="AC19" s="14">
        <v>0.06</v>
      </c>
      <c r="AD19" s="14">
        <v>0.15</v>
      </c>
      <c r="AE19" s="14">
        <v>0.21</v>
      </c>
      <c r="AF19" s="14">
        <v>0.16</v>
      </c>
    </row>
    <row r="20" spans="1:32">
      <c r="A20" s="23"/>
      <c r="B20" s="11" t="s">
        <v>497</v>
      </c>
      <c r="C20" s="12">
        <v>1353</v>
      </c>
      <c r="D20" s="12">
        <v>18</v>
      </c>
      <c r="E20" s="12">
        <v>87</v>
      </c>
      <c r="F20" s="12">
        <v>61</v>
      </c>
      <c r="G20" s="12">
        <v>76</v>
      </c>
      <c r="H20" s="12">
        <v>98</v>
      </c>
      <c r="I20" s="12">
        <v>110</v>
      </c>
      <c r="J20" s="12">
        <v>11</v>
      </c>
      <c r="K20" s="12">
        <v>76</v>
      </c>
      <c r="L20" s="12">
        <v>68</v>
      </c>
      <c r="M20" s="12">
        <v>40</v>
      </c>
      <c r="N20" s="12">
        <v>46</v>
      </c>
      <c r="O20" s="12">
        <v>61</v>
      </c>
      <c r="P20" s="12">
        <v>3</v>
      </c>
      <c r="Q20" s="12">
        <v>22</v>
      </c>
      <c r="R20" s="12">
        <v>26</v>
      </c>
      <c r="S20" s="12">
        <v>117</v>
      </c>
      <c r="T20" s="12">
        <v>83</v>
      </c>
      <c r="U20" s="12">
        <v>75</v>
      </c>
      <c r="V20" s="12">
        <v>32</v>
      </c>
      <c r="W20" s="12">
        <v>14</v>
      </c>
      <c r="X20" s="12">
        <v>36</v>
      </c>
      <c r="Y20" s="12">
        <v>80</v>
      </c>
      <c r="Z20" s="12">
        <v>52</v>
      </c>
      <c r="AA20" s="12">
        <v>71</v>
      </c>
      <c r="AB20" s="12">
        <v>34</v>
      </c>
      <c r="AC20" s="12">
        <v>45</v>
      </c>
      <c r="AD20" s="12">
        <v>44</v>
      </c>
      <c r="AE20" s="12">
        <v>49</v>
      </c>
      <c r="AF20" s="12">
        <v>48</v>
      </c>
    </row>
    <row r="21" spans="1:32">
      <c r="A21" s="23"/>
      <c r="B21" s="13" t="s">
        <v>498</v>
      </c>
      <c r="C21" s="14">
        <v>0.05</v>
      </c>
      <c r="D21" s="14">
        <v>0.02</v>
      </c>
      <c r="E21" s="14">
        <v>0.08</v>
      </c>
      <c r="F21" s="14">
        <v>0.06</v>
      </c>
      <c r="G21" s="14">
        <v>0.08</v>
      </c>
      <c r="H21" s="14">
        <v>0.08</v>
      </c>
      <c r="I21" s="14">
        <v>7.0000000000000007E-2</v>
      </c>
      <c r="J21" s="14">
        <v>0.04</v>
      </c>
      <c r="K21" s="14">
        <v>0.08</v>
      </c>
      <c r="L21" s="14">
        <v>7.0000000000000007E-2</v>
      </c>
      <c r="M21" s="14">
        <v>0.04</v>
      </c>
      <c r="N21" s="14">
        <v>0.05</v>
      </c>
      <c r="O21" s="14">
        <v>0.06</v>
      </c>
      <c r="P21" s="15" t="s">
        <v>485</v>
      </c>
      <c r="Q21" s="14">
        <v>0.02</v>
      </c>
      <c r="R21" s="14">
        <v>0.05</v>
      </c>
      <c r="S21" s="14">
        <v>0.12</v>
      </c>
      <c r="T21" s="14">
        <v>0.08</v>
      </c>
      <c r="U21" s="14">
        <v>0.15</v>
      </c>
      <c r="V21" s="14">
        <v>0.03</v>
      </c>
      <c r="W21" s="14">
        <v>0.03</v>
      </c>
      <c r="X21" s="14">
        <v>0.04</v>
      </c>
      <c r="Y21" s="14">
        <v>0.08</v>
      </c>
      <c r="Z21" s="14">
        <v>0.05</v>
      </c>
      <c r="AA21" s="14">
        <v>7.0000000000000007E-2</v>
      </c>
      <c r="AB21" s="14">
        <v>0.03</v>
      </c>
      <c r="AC21" s="14">
        <v>0.05</v>
      </c>
      <c r="AD21" s="14">
        <v>0.04</v>
      </c>
      <c r="AE21" s="14">
        <v>0.05</v>
      </c>
      <c r="AF21" s="14">
        <v>0.05</v>
      </c>
    </row>
    <row r="22" spans="1:32">
      <c r="A22" s="23"/>
      <c r="B22" s="11" t="s">
        <v>715</v>
      </c>
      <c r="C22" s="12">
        <v>11348</v>
      </c>
      <c r="D22" s="12">
        <v>575</v>
      </c>
      <c r="E22" s="12">
        <v>298</v>
      </c>
      <c r="F22" s="12">
        <v>573</v>
      </c>
      <c r="G22" s="12">
        <v>474</v>
      </c>
      <c r="H22" s="12">
        <v>490</v>
      </c>
      <c r="I22" s="12">
        <v>617</v>
      </c>
      <c r="J22" s="12">
        <v>126</v>
      </c>
      <c r="K22" s="12">
        <v>291</v>
      </c>
      <c r="L22" s="12">
        <v>425</v>
      </c>
      <c r="M22" s="12">
        <v>211</v>
      </c>
      <c r="N22" s="12">
        <v>409</v>
      </c>
      <c r="O22" s="12">
        <v>406</v>
      </c>
      <c r="P22" s="12">
        <v>568</v>
      </c>
      <c r="Q22" s="12">
        <v>493</v>
      </c>
      <c r="R22" s="12">
        <v>162</v>
      </c>
      <c r="S22" s="12">
        <v>411</v>
      </c>
      <c r="T22" s="12">
        <v>368</v>
      </c>
      <c r="U22" s="12">
        <v>262</v>
      </c>
      <c r="V22" s="12">
        <v>371</v>
      </c>
      <c r="W22" s="12">
        <v>270</v>
      </c>
      <c r="X22" s="12">
        <v>418</v>
      </c>
      <c r="Y22" s="12">
        <v>601</v>
      </c>
      <c r="Z22" s="12">
        <v>532</v>
      </c>
      <c r="AA22" s="12">
        <v>338</v>
      </c>
      <c r="AB22" s="12">
        <v>463</v>
      </c>
      <c r="AC22" s="12">
        <v>573</v>
      </c>
      <c r="AD22" s="12">
        <v>367</v>
      </c>
      <c r="AE22" s="12">
        <v>246</v>
      </c>
      <c r="AF22" s="12">
        <v>386</v>
      </c>
    </row>
    <row r="23" spans="1:32">
      <c r="A23" s="23"/>
      <c r="B23" s="13" t="s">
        <v>716</v>
      </c>
      <c r="C23" s="14">
        <v>0.43</v>
      </c>
      <c r="D23" s="14">
        <v>0.57000000000000006</v>
      </c>
      <c r="E23" s="14">
        <v>0.28000000000000003</v>
      </c>
      <c r="F23" s="14">
        <v>0.57000000000000006</v>
      </c>
      <c r="G23" s="14">
        <v>0.47</v>
      </c>
      <c r="H23" s="14">
        <v>0.41</v>
      </c>
      <c r="I23" s="14">
        <v>0.41</v>
      </c>
      <c r="J23" s="14">
        <v>0.43</v>
      </c>
      <c r="K23" s="14">
        <v>0.28999999999999998</v>
      </c>
      <c r="L23" s="14">
        <v>0.42</v>
      </c>
      <c r="M23" s="14">
        <v>0.21</v>
      </c>
      <c r="N23" s="14">
        <v>0.41</v>
      </c>
      <c r="O23" s="14">
        <v>0.41</v>
      </c>
      <c r="P23" s="14">
        <v>0.56000000000000005</v>
      </c>
      <c r="Q23" s="14">
        <v>0.48</v>
      </c>
      <c r="R23" s="14">
        <v>0.32</v>
      </c>
      <c r="S23" s="14">
        <v>0.41</v>
      </c>
      <c r="T23" s="14">
        <v>0.37</v>
      </c>
      <c r="U23" s="14">
        <v>0.52</v>
      </c>
      <c r="V23" s="14">
        <v>0.37</v>
      </c>
      <c r="W23" s="14">
        <v>0.53</v>
      </c>
      <c r="X23" s="14">
        <v>0.41</v>
      </c>
      <c r="Y23" s="14">
        <v>0.6</v>
      </c>
      <c r="Z23" s="14">
        <v>0.52</v>
      </c>
      <c r="AA23" s="14">
        <v>0.32</v>
      </c>
      <c r="AB23" s="14">
        <v>0.45</v>
      </c>
      <c r="AC23" s="14">
        <v>0.57000000000000006</v>
      </c>
      <c r="AD23" s="14">
        <v>0.36</v>
      </c>
      <c r="AE23" s="14">
        <v>0.25</v>
      </c>
      <c r="AF23" s="14">
        <v>0.36</v>
      </c>
    </row>
    <row r="24" spans="1:32">
      <c r="A24" s="23"/>
      <c r="B24" s="11" t="s">
        <v>717</v>
      </c>
      <c r="C24" s="12">
        <v>13653</v>
      </c>
      <c r="D24" s="12">
        <v>413</v>
      </c>
      <c r="E24" s="12">
        <v>659</v>
      </c>
      <c r="F24" s="12">
        <v>373</v>
      </c>
      <c r="G24" s="12">
        <v>452</v>
      </c>
      <c r="H24" s="12">
        <v>622</v>
      </c>
      <c r="I24" s="12">
        <v>777</v>
      </c>
      <c r="J24" s="12">
        <v>156</v>
      </c>
      <c r="K24" s="12">
        <v>637</v>
      </c>
      <c r="L24" s="12">
        <v>514</v>
      </c>
      <c r="M24" s="12">
        <v>760</v>
      </c>
      <c r="N24" s="12">
        <v>545</v>
      </c>
      <c r="O24" s="12">
        <v>539</v>
      </c>
      <c r="P24" s="12">
        <v>440</v>
      </c>
      <c r="Q24" s="12">
        <v>509</v>
      </c>
      <c r="R24" s="12">
        <v>314</v>
      </c>
      <c r="S24" s="12">
        <v>476</v>
      </c>
      <c r="T24" s="12">
        <v>553</v>
      </c>
      <c r="U24" s="12">
        <v>166</v>
      </c>
      <c r="V24" s="12">
        <v>608</v>
      </c>
      <c r="W24" s="12">
        <v>218</v>
      </c>
      <c r="X24" s="12">
        <v>562</v>
      </c>
      <c r="Y24" s="12">
        <v>326</v>
      </c>
      <c r="Z24" s="12">
        <v>434</v>
      </c>
      <c r="AA24" s="12">
        <v>631</v>
      </c>
      <c r="AB24" s="12">
        <v>534</v>
      </c>
      <c r="AC24" s="12">
        <v>386</v>
      </c>
      <c r="AD24" s="12">
        <v>591</v>
      </c>
      <c r="AE24" s="12">
        <v>713</v>
      </c>
      <c r="AF24" s="12">
        <v>639</v>
      </c>
    </row>
    <row r="25" spans="1:32">
      <c r="A25" s="23"/>
      <c r="B25" s="13" t="s">
        <v>718</v>
      </c>
      <c r="C25" s="14">
        <v>0.52</v>
      </c>
      <c r="D25" s="14">
        <v>0.41</v>
      </c>
      <c r="E25" s="14">
        <v>0.64</v>
      </c>
      <c r="F25" s="14">
        <v>0.37</v>
      </c>
      <c r="G25" s="14">
        <v>0.45</v>
      </c>
      <c r="H25" s="14">
        <v>0.51</v>
      </c>
      <c r="I25" s="14">
        <v>0.52</v>
      </c>
      <c r="J25" s="14">
        <v>0.53</v>
      </c>
      <c r="K25" s="14">
        <v>0.63</v>
      </c>
      <c r="L25" s="14">
        <v>0.51</v>
      </c>
      <c r="M25" s="14">
        <v>0.75</v>
      </c>
      <c r="N25" s="14">
        <v>0.54</v>
      </c>
      <c r="O25" s="14">
        <v>0.53</v>
      </c>
      <c r="P25" s="14">
        <v>0.44</v>
      </c>
      <c r="Q25" s="14">
        <v>0.5</v>
      </c>
      <c r="R25" s="14">
        <v>0.63</v>
      </c>
      <c r="S25" s="14">
        <v>0.47</v>
      </c>
      <c r="T25" s="14">
        <v>0.55000000000000004</v>
      </c>
      <c r="U25" s="14">
        <v>0.33</v>
      </c>
      <c r="V25" s="14">
        <v>0.6</v>
      </c>
      <c r="W25" s="14">
        <v>0.44</v>
      </c>
      <c r="X25" s="14">
        <v>0.55000000000000004</v>
      </c>
      <c r="Y25" s="14">
        <v>0.32</v>
      </c>
      <c r="Z25" s="14">
        <v>0.43</v>
      </c>
      <c r="AA25" s="14">
        <v>0.61</v>
      </c>
      <c r="AB25" s="14">
        <v>0.52</v>
      </c>
      <c r="AC25" s="14">
        <v>0.38</v>
      </c>
      <c r="AD25" s="14">
        <v>0.6</v>
      </c>
      <c r="AE25" s="14">
        <v>0.70000000000000007</v>
      </c>
      <c r="AF25" s="14">
        <v>0.59</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36" customHeight="1">
      <c r="B3" s="19" t="s">
        <v>1081</v>
      </c>
      <c r="C3" s="19"/>
      <c r="D3" s="19"/>
      <c r="E3" s="19"/>
      <c r="F3" s="19"/>
      <c r="H3" s="19" t="s">
        <v>1082</v>
      </c>
      <c r="I3" s="19"/>
      <c r="J3" s="19"/>
      <c r="K3" s="19"/>
      <c r="L3" s="19"/>
    </row>
    <row r="4" spans="1:32" ht="27" customHeight="1">
      <c r="B4" s="19" t="s">
        <v>1083</v>
      </c>
      <c r="C4" s="19"/>
      <c r="D4" s="19"/>
      <c r="E4" s="19"/>
      <c r="F4" s="19"/>
      <c r="H4" s="19" t="s">
        <v>1084</v>
      </c>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HYPERLINK("#Content!A85","&lt;&lt;Back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707</v>
      </c>
      <c r="C12" s="12">
        <v>3353</v>
      </c>
      <c r="D12" s="12">
        <v>158</v>
      </c>
      <c r="E12" s="12">
        <v>152</v>
      </c>
      <c r="F12" s="12">
        <v>174</v>
      </c>
      <c r="G12" s="12">
        <v>193</v>
      </c>
      <c r="H12" s="12">
        <v>81</v>
      </c>
      <c r="I12" s="12">
        <v>103</v>
      </c>
      <c r="J12" s="12">
        <v>21</v>
      </c>
      <c r="K12" s="12">
        <v>85</v>
      </c>
      <c r="L12" s="12">
        <v>148</v>
      </c>
      <c r="M12" s="12">
        <v>83</v>
      </c>
      <c r="N12" s="12">
        <v>207</v>
      </c>
      <c r="O12" s="12">
        <v>111</v>
      </c>
      <c r="P12" s="12">
        <v>165</v>
      </c>
      <c r="Q12" s="12">
        <v>159</v>
      </c>
      <c r="R12" s="12">
        <v>48</v>
      </c>
      <c r="S12" s="12">
        <v>121</v>
      </c>
      <c r="T12" s="12">
        <v>78</v>
      </c>
      <c r="U12" s="12">
        <v>102</v>
      </c>
      <c r="V12" s="12">
        <v>116</v>
      </c>
      <c r="W12" s="12">
        <v>105</v>
      </c>
      <c r="X12" s="12">
        <v>155</v>
      </c>
      <c r="Y12" s="12">
        <v>254</v>
      </c>
      <c r="Z12" s="12">
        <v>70</v>
      </c>
      <c r="AA12" s="12">
        <v>78</v>
      </c>
      <c r="AB12" s="12">
        <v>103</v>
      </c>
      <c r="AC12" s="12">
        <v>182</v>
      </c>
      <c r="AD12" s="12">
        <v>142</v>
      </c>
      <c r="AE12" s="12">
        <v>216</v>
      </c>
      <c r="AF12" s="12">
        <v>203</v>
      </c>
    </row>
    <row r="13" spans="1:32">
      <c r="A13" s="23"/>
      <c r="B13" s="13" t="s">
        <v>708</v>
      </c>
      <c r="C13" s="14">
        <v>0.13</v>
      </c>
      <c r="D13" s="14">
        <v>0.16</v>
      </c>
      <c r="E13" s="14">
        <v>0.15</v>
      </c>
      <c r="F13" s="14">
        <v>0.17</v>
      </c>
      <c r="G13" s="14">
        <v>0.19</v>
      </c>
      <c r="H13" s="14">
        <v>7.0000000000000007E-2</v>
      </c>
      <c r="I13" s="14">
        <v>7.0000000000000007E-2</v>
      </c>
      <c r="J13" s="14">
        <v>7.0000000000000007E-2</v>
      </c>
      <c r="K13" s="14">
        <v>0.08</v>
      </c>
      <c r="L13" s="14">
        <v>0.15</v>
      </c>
      <c r="M13" s="14">
        <v>0.08</v>
      </c>
      <c r="N13" s="14">
        <v>0.2</v>
      </c>
      <c r="O13" s="14">
        <v>0.11</v>
      </c>
      <c r="P13" s="14">
        <v>0.16</v>
      </c>
      <c r="Q13" s="14">
        <v>0.16</v>
      </c>
      <c r="R13" s="14">
        <v>0.1</v>
      </c>
      <c r="S13" s="14">
        <v>0.12</v>
      </c>
      <c r="T13" s="14">
        <v>0.08</v>
      </c>
      <c r="U13" s="14">
        <v>0.2</v>
      </c>
      <c r="V13" s="14">
        <v>0.11</v>
      </c>
      <c r="W13" s="14">
        <v>0.21</v>
      </c>
      <c r="X13" s="14">
        <v>0.15</v>
      </c>
      <c r="Y13" s="14">
        <v>0.25</v>
      </c>
      <c r="Z13" s="14">
        <v>7.0000000000000007E-2</v>
      </c>
      <c r="AA13" s="14">
        <v>0.08</v>
      </c>
      <c r="AB13" s="14">
        <v>0.1</v>
      </c>
      <c r="AC13" s="14">
        <v>0.18</v>
      </c>
      <c r="AD13" s="14">
        <v>0.14000000000000001</v>
      </c>
      <c r="AE13" s="14">
        <v>0.21</v>
      </c>
      <c r="AF13" s="14">
        <v>0.19</v>
      </c>
    </row>
    <row r="14" spans="1:32">
      <c r="A14" s="23"/>
      <c r="B14" s="11" t="s">
        <v>709</v>
      </c>
      <c r="C14" s="12">
        <v>9653</v>
      </c>
      <c r="D14" s="12">
        <v>502</v>
      </c>
      <c r="E14" s="12">
        <v>335</v>
      </c>
      <c r="F14" s="12">
        <v>472</v>
      </c>
      <c r="G14" s="12">
        <v>381</v>
      </c>
      <c r="H14" s="12">
        <v>320</v>
      </c>
      <c r="I14" s="12">
        <v>404</v>
      </c>
      <c r="J14" s="12">
        <v>84</v>
      </c>
      <c r="K14" s="12">
        <v>342</v>
      </c>
      <c r="L14" s="12">
        <v>391</v>
      </c>
      <c r="M14" s="12">
        <v>243</v>
      </c>
      <c r="N14" s="12">
        <v>398</v>
      </c>
      <c r="O14" s="12">
        <v>339</v>
      </c>
      <c r="P14" s="12">
        <v>477</v>
      </c>
      <c r="Q14" s="12">
        <v>382</v>
      </c>
      <c r="R14" s="12">
        <v>163</v>
      </c>
      <c r="S14" s="12">
        <v>334</v>
      </c>
      <c r="T14" s="12">
        <v>440</v>
      </c>
      <c r="U14" s="12">
        <v>227</v>
      </c>
      <c r="V14" s="12">
        <v>356</v>
      </c>
      <c r="W14" s="12">
        <v>257</v>
      </c>
      <c r="X14" s="12">
        <v>393</v>
      </c>
      <c r="Y14" s="12">
        <v>361</v>
      </c>
      <c r="Z14" s="12">
        <v>488</v>
      </c>
      <c r="AA14" s="12">
        <v>398</v>
      </c>
      <c r="AB14" s="12">
        <v>455</v>
      </c>
      <c r="AC14" s="12">
        <v>520</v>
      </c>
      <c r="AD14" s="12">
        <v>394</v>
      </c>
      <c r="AE14" s="12">
        <v>448</v>
      </c>
      <c r="AF14" s="12">
        <v>366</v>
      </c>
    </row>
    <row r="15" spans="1:32">
      <c r="A15" s="23"/>
      <c r="B15" s="13" t="s">
        <v>710</v>
      </c>
      <c r="C15" s="14">
        <v>0.37</v>
      </c>
      <c r="D15" s="14">
        <v>0.5</v>
      </c>
      <c r="E15" s="14">
        <v>0.32</v>
      </c>
      <c r="F15" s="14">
        <v>0.47</v>
      </c>
      <c r="G15" s="14">
        <v>0.38</v>
      </c>
      <c r="H15" s="14">
        <v>0.26</v>
      </c>
      <c r="I15" s="14">
        <v>0.27</v>
      </c>
      <c r="J15" s="14">
        <v>0.28999999999999998</v>
      </c>
      <c r="K15" s="14">
        <v>0.34</v>
      </c>
      <c r="L15" s="14">
        <v>0.39</v>
      </c>
      <c r="M15" s="14">
        <v>0.24</v>
      </c>
      <c r="N15" s="14">
        <v>0.4</v>
      </c>
      <c r="O15" s="14">
        <v>0.34</v>
      </c>
      <c r="P15" s="14">
        <v>0.47</v>
      </c>
      <c r="Q15" s="14">
        <v>0.37</v>
      </c>
      <c r="R15" s="14">
        <v>0.32</v>
      </c>
      <c r="S15" s="14">
        <v>0.33</v>
      </c>
      <c r="T15" s="14">
        <v>0.44</v>
      </c>
      <c r="U15" s="14">
        <v>0.45</v>
      </c>
      <c r="V15" s="14">
        <v>0.35</v>
      </c>
      <c r="W15" s="14">
        <v>0.51</v>
      </c>
      <c r="X15" s="14">
        <v>0.39</v>
      </c>
      <c r="Y15" s="14">
        <v>0.36</v>
      </c>
      <c r="Z15" s="14">
        <v>0.48</v>
      </c>
      <c r="AA15" s="14">
        <v>0.38</v>
      </c>
      <c r="AB15" s="14">
        <v>0.44</v>
      </c>
      <c r="AC15" s="14">
        <v>0.52</v>
      </c>
      <c r="AD15" s="14">
        <v>0.39</v>
      </c>
      <c r="AE15" s="14">
        <v>0.45</v>
      </c>
      <c r="AF15" s="14">
        <v>0.34</v>
      </c>
    </row>
    <row r="16" spans="1:32">
      <c r="A16" s="23"/>
      <c r="B16" s="11" t="s">
        <v>711</v>
      </c>
      <c r="C16" s="12">
        <v>8969</v>
      </c>
      <c r="D16" s="12">
        <v>274</v>
      </c>
      <c r="E16" s="12">
        <v>319</v>
      </c>
      <c r="F16" s="12">
        <v>229</v>
      </c>
      <c r="G16" s="12">
        <v>256</v>
      </c>
      <c r="H16" s="12">
        <v>544</v>
      </c>
      <c r="I16" s="12">
        <v>676</v>
      </c>
      <c r="J16" s="12">
        <v>132</v>
      </c>
      <c r="K16" s="12">
        <v>359</v>
      </c>
      <c r="L16" s="12">
        <v>277</v>
      </c>
      <c r="M16" s="12">
        <v>359</v>
      </c>
      <c r="N16" s="12">
        <v>268</v>
      </c>
      <c r="O16" s="12">
        <v>361</v>
      </c>
      <c r="P16" s="12">
        <v>295</v>
      </c>
      <c r="Q16" s="12">
        <v>354</v>
      </c>
      <c r="R16" s="12">
        <v>195</v>
      </c>
      <c r="S16" s="12">
        <v>320</v>
      </c>
      <c r="T16" s="12">
        <v>323</v>
      </c>
      <c r="U16" s="12">
        <v>74</v>
      </c>
      <c r="V16" s="12">
        <v>371</v>
      </c>
      <c r="W16" s="12">
        <v>109</v>
      </c>
      <c r="X16" s="12">
        <v>361</v>
      </c>
      <c r="Y16" s="12">
        <v>188</v>
      </c>
      <c r="Z16" s="12">
        <v>304</v>
      </c>
      <c r="AA16" s="12">
        <v>291</v>
      </c>
      <c r="AB16" s="12">
        <v>351</v>
      </c>
      <c r="AC16" s="12">
        <v>208</v>
      </c>
      <c r="AD16" s="12">
        <v>363</v>
      </c>
      <c r="AE16" s="12">
        <v>260</v>
      </c>
      <c r="AF16" s="12">
        <v>324</v>
      </c>
    </row>
    <row r="17" spans="1:32">
      <c r="A17" s="23"/>
      <c r="B17" s="13" t="s">
        <v>712</v>
      </c>
      <c r="C17" s="14">
        <v>0.34</v>
      </c>
      <c r="D17" s="14">
        <v>0.27</v>
      </c>
      <c r="E17" s="14">
        <v>0.3</v>
      </c>
      <c r="F17" s="14">
        <v>0.23</v>
      </c>
      <c r="G17" s="14">
        <v>0.26</v>
      </c>
      <c r="H17" s="14">
        <v>0.45</v>
      </c>
      <c r="I17" s="14">
        <v>0.45</v>
      </c>
      <c r="J17" s="14">
        <v>0.45</v>
      </c>
      <c r="K17" s="14">
        <v>0.36</v>
      </c>
      <c r="L17" s="14">
        <v>0.27</v>
      </c>
      <c r="M17" s="14">
        <v>0.36</v>
      </c>
      <c r="N17" s="14">
        <v>0.27</v>
      </c>
      <c r="O17" s="14">
        <v>0.36</v>
      </c>
      <c r="P17" s="14">
        <v>0.28999999999999998</v>
      </c>
      <c r="Q17" s="14">
        <v>0.35</v>
      </c>
      <c r="R17" s="14">
        <v>0.39</v>
      </c>
      <c r="S17" s="14">
        <v>0.32</v>
      </c>
      <c r="T17" s="14">
        <v>0.32</v>
      </c>
      <c r="U17" s="14">
        <v>0.15</v>
      </c>
      <c r="V17" s="14">
        <v>0.37</v>
      </c>
      <c r="W17" s="14">
        <v>0.22</v>
      </c>
      <c r="X17" s="14">
        <v>0.36</v>
      </c>
      <c r="Y17" s="14">
        <v>0.19</v>
      </c>
      <c r="Z17" s="14">
        <v>0.3</v>
      </c>
      <c r="AA17" s="14">
        <v>0.28000000000000003</v>
      </c>
      <c r="AB17" s="14">
        <v>0.34</v>
      </c>
      <c r="AC17" s="14">
        <v>0.21</v>
      </c>
      <c r="AD17" s="14">
        <v>0.36</v>
      </c>
      <c r="AE17" s="14">
        <v>0.26</v>
      </c>
      <c r="AF17" s="14">
        <v>0.3</v>
      </c>
    </row>
    <row r="18" spans="1:32">
      <c r="A18" s="23"/>
      <c r="B18" s="11" t="s">
        <v>713</v>
      </c>
      <c r="C18" s="12">
        <v>2956</v>
      </c>
      <c r="D18" s="12">
        <v>59</v>
      </c>
      <c r="E18" s="12">
        <v>150</v>
      </c>
      <c r="F18" s="12">
        <v>64</v>
      </c>
      <c r="G18" s="12">
        <v>98</v>
      </c>
      <c r="H18" s="12">
        <v>145</v>
      </c>
      <c r="I18" s="12">
        <v>185</v>
      </c>
      <c r="J18" s="12">
        <v>40</v>
      </c>
      <c r="K18" s="12">
        <v>132</v>
      </c>
      <c r="L18" s="12">
        <v>131</v>
      </c>
      <c r="M18" s="12">
        <v>285</v>
      </c>
      <c r="N18" s="12">
        <v>88</v>
      </c>
      <c r="O18" s="12">
        <v>137</v>
      </c>
      <c r="P18" s="12">
        <v>68</v>
      </c>
      <c r="Q18" s="12">
        <v>102</v>
      </c>
      <c r="R18" s="12">
        <v>73</v>
      </c>
      <c r="S18" s="12">
        <v>122</v>
      </c>
      <c r="T18" s="12">
        <v>86</v>
      </c>
      <c r="U18" s="12">
        <v>32</v>
      </c>
      <c r="V18" s="12">
        <v>131</v>
      </c>
      <c r="W18" s="12">
        <v>16</v>
      </c>
      <c r="X18" s="12">
        <v>84</v>
      </c>
      <c r="Y18" s="12">
        <v>120</v>
      </c>
      <c r="Z18" s="12">
        <v>96</v>
      </c>
      <c r="AA18" s="12">
        <v>206</v>
      </c>
      <c r="AB18" s="12">
        <v>92</v>
      </c>
      <c r="AC18" s="12">
        <v>44</v>
      </c>
      <c r="AD18" s="12">
        <v>44</v>
      </c>
      <c r="AE18" s="12">
        <v>52</v>
      </c>
      <c r="AF18" s="12">
        <v>128</v>
      </c>
    </row>
    <row r="19" spans="1:32">
      <c r="A19" s="23"/>
      <c r="B19" s="13" t="s">
        <v>714</v>
      </c>
      <c r="C19" s="14">
        <v>0.11</v>
      </c>
      <c r="D19" s="14">
        <v>0.06</v>
      </c>
      <c r="E19" s="14">
        <v>0.14000000000000001</v>
      </c>
      <c r="F19" s="14">
        <v>0.06</v>
      </c>
      <c r="G19" s="14">
        <v>0.1</v>
      </c>
      <c r="H19" s="14">
        <v>0.12</v>
      </c>
      <c r="I19" s="14">
        <v>0.12</v>
      </c>
      <c r="J19" s="14">
        <v>0.14000000000000001</v>
      </c>
      <c r="K19" s="14">
        <v>0.13</v>
      </c>
      <c r="L19" s="14">
        <v>0.13</v>
      </c>
      <c r="M19" s="14">
        <v>0.28000000000000003</v>
      </c>
      <c r="N19" s="14">
        <v>0.09</v>
      </c>
      <c r="O19" s="14">
        <v>0.13</v>
      </c>
      <c r="P19" s="14">
        <v>7.0000000000000007E-2</v>
      </c>
      <c r="Q19" s="14">
        <v>0.1</v>
      </c>
      <c r="R19" s="14">
        <v>0.15</v>
      </c>
      <c r="S19" s="14">
        <v>0.12</v>
      </c>
      <c r="T19" s="14">
        <v>0.08</v>
      </c>
      <c r="U19" s="14">
        <v>0.06</v>
      </c>
      <c r="V19" s="14">
        <v>0.13</v>
      </c>
      <c r="W19" s="14">
        <v>0.03</v>
      </c>
      <c r="X19" s="14">
        <v>0.08</v>
      </c>
      <c r="Y19" s="14">
        <v>0.12</v>
      </c>
      <c r="Z19" s="14">
        <v>0.09</v>
      </c>
      <c r="AA19" s="14">
        <v>0.2</v>
      </c>
      <c r="AB19" s="14">
        <v>0.09</v>
      </c>
      <c r="AC19" s="14">
        <v>0.04</v>
      </c>
      <c r="AD19" s="14">
        <v>0.05</v>
      </c>
      <c r="AE19" s="14">
        <v>0.05</v>
      </c>
      <c r="AF19" s="14">
        <v>0.12</v>
      </c>
    </row>
    <row r="20" spans="1:32">
      <c r="A20" s="23"/>
      <c r="B20" s="11" t="s">
        <v>497</v>
      </c>
      <c r="C20" s="12">
        <v>1423</v>
      </c>
      <c r="D20" s="12">
        <v>13</v>
      </c>
      <c r="E20" s="12">
        <v>89</v>
      </c>
      <c r="F20" s="12">
        <v>67</v>
      </c>
      <c r="G20" s="12">
        <v>74</v>
      </c>
      <c r="H20" s="12">
        <v>120</v>
      </c>
      <c r="I20" s="12">
        <v>135</v>
      </c>
      <c r="J20" s="12">
        <v>16</v>
      </c>
      <c r="K20" s="12">
        <v>86</v>
      </c>
      <c r="L20" s="12">
        <v>60</v>
      </c>
      <c r="M20" s="12">
        <v>41</v>
      </c>
      <c r="N20" s="12">
        <v>40</v>
      </c>
      <c r="O20" s="12">
        <v>58</v>
      </c>
      <c r="P20" s="12">
        <v>5</v>
      </c>
      <c r="Q20" s="12">
        <v>26</v>
      </c>
      <c r="R20" s="12">
        <v>22</v>
      </c>
      <c r="S20" s="12">
        <v>108</v>
      </c>
      <c r="T20" s="12">
        <v>77</v>
      </c>
      <c r="U20" s="12">
        <v>68</v>
      </c>
      <c r="V20" s="12">
        <v>37</v>
      </c>
      <c r="W20" s="12">
        <v>16</v>
      </c>
      <c r="X20" s="12">
        <v>23</v>
      </c>
      <c r="Y20" s="12">
        <v>84</v>
      </c>
      <c r="Z20" s="12">
        <v>59</v>
      </c>
      <c r="AA20" s="12">
        <v>67</v>
      </c>
      <c r="AB20" s="12">
        <v>30</v>
      </c>
      <c r="AC20" s="12">
        <v>51</v>
      </c>
      <c r="AD20" s="12">
        <v>60</v>
      </c>
      <c r="AE20" s="12">
        <v>32</v>
      </c>
      <c r="AF20" s="12">
        <v>52</v>
      </c>
    </row>
    <row r="21" spans="1:32">
      <c r="A21" s="23"/>
      <c r="B21" s="13" t="s">
        <v>498</v>
      </c>
      <c r="C21" s="14">
        <v>0.05</v>
      </c>
      <c r="D21" s="14">
        <v>0.01</v>
      </c>
      <c r="E21" s="14">
        <v>0.09</v>
      </c>
      <c r="F21" s="14">
        <v>7.0000000000000007E-2</v>
      </c>
      <c r="G21" s="14">
        <v>7.0000000000000007E-2</v>
      </c>
      <c r="H21" s="14">
        <v>0.1</v>
      </c>
      <c r="I21" s="14">
        <v>0.09</v>
      </c>
      <c r="J21" s="14">
        <v>0.05</v>
      </c>
      <c r="K21" s="14">
        <v>0.09</v>
      </c>
      <c r="L21" s="14">
        <v>0.06</v>
      </c>
      <c r="M21" s="14">
        <v>0.04</v>
      </c>
      <c r="N21" s="14">
        <v>0.04</v>
      </c>
      <c r="O21" s="14">
        <v>0.06</v>
      </c>
      <c r="P21" s="14">
        <v>0.01</v>
      </c>
      <c r="Q21" s="14">
        <v>0.02</v>
      </c>
      <c r="R21" s="14">
        <v>0.04</v>
      </c>
      <c r="S21" s="14">
        <v>0.11</v>
      </c>
      <c r="T21" s="14">
        <v>0.08</v>
      </c>
      <c r="U21" s="14">
        <v>0.14000000000000001</v>
      </c>
      <c r="V21" s="14">
        <v>0.04</v>
      </c>
      <c r="W21" s="14">
        <v>0.03</v>
      </c>
      <c r="X21" s="14">
        <v>0.02</v>
      </c>
      <c r="Y21" s="14">
        <v>0.08</v>
      </c>
      <c r="Z21" s="14">
        <v>0.06</v>
      </c>
      <c r="AA21" s="14">
        <v>0.06</v>
      </c>
      <c r="AB21" s="14">
        <v>0.03</v>
      </c>
      <c r="AC21" s="14">
        <v>0.05</v>
      </c>
      <c r="AD21" s="14">
        <v>0.06</v>
      </c>
      <c r="AE21" s="14">
        <v>0.03</v>
      </c>
      <c r="AF21" s="14">
        <v>0.05</v>
      </c>
    </row>
    <row r="22" spans="1:32">
      <c r="A22" s="23"/>
      <c r="B22" s="11" t="s">
        <v>715</v>
      </c>
      <c r="C22" s="12">
        <v>13006</v>
      </c>
      <c r="D22" s="12">
        <v>660</v>
      </c>
      <c r="E22" s="12">
        <v>487</v>
      </c>
      <c r="F22" s="12">
        <v>646</v>
      </c>
      <c r="G22" s="12">
        <v>574</v>
      </c>
      <c r="H22" s="12">
        <v>401</v>
      </c>
      <c r="I22" s="12">
        <v>507</v>
      </c>
      <c r="J22" s="12">
        <v>105</v>
      </c>
      <c r="K22" s="12">
        <v>427</v>
      </c>
      <c r="L22" s="12">
        <v>539</v>
      </c>
      <c r="M22" s="12">
        <v>326</v>
      </c>
      <c r="N22" s="12">
        <v>605</v>
      </c>
      <c r="O22" s="12">
        <v>450</v>
      </c>
      <c r="P22" s="12">
        <v>642</v>
      </c>
      <c r="Q22" s="12">
        <v>541</v>
      </c>
      <c r="R22" s="12">
        <v>211</v>
      </c>
      <c r="S22" s="12">
        <v>455</v>
      </c>
      <c r="T22" s="12">
        <v>518</v>
      </c>
      <c r="U22" s="12">
        <v>329</v>
      </c>
      <c r="V22" s="12">
        <v>472</v>
      </c>
      <c r="W22" s="12">
        <v>362</v>
      </c>
      <c r="X22" s="12">
        <v>548</v>
      </c>
      <c r="Y22" s="12">
        <v>615</v>
      </c>
      <c r="Z22" s="12">
        <v>558</v>
      </c>
      <c r="AA22" s="12">
        <v>476</v>
      </c>
      <c r="AB22" s="12">
        <v>558</v>
      </c>
      <c r="AC22" s="12">
        <v>702</v>
      </c>
      <c r="AD22" s="12">
        <v>536</v>
      </c>
      <c r="AE22" s="12">
        <v>664</v>
      </c>
      <c r="AF22" s="12">
        <v>569</v>
      </c>
    </row>
    <row r="23" spans="1:32">
      <c r="A23" s="23"/>
      <c r="B23" s="13" t="s">
        <v>716</v>
      </c>
      <c r="C23" s="14">
        <v>0.5</v>
      </c>
      <c r="D23" s="14">
        <v>0.66</v>
      </c>
      <c r="E23" s="14">
        <v>0.47</v>
      </c>
      <c r="F23" s="14">
        <v>0.64</v>
      </c>
      <c r="G23" s="14">
        <v>0.57000000000000006</v>
      </c>
      <c r="H23" s="14">
        <v>0.33</v>
      </c>
      <c r="I23" s="14">
        <v>0.34</v>
      </c>
      <c r="J23" s="14">
        <v>0.36</v>
      </c>
      <c r="K23" s="14">
        <v>0.42</v>
      </c>
      <c r="L23" s="14">
        <v>0.54</v>
      </c>
      <c r="M23" s="14">
        <v>0.32</v>
      </c>
      <c r="N23" s="14">
        <v>0.6</v>
      </c>
      <c r="O23" s="14">
        <v>0.45</v>
      </c>
      <c r="P23" s="14">
        <v>0.63</v>
      </c>
      <c r="Q23" s="14">
        <v>0.53</v>
      </c>
      <c r="R23" s="14">
        <v>0.42</v>
      </c>
      <c r="S23" s="14">
        <v>0.45</v>
      </c>
      <c r="T23" s="14">
        <v>0.52</v>
      </c>
      <c r="U23" s="14">
        <v>0.65</v>
      </c>
      <c r="V23" s="14">
        <v>0.46</v>
      </c>
      <c r="W23" s="14">
        <v>0.72</v>
      </c>
      <c r="X23" s="14">
        <v>0.54</v>
      </c>
      <c r="Y23" s="14">
        <v>0.61</v>
      </c>
      <c r="Z23" s="14">
        <v>0.55000000000000004</v>
      </c>
      <c r="AA23" s="14">
        <v>0.46</v>
      </c>
      <c r="AB23" s="14">
        <v>0.54</v>
      </c>
      <c r="AC23" s="14">
        <v>0.70000000000000007</v>
      </c>
      <c r="AD23" s="14">
        <v>0.53</v>
      </c>
      <c r="AE23" s="14">
        <v>0.66</v>
      </c>
      <c r="AF23" s="14">
        <v>0.53</v>
      </c>
    </row>
    <row r="24" spans="1:32">
      <c r="A24" s="23"/>
      <c r="B24" s="11" t="s">
        <v>717</v>
      </c>
      <c r="C24" s="12">
        <v>11925</v>
      </c>
      <c r="D24" s="12">
        <v>333</v>
      </c>
      <c r="E24" s="12">
        <v>469</v>
      </c>
      <c r="F24" s="12">
        <v>293</v>
      </c>
      <c r="G24" s="12">
        <v>354</v>
      </c>
      <c r="H24" s="12">
        <v>689</v>
      </c>
      <c r="I24" s="12">
        <v>861</v>
      </c>
      <c r="J24" s="12">
        <v>172</v>
      </c>
      <c r="K24" s="12">
        <v>491</v>
      </c>
      <c r="L24" s="12">
        <v>408</v>
      </c>
      <c r="M24" s="12">
        <v>644</v>
      </c>
      <c r="N24" s="12">
        <v>356</v>
      </c>
      <c r="O24" s="12">
        <v>498</v>
      </c>
      <c r="P24" s="12">
        <v>363</v>
      </c>
      <c r="Q24" s="12">
        <v>456</v>
      </c>
      <c r="R24" s="12">
        <v>268</v>
      </c>
      <c r="S24" s="12">
        <v>442</v>
      </c>
      <c r="T24" s="12">
        <v>409</v>
      </c>
      <c r="U24" s="12">
        <v>106</v>
      </c>
      <c r="V24" s="12">
        <v>502</v>
      </c>
      <c r="W24" s="12">
        <v>125</v>
      </c>
      <c r="X24" s="12">
        <v>445</v>
      </c>
      <c r="Y24" s="12">
        <v>308</v>
      </c>
      <c r="Z24" s="12">
        <v>400</v>
      </c>
      <c r="AA24" s="12">
        <v>497</v>
      </c>
      <c r="AB24" s="12">
        <v>443</v>
      </c>
      <c r="AC24" s="12">
        <v>252</v>
      </c>
      <c r="AD24" s="12">
        <v>407</v>
      </c>
      <c r="AE24" s="12">
        <v>312</v>
      </c>
      <c r="AF24" s="12">
        <v>452</v>
      </c>
    </row>
    <row r="25" spans="1:32">
      <c r="A25" s="23"/>
      <c r="B25" s="13" t="s">
        <v>718</v>
      </c>
      <c r="C25" s="14">
        <v>0.45</v>
      </c>
      <c r="D25" s="14">
        <v>0.33</v>
      </c>
      <c r="E25" s="14">
        <v>0.44</v>
      </c>
      <c r="F25" s="14">
        <v>0.28999999999999998</v>
      </c>
      <c r="G25" s="14">
        <v>0.36</v>
      </c>
      <c r="H25" s="14">
        <v>0.57000000000000006</v>
      </c>
      <c r="I25" s="14">
        <v>0.57000000000000006</v>
      </c>
      <c r="J25" s="14">
        <v>0.59</v>
      </c>
      <c r="K25" s="14">
        <v>0.49</v>
      </c>
      <c r="L25" s="14">
        <v>0.4</v>
      </c>
      <c r="M25" s="14">
        <v>0.64</v>
      </c>
      <c r="N25" s="14">
        <v>0.36</v>
      </c>
      <c r="O25" s="14">
        <v>0.49</v>
      </c>
      <c r="P25" s="14">
        <v>0.36</v>
      </c>
      <c r="Q25" s="14">
        <v>0.45</v>
      </c>
      <c r="R25" s="14">
        <v>0.54</v>
      </c>
      <c r="S25" s="14">
        <v>0.44</v>
      </c>
      <c r="T25" s="14">
        <v>0.4</v>
      </c>
      <c r="U25" s="14">
        <v>0.21</v>
      </c>
      <c r="V25" s="14">
        <v>0.5</v>
      </c>
      <c r="W25" s="14">
        <v>0.25</v>
      </c>
      <c r="X25" s="14">
        <v>0.44</v>
      </c>
      <c r="Y25" s="14">
        <v>0.31</v>
      </c>
      <c r="Z25" s="14">
        <v>0.39</v>
      </c>
      <c r="AA25" s="14">
        <v>0.48</v>
      </c>
      <c r="AB25" s="14">
        <v>0.43</v>
      </c>
      <c r="AC25" s="14">
        <v>0.25</v>
      </c>
      <c r="AD25" s="14">
        <v>0.41</v>
      </c>
      <c r="AE25" s="14">
        <v>0.31</v>
      </c>
      <c r="AF25" s="14">
        <v>0.42</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36" customHeight="1">
      <c r="B3" s="19" t="s">
        <v>1085</v>
      </c>
      <c r="C3" s="19"/>
      <c r="D3" s="19"/>
      <c r="E3" s="19"/>
      <c r="F3" s="19"/>
      <c r="H3" s="19" t="s">
        <v>1086</v>
      </c>
      <c r="I3" s="19"/>
      <c r="J3" s="19"/>
      <c r="K3" s="19"/>
      <c r="L3" s="19"/>
    </row>
    <row r="4" spans="1:32" ht="27" customHeight="1">
      <c r="B4" s="19" t="s">
        <v>1087</v>
      </c>
      <c r="C4" s="19"/>
      <c r="D4" s="19"/>
      <c r="E4" s="19"/>
      <c r="F4" s="19"/>
      <c r="H4" s="19" t="s">
        <v>1088</v>
      </c>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HYPERLINK("#Content!A86","&lt;&lt;Back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707</v>
      </c>
      <c r="C12" s="12">
        <v>2479</v>
      </c>
      <c r="D12" s="12">
        <v>123</v>
      </c>
      <c r="E12" s="12">
        <v>42</v>
      </c>
      <c r="F12" s="12">
        <v>102</v>
      </c>
      <c r="G12" s="12">
        <v>78</v>
      </c>
      <c r="H12" s="12">
        <v>65</v>
      </c>
      <c r="I12" s="12">
        <v>85</v>
      </c>
      <c r="J12" s="12">
        <v>20</v>
      </c>
      <c r="K12" s="12">
        <v>56</v>
      </c>
      <c r="L12" s="12">
        <v>101</v>
      </c>
      <c r="M12" s="12">
        <v>51</v>
      </c>
      <c r="N12" s="12">
        <v>133</v>
      </c>
      <c r="O12" s="12">
        <v>120</v>
      </c>
      <c r="P12" s="12">
        <v>117</v>
      </c>
      <c r="Q12" s="12">
        <v>133</v>
      </c>
      <c r="R12" s="12">
        <v>32</v>
      </c>
      <c r="S12" s="12">
        <v>62</v>
      </c>
      <c r="T12" s="12">
        <v>46</v>
      </c>
      <c r="U12" s="12">
        <v>68</v>
      </c>
      <c r="V12" s="12">
        <v>90</v>
      </c>
      <c r="W12" s="12">
        <v>54</v>
      </c>
      <c r="X12" s="12">
        <v>58</v>
      </c>
      <c r="Y12" s="12">
        <v>222</v>
      </c>
      <c r="Z12" s="12">
        <v>73</v>
      </c>
      <c r="AA12" s="12">
        <v>61</v>
      </c>
      <c r="AB12" s="12">
        <v>88</v>
      </c>
      <c r="AC12" s="12">
        <v>70</v>
      </c>
      <c r="AD12" s="12">
        <v>27</v>
      </c>
      <c r="AE12" s="12">
        <v>62</v>
      </c>
      <c r="AF12" s="12">
        <v>61</v>
      </c>
    </row>
    <row r="13" spans="1:32">
      <c r="A13" s="23"/>
      <c r="B13" s="13" t="s">
        <v>708</v>
      </c>
      <c r="C13" s="14">
        <v>0.09</v>
      </c>
      <c r="D13" s="14">
        <v>0.12</v>
      </c>
      <c r="E13" s="14">
        <v>0.04</v>
      </c>
      <c r="F13" s="14">
        <v>0.1</v>
      </c>
      <c r="G13" s="14">
        <v>0.08</v>
      </c>
      <c r="H13" s="14">
        <v>0.05</v>
      </c>
      <c r="I13" s="14">
        <v>0.06</v>
      </c>
      <c r="J13" s="14">
        <v>7.0000000000000007E-2</v>
      </c>
      <c r="K13" s="14">
        <v>0.06</v>
      </c>
      <c r="L13" s="14">
        <v>0.1</v>
      </c>
      <c r="M13" s="14">
        <v>0.05</v>
      </c>
      <c r="N13" s="14">
        <v>0.13</v>
      </c>
      <c r="O13" s="14">
        <v>0.12</v>
      </c>
      <c r="P13" s="14">
        <v>0.12</v>
      </c>
      <c r="Q13" s="14">
        <v>0.13</v>
      </c>
      <c r="R13" s="14">
        <v>0.06</v>
      </c>
      <c r="S13" s="14">
        <v>0.06</v>
      </c>
      <c r="T13" s="14">
        <v>0.04</v>
      </c>
      <c r="U13" s="14">
        <v>0.13</v>
      </c>
      <c r="V13" s="14">
        <v>0.09</v>
      </c>
      <c r="W13" s="14">
        <v>0.11</v>
      </c>
      <c r="X13" s="14">
        <v>0.06</v>
      </c>
      <c r="Y13" s="14">
        <v>0.22</v>
      </c>
      <c r="Z13" s="14">
        <v>7.0000000000000007E-2</v>
      </c>
      <c r="AA13" s="14">
        <v>0.06</v>
      </c>
      <c r="AB13" s="14">
        <v>0.09</v>
      </c>
      <c r="AC13" s="14">
        <v>7.0000000000000007E-2</v>
      </c>
      <c r="AD13" s="14">
        <v>0.03</v>
      </c>
      <c r="AE13" s="14">
        <v>0.06</v>
      </c>
      <c r="AF13" s="14">
        <v>0.05</v>
      </c>
    </row>
    <row r="14" spans="1:32">
      <c r="A14" s="23"/>
      <c r="B14" s="11" t="s">
        <v>709</v>
      </c>
      <c r="C14" s="12">
        <v>6607</v>
      </c>
      <c r="D14" s="12">
        <v>331</v>
      </c>
      <c r="E14" s="12">
        <v>149</v>
      </c>
      <c r="F14" s="12">
        <v>285</v>
      </c>
      <c r="G14" s="12">
        <v>246</v>
      </c>
      <c r="H14" s="12">
        <v>215</v>
      </c>
      <c r="I14" s="12">
        <v>279</v>
      </c>
      <c r="J14" s="12">
        <v>64</v>
      </c>
      <c r="K14" s="12">
        <v>146</v>
      </c>
      <c r="L14" s="12">
        <v>207</v>
      </c>
      <c r="M14" s="12">
        <v>113</v>
      </c>
      <c r="N14" s="12">
        <v>204</v>
      </c>
      <c r="O14" s="12">
        <v>291</v>
      </c>
      <c r="P14" s="12">
        <v>338</v>
      </c>
      <c r="Q14" s="12">
        <v>346</v>
      </c>
      <c r="R14" s="12">
        <v>79</v>
      </c>
      <c r="S14" s="12">
        <v>209</v>
      </c>
      <c r="T14" s="12">
        <v>167</v>
      </c>
      <c r="U14" s="12">
        <v>104</v>
      </c>
      <c r="V14" s="12">
        <v>245</v>
      </c>
      <c r="W14" s="12">
        <v>124</v>
      </c>
      <c r="X14" s="12">
        <v>119</v>
      </c>
      <c r="Y14" s="12">
        <v>328</v>
      </c>
      <c r="Z14" s="12">
        <v>336</v>
      </c>
      <c r="AA14" s="12">
        <v>265</v>
      </c>
      <c r="AB14" s="12">
        <v>307</v>
      </c>
      <c r="AC14" s="12">
        <v>204</v>
      </c>
      <c r="AD14" s="12">
        <v>186</v>
      </c>
      <c r="AE14" s="12">
        <v>319</v>
      </c>
      <c r="AF14" s="12">
        <v>204</v>
      </c>
    </row>
    <row r="15" spans="1:32">
      <c r="A15" s="23"/>
      <c r="B15" s="13" t="s">
        <v>710</v>
      </c>
      <c r="C15" s="14">
        <v>0.25</v>
      </c>
      <c r="D15" s="14">
        <v>0.33</v>
      </c>
      <c r="E15" s="14">
        <v>0.14000000000000001</v>
      </c>
      <c r="F15" s="14">
        <v>0.28000000000000003</v>
      </c>
      <c r="G15" s="14">
        <v>0.25</v>
      </c>
      <c r="H15" s="14">
        <v>0.18</v>
      </c>
      <c r="I15" s="14">
        <v>0.18</v>
      </c>
      <c r="J15" s="14">
        <v>0.22</v>
      </c>
      <c r="K15" s="14">
        <v>0.14000000000000001</v>
      </c>
      <c r="L15" s="14">
        <v>0.21</v>
      </c>
      <c r="M15" s="14">
        <v>0.11</v>
      </c>
      <c r="N15" s="14">
        <v>0.2</v>
      </c>
      <c r="O15" s="14">
        <v>0.28999999999999998</v>
      </c>
      <c r="P15" s="14">
        <v>0.33</v>
      </c>
      <c r="Q15" s="14">
        <v>0.34</v>
      </c>
      <c r="R15" s="14">
        <v>0.16</v>
      </c>
      <c r="S15" s="14">
        <v>0.21</v>
      </c>
      <c r="T15" s="14">
        <v>0.17</v>
      </c>
      <c r="U15" s="14">
        <v>0.21</v>
      </c>
      <c r="V15" s="14">
        <v>0.24</v>
      </c>
      <c r="W15" s="14">
        <v>0.24</v>
      </c>
      <c r="X15" s="14">
        <v>0.12</v>
      </c>
      <c r="Y15" s="14">
        <v>0.33</v>
      </c>
      <c r="Z15" s="14">
        <v>0.33</v>
      </c>
      <c r="AA15" s="14">
        <v>0.25</v>
      </c>
      <c r="AB15" s="14">
        <v>0.3</v>
      </c>
      <c r="AC15" s="14">
        <v>0.2</v>
      </c>
      <c r="AD15" s="14">
        <v>0.18</v>
      </c>
      <c r="AE15" s="14">
        <v>0.32</v>
      </c>
      <c r="AF15" s="14">
        <v>0.19</v>
      </c>
    </row>
    <row r="16" spans="1:32">
      <c r="A16" s="23"/>
      <c r="B16" s="11" t="s">
        <v>711</v>
      </c>
      <c r="C16" s="12">
        <v>9508</v>
      </c>
      <c r="D16" s="12">
        <v>361</v>
      </c>
      <c r="E16" s="12">
        <v>324</v>
      </c>
      <c r="F16" s="12">
        <v>300</v>
      </c>
      <c r="G16" s="12">
        <v>401</v>
      </c>
      <c r="H16" s="12">
        <v>484</v>
      </c>
      <c r="I16" s="12">
        <v>617</v>
      </c>
      <c r="J16" s="12">
        <v>132</v>
      </c>
      <c r="K16" s="12">
        <v>394</v>
      </c>
      <c r="L16" s="12">
        <v>347</v>
      </c>
      <c r="M16" s="12">
        <v>375</v>
      </c>
      <c r="N16" s="12">
        <v>326</v>
      </c>
      <c r="O16" s="12">
        <v>342</v>
      </c>
      <c r="P16" s="12">
        <v>365</v>
      </c>
      <c r="Q16" s="12">
        <v>361</v>
      </c>
      <c r="R16" s="12">
        <v>191</v>
      </c>
      <c r="S16" s="12">
        <v>352</v>
      </c>
      <c r="T16" s="12">
        <v>382</v>
      </c>
      <c r="U16" s="12">
        <v>146</v>
      </c>
      <c r="V16" s="12">
        <v>398</v>
      </c>
      <c r="W16" s="12">
        <v>176</v>
      </c>
      <c r="X16" s="12">
        <v>431</v>
      </c>
      <c r="Y16" s="12">
        <v>225</v>
      </c>
      <c r="Z16" s="12">
        <v>322</v>
      </c>
      <c r="AA16" s="12">
        <v>322</v>
      </c>
      <c r="AB16" s="12">
        <v>374</v>
      </c>
      <c r="AC16" s="12">
        <v>365</v>
      </c>
      <c r="AD16" s="12">
        <v>500</v>
      </c>
      <c r="AE16" s="12">
        <v>441</v>
      </c>
      <c r="AF16" s="12">
        <v>480</v>
      </c>
    </row>
    <row r="17" spans="1:32">
      <c r="A17" s="23"/>
      <c r="B17" s="13" t="s">
        <v>712</v>
      </c>
      <c r="C17" s="14">
        <v>0.36</v>
      </c>
      <c r="D17" s="14">
        <v>0.36</v>
      </c>
      <c r="E17" s="14">
        <v>0.31</v>
      </c>
      <c r="F17" s="14">
        <v>0.3</v>
      </c>
      <c r="G17" s="14">
        <v>0.4</v>
      </c>
      <c r="H17" s="14">
        <v>0.4</v>
      </c>
      <c r="I17" s="14">
        <v>0.41</v>
      </c>
      <c r="J17" s="14">
        <v>0.45</v>
      </c>
      <c r="K17" s="14">
        <v>0.39</v>
      </c>
      <c r="L17" s="14">
        <v>0.34</v>
      </c>
      <c r="M17" s="14">
        <v>0.37</v>
      </c>
      <c r="N17" s="14">
        <v>0.33</v>
      </c>
      <c r="O17" s="14">
        <v>0.34</v>
      </c>
      <c r="P17" s="14">
        <v>0.36</v>
      </c>
      <c r="Q17" s="14">
        <v>0.35</v>
      </c>
      <c r="R17" s="14">
        <v>0.38</v>
      </c>
      <c r="S17" s="14">
        <v>0.35</v>
      </c>
      <c r="T17" s="14">
        <v>0.38</v>
      </c>
      <c r="U17" s="14">
        <v>0.28999999999999998</v>
      </c>
      <c r="V17" s="14">
        <v>0.39</v>
      </c>
      <c r="W17" s="14">
        <v>0.35</v>
      </c>
      <c r="X17" s="14">
        <v>0.42</v>
      </c>
      <c r="Y17" s="14">
        <v>0.22</v>
      </c>
      <c r="Z17" s="14">
        <v>0.32</v>
      </c>
      <c r="AA17" s="14">
        <v>0.31</v>
      </c>
      <c r="AB17" s="14">
        <v>0.36</v>
      </c>
      <c r="AC17" s="14">
        <v>0.36</v>
      </c>
      <c r="AD17" s="14">
        <v>0.5</v>
      </c>
      <c r="AE17" s="14">
        <v>0.44</v>
      </c>
      <c r="AF17" s="14">
        <v>0.45</v>
      </c>
    </row>
    <row r="18" spans="1:32">
      <c r="A18" s="23"/>
      <c r="B18" s="11" t="s">
        <v>713</v>
      </c>
      <c r="C18" s="12">
        <v>6520</v>
      </c>
      <c r="D18" s="12">
        <v>180</v>
      </c>
      <c r="E18" s="12">
        <v>422</v>
      </c>
      <c r="F18" s="12">
        <v>270</v>
      </c>
      <c r="G18" s="12">
        <v>203</v>
      </c>
      <c r="H18" s="12">
        <v>353</v>
      </c>
      <c r="I18" s="12">
        <v>420</v>
      </c>
      <c r="J18" s="12">
        <v>67</v>
      </c>
      <c r="K18" s="12">
        <v>319</v>
      </c>
      <c r="L18" s="12">
        <v>306</v>
      </c>
      <c r="M18" s="12">
        <v>429</v>
      </c>
      <c r="N18" s="12">
        <v>300</v>
      </c>
      <c r="O18" s="12">
        <v>206</v>
      </c>
      <c r="P18" s="12">
        <v>181</v>
      </c>
      <c r="Q18" s="12">
        <v>158</v>
      </c>
      <c r="R18" s="12">
        <v>167</v>
      </c>
      <c r="S18" s="12">
        <v>249</v>
      </c>
      <c r="T18" s="12">
        <v>332</v>
      </c>
      <c r="U18" s="12">
        <v>131</v>
      </c>
      <c r="V18" s="12">
        <v>232</v>
      </c>
      <c r="W18" s="12">
        <v>129</v>
      </c>
      <c r="X18" s="12">
        <v>379</v>
      </c>
      <c r="Y18" s="12">
        <v>144</v>
      </c>
      <c r="Z18" s="12">
        <v>251</v>
      </c>
      <c r="AA18" s="12">
        <v>330</v>
      </c>
      <c r="AB18" s="12">
        <v>220</v>
      </c>
      <c r="AC18" s="12">
        <v>316</v>
      </c>
      <c r="AD18" s="12">
        <v>250</v>
      </c>
      <c r="AE18" s="12">
        <v>120</v>
      </c>
      <c r="AF18" s="12">
        <v>275</v>
      </c>
    </row>
    <row r="19" spans="1:32">
      <c r="A19" s="23"/>
      <c r="B19" s="13" t="s">
        <v>714</v>
      </c>
      <c r="C19" s="14">
        <v>0.25</v>
      </c>
      <c r="D19" s="14">
        <v>0.18</v>
      </c>
      <c r="E19" s="14">
        <v>0.41</v>
      </c>
      <c r="F19" s="14">
        <v>0.27</v>
      </c>
      <c r="G19" s="14">
        <v>0.2</v>
      </c>
      <c r="H19" s="14">
        <v>0.28999999999999998</v>
      </c>
      <c r="I19" s="14">
        <v>0.28000000000000003</v>
      </c>
      <c r="J19" s="14">
        <v>0.23</v>
      </c>
      <c r="K19" s="14">
        <v>0.32</v>
      </c>
      <c r="L19" s="14">
        <v>0.3</v>
      </c>
      <c r="M19" s="14">
        <v>0.43</v>
      </c>
      <c r="N19" s="14">
        <v>0.3</v>
      </c>
      <c r="O19" s="14">
        <v>0.2</v>
      </c>
      <c r="P19" s="14">
        <v>0.18</v>
      </c>
      <c r="Q19" s="14">
        <v>0.15</v>
      </c>
      <c r="R19" s="14">
        <v>0.33</v>
      </c>
      <c r="S19" s="14">
        <v>0.25</v>
      </c>
      <c r="T19" s="14">
        <v>0.33</v>
      </c>
      <c r="U19" s="14">
        <v>0.26</v>
      </c>
      <c r="V19" s="14">
        <v>0.23</v>
      </c>
      <c r="W19" s="14">
        <v>0.26</v>
      </c>
      <c r="X19" s="14">
        <v>0.37</v>
      </c>
      <c r="Y19" s="14">
        <v>0.14000000000000001</v>
      </c>
      <c r="Z19" s="14">
        <v>0.25</v>
      </c>
      <c r="AA19" s="14">
        <v>0.32</v>
      </c>
      <c r="AB19" s="14">
        <v>0.21</v>
      </c>
      <c r="AC19" s="14">
        <v>0.32</v>
      </c>
      <c r="AD19" s="14">
        <v>0.25</v>
      </c>
      <c r="AE19" s="14">
        <v>0.12</v>
      </c>
      <c r="AF19" s="14">
        <v>0.26</v>
      </c>
    </row>
    <row r="20" spans="1:32">
      <c r="A20" s="23"/>
      <c r="B20" s="11" t="s">
        <v>497</v>
      </c>
      <c r="C20" s="12">
        <v>1240</v>
      </c>
      <c r="D20" s="12">
        <v>11</v>
      </c>
      <c r="E20" s="12">
        <v>106</v>
      </c>
      <c r="F20" s="12">
        <v>49</v>
      </c>
      <c r="G20" s="12">
        <v>75</v>
      </c>
      <c r="H20" s="12">
        <v>94</v>
      </c>
      <c r="I20" s="12">
        <v>103</v>
      </c>
      <c r="J20" s="12">
        <v>10</v>
      </c>
      <c r="K20" s="12">
        <v>89</v>
      </c>
      <c r="L20" s="12">
        <v>46</v>
      </c>
      <c r="M20" s="12">
        <v>44</v>
      </c>
      <c r="N20" s="12">
        <v>38</v>
      </c>
      <c r="O20" s="12">
        <v>47</v>
      </c>
      <c r="P20" s="12">
        <v>10</v>
      </c>
      <c r="Q20" s="12">
        <v>26</v>
      </c>
      <c r="R20" s="12">
        <v>33</v>
      </c>
      <c r="S20" s="12">
        <v>133</v>
      </c>
      <c r="T20" s="12">
        <v>77</v>
      </c>
      <c r="U20" s="12">
        <v>54</v>
      </c>
      <c r="V20" s="12">
        <v>46</v>
      </c>
      <c r="W20" s="12">
        <v>20</v>
      </c>
      <c r="X20" s="12">
        <v>28</v>
      </c>
      <c r="Y20" s="12">
        <v>89</v>
      </c>
      <c r="Z20" s="12">
        <v>35</v>
      </c>
      <c r="AA20" s="12">
        <v>61</v>
      </c>
      <c r="AB20" s="12">
        <v>43</v>
      </c>
      <c r="AC20" s="12">
        <v>50</v>
      </c>
      <c r="AD20" s="12">
        <v>40</v>
      </c>
      <c r="AE20" s="12">
        <v>66</v>
      </c>
      <c r="AF20" s="12">
        <v>53</v>
      </c>
    </row>
    <row r="21" spans="1:32">
      <c r="A21" s="23"/>
      <c r="B21" s="13" t="s">
        <v>498</v>
      </c>
      <c r="C21" s="14">
        <v>0.05</v>
      </c>
      <c r="D21" s="14">
        <v>0.01</v>
      </c>
      <c r="E21" s="14">
        <v>0.1</v>
      </c>
      <c r="F21" s="14">
        <v>0.05</v>
      </c>
      <c r="G21" s="14">
        <v>7.0000000000000007E-2</v>
      </c>
      <c r="H21" s="14">
        <v>0.08</v>
      </c>
      <c r="I21" s="14">
        <v>7.0000000000000007E-2</v>
      </c>
      <c r="J21" s="14">
        <v>0.03</v>
      </c>
      <c r="K21" s="14">
        <v>0.09</v>
      </c>
      <c r="L21" s="14">
        <v>0.05</v>
      </c>
      <c r="M21" s="14">
        <v>0.04</v>
      </c>
      <c r="N21" s="14">
        <v>0.04</v>
      </c>
      <c r="O21" s="14">
        <v>0.05</v>
      </c>
      <c r="P21" s="14">
        <v>0.01</v>
      </c>
      <c r="Q21" s="14">
        <v>0.03</v>
      </c>
      <c r="R21" s="14">
        <v>7.0000000000000007E-2</v>
      </c>
      <c r="S21" s="14">
        <v>0.13</v>
      </c>
      <c r="T21" s="14">
        <v>0.08</v>
      </c>
      <c r="U21" s="14">
        <v>0.11</v>
      </c>
      <c r="V21" s="14">
        <v>0.05</v>
      </c>
      <c r="W21" s="14">
        <v>0.04</v>
      </c>
      <c r="X21" s="14">
        <v>0.03</v>
      </c>
      <c r="Y21" s="14">
        <v>0.09</v>
      </c>
      <c r="Z21" s="14">
        <v>0.03</v>
      </c>
      <c r="AA21" s="14">
        <v>0.06</v>
      </c>
      <c r="AB21" s="14">
        <v>0.04</v>
      </c>
      <c r="AC21" s="14">
        <v>0.05</v>
      </c>
      <c r="AD21" s="14">
        <v>0.04</v>
      </c>
      <c r="AE21" s="14">
        <v>0.06</v>
      </c>
      <c r="AF21" s="14">
        <v>0.05</v>
      </c>
    </row>
    <row r="22" spans="1:32">
      <c r="A22" s="23"/>
      <c r="B22" s="11" t="s">
        <v>715</v>
      </c>
      <c r="C22" s="12">
        <v>9086</v>
      </c>
      <c r="D22" s="12">
        <v>454</v>
      </c>
      <c r="E22" s="12">
        <v>191</v>
      </c>
      <c r="F22" s="12">
        <v>387</v>
      </c>
      <c r="G22" s="12">
        <v>324</v>
      </c>
      <c r="H22" s="12">
        <v>280</v>
      </c>
      <c r="I22" s="12">
        <v>364</v>
      </c>
      <c r="J22" s="12">
        <v>84</v>
      </c>
      <c r="K22" s="12">
        <v>202</v>
      </c>
      <c r="L22" s="12">
        <v>308</v>
      </c>
      <c r="M22" s="12">
        <v>164</v>
      </c>
      <c r="N22" s="12">
        <v>337</v>
      </c>
      <c r="O22" s="12">
        <v>411</v>
      </c>
      <c r="P22" s="12">
        <v>455</v>
      </c>
      <c r="Q22" s="12">
        <v>479</v>
      </c>
      <c r="R22" s="12">
        <v>111</v>
      </c>
      <c r="S22" s="12">
        <v>271</v>
      </c>
      <c r="T22" s="12">
        <v>213</v>
      </c>
      <c r="U22" s="12">
        <v>172</v>
      </c>
      <c r="V22" s="12">
        <v>335</v>
      </c>
      <c r="W22" s="12">
        <v>178</v>
      </c>
      <c r="X22" s="12">
        <v>177</v>
      </c>
      <c r="Y22" s="12">
        <v>550</v>
      </c>
      <c r="Z22" s="12">
        <v>409</v>
      </c>
      <c r="AA22" s="12">
        <v>326</v>
      </c>
      <c r="AB22" s="12">
        <v>395</v>
      </c>
      <c r="AC22" s="12">
        <v>274</v>
      </c>
      <c r="AD22" s="12">
        <v>213</v>
      </c>
      <c r="AE22" s="12">
        <v>381</v>
      </c>
      <c r="AF22" s="12">
        <v>265</v>
      </c>
    </row>
    <row r="23" spans="1:32">
      <c r="A23" s="23"/>
      <c r="B23" s="13" t="s">
        <v>716</v>
      </c>
      <c r="C23" s="14">
        <v>0.34</v>
      </c>
      <c r="D23" s="14">
        <v>0.45</v>
      </c>
      <c r="E23" s="14">
        <v>0.18</v>
      </c>
      <c r="F23" s="14">
        <v>0.38</v>
      </c>
      <c r="G23" s="14">
        <v>0.33</v>
      </c>
      <c r="H23" s="14">
        <v>0.23</v>
      </c>
      <c r="I23" s="14">
        <v>0.24</v>
      </c>
      <c r="J23" s="14">
        <v>0.28999999999999998</v>
      </c>
      <c r="K23" s="14">
        <v>0.2</v>
      </c>
      <c r="L23" s="14">
        <v>0.31</v>
      </c>
      <c r="M23" s="14">
        <v>0.16</v>
      </c>
      <c r="N23" s="14">
        <v>0.33</v>
      </c>
      <c r="O23" s="14">
        <v>0.41</v>
      </c>
      <c r="P23" s="14">
        <v>0.45</v>
      </c>
      <c r="Q23" s="14">
        <v>0.47</v>
      </c>
      <c r="R23" s="14">
        <v>0.22</v>
      </c>
      <c r="S23" s="14">
        <v>0.27</v>
      </c>
      <c r="T23" s="14">
        <v>0.21</v>
      </c>
      <c r="U23" s="14">
        <v>0.34</v>
      </c>
      <c r="V23" s="14">
        <v>0.33</v>
      </c>
      <c r="W23" s="14">
        <v>0.35</v>
      </c>
      <c r="X23" s="14">
        <v>0.18</v>
      </c>
      <c r="Y23" s="14">
        <v>0.55000000000000004</v>
      </c>
      <c r="Z23" s="14">
        <v>0.4</v>
      </c>
      <c r="AA23" s="14">
        <v>0.31</v>
      </c>
      <c r="AB23" s="14">
        <v>0.39</v>
      </c>
      <c r="AC23" s="14">
        <v>0.27</v>
      </c>
      <c r="AD23" s="14">
        <v>0.21</v>
      </c>
      <c r="AE23" s="14">
        <v>0.38</v>
      </c>
      <c r="AF23" s="14">
        <v>0.24</v>
      </c>
    </row>
    <row r="24" spans="1:32">
      <c r="A24" s="23"/>
      <c r="B24" s="11" t="s">
        <v>717</v>
      </c>
      <c r="C24" s="12">
        <v>16028</v>
      </c>
      <c r="D24" s="12">
        <v>541</v>
      </c>
      <c r="E24" s="12">
        <v>746</v>
      </c>
      <c r="F24" s="12">
        <v>570</v>
      </c>
      <c r="G24" s="12">
        <v>604</v>
      </c>
      <c r="H24" s="12">
        <v>837</v>
      </c>
      <c r="I24" s="12">
        <v>1037</v>
      </c>
      <c r="J24" s="12">
        <v>199</v>
      </c>
      <c r="K24" s="12">
        <v>713</v>
      </c>
      <c r="L24" s="12">
        <v>653</v>
      </c>
      <c r="M24" s="12">
        <v>804</v>
      </c>
      <c r="N24" s="12">
        <v>626</v>
      </c>
      <c r="O24" s="12">
        <v>548</v>
      </c>
      <c r="P24" s="12">
        <v>546</v>
      </c>
      <c r="Q24" s="12">
        <v>519</v>
      </c>
      <c r="R24" s="12">
        <v>358</v>
      </c>
      <c r="S24" s="12">
        <v>601</v>
      </c>
      <c r="T24" s="12">
        <v>714</v>
      </c>
      <c r="U24" s="12">
        <v>277</v>
      </c>
      <c r="V24" s="12">
        <v>630</v>
      </c>
      <c r="W24" s="12">
        <v>305</v>
      </c>
      <c r="X24" s="12">
        <v>810</v>
      </c>
      <c r="Y24" s="12">
        <v>369</v>
      </c>
      <c r="Z24" s="12">
        <v>573</v>
      </c>
      <c r="AA24" s="12">
        <v>652</v>
      </c>
      <c r="AB24" s="12">
        <v>594</v>
      </c>
      <c r="AC24" s="12">
        <v>681</v>
      </c>
      <c r="AD24" s="12">
        <v>750</v>
      </c>
      <c r="AE24" s="12">
        <v>561</v>
      </c>
      <c r="AF24" s="12">
        <v>755</v>
      </c>
    </row>
    <row r="25" spans="1:32">
      <c r="A25" s="23"/>
      <c r="B25" s="13" t="s">
        <v>718</v>
      </c>
      <c r="C25" s="14">
        <v>0.61</v>
      </c>
      <c r="D25" s="14">
        <v>0.54</v>
      </c>
      <c r="E25" s="14">
        <v>0.72</v>
      </c>
      <c r="F25" s="14">
        <v>0.57000000000000006</v>
      </c>
      <c r="G25" s="14">
        <v>0.6</v>
      </c>
      <c r="H25" s="14">
        <v>0.69000000000000006</v>
      </c>
      <c r="I25" s="14">
        <v>0.69000000000000006</v>
      </c>
      <c r="J25" s="14">
        <v>0.68</v>
      </c>
      <c r="K25" s="14">
        <v>0.71</v>
      </c>
      <c r="L25" s="14">
        <v>0.64</v>
      </c>
      <c r="M25" s="14">
        <v>0.8</v>
      </c>
      <c r="N25" s="14">
        <v>0.63</v>
      </c>
      <c r="O25" s="14">
        <v>0.54</v>
      </c>
      <c r="P25" s="14">
        <v>0.54</v>
      </c>
      <c r="Q25" s="14">
        <v>0.5</v>
      </c>
      <c r="R25" s="14">
        <v>0.71</v>
      </c>
      <c r="S25" s="14">
        <v>0.6</v>
      </c>
      <c r="T25" s="14">
        <v>0.71</v>
      </c>
      <c r="U25" s="14">
        <v>0.55000000000000004</v>
      </c>
      <c r="V25" s="14">
        <v>0.62</v>
      </c>
      <c r="W25" s="14">
        <v>0.61</v>
      </c>
      <c r="X25" s="14">
        <v>0.79</v>
      </c>
      <c r="Y25" s="14">
        <v>0.36</v>
      </c>
      <c r="Z25" s="14">
        <v>0.57000000000000006</v>
      </c>
      <c r="AA25" s="14">
        <v>0.63</v>
      </c>
      <c r="AB25" s="14">
        <v>0.57000000000000006</v>
      </c>
      <c r="AC25" s="14">
        <v>0.68</v>
      </c>
      <c r="AD25" s="14">
        <v>0.75</v>
      </c>
      <c r="AE25" s="14">
        <v>0.56000000000000005</v>
      </c>
      <c r="AF25" s="14">
        <v>0.71</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36" customHeight="1">
      <c r="B3" s="19" t="s">
        <v>1089</v>
      </c>
      <c r="C3" s="19"/>
      <c r="D3" s="19"/>
      <c r="E3" s="19"/>
      <c r="F3" s="19"/>
      <c r="H3" s="19" t="s">
        <v>1090</v>
      </c>
      <c r="I3" s="19"/>
      <c r="J3" s="19"/>
      <c r="K3" s="19"/>
      <c r="L3" s="19"/>
    </row>
    <row r="4" spans="1:32" ht="27" customHeight="1">
      <c r="B4" s="19" t="s">
        <v>1091</v>
      </c>
      <c r="C4" s="19"/>
      <c r="D4" s="19"/>
      <c r="E4" s="19"/>
      <c r="F4" s="19"/>
      <c r="H4" s="19" t="s">
        <v>1092</v>
      </c>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HYPERLINK("#Content!A87","&lt;&lt;Back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707</v>
      </c>
      <c r="C12" s="12">
        <v>3431</v>
      </c>
      <c r="D12" s="12">
        <v>160</v>
      </c>
      <c r="E12" s="12">
        <v>83</v>
      </c>
      <c r="F12" s="12">
        <v>144</v>
      </c>
      <c r="G12" s="12">
        <v>228</v>
      </c>
      <c r="H12" s="12">
        <v>81</v>
      </c>
      <c r="I12" s="12">
        <v>113</v>
      </c>
      <c r="J12" s="12">
        <v>32</v>
      </c>
      <c r="K12" s="12">
        <v>71</v>
      </c>
      <c r="L12" s="12">
        <v>114</v>
      </c>
      <c r="M12" s="12">
        <v>68</v>
      </c>
      <c r="N12" s="12">
        <v>190</v>
      </c>
      <c r="O12" s="12">
        <v>172</v>
      </c>
      <c r="P12" s="12">
        <v>141</v>
      </c>
      <c r="Q12" s="12">
        <v>150</v>
      </c>
      <c r="R12" s="12">
        <v>43</v>
      </c>
      <c r="S12" s="12">
        <v>110</v>
      </c>
      <c r="T12" s="12">
        <v>60</v>
      </c>
      <c r="U12" s="12">
        <v>93</v>
      </c>
      <c r="V12" s="12">
        <v>101</v>
      </c>
      <c r="W12" s="12">
        <v>104</v>
      </c>
      <c r="X12" s="12">
        <v>124</v>
      </c>
      <c r="Y12" s="12">
        <v>254</v>
      </c>
      <c r="Z12" s="12">
        <v>96</v>
      </c>
      <c r="AA12" s="12">
        <v>70</v>
      </c>
      <c r="AB12" s="12">
        <v>116</v>
      </c>
      <c r="AC12" s="12">
        <v>154</v>
      </c>
      <c r="AD12" s="12">
        <v>108</v>
      </c>
      <c r="AE12" s="12">
        <v>122</v>
      </c>
      <c r="AF12" s="12">
        <v>153</v>
      </c>
    </row>
    <row r="13" spans="1:32">
      <c r="A13" s="23"/>
      <c r="B13" s="13" t="s">
        <v>708</v>
      </c>
      <c r="C13" s="14">
        <v>0.13</v>
      </c>
      <c r="D13" s="14">
        <v>0.16</v>
      </c>
      <c r="E13" s="14">
        <v>0.08</v>
      </c>
      <c r="F13" s="14">
        <v>0.14000000000000001</v>
      </c>
      <c r="G13" s="14">
        <v>0.23</v>
      </c>
      <c r="H13" s="14">
        <v>7.0000000000000007E-2</v>
      </c>
      <c r="I13" s="14">
        <v>0.08</v>
      </c>
      <c r="J13" s="14">
        <v>0.11</v>
      </c>
      <c r="K13" s="14">
        <v>7.0000000000000007E-2</v>
      </c>
      <c r="L13" s="14">
        <v>0.11</v>
      </c>
      <c r="M13" s="14">
        <v>7.0000000000000007E-2</v>
      </c>
      <c r="N13" s="14">
        <v>0.19</v>
      </c>
      <c r="O13" s="14">
        <v>0.17</v>
      </c>
      <c r="P13" s="14">
        <v>0.14000000000000001</v>
      </c>
      <c r="Q13" s="14">
        <v>0.15</v>
      </c>
      <c r="R13" s="14">
        <v>0.09</v>
      </c>
      <c r="S13" s="14">
        <v>0.11</v>
      </c>
      <c r="T13" s="14">
        <v>0.06</v>
      </c>
      <c r="U13" s="14">
        <v>0.19</v>
      </c>
      <c r="V13" s="14">
        <v>0.1</v>
      </c>
      <c r="W13" s="14">
        <v>0.21</v>
      </c>
      <c r="X13" s="14">
        <v>0.12</v>
      </c>
      <c r="Y13" s="14">
        <v>0.25</v>
      </c>
      <c r="Z13" s="14">
        <v>0.09</v>
      </c>
      <c r="AA13" s="14">
        <v>7.0000000000000007E-2</v>
      </c>
      <c r="AB13" s="14">
        <v>0.11</v>
      </c>
      <c r="AC13" s="14">
        <v>0.15</v>
      </c>
      <c r="AD13" s="14">
        <v>0.11</v>
      </c>
      <c r="AE13" s="14">
        <v>0.12</v>
      </c>
      <c r="AF13" s="14">
        <v>0.14000000000000001</v>
      </c>
    </row>
    <row r="14" spans="1:32">
      <c r="A14" s="23"/>
      <c r="B14" s="11" t="s">
        <v>709</v>
      </c>
      <c r="C14" s="12">
        <v>10845</v>
      </c>
      <c r="D14" s="12">
        <v>562</v>
      </c>
      <c r="E14" s="12">
        <v>369</v>
      </c>
      <c r="F14" s="12">
        <v>531</v>
      </c>
      <c r="G14" s="12">
        <v>416</v>
      </c>
      <c r="H14" s="12">
        <v>462</v>
      </c>
      <c r="I14" s="12">
        <v>571</v>
      </c>
      <c r="J14" s="12">
        <v>110</v>
      </c>
      <c r="K14" s="12">
        <v>375</v>
      </c>
      <c r="L14" s="12">
        <v>343</v>
      </c>
      <c r="M14" s="12">
        <v>218</v>
      </c>
      <c r="N14" s="12">
        <v>434</v>
      </c>
      <c r="O14" s="12">
        <v>459</v>
      </c>
      <c r="P14" s="12">
        <v>390</v>
      </c>
      <c r="Q14" s="12">
        <v>427</v>
      </c>
      <c r="R14" s="12">
        <v>143</v>
      </c>
      <c r="S14" s="12">
        <v>392</v>
      </c>
      <c r="T14" s="12">
        <v>410</v>
      </c>
      <c r="U14" s="12">
        <v>228</v>
      </c>
      <c r="V14" s="12">
        <v>330</v>
      </c>
      <c r="W14" s="12">
        <v>239</v>
      </c>
      <c r="X14" s="12">
        <v>436</v>
      </c>
      <c r="Y14" s="12">
        <v>477</v>
      </c>
      <c r="Z14" s="12">
        <v>405</v>
      </c>
      <c r="AA14" s="12">
        <v>385</v>
      </c>
      <c r="AB14" s="12">
        <v>403</v>
      </c>
      <c r="AC14" s="12">
        <v>439</v>
      </c>
      <c r="AD14" s="12">
        <v>405</v>
      </c>
      <c r="AE14" s="12">
        <v>432</v>
      </c>
      <c r="AF14" s="12">
        <v>395</v>
      </c>
    </row>
    <row r="15" spans="1:32">
      <c r="A15" s="23"/>
      <c r="B15" s="13" t="s">
        <v>710</v>
      </c>
      <c r="C15" s="14">
        <v>0.41</v>
      </c>
      <c r="D15" s="14">
        <v>0.56000000000000005</v>
      </c>
      <c r="E15" s="14">
        <v>0.35</v>
      </c>
      <c r="F15" s="14">
        <v>0.53</v>
      </c>
      <c r="G15" s="14">
        <v>0.42</v>
      </c>
      <c r="H15" s="14">
        <v>0.38</v>
      </c>
      <c r="I15" s="14">
        <v>0.38</v>
      </c>
      <c r="J15" s="14">
        <v>0.37</v>
      </c>
      <c r="K15" s="14">
        <v>0.37</v>
      </c>
      <c r="L15" s="14">
        <v>0.34</v>
      </c>
      <c r="M15" s="14">
        <v>0.22</v>
      </c>
      <c r="N15" s="14">
        <v>0.43</v>
      </c>
      <c r="O15" s="14">
        <v>0.46</v>
      </c>
      <c r="P15" s="14">
        <v>0.39</v>
      </c>
      <c r="Q15" s="14">
        <v>0.42</v>
      </c>
      <c r="R15" s="14">
        <v>0.28000000000000003</v>
      </c>
      <c r="S15" s="14">
        <v>0.39</v>
      </c>
      <c r="T15" s="14">
        <v>0.41</v>
      </c>
      <c r="U15" s="14">
        <v>0.45</v>
      </c>
      <c r="V15" s="14">
        <v>0.33</v>
      </c>
      <c r="W15" s="14">
        <v>0.47</v>
      </c>
      <c r="X15" s="14">
        <v>0.43</v>
      </c>
      <c r="Y15" s="14">
        <v>0.47</v>
      </c>
      <c r="Z15" s="14">
        <v>0.4</v>
      </c>
      <c r="AA15" s="14">
        <v>0.37</v>
      </c>
      <c r="AB15" s="14">
        <v>0.39</v>
      </c>
      <c r="AC15" s="14">
        <v>0.44</v>
      </c>
      <c r="AD15" s="14">
        <v>0.41</v>
      </c>
      <c r="AE15" s="14">
        <v>0.43</v>
      </c>
      <c r="AF15" s="14">
        <v>0.37</v>
      </c>
    </row>
    <row r="16" spans="1:32">
      <c r="A16" s="23"/>
      <c r="B16" s="11" t="s">
        <v>711</v>
      </c>
      <c r="C16" s="12">
        <v>7810</v>
      </c>
      <c r="D16" s="12">
        <v>212</v>
      </c>
      <c r="E16" s="12">
        <v>360</v>
      </c>
      <c r="F16" s="12">
        <v>217</v>
      </c>
      <c r="G16" s="12">
        <v>225</v>
      </c>
      <c r="H16" s="12">
        <v>422</v>
      </c>
      <c r="I16" s="12">
        <v>534</v>
      </c>
      <c r="J16" s="12">
        <v>112</v>
      </c>
      <c r="K16" s="12">
        <v>333</v>
      </c>
      <c r="L16" s="12">
        <v>331</v>
      </c>
      <c r="M16" s="12">
        <v>389</v>
      </c>
      <c r="N16" s="12">
        <v>242</v>
      </c>
      <c r="O16" s="12">
        <v>219</v>
      </c>
      <c r="P16" s="12">
        <v>356</v>
      </c>
      <c r="Q16" s="12">
        <v>311</v>
      </c>
      <c r="R16" s="12">
        <v>195</v>
      </c>
      <c r="S16" s="12">
        <v>271</v>
      </c>
      <c r="T16" s="12">
        <v>327</v>
      </c>
      <c r="U16" s="12">
        <v>70</v>
      </c>
      <c r="V16" s="12">
        <v>366</v>
      </c>
      <c r="W16" s="12">
        <v>125</v>
      </c>
      <c r="X16" s="12">
        <v>339</v>
      </c>
      <c r="Y16" s="12">
        <v>145</v>
      </c>
      <c r="Z16" s="12">
        <v>343</v>
      </c>
      <c r="AA16" s="12">
        <v>309</v>
      </c>
      <c r="AB16" s="12">
        <v>351</v>
      </c>
      <c r="AC16" s="12">
        <v>284</v>
      </c>
      <c r="AD16" s="12">
        <v>394</v>
      </c>
      <c r="AE16" s="12">
        <v>320</v>
      </c>
      <c r="AF16" s="12">
        <v>339</v>
      </c>
    </row>
    <row r="17" spans="1:32">
      <c r="A17" s="23"/>
      <c r="B17" s="13" t="s">
        <v>712</v>
      </c>
      <c r="C17" s="14">
        <v>0.3</v>
      </c>
      <c r="D17" s="14">
        <v>0.21</v>
      </c>
      <c r="E17" s="14">
        <v>0.34</v>
      </c>
      <c r="F17" s="14">
        <v>0.22</v>
      </c>
      <c r="G17" s="14">
        <v>0.22</v>
      </c>
      <c r="H17" s="14">
        <v>0.35</v>
      </c>
      <c r="I17" s="14">
        <v>0.35</v>
      </c>
      <c r="J17" s="14">
        <v>0.38</v>
      </c>
      <c r="K17" s="14">
        <v>0.33</v>
      </c>
      <c r="L17" s="14">
        <v>0.33</v>
      </c>
      <c r="M17" s="14">
        <v>0.38</v>
      </c>
      <c r="N17" s="14">
        <v>0.24</v>
      </c>
      <c r="O17" s="14">
        <v>0.22</v>
      </c>
      <c r="P17" s="14">
        <v>0.35</v>
      </c>
      <c r="Q17" s="14">
        <v>0.3</v>
      </c>
      <c r="R17" s="14">
        <v>0.39</v>
      </c>
      <c r="S17" s="14">
        <v>0.27</v>
      </c>
      <c r="T17" s="14">
        <v>0.33</v>
      </c>
      <c r="U17" s="14">
        <v>0.14000000000000001</v>
      </c>
      <c r="V17" s="14">
        <v>0.36</v>
      </c>
      <c r="W17" s="14">
        <v>0.25</v>
      </c>
      <c r="X17" s="14">
        <v>0.33</v>
      </c>
      <c r="Y17" s="14">
        <v>0.15</v>
      </c>
      <c r="Z17" s="14">
        <v>0.34</v>
      </c>
      <c r="AA17" s="14">
        <v>0.3</v>
      </c>
      <c r="AB17" s="14">
        <v>0.34</v>
      </c>
      <c r="AC17" s="14">
        <v>0.28000000000000003</v>
      </c>
      <c r="AD17" s="14">
        <v>0.39</v>
      </c>
      <c r="AE17" s="14">
        <v>0.32</v>
      </c>
      <c r="AF17" s="14">
        <v>0.32</v>
      </c>
    </row>
    <row r="18" spans="1:32">
      <c r="A18" s="23"/>
      <c r="B18" s="11" t="s">
        <v>713</v>
      </c>
      <c r="C18" s="12">
        <v>2723</v>
      </c>
      <c r="D18" s="12">
        <v>47</v>
      </c>
      <c r="E18" s="12">
        <v>144</v>
      </c>
      <c r="F18" s="12">
        <v>71</v>
      </c>
      <c r="G18" s="12">
        <v>65</v>
      </c>
      <c r="H18" s="12">
        <v>132</v>
      </c>
      <c r="I18" s="12">
        <v>160</v>
      </c>
      <c r="J18" s="12">
        <v>28</v>
      </c>
      <c r="K18" s="12">
        <v>148</v>
      </c>
      <c r="L18" s="12">
        <v>160</v>
      </c>
      <c r="M18" s="12">
        <v>291</v>
      </c>
      <c r="N18" s="12">
        <v>85</v>
      </c>
      <c r="O18" s="12">
        <v>95</v>
      </c>
      <c r="P18" s="12">
        <v>116</v>
      </c>
      <c r="Q18" s="12">
        <v>100</v>
      </c>
      <c r="R18" s="12">
        <v>98</v>
      </c>
      <c r="S18" s="12">
        <v>99</v>
      </c>
      <c r="T18" s="12">
        <v>84</v>
      </c>
      <c r="U18" s="12">
        <v>37</v>
      </c>
      <c r="V18" s="12">
        <v>174</v>
      </c>
      <c r="W18" s="12">
        <v>18</v>
      </c>
      <c r="X18" s="12">
        <v>81</v>
      </c>
      <c r="Y18" s="12">
        <v>43</v>
      </c>
      <c r="Z18" s="12">
        <v>104</v>
      </c>
      <c r="AA18" s="12">
        <v>200</v>
      </c>
      <c r="AB18" s="12">
        <v>119</v>
      </c>
      <c r="AC18" s="12">
        <v>76</v>
      </c>
      <c r="AD18" s="12">
        <v>52</v>
      </c>
      <c r="AE18" s="12">
        <v>61</v>
      </c>
      <c r="AF18" s="12">
        <v>111</v>
      </c>
    </row>
    <row r="19" spans="1:32">
      <c r="A19" s="23"/>
      <c r="B19" s="13" t="s">
        <v>714</v>
      </c>
      <c r="C19" s="14">
        <v>0.1</v>
      </c>
      <c r="D19" s="14">
        <v>0.05</v>
      </c>
      <c r="E19" s="14">
        <v>0.14000000000000001</v>
      </c>
      <c r="F19" s="14">
        <v>7.0000000000000007E-2</v>
      </c>
      <c r="G19" s="14">
        <v>0.06</v>
      </c>
      <c r="H19" s="14">
        <v>0.11</v>
      </c>
      <c r="I19" s="14">
        <v>0.11</v>
      </c>
      <c r="J19" s="14">
        <v>0.1</v>
      </c>
      <c r="K19" s="14">
        <v>0.15</v>
      </c>
      <c r="L19" s="14">
        <v>0.16</v>
      </c>
      <c r="M19" s="14">
        <v>0.28999999999999998</v>
      </c>
      <c r="N19" s="14">
        <v>0.09</v>
      </c>
      <c r="O19" s="14">
        <v>0.09</v>
      </c>
      <c r="P19" s="14">
        <v>0.11</v>
      </c>
      <c r="Q19" s="14">
        <v>0.1</v>
      </c>
      <c r="R19" s="14">
        <v>0.19</v>
      </c>
      <c r="S19" s="14">
        <v>0.1</v>
      </c>
      <c r="T19" s="14">
        <v>0.08</v>
      </c>
      <c r="U19" s="14">
        <v>7.0000000000000007E-2</v>
      </c>
      <c r="V19" s="14">
        <v>0.17</v>
      </c>
      <c r="W19" s="14">
        <v>0.04</v>
      </c>
      <c r="X19" s="14">
        <v>0.08</v>
      </c>
      <c r="Y19" s="14">
        <v>0.04</v>
      </c>
      <c r="Z19" s="14">
        <v>0.1</v>
      </c>
      <c r="AA19" s="14">
        <v>0.19</v>
      </c>
      <c r="AB19" s="14">
        <v>0.12</v>
      </c>
      <c r="AC19" s="14">
        <v>0.08</v>
      </c>
      <c r="AD19" s="14">
        <v>0.05</v>
      </c>
      <c r="AE19" s="14">
        <v>0.06</v>
      </c>
      <c r="AF19" s="14">
        <v>0.1</v>
      </c>
    </row>
    <row r="20" spans="1:32">
      <c r="A20" s="23"/>
      <c r="B20" s="11" t="s">
        <v>497</v>
      </c>
      <c r="C20" s="12">
        <v>1545</v>
      </c>
      <c r="D20" s="12">
        <v>25</v>
      </c>
      <c r="E20" s="12">
        <v>89</v>
      </c>
      <c r="F20" s="12">
        <v>44</v>
      </c>
      <c r="G20" s="12">
        <v>70</v>
      </c>
      <c r="H20" s="12">
        <v>114</v>
      </c>
      <c r="I20" s="12">
        <v>126</v>
      </c>
      <c r="J20" s="12">
        <v>13</v>
      </c>
      <c r="K20" s="12">
        <v>78</v>
      </c>
      <c r="L20" s="12">
        <v>58</v>
      </c>
      <c r="M20" s="12">
        <v>45</v>
      </c>
      <c r="N20" s="12">
        <v>49</v>
      </c>
      <c r="O20" s="12">
        <v>61</v>
      </c>
      <c r="P20" s="12">
        <v>9</v>
      </c>
      <c r="Q20" s="12">
        <v>35</v>
      </c>
      <c r="R20" s="12">
        <v>24</v>
      </c>
      <c r="S20" s="12">
        <v>133</v>
      </c>
      <c r="T20" s="12">
        <v>122</v>
      </c>
      <c r="U20" s="12">
        <v>76</v>
      </c>
      <c r="V20" s="12">
        <v>40</v>
      </c>
      <c r="W20" s="12">
        <v>16</v>
      </c>
      <c r="X20" s="12">
        <v>37</v>
      </c>
      <c r="Y20" s="12">
        <v>88</v>
      </c>
      <c r="Z20" s="12">
        <v>69</v>
      </c>
      <c r="AA20" s="12">
        <v>75</v>
      </c>
      <c r="AB20" s="12">
        <v>41</v>
      </c>
      <c r="AC20" s="12">
        <v>51</v>
      </c>
      <c r="AD20" s="12">
        <v>43</v>
      </c>
      <c r="AE20" s="12">
        <v>72</v>
      </c>
      <c r="AF20" s="12">
        <v>74</v>
      </c>
    </row>
    <row r="21" spans="1:32">
      <c r="A21" s="23"/>
      <c r="B21" s="13" t="s">
        <v>498</v>
      </c>
      <c r="C21" s="14">
        <v>0.06</v>
      </c>
      <c r="D21" s="14">
        <v>0.02</v>
      </c>
      <c r="E21" s="14">
        <v>0.09</v>
      </c>
      <c r="F21" s="14">
        <v>0.04</v>
      </c>
      <c r="G21" s="14">
        <v>7.0000000000000007E-2</v>
      </c>
      <c r="H21" s="14">
        <v>0.09</v>
      </c>
      <c r="I21" s="14">
        <v>0.08</v>
      </c>
      <c r="J21" s="14">
        <v>0.04</v>
      </c>
      <c r="K21" s="14">
        <v>0.08</v>
      </c>
      <c r="L21" s="14">
        <v>0.06</v>
      </c>
      <c r="M21" s="14">
        <v>0.04</v>
      </c>
      <c r="N21" s="14">
        <v>0.05</v>
      </c>
      <c r="O21" s="14">
        <v>0.06</v>
      </c>
      <c r="P21" s="14">
        <v>0.01</v>
      </c>
      <c r="Q21" s="14">
        <v>0.03</v>
      </c>
      <c r="R21" s="14">
        <v>0.05</v>
      </c>
      <c r="S21" s="14">
        <v>0.13</v>
      </c>
      <c r="T21" s="14">
        <v>0.12</v>
      </c>
      <c r="U21" s="14">
        <v>0.15</v>
      </c>
      <c r="V21" s="14">
        <v>0.04</v>
      </c>
      <c r="W21" s="14">
        <v>0.03</v>
      </c>
      <c r="X21" s="14">
        <v>0.04</v>
      </c>
      <c r="Y21" s="14">
        <v>0.09</v>
      </c>
      <c r="Z21" s="14">
        <v>7.0000000000000007E-2</v>
      </c>
      <c r="AA21" s="14">
        <v>7.0000000000000007E-2</v>
      </c>
      <c r="AB21" s="14">
        <v>0.04</v>
      </c>
      <c r="AC21" s="14">
        <v>0.05</v>
      </c>
      <c r="AD21" s="14">
        <v>0.04</v>
      </c>
      <c r="AE21" s="14">
        <v>7.0000000000000007E-2</v>
      </c>
      <c r="AF21" s="14">
        <v>7.0000000000000007E-2</v>
      </c>
    </row>
    <row r="22" spans="1:32">
      <c r="A22" s="23"/>
      <c r="B22" s="11" t="s">
        <v>715</v>
      </c>
      <c r="C22" s="12">
        <v>14276</v>
      </c>
      <c r="D22" s="12">
        <v>722</v>
      </c>
      <c r="E22" s="12">
        <v>452</v>
      </c>
      <c r="F22" s="12">
        <v>675</v>
      </c>
      <c r="G22" s="12">
        <v>644</v>
      </c>
      <c r="H22" s="12">
        <v>543</v>
      </c>
      <c r="I22" s="12">
        <v>684</v>
      </c>
      <c r="J22" s="12">
        <v>142</v>
      </c>
      <c r="K22" s="12">
        <v>446</v>
      </c>
      <c r="L22" s="12">
        <v>457</v>
      </c>
      <c r="M22" s="12">
        <v>286</v>
      </c>
      <c r="N22" s="12">
        <v>624</v>
      </c>
      <c r="O22" s="12">
        <v>631</v>
      </c>
      <c r="P22" s="12">
        <v>531</v>
      </c>
      <c r="Q22" s="12">
        <v>577</v>
      </c>
      <c r="R22" s="12">
        <v>186</v>
      </c>
      <c r="S22" s="12">
        <v>502</v>
      </c>
      <c r="T22" s="12">
        <v>470</v>
      </c>
      <c r="U22" s="12">
        <v>321</v>
      </c>
      <c r="V22" s="12">
        <v>431</v>
      </c>
      <c r="W22" s="12">
        <v>343</v>
      </c>
      <c r="X22" s="12">
        <v>560</v>
      </c>
      <c r="Y22" s="12">
        <v>731</v>
      </c>
      <c r="Z22" s="12">
        <v>501</v>
      </c>
      <c r="AA22" s="12">
        <v>455</v>
      </c>
      <c r="AB22" s="12">
        <v>519</v>
      </c>
      <c r="AC22" s="12">
        <v>593</v>
      </c>
      <c r="AD22" s="12">
        <v>513</v>
      </c>
      <c r="AE22" s="12">
        <v>554</v>
      </c>
      <c r="AF22" s="12">
        <v>548</v>
      </c>
    </row>
    <row r="23" spans="1:32">
      <c r="A23" s="23"/>
      <c r="B23" s="13" t="s">
        <v>716</v>
      </c>
      <c r="C23" s="14">
        <v>0.54</v>
      </c>
      <c r="D23" s="14">
        <v>0.72</v>
      </c>
      <c r="E23" s="14">
        <v>0.43</v>
      </c>
      <c r="F23" s="14">
        <v>0.67</v>
      </c>
      <c r="G23" s="14">
        <v>0.65</v>
      </c>
      <c r="H23" s="14">
        <v>0.45</v>
      </c>
      <c r="I23" s="14">
        <v>0.46</v>
      </c>
      <c r="J23" s="14">
        <v>0.48</v>
      </c>
      <c r="K23" s="14">
        <v>0.44</v>
      </c>
      <c r="L23" s="14">
        <v>0.45</v>
      </c>
      <c r="M23" s="14">
        <v>0.28999999999999998</v>
      </c>
      <c r="N23" s="14">
        <v>0.62</v>
      </c>
      <c r="O23" s="14">
        <v>0.63</v>
      </c>
      <c r="P23" s="14">
        <v>0.53</v>
      </c>
      <c r="Q23" s="14">
        <v>0.57000000000000006</v>
      </c>
      <c r="R23" s="14">
        <v>0.37</v>
      </c>
      <c r="S23" s="14">
        <v>0.5</v>
      </c>
      <c r="T23" s="14">
        <v>0.47</v>
      </c>
      <c r="U23" s="14">
        <v>0.64</v>
      </c>
      <c r="V23" s="14">
        <v>0.43</v>
      </c>
      <c r="W23" s="14">
        <v>0.68</v>
      </c>
      <c r="X23" s="14">
        <v>0.55000000000000004</v>
      </c>
      <c r="Y23" s="14">
        <v>0.72</v>
      </c>
      <c r="Z23" s="14">
        <v>0.49</v>
      </c>
      <c r="AA23" s="14">
        <v>0.44</v>
      </c>
      <c r="AB23" s="14">
        <v>0.5</v>
      </c>
      <c r="AC23" s="14">
        <v>0.59</v>
      </c>
      <c r="AD23" s="14">
        <v>0.52</v>
      </c>
      <c r="AE23" s="14">
        <v>0.55000000000000004</v>
      </c>
      <c r="AF23" s="14">
        <v>0.51</v>
      </c>
    </row>
    <row r="24" spans="1:32">
      <c r="A24" s="23"/>
      <c r="B24" s="11" t="s">
        <v>717</v>
      </c>
      <c r="C24" s="12">
        <v>10533</v>
      </c>
      <c r="D24" s="12">
        <v>259</v>
      </c>
      <c r="E24" s="12">
        <v>504</v>
      </c>
      <c r="F24" s="12">
        <v>288</v>
      </c>
      <c r="G24" s="12">
        <v>290</v>
      </c>
      <c r="H24" s="12">
        <v>554</v>
      </c>
      <c r="I24" s="12">
        <v>694</v>
      </c>
      <c r="J24" s="12">
        <v>140</v>
      </c>
      <c r="K24" s="12">
        <v>481</v>
      </c>
      <c r="L24" s="12">
        <v>491</v>
      </c>
      <c r="M24" s="12">
        <v>680</v>
      </c>
      <c r="N24" s="12">
        <v>327</v>
      </c>
      <c r="O24" s="12">
        <v>314</v>
      </c>
      <c r="P24" s="12">
        <v>472</v>
      </c>
      <c r="Q24" s="12">
        <v>411</v>
      </c>
      <c r="R24" s="12">
        <v>293</v>
      </c>
      <c r="S24" s="12">
        <v>370</v>
      </c>
      <c r="T24" s="12">
        <v>411</v>
      </c>
      <c r="U24" s="12">
        <v>107</v>
      </c>
      <c r="V24" s="12">
        <v>540</v>
      </c>
      <c r="W24" s="12">
        <v>143</v>
      </c>
      <c r="X24" s="12">
        <v>420</v>
      </c>
      <c r="Y24" s="12">
        <v>188</v>
      </c>
      <c r="Z24" s="12">
        <v>447</v>
      </c>
      <c r="AA24" s="12">
        <v>509</v>
      </c>
      <c r="AB24" s="12">
        <v>470</v>
      </c>
      <c r="AC24" s="12">
        <v>360</v>
      </c>
      <c r="AD24" s="12">
        <v>446</v>
      </c>
      <c r="AE24" s="12">
        <v>381</v>
      </c>
      <c r="AF24" s="12">
        <v>450</v>
      </c>
    </row>
    <row r="25" spans="1:32">
      <c r="A25" s="23"/>
      <c r="B25" s="13" t="s">
        <v>718</v>
      </c>
      <c r="C25" s="14">
        <v>0.4</v>
      </c>
      <c r="D25" s="14">
        <v>0.26</v>
      </c>
      <c r="E25" s="14">
        <v>0.48</v>
      </c>
      <c r="F25" s="14">
        <v>0.28999999999999998</v>
      </c>
      <c r="G25" s="14">
        <v>0.28000000000000003</v>
      </c>
      <c r="H25" s="14">
        <v>0.46</v>
      </c>
      <c r="I25" s="14">
        <v>0.46</v>
      </c>
      <c r="J25" s="14">
        <v>0.48</v>
      </c>
      <c r="K25" s="14">
        <v>0.48</v>
      </c>
      <c r="L25" s="14">
        <v>0.49</v>
      </c>
      <c r="M25" s="14">
        <v>0.67</v>
      </c>
      <c r="N25" s="14">
        <v>0.33</v>
      </c>
      <c r="O25" s="14">
        <v>0.31</v>
      </c>
      <c r="P25" s="14">
        <v>0.46</v>
      </c>
      <c r="Q25" s="14">
        <v>0.4</v>
      </c>
      <c r="R25" s="14">
        <v>0.57999999999999996</v>
      </c>
      <c r="S25" s="14">
        <v>0.37</v>
      </c>
      <c r="T25" s="14">
        <v>0.41</v>
      </c>
      <c r="U25" s="14">
        <v>0.21</v>
      </c>
      <c r="V25" s="14">
        <v>0.53</v>
      </c>
      <c r="W25" s="14">
        <v>0.28999999999999998</v>
      </c>
      <c r="X25" s="14">
        <v>0.41</v>
      </c>
      <c r="Y25" s="14">
        <v>0.19</v>
      </c>
      <c r="Z25" s="14">
        <v>0.44</v>
      </c>
      <c r="AA25" s="14">
        <v>0.49</v>
      </c>
      <c r="AB25" s="14">
        <v>0.46</v>
      </c>
      <c r="AC25" s="14">
        <v>0.36</v>
      </c>
      <c r="AD25" s="14">
        <v>0.44</v>
      </c>
      <c r="AE25" s="14">
        <v>0.38</v>
      </c>
      <c r="AF25" s="14">
        <v>0.42</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36" customHeight="1">
      <c r="B3" s="19" t="s">
        <v>1093</v>
      </c>
      <c r="C3" s="19"/>
      <c r="D3" s="19"/>
      <c r="E3" s="19"/>
      <c r="F3" s="19"/>
      <c r="H3" s="19" t="s">
        <v>1094</v>
      </c>
      <c r="I3" s="19"/>
      <c r="J3" s="19"/>
      <c r="K3" s="19"/>
      <c r="L3" s="19"/>
    </row>
    <row r="4" spans="1:32" ht="27" customHeight="1">
      <c r="B4" s="19" t="s">
        <v>1095</v>
      </c>
      <c r="C4" s="19"/>
      <c r="D4" s="19"/>
      <c r="E4" s="19"/>
      <c r="F4" s="19"/>
      <c r="H4" s="19" t="s">
        <v>1096</v>
      </c>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HYPERLINK("#Content!A88","&lt;&lt;Back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707</v>
      </c>
      <c r="C12" s="12">
        <v>4147</v>
      </c>
      <c r="D12" s="12">
        <v>208</v>
      </c>
      <c r="E12" s="12">
        <v>115</v>
      </c>
      <c r="F12" s="12">
        <v>211</v>
      </c>
      <c r="G12" s="12">
        <v>311</v>
      </c>
      <c r="H12" s="12">
        <v>118</v>
      </c>
      <c r="I12" s="12">
        <v>152</v>
      </c>
      <c r="J12" s="12">
        <v>34</v>
      </c>
      <c r="K12" s="12">
        <v>85</v>
      </c>
      <c r="L12" s="12">
        <v>106</v>
      </c>
      <c r="M12" s="12">
        <v>73</v>
      </c>
      <c r="N12" s="12">
        <v>264</v>
      </c>
      <c r="O12" s="12">
        <v>193</v>
      </c>
      <c r="P12" s="12">
        <v>147</v>
      </c>
      <c r="Q12" s="12">
        <v>168</v>
      </c>
      <c r="R12" s="12">
        <v>68</v>
      </c>
      <c r="S12" s="12">
        <v>96</v>
      </c>
      <c r="T12" s="12">
        <v>65</v>
      </c>
      <c r="U12" s="12">
        <v>126</v>
      </c>
      <c r="V12" s="12">
        <v>88</v>
      </c>
      <c r="W12" s="12">
        <v>128</v>
      </c>
      <c r="X12" s="12">
        <v>190</v>
      </c>
      <c r="Y12" s="12">
        <v>297</v>
      </c>
      <c r="Z12" s="12">
        <v>75</v>
      </c>
      <c r="AA12" s="12">
        <v>82</v>
      </c>
      <c r="AB12" s="12">
        <v>105</v>
      </c>
      <c r="AC12" s="12">
        <v>142</v>
      </c>
      <c r="AD12" s="12">
        <v>130</v>
      </c>
      <c r="AE12" s="12">
        <v>132</v>
      </c>
      <c r="AF12" s="12">
        <v>275</v>
      </c>
    </row>
    <row r="13" spans="1:32">
      <c r="A13" s="23"/>
      <c r="B13" s="13" t="s">
        <v>708</v>
      </c>
      <c r="C13" s="14">
        <v>0.16</v>
      </c>
      <c r="D13" s="14">
        <v>0.2</v>
      </c>
      <c r="E13" s="14">
        <v>0.11</v>
      </c>
      <c r="F13" s="14">
        <v>0.21</v>
      </c>
      <c r="G13" s="14">
        <v>0.31</v>
      </c>
      <c r="H13" s="14">
        <v>0.1</v>
      </c>
      <c r="I13" s="14">
        <v>0.1</v>
      </c>
      <c r="J13" s="14">
        <v>0.12</v>
      </c>
      <c r="K13" s="14">
        <v>0.08</v>
      </c>
      <c r="L13" s="14">
        <v>0.11</v>
      </c>
      <c r="M13" s="14">
        <v>7.0000000000000007E-2</v>
      </c>
      <c r="N13" s="14">
        <v>0.26</v>
      </c>
      <c r="O13" s="14">
        <v>0.19</v>
      </c>
      <c r="P13" s="14">
        <v>0.14000000000000001</v>
      </c>
      <c r="Q13" s="14">
        <v>0.16</v>
      </c>
      <c r="R13" s="14">
        <v>0.13</v>
      </c>
      <c r="S13" s="14">
        <v>0.09</v>
      </c>
      <c r="T13" s="14">
        <v>0.06</v>
      </c>
      <c r="U13" s="14">
        <v>0.25</v>
      </c>
      <c r="V13" s="14">
        <v>0.09</v>
      </c>
      <c r="W13" s="14">
        <v>0.25</v>
      </c>
      <c r="X13" s="14">
        <v>0.19</v>
      </c>
      <c r="Y13" s="14">
        <v>0.3</v>
      </c>
      <c r="Z13" s="14">
        <v>7.0000000000000007E-2</v>
      </c>
      <c r="AA13" s="14">
        <v>0.08</v>
      </c>
      <c r="AB13" s="14">
        <v>0.1</v>
      </c>
      <c r="AC13" s="14">
        <v>0.14000000000000001</v>
      </c>
      <c r="AD13" s="14">
        <v>0.13</v>
      </c>
      <c r="AE13" s="14">
        <v>0.13</v>
      </c>
      <c r="AF13" s="14">
        <v>0.26</v>
      </c>
    </row>
    <row r="14" spans="1:32">
      <c r="A14" s="23"/>
      <c r="B14" s="11" t="s">
        <v>709</v>
      </c>
      <c r="C14" s="12">
        <v>11047</v>
      </c>
      <c r="D14" s="12">
        <v>522</v>
      </c>
      <c r="E14" s="12">
        <v>363</v>
      </c>
      <c r="F14" s="12">
        <v>527</v>
      </c>
      <c r="G14" s="12">
        <v>398</v>
      </c>
      <c r="H14" s="12">
        <v>485</v>
      </c>
      <c r="I14" s="12">
        <v>605</v>
      </c>
      <c r="J14" s="12">
        <v>121</v>
      </c>
      <c r="K14" s="12">
        <v>332</v>
      </c>
      <c r="L14" s="12">
        <v>326</v>
      </c>
      <c r="M14" s="12">
        <v>226</v>
      </c>
      <c r="N14" s="12">
        <v>455</v>
      </c>
      <c r="O14" s="12">
        <v>460</v>
      </c>
      <c r="P14" s="12">
        <v>431</v>
      </c>
      <c r="Q14" s="12">
        <v>389</v>
      </c>
      <c r="R14" s="12">
        <v>184</v>
      </c>
      <c r="S14" s="12">
        <v>310</v>
      </c>
      <c r="T14" s="12">
        <v>409</v>
      </c>
      <c r="U14" s="12">
        <v>236</v>
      </c>
      <c r="V14" s="12">
        <v>363</v>
      </c>
      <c r="W14" s="12">
        <v>235</v>
      </c>
      <c r="X14" s="12">
        <v>472</v>
      </c>
      <c r="Y14" s="12">
        <v>477</v>
      </c>
      <c r="Z14" s="12">
        <v>459</v>
      </c>
      <c r="AA14" s="12">
        <v>355</v>
      </c>
      <c r="AB14" s="12">
        <v>431</v>
      </c>
      <c r="AC14" s="12">
        <v>427</v>
      </c>
      <c r="AD14" s="12">
        <v>417</v>
      </c>
      <c r="AE14" s="12">
        <v>430</v>
      </c>
      <c r="AF14" s="12">
        <v>415</v>
      </c>
    </row>
    <row r="15" spans="1:32">
      <c r="A15" s="23"/>
      <c r="B15" s="13" t="s">
        <v>710</v>
      </c>
      <c r="C15" s="14">
        <v>0.42</v>
      </c>
      <c r="D15" s="14">
        <v>0.52</v>
      </c>
      <c r="E15" s="14">
        <v>0.35</v>
      </c>
      <c r="F15" s="14">
        <v>0.53</v>
      </c>
      <c r="G15" s="14">
        <v>0.39</v>
      </c>
      <c r="H15" s="14">
        <v>0.4</v>
      </c>
      <c r="I15" s="14">
        <v>0.4</v>
      </c>
      <c r="J15" s="14">
        <v>0.41</v>
      </c>
      <c r="K15" s="14">
        <v>0.33</v>
      </c>
      <c r="L15" s="14">
        <v>0.32</v>
      </c>
      <c r="M15" s="14">
        <v>0.22</v>
      </c>
      <c r="N15" s="14">
        <v>0.46</v>
      </c>
      <c r="O15" s="14">
        <v>0.46</v>
      </c>
      <c r="P15" s="14">
        <v>0.43</v>
      </c>
      <c r="Q15" s="14">
        <v>0.38</v>
      </c>
      <c r="R15" s="14">
        <v>0.37</v>
      </c>
      <c r="S15" s="14">
        <v>0.31</v>
      </c>
      <c r="T15" s="14">
        <v>0.41</v>
      </c>
      <c r="U15" s="14">
        <v>0.47</v>
      </c>
      <c r="V15" s="14">
        <v>0.36</v>
      </c>
      <c r="W15" s="14">
        <v>0.47</v>
      </c>
      <c r="X15" s="14">
        <v>0.46</v>
      </c>
      <c r="Y15" s="14">
        <v>0.47</v>
      </c>
      <c r="Z15" s="14">
        <v>0.45</v>
      </c>
      <c r="AA15" s="14">
        <v>0.34</v>
      </c>
      <c r="AB15" s="14">
        <v>0.42</v>
      </c>
      <c r="AC15" s="14">
        <v>0.43</v>
      </c>
      <c r="AD15" s="14">
        <v>0.41</v>
      </c>
      <c r="AE15" s="14">
        <v>0.43</v>
      </c>
      <c r="AF15" s="14">
        <v>0.39</v>
      </c>
    </row>
    <row r="16" spans="1:32">
      <c r="A16" s="23"/>
      <c r="B16" s="11" t="s">
        <v>711</v>
      </c>
      <c r="C16" s="12">
        <v>7371</v>
      </c>
      <c r="D16" s="12">
        <v>211</v>
      </c>
      <c r="E16" s="12">
        <v>346</v>
      </c>
      <c r="F16" s="12">
        <v>184</v>
      </c>
      <c r="G16" s="12">
        <v>188</v>
      </c>
      <c r="H16" s="12">
        <v>371</v>
      </c>
      <c r="I16" s="12">
        <v>469</v>
      </c>
      <c r="J16" s="12">
        <v>98</v>
      </c>
      <c r="K16" s="12">
        <v>359</v>
      </c>
      <c r="L16" s="12">
        <v>336</v>
      </c>
      <c r="M16" s="12">
        <v>373</v>
      </c>
      <c r="N16" s="12">
        <v>200</v>
      </c>
      <c r="O16" s="12">
        <v>242</v>
      </c>
      <c r="P16" s="12">
        <v>325</v>
      </c>
      <c r="Q16" s="12">
        <v>317</v>
      </c>
      <c r="R16" s="12">
        <v>144</v>
      </c>
      <c r="S16" s="12">
        <v>308</v>
      </c>
      <c r="T16" s="12">
        <v>347</v>
      </c>
      <c r="U16" s="12">
        <v>66</v>
      </c>
      <c r="V16" s="12">
        <v>355</v>
      </c>
      <c r="W16" s="12">
        <v>110</v>
      </c>
      <c r="X16" s="12">
        <v>271</v>
      </c>
      <c r="Y16" s="12">
        <v>126</v>
      </c>
      <c r="Z16" s="12">
        <v>322</v>
      </c>
      <c r="AA16" s="12">
        <v>348</v>
      </c>
      <c r="AB16" s="12">
        <v>356</v>
      </c>
      <c r="AC16" s="12">
        <v>292</v>
      </c>
      <c r="AD16" s="12">
        <v>360</v>
      </c>
      <c r="AE16" s="12">
        <v>315</v>
      </c>
      <c r="AF16" s="12">
        <v>253</v>
      </c>
    </row>
    <row r="17" spans="1:32">
      <c r="A17" s="23"/>
      <c r="B17" s="13" t="s">
        <v>712</v>
      </c>
      <c r="C17" s="14">
        <v>0.28000000000000003</v>
      </c>
      <c r="D17" s="14">
        <v>0.21</v>
      </c>
      <c r="E17" s="14">
        <v>0.33</v>
      </c>
      <c r="F17" s="14">
        <v>0.18</v>
      </c>
      <c r="G17" s="14">
        <v>0.19</v>
      </c>
      <c r="H17" s="14">
        <v>0.31</v>
      </c>
      <c r="I17" s="14">
        <v>0.31</v>
      </c>
      <c r="J17" s="14">
        <v>0.33</v>
      </c>
      <c r="K17" s="14">
        <v>0.36</v>
      </c>
      <c r="L17" s="14">
        <v>0.33</v>
      </c>
      <c r="M17" s="14">
        <v>0.37</v>
      </c>
      <c r="N17" s="14">
        <v>0.2</v>
      </c>
      <c r="O17" s="14">
        <v>0.24</v>
      </c>
      <c r="P17" s="14">
        <v>0.32</v>
      </c>
      <c r="Q17" s="14">
        <v>0.31</v>
      </c>
      <c r="R17" s="14">
        <v>0.28999999999999998</v>
      </c>
      <c r="S17" s="14">
        <v>0.31</v>
      </c>
      <c r="T17" s="14">
        <v>0.35</v>
      </c>
      <c r="U17" s="14">
        <v>0.13</v>
      </c>
      <c r="V17" s="14">
        <v>0.35</v>
      </c>
      <c r="W17" s="14">
        <v>0.22</v>
      </c>
      <c r="X17" s="14">
        <v>0.27</v>
      </c>
      <c r="Y17" s="14">
        <v>0.13</v>
      </c>
      <c r="Z17" s="14">
        <v>0.32</v>
      </c>
      <c r="AA17" s="14">
        <v>0.34</v>
      </c>
      <c r="AB17" s="14">
        <v>0.35</v>
      </c>
      <c r="AC17" s="14">
        <v>0.28999999999999998</v>
      </c>
      <c r="AD17" s="14">
        <v>0.36</v>
      </c>
      <c r="AE17" s="14">
        <v>0.31</v>
      </c>
      <c r="AF17" s="14">
        <v>0.23</v>
      </c>
    </row>
    <row r="18" spans="1:32">
      <c r="A18" s="23"/>
      <c r="B18" s="11" t="s">
        <v>713</v>
      </c>
      <c r="C18" s="12">
        <v>2776</v>
      </c>
      <c r="D18" s="12">
        <v>48</v>
      </c>
      <c r="E18" s="12">
        <v>155</v>
      </c>
      <c r="F18" s="12">
        <v>52</v>
      </c>
      <c r="G18" s="12">
        <v>68</v>
      </c>
      <c r="H18" s="12">
        <v>152</v>
      </c>
      <c r="I18" s="12">
        <v>179</v>
      </c>
      <c r="J18" s="12">
        <v>28</v>
      </c>
      <c r="K18" s="12">
        <v>168</v>
      </c>
      <c r="L18" s="12">
        <v>185</v>
      </c>
      <c r="M18" s="12">
        <v>313</v>
      </c>
      <c r="N18" s="12">
        <v>54</v>
      </c>
      <c r="O18" s="12">
        <v>81</v>
      </c>
      <c r="P18" s="12">
        <v>100</v>
      </c>
      <c r="Q18" s="12">
        <v>125</v>
      </c>
      <c r="R18" s="12">
        <v>87</v>
      </c>
      <c r="S18" s="12">
        <v>164</v>
      </c>
      <c r="T18" s="12">
        <v>122</v>
      </c>
      <c r="U18" s="12">
        <v>23</v>
      </c>
      <c r="V18" s="12">
        <v>172</v>
      </c>
      <c r="W18" s="12">
        <v>13</v>
      </c>
      <c r="X18" s="12">
        <v>59</v>
      </c>
      <c r="Y18" s="12">
        <v>54</v>
      </c>
      <c r="Z18" s="12">
        <v>124</v>
      </c>
      <c r="AA18" s="12">
        <v>191</v>
      </c>
      <c r="AB18" s="12">
        <v>114</v>
      </c>
      <c r="AC18" s="12">
        <v>102</v>
      </c>
      <c r="AD18" s="12">
        <v>67</v>
      </c>
      <c r="AE18" s="12">
        <v>88</v>
      </c>
      <c r="AF18" s="12">
        <v>91</v>
      </c>
    </row>
    <row r="19" spans="1:32">
      <c r="A19" s="23"/>
      <c r="B19" s="13" t="s">
        <v>714</v>
      </c>
      <c r="C19" s="14">
        <v>0.1</v>
      </c>
      <c r="D19" s="14">
        <v>0.05</v>
      </c>
      <c r="E19" s="14">
        <v>0.15</v>
      </c>
      <c r="F19" s="14">
        <v>0.05</v>
      </c>
      <c r="G19" s="14">
        <v>7.0000000000000007E-2</v>
      </c>
      <c r="H19" s="14">
        <v>0.12</v>
      </c>
      <c r="I19" s="14">
        <v>0.12</v>
      </c>
      <c r="J19" s="14">
        <v>0.09</v>
      </c>
      <c r="K19" s="14">
        <v>0.17</v>
      </c>
      <c r="L19" s="14">
        <v>0.18</v>
      </c>
      <c r="M19" s="14">
        <v>0.31</v>
      </c>
      <c r="N19" s="14">
        <v>0.05</v>
      </c>
      <c r="O19" s="14">
        <v>0.08</v>
      </c>
      <c r="P19" s="14">
        <v>0.1</v>
      </c>
      <c r="Q19" s="14">
        <v>0.12</v>
      </c>
      <c r="R19" s="14">
        <v>0.17</v>
      </c>
      <c r="S19" s="14">
        <v>0.16</v>
      </c>
      <c r="T19" s="14">
        <v>0.12</v>
      </c>
      <c r="U19" s="14">
        <v>0.05</v>
      </c>
      <c r="V19" s="14">
        <v>0.17</v>
      </c>
      <c r="W19" s="14">
        <v>0.03</v>
      </c>
      <c r="X19" s="14">
        <v>0.06</v>
      </c>
      <c r="Y19" s="14">
        <v>0.05</v>
      </c>
      <c r="Z19" s="14">
        <v>0.12</v>
      </c>
      <c r="AA19" s="14">
        <v>0.18</v>
      </c>
      <c r="AB19" s="14">
        <v>0.11</v>
      </c>
      <c r="AC19" s="14">
        <v>0.1</v>
      </c>
      <c r="AD19" s="14">
        <v>7.0000000000000007E-2</v>
      </c>
      <c r="AE19" s="14">
        <v>0.09</v>
      </c>
      <c r="AF19" s="14">
        <v>0.08</v>
      </c>
    </row>
    <row r="20" spans="1:32">
      <c r="A20" s="23"/>
      <c r="B20" s="11" t="s">
        <v>497</v>
      </c>
      <c r="C20" s="12">
        <v>1014</v>
      </c>
      <c r="D20" s="12">
        <v>17</v>
      </c>
      <c r="E20" s="12">
        <v>65</v>
      </c>
      <c r="F20" s="12">
        <v>33</v>
      </c>
      <c r="G20" s="12">
        <v>37</v>
      </c>
      <c r="H20" s="12">
        <v>86</v>
      </c>
      <c r="I20" s="12">
        <v>99</v>
      </c>
      <c r="J20" s="12">
        <v>14</v>
      </c>
      <c r="K20" s="12">
        <v>60</v>
      </c>
      <c r="L20" s="12">
        <v>54</v>
      </c>
      <c r="M20" s="12">
        <v>26</v>
      </c>
      <c r="N20" s="12">
        <v>27</v>
      </c>
      <c r="O20" s="12">
        <v>30</v>
      </c>
      <c r="P20" s="12">
        <v>9</v>
      </c>
      <c r="Q20" s="12">
        <v>25</v>
      </c>
      <c r="R20" s="12">
        <v>18</v>
      </c>
      <c r="S20" s="12">
        <v>128</v>
      </c>
      <c r="T20" s="12">
        <v>60</v>
      </c>
      <c r="U20" s="12">
        <v>52</v>
      </c>
      <c r="V20" s="12">
        <v>33</v>
      </c>
      <c r="W20" s="12">
        <v>16</v>
      </c>
      <c r="X20" s="12">
        <v>24</v>
      </c>
      <c r="Y20" s="12">
        <v>53</v>
      </c>
      <c r="Z20" s="12">
        <v>37</v>
      </c>
      <c r="AA20" s="12">
        <v>65</v>
      </c>
      <c r="AB20" s="12">
        <v>26</v>
      </c>
      <c r="AC20" s="12">
        <v>43</v>
      </c>
      <c r="AD20" s="12">
        <v>28</v>
      </c>
      <c r="AE20" s="12">
        <v>42</v>
      </c>
      <c r="AF20" s="12">
        <v>39</v>
      </c>
    </row>
    <row r="21" spans="1:32">
      <c r="A21" s="23"/>
      <c r="B21" s="13" t="s">
        <v>498</v>
      </c>
      <c r="C21" s="14">
        <v>0.04</v>
      </c>
      <c r="D21" s="14">
        <v>0.02</v>
      </c>
      <c r="E21" s="14">
        <v>0.06</v>
      </c>
      <c r="F21" s="14">
        <v>0.03</v>
      </c>
      <c r="G21" s="14">
        <v>0.04</v>
      </c>
      <c r="H21" s="14">
        <v>7.0000000000000007E-2</v>
      </c>
      <c r="I21" s="14">
        <v>7.0000000000000007E-2</v>
      </c>
      <c r="J21" s="14">
        <v>0.05</v>
      </c>
      <c r="K21" s="14">
        <v>0.06</v>
      </c>
      <c r="L21" s="14">
        <v>0.06</v>
      </c>
      <c r="M21" s="14">
        <v>0.03</v>
      </c>
      <c r="N21" s="14">
        <v>0.03</v>
      </c>
      <c r="O21" s="14">
        <v>0.03</v>
      </c>
      <c r="P21" s="14">
        <v>0.01</v>
      </c>
      <c r="Q21" s="14">
        <v>0.03</v>
      </c>
      <c r="R21" s="14">
        <v>0.04</v>
      </c>
      <c r="S21" s="14">
        <v>0.13</v>
      </c>
      <c r="T21" s="14">
        <v>0.06</v>
      </c>
      <c r="U21" s="14">
        <v>0.1</v>
      </c>
      <c r="V21" s="14">
        <v>0.03</v>
      </c>
      <c r="W21" s="14">
        <v>0.03</v>
      </c>
      <c r="X21" s="14">
        <v>0.02</v>
      </c>
      <c r="Y21" s="14">
        <v>0.05</v>
      </c>
      <c r="Z21" s="14">
        <v>0.04</v>
      </c>
      <c r="AA21" s="14">
        <v>0.06</v>
      </c>
      <c r="AB21" s="14">
        <v>0.02</v>
      </c>
      <c r="AC21" s="14">
        <v>0.04</v>
      </c>
      <c r="AD21" s="14">
        <v>0.03</v>
      </c>
      <c r="AE21" s="14">
        <v>0.04</v>
      </c>
      <c r="AF21" s="14">
        <v>0.04</v>
      </c>
    </row>
    <row r="22" spans="1:32">
      <c r="A22" s="23"/>
      <c r="B22" s="11" t="s">
        <v>715</v>
      </c>
      <c r="C22" s="12">
        <v>15194</v>
      </c>
      <c r="D22" s="12">
        <v>730</v>
      </c>
      <c r="E22" s="12">
        <v>478</v>
      </c>
      <c r="F22" s="12">
        <v>738</v>
      </c>
      <c r="G22" s="12">
        <v>709</v>
      </c>
      <c r="H22" s="12">
        <v>603</v>
      </c>
      <c r="I22" s="12">
        <v>757</v>
      </c>
      <c r="J22" s="12">
        <v>155</v>
      </c>
      <c r="K22" s="12">
        <v>417</v>
      </c>
      <c r="L22" s="12">
        <v>432</v>
      </c>
      <c r="M22" s="12">
        <v>299</v>
      </c>
      <c r="N22" s="12">
        <v>719</v>
      </c>
      <c r="O22" s="12">
        <v>653</v>
      </c>
      <c r="P22" s="12">
        <v>578</v>
      </c>
      <c r="Q22" s="12">
        <v>557</v>
      </c>
      <c r="R22" s="12">
        <v>252</v>
      </c>
      <c r="S22" s="12">
        <v>406</v>
      </c>
      <c r="T22" s="12">
        <v>474</v>
      </c>
      <c r="U22" s="12">
        <v>362</v>
      </c>
      <c r="V22" s="12">
        <v>451</v>
      </c>
      <c r="W22" s="12">
        <v>363</v>
      </c>
      <c r="X22" s="12">
        <v>662</v>
      </c>
      <c r="Y22" s="12">
        <v>774</v>
      </c>
      <c r="Z22" s="12">
        <v>534</v>
      </c>
      <c r="AA22" s="12">
        <v>437</v>
      </c>
      <c r="AB22" s="12">
        <v>536</v>
      </c>
      <c r="AC22" s="12">
        <v>569</v>
      </c>
      <c r="AD22" s="12">
        <v>547</v>
      </c>
      <c r="AE22" s="12">
        <v>562</v>
      </c>
      <c r="AF22" s="12">
        <v>690</v>
      </c>
    </row>
    <row r="23" spans="1:32">
      <c r="A23" s="23"/>
      <c r="B23" s="13" t="s">
        <v>716</v>
      </c>
      <c r="C23" s="14">
        <v>0.57999999999999996</v>
      </c>
      <c r="D23" s="14">
        <v>0.72</v>
      </c>
      <c r="E23" s="14">
        <v>0.46</v>
      </c>
      <c r="F23" s="14">
        <v>0.74</v>
      </c>
      <c r="G23" s="14">
        <v>0.70000000000000007</v>
      </c>
      <c r="H23" s="14">
        <v>0.5</v>
      </c>
      <c r="I23" s="14">
        <v>0.5</v>
      </c>
      <c r="J23" s="14">
        <v>0.53</v>
      </c>
      <c r="K23" s="14">
        <v>0.41</v>
      </c>
      <c r="L23" s="14">
        <v>0.43</v>
      </c>
      <c r="M23" s="14">
        <v>0.28999999999999998</v>
      </c>
      <c r="N23" s="14">
        <v>0.72</v>
      </c>
      <c r="O23" s="14">
        <v>0.65</v>
      </c>
      <c r="P23" s="14">
        <v>0.57000000000000006</v>
      </c>
      <c r="Q23" s="14">
        <v>0.54</v>
      </c>
      <c r="R23" s="14">
        <v>0.5</v>
      </c>
      <c r="S23" s="14">
        <v>0.4</v>
      </c>
      <c r="T23" s="14">
        <v>0.47</v>
      </c>
      <c r="U23" s="14">
        <v>0.72</v>
      </c>
      <c r="V23" s="14">
        <v>0.45</v>
      </c>
      <c r="W23" s="14">
        <v>0.72</v>
      </c>
      <c r="X23" s="14">
        <v>0.65</v>
      </c>
      <c r="Y23" s="14">
        <v>0.77</v>
      </c>
      <c r="Z23" s="14">
        <v>0.52</v>
      </c>
      <c r="AA23" s="14">
        <v>0.42</v>
      </c>
      <c r="AB23" s="14">
        <v>0.52</v>
      </c>
      <c r="AC23" s="14">
        <v>0.57000000000000006</v>
      </c>
      <c r="AD23" s="14">
        <v>0.54</v>
      </c>
      <c r="AE23" s="14">
        <v>0.56000000000000005</v>
      </c>
      <c r="AF23" s="14">
        <v>0.65</v>
      </c>
    </row>
    <row r="24" spans="1:32">
      <c r="A24" s="23"/>
      <c r="B24" s="11" t="s">
        <v>717</v>
      </c>
      <c r="C24" s="12">
        <v>10147</v>
      </c>
      <c r="D24" s="12">
        <v>259</v>
      </c>
      <c r="E24" s="12">
        <v>501</v>
      </c>
      <c r="F24" s="12">
        <v>236</v>
      </c>
      <c r="G24" s="12">
        <v>256</v>
      </c>
      <c r="H24" s="12">
        <v>523</v>
      </c>
      <c r="I24" s="12">
        <v>648</v>
      </c>
      <c r="J24" s="12">
        <v>126</v>
      </c>
      <c r="K24" s="12">
        <v>527</v>
      </c>
      <c r="L24" s="12">
        <v>521</v>
      </c>
      <c r="M24" s="12">
        <v>686</v>
      </c>
      <c r="N24" s="12">
        <v>254</v>
      </c>
      <c r="O24" s="12">
        <v>323</v>
      </c>
      <c r="P24" s="12">
        <v>425</v>
      </c>
      <c r="Q24" s="12">
        <v>442</v>
      </c>
      <c r="R24" s="12">
        <v>231</v>
      </c>
      <c r="S24" s="12">
        <v>472</v>
      </c>
      <c r="T24" s="12">
        <v>469</v>
      </c>
      <c r="U24" s="12">
        <v>89</v>
      </c>
      <c r="V24" s="12">
        <v>527</v>
      </c>
      <c r="W24" s="12">
        <v>123</v>
      </c>
      <c r="X24" s="12">
        <v>330</v>
      </c>
      <c r="Y24" s="12">
        <v>180</v>
      </c>
      <c r="Z24" s="12">
        <v>446</v>
      </c>
      <c r="AA24" s="12">
        <v>539</v>
      </c>
      <c r="AB24" s="12">
        <v>470</v>
      </c>
      <c r="AC24" s="12">
        <v>394</v>
      </c>
      <c r="AD24" s="12">
        <v>427</v>
      </c>
      <c r="AE24" s="12">
        <v>403</v>
      </c>
      <c r="AF24" s="12">
        <v>344</v>
      </c>
    </row>
    <row r="25" spans="1:32">
      <c r="A25" s="23"/>
      <c r="B25" s="13" t="s">
        <v>718</v>
      </c>
      <c r="C25" s="14">
        <v>0.38</v>
      </c>
      <c r="D25" s="14">
        <v>0.26</v>
      </c>
      <c r="E25" s="14">
        <v>0.48</v>
      </c>
      <c r="F25" s="14">
        <v>0.23</v>
      </c>
      <c r="G25" s="14">
        <v>0.26</v>
      </c>
      <c r="H25" s="14">
        <v>0.43</v>
      </c>
      <c r="I25" s="14">
        <v>0.43</v>
      </c>
      <c r="J25" s="14">
        <v>0.42</v>
      </c>
      <c r="K25" s="14">
        <v>0.53</v>
      </c>
      <c r="L25" s="14">
        <v>0.51</v>
      </c>
      <c r="M25" s="14">
        <v>0.68</v>
      </c>
      <c r="N25" s="14">
        <v>0.25</v>
      </c>
      <c r="O25" s="14">
        <v>0.32</v>
      </c>
      <c r="P25" s="14">
        <v>0.42</v>
      </c>
      <c r="Q25" s="14">
        <v>0.43</v>
      </c>
      <c r="R25" s="14">
        <v>0.46</v>
      </c>
      <c r="S25" s="14">
        <v>0.47</v>
      </c>
      <c r="T25" s="14">
        <v>0.47</v>
      </c>
      <c r="U25" s="14">
        <v>0.18</v>
      </c>
      <c r="V25" s="14">
        <v>0.52</v>
      </c>
      <c r="W25" s="14">
        <v>0.25</v>
      </c>
      <c r="X25" s="14">
        <v>0.33</v>
      </c>
      <c r="Y25" s="14">
        <v>0.18</v>
      </c>
      <c r="Z25" s="14">
        <v>0.44</v>
      </c>
      <c r="AA25" s="14">
        <v>0.52</v>
      </c>
      <c r="AB25" s="14">
        <v>0.46</v>
      </c>
      <c r="AC25" s="14">
        <v>0.39</v>
      </c>
      <c r="AD25" s="14">
        <v>0.43</v>
      </c>
      <c r="AE25" s="14">
        <v>0.4</v>
      </c>
      <c r="AF25" s="14">
        <v>0.31</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1097</v>
      </c>
      <c r="C3" s="19"/>
      <c r="D3" s="19"/>
      <c r="E3" s="19"/>
      <c r="F3" s="19"/>
      <c r="H3" s="19" t="s">
        <v>1098</v>
      </c>
      <c r="I3" s="19"/>
      <c r="J3" s="19"/>
      <c r="K3" s="19"/>
      <c r="L3" s="19"/>
    </row>
    <row r="4" spans="1:32" ht="27" customHeight="1">
      <c r="B4" s="19" t="s">
        <v>1099</v>
      </c>
      <c r="C4" s="19"/>
      <c r="D4" s="19"/>
      <c r="E4" s="19"/>
      <c r="F4" s="19"/>
      <c r="H4" s="19" t="s">
        <v>1100</v>
      </c>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HYPERLINK("#Content!A89","&lt;&lt;Back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1037</v>
      </c>
      <c r="C12" s="12">
        <v>13263</v>
      </c>
      <c r="D12" s="12">
        <v>488</v>
      </c>
      <c r="E12" s="12">
        <v>587</v>
      </c>
      <c r="F12" s="12">
        <v>426</v>
      </c>
      <c r="G12" s="12">
        <v>591</v>
      </c>
      <c r="H12" s="12">
        <v>548</v>
      </c>
      <c r="I12" s="12">
        <v>665</v>
      </c>
      <c r="J12" s="12">
        <v>118</v>
      </c>
      <c r="K12" s="12">
        <v>522</v>
      </c>
      <c r="L12" s="12">
        <v>749</v>
      </c>
      <c r="M12" s="12">
        <v>619</v>
      </c>
      <c r="N12" s="12">
        <v>653</v>
      </c>
      <c r="O12" s="12">
        <v>578</v>
      </c>
      <c r="P12" s="12">
        <v>500</v>
      </c>
      <c r="Q12" s="12">
        <v>418</v>
      </c>
      <c r="R12" s="12">
        <v>378</v>
      </c>
      <c r="S12" s="12">
        <v>553</v>
      </c>
      <c r="T12" s="12">
        <v>669</v>
      </c>
      <c r="U12" s="12">
        <v>361</v>
      </c>
      <c r="V12" s="12">
        <v>505</v>
      </c>
      <c r="W12" s="12">
        <v>369</v>
      </c>
      <c r="X12" s="12">
        <v>492</v>
      </c>
      <c r="Y12" s="12">
        <v>536</v>
      </c>
      <c r="Z12" s="12">
        <v>400</v>
      </c>
      <c r="AA12" s="12">
        <v>480</v>
      </c>
      <c r="AB12" s="12">
        <v>359</v>
      </c>
      <c r="AC12" s="12">
        <v>562</v>
      </c>
      <c r="AD12" s="12">
        <v>544</v>
      </c>
      <c r="AE12" s="12">
        <v>670</v>
      </c>
      <c r="AF12" s="12">
        <v>750</v>
      </c>
    </row>
    <row r="13" spans="1:32">
      <c r="A13" s="23"/>
      <c r="B13" s="13" t="s">
        <v>1038</v>
      </c>
      <c r="C13" s="14">
        <v>0.5</v>
      </c>
      <c r="D13" s="14">
        <v>0.49</v>
      </c>
      <c r="E13" s="14">
        <v>0.56000000000000005</v>
      </c>
      <c r="F13" s="14">
        <v>0.42</v>
      </c>
      <c r="G13" s="14">
        <v>0.59</v>
      </c>
      <c r="H13" s="14">
        <v>0.45</v>
      </c>
      <c r="I13" s="14">
        <v>0.44</v>
      </c>
      <c r="J13" s="14">
        <v>0.4</v>
      </c>
      <c r="K13" s="14">
        <v>0.52</v>
      </c>
      <c r="L13" s="14">
        <v>0.74</v>
      </c>
      <c r="M13" s="14">
        <v>0.61</v>
      </c>
      <c r="N13" s="14">
        <v>0.65</v>
      </c>
      <c r="O13" s="14">
        <v>0.57000000000000006</v>
      </c>
      <c r="P13" s="14">
        <v>0.49</v>
      </c>
      <c r="Q13" s="14">
        <v>0.41</v>
      </c>
      <c r="R13" s="14">
        <v>0.75</v>
      </c>
      <c r="S13" s="14">
        <v>0.55000000000000004</v>
      </c>
      <c r="T13" s="14">
        <v>0.67</v>
      </c>
      <c r="U13" s="14">
        <v>0.72</v>
      </c>
      <c r="V13" s="14">
        <v>0.5</v>
      </c>
      <c r="W13" s="14">
        <v>0.73</v>
      </c>
      <c r="X13" s="14">
        <v>0.48</v>
      </c>
      <c r="Y13" s="14">
        <v>0.53</v>
      </c>
      <c r="Z13" s="14">
        <v>0.39</v>
      </c>
      <c r="AA13" s="14">
        <v>0.46</v>
      </c>
      <c r="AB13" s="14">
        <v>0.35</v>
      </c>
      <c r="AC13" s="14">
        <v>0.56000000000000005</v>
      </c>
      <c r="AD13" s="14">
        <v>0.54</v>
      </c>
      <c r="AE13" s="14">
        <v>0.67</v>
      </c>
      <c r="AF13" s="14">
        <v>0.70000000000000007</v>
      </c>
    </row>
    <row r="14" spans="1:32">
      <c r="A14" s="23"/>
      <c r="B14" s="11" t="s">
        <v>1039</v>
      </c>
      <c r="C14" s="12">
        <v>9402</v>
      </c>
      <c r="D14" s="12">
        <v>387</v>
      </c>
      <c r="E14" s="12">
        <v>335</v>
      </c>
      <c r="F14" s="12">
        <v>416</v>
      </c>
      <c r="G14" s="12">
        <v>286</v>
      </c>
      <c r="H14" s="12">
        <v>477</v>
      </c>
      <c r="I14" s="12">
        <v>600</v>
      </c>
      <c r="J14" s="12">
        <v>123</v>
      </c>
      <c r="K14" s="12">
        <v>280</v>
      </c>
      <c r="L14" s="12">
        <v>198</v>
      </c>
      <c r="M14" s="12">
        <v>318</v>
      </c>
      <c r="N14" s="12">
        <v>229</v>
      </c>
      <c r="O14" s="12">
        <v>299</v>
      </c>
      <c r="P14" s="12">
        <v>396</v>
      </c>
      <c r="Q14" s="12">
        <v>474</v>
      </c>
      <c r="R14" s="12">
        <v>85</v>
      </c>
      <c r="S14" s="12">
        <v>312</v>
      </c>
      <c r="T14" s="12">
        <v>241</v>
      </c>
      <c r="U14" s="12">
        <v>98</v>
      </c>
      <c r="V14" s="12">
        <v>386</v>
      </c>
      <c r="W14" s="12">
        <v>107</v>
      </c>
      <c r="X14" s="12">
        <v>332</v>
      </c>
      <c r="Y14" s="12">
        <v>360</v>
      </c>
      <c r="Z14" s="12">
        <v>423</v>
      </c>
      <c r="AA14" s="12">
        <v>392</v>
      </c>
      <c r="AB14" s="12">
        <v>466</v>
      </c>
      <c r="AC14" s="12">
        <v>338</v>
      </c>
      <c r="AD14" s="12">
        <v>361</v>
      </c>
      <c r="AE14" s="12">
        <v>253</v>
      </c>
      <c r="AF14" s="12">
        <v>238</v>
      </c>
    </row>
    <row r="15" spans="1:32">
      <c r="A15" s="23"/>
      <c r="B15" s="13" t="s">
        <v>1040</v>
      </c>
      <c r="C15" s="14">
        <v>0.36</v>
      </c>
      <c r="D15" s="14">
        <v>0.38</v>
      </c>
      <c r="E15" s="14">
        <v>0.32</v>
      </c>
      <c r="F15" s="14">
        <v>0.41</v>
      </c>
      <c r="G15" s="14">
        <v>0.28000000000000003</v>
      </c>
      <c r="H15" s="14">
        <v>0.39</v>
      </c>
      <c r="I15" s="14">
        <v>0.4</v>
      </c>
      <c r="J15" s="14">
        <v>0.42</v>
      </c>
      <c r="K15" s="14">
        <v>0.28000000000000003</v>
      </c>
      <c r="L15" s="14">
        <v>0.2</v>
      </c>
      <c r="M15" s="14">
        <v>0.32</v>
      </c>
      <c r="N15" s="14">
        <v>0.23</v>
      </c>
      <c r="O15" s="14">
        <v>0.3</v>
      </c>
      <c r="P15" s="14">
        <v>0.39</v>
      </c>
      <c r="Q15" s="14">
        <v>0.46</v>
      </c>
      <c r="R15" s="14">
        <v>0.17</v>
      </c>
      <c r="S15" s="14">
        <v>0.31</v>
      </c>
      <c r="T15" s="14">
        <v>0.24</v>
      </c>
      <c r="U15" s="14">
        <v>0.19</v>
      </c>
      <c r="V15" s="14">
        <v>0.38</v>
      </c>
      <c r="W15" s="14">
        <v>0.21</v>
      </c>
      <c r="X15" s="14">
        <v>0.33</v>
      </c>
      <c r="Y15" s="14">
        <v>0.36</v>
      </c>
      <c r="Z15" s="14">
        <v>0.42</v>
      </c>
      <c r="AA15" s="14">
        <v>0.38</v>
      </c>
      <c r="AB15" s="14">
        <v>0.45</v>
      </c>
      <c r="AC15" s="14">
        <v>0.34</v>
      </c>
      <c r="AD15" s="14">
        <v>0.36</v>
      </c>
      <c r="AE15" s="14">
        <v>0.25</v>
      </c>
      <c r="AF15" s="14">
        <v>0.22</v>
      </c>
    </row>
    <row r="16" spans="1:32">
      <c r="A16" s="23"/>
      <c r="B16" s="11" t="s">
        <v>1041</v>
      </c>
      <c r="C16" s="12">
        <v>2461</v>
      </c>
      <c r="D16" s="12">
        <v>104</v>
      </c>
      <c r="E16" s="12">
        <v>75</v>
      </c>
      <c r="F16" s="12">
        <v>110</v>
      </c>
      <c r="G16" s="12">
        <v>68</v>
      </c>
      <c r="H16" s="12">
        <v>102</v>
      </c>
      <c r="I16" s="12">
        <v>141</v>
      </c>
      <c r="J16" s="12">
        <v>39</v>
      </c>
      <c r="K16" s="12">
        <v>121</v>
      </c>
      <c r="L16" s="12">
        <v>36</v>
      </c>
      <c r="M16" s="12">
        <v>51</v>
      </c>
      <c r="N16" s="12">
        <v>74</v>
      </c>
      <c r="O16" s="12">
        <v>81</v>
      </c>
      <c r="P16" s="12">
        <v>87</v>
      </c>
      <c r="Q16" s="12">
        <v>102</v>
      </c>
      <c r="R16" s="12">
        <v>29</v>
      </c>
      <c r="S16" s="12">
        <v>78</v>
      </c>
      <c r="T16" s="12">
        <v>66</v>
      </c>
      <c r="U16" s="12">
        <v>27</v>
      </c>
      <c r="V16" s="12">
        <v>101</v>
      </c>
      <c r="W16" s="12">
        <v>20</v>
      </c>
      <c r="X16" s="12">
        <v>114</v>
      </c>
      <c r="Y16" s="12">
        <v>78</v>
      </c>
      <c r="Z16" s="12">
        <v>141</v>
      </c>
      <c r="AA16" s="12">
        <v>115</v>
      </c>
      <c r="AB16" s="12">
        <v>155</v>
      </c>
      <c r="AC16" s="12">
        <v>69</v>
      </c>
      <c r="AD16" s="12">
        <v>77</v>
      </c>
      <c r="AE16" s="12">
        <v>60</v>
      </c>
      <c r="AF16" s="12">
        <v>48</v>
      </c>
    </row>
    <row r="17" spans="1:32">
      <c r="A17" s="23"/>
      <c r="B17" s="13" t="s">
        <v>1042</v>
      </c>
      <c r="C17" s="14">
        <v>0.09</v>
      </c>
      <c r="D17" s="14">
        <v>0.1</v>
      </c>
      <c r="E17" s="14">
        <v>7.0000000000000007E-2</v>
      </c>
      <c r="F17" s="14">
        <v>0.11</v>
      </c>
      <c r="G17" s="14">
        <v>7.0000000000000007E-2</v>
      </c>
      <c r="H17" s="14">
        <v>0.09</v>
      </c>
      <c r="I17" s="14">
        <v>0.1</v>
      </c>
      <c r="J17" s="14">
        <v>0.13</v>
      </c>
      <c r="K17" s="14">
        <v>0.12</v>
      </c>
      <c r="L17" s="14">
        <v>0.04</v>
      </c>
      <c r="M17" s="14">
        <v>0.05</v>
      </c>
      <c r="N17" s="14">
        <v>7.0000000000000007E-2</v>
      </c>
      <c r="O17" s="14">
        <v>0.08</v>
      </c>
      <c r="P17" s="14">
        <v>0.09</v>
      </c>
      <c r="Q17" s="14">
        <v>0.1</v>
      </c>
      <c r="R17" s="14">
        <v>0.06</v>
      </c>
      <c r="S17" s="14">
        <v>0.08</v>
      </c>
      <c r="T17" s="14">
        <v>0.06</v>
      </c>
      <c r="U17" s="14">
        <v>0.05</v>
      </c>
      <c r="V17" s="14">
        <v>0.1</v>
      </c>
      <c r="W17" s="14">
        <v>0.04</v>
      </c>
      <c r="X17" s="14">
        <v>0.11</v>
      </c>
      <c r="Y17" s="14">
        <v>0.08</v>
      </c>
      <c r="Z17" s="14">
        <v>0.14000000000000001</v>
      </c>
      <c r="AA17" s="14">
        <v>0.11</v>
      </c>
      <c r="AB17" s="14">
        <v>0.15</v>
      </c>
      <c r="AC17" s="14">
        <v>7.0000000000000007E-2</v>
      </c>
      <c r="AD17" s="14">
        <v>0.08</v>
      </c>
      <c r="AE17" s="14">
        <v>0.06</v>
      </c>
      <c r="AF17" s="14">
        <v>0.04</v>
      </c>
    </row>
    <row r="18" spans="1:32">
      <c r="A18" s="23"/>
      <c r="B18" s="11" t="s">
        <v>1043</v>
      </c>
      <c r="C18" s="12">
        <v>622</v>
      </c>
      <c r="D18" s="12">
        <v>12</v>
      </c>
      <c r="E18" s="12">
        <v>8</v>
      </c>
      <c r="F18" s="12">
        <v>27</v>
      </c>
      <c r="G18" s="12">
        <v>16</v>
      </c>
      <c r="H18" s="12">
        <v>39</v>
      </c>
      <c r="I18" s="12">
        <v>47</v>
      </c>
      <c r="J18" s="12">
        <v>8</v>
      </c>
      <c r="K18" s="12">
        <v>32</v>
      </c>
      <c r="L18" s="12">
        <v>9</v>
      </c>
      <c r="M18" s="12">
        <v>13</v>
      </c>
      <c r="N18" s="12">
        <v>11</v>
      </c>
      <c r="O18" s="12">
        <v>28</v>
      </c>
      <c r="P18" s="12">
        <v>20</v>
      </c>
      <c r="Q18" s="12">
        <v>10</v>
      </c>
      <c r="R18" s="12">
        <v>9</v>
      </c>
      <c r="S18" s="12">
        <v>20</v>
      </c>
      <c r="T18" s="12">
        <v>9</v>
      </c>
      <c r="U18" s="12">
        <v>3</v>
      </c>
      <c r="V18" s="12">
        <v>8</v>
      </c>
      <c r="W18" s="12">
        <v>3</v>
      </c>
      <c r="X18" s="12">
        <v>72</v>
      </c>
      <c r="Y18" s="12">
        <v>14</v>
      </c>
      <c r="Z18" s="12">
        <v>32</v>
      </c>
      <c r="AA18" s="12">
        <v>43</v>
      </c>
      <c r="AB18" s="12">
        <v>29</v>
      </c>
      <c r="AC18" s="12">
        <v>22</v>
      </c>
      <c r="AD18" s="12">
        <v>13</v>
      </c>
      <c r="AE18" s="12">
        <v>14</v>
      </c>
      <c r="AF18" s="12">
        <v>30</v>
      </c>
    </row>
    <row r="19" spans="1:32">
      <c r="A19" s="23"/>
      <c r="B19" s="13" t="s">
        <v>1044</v>
      </c>
      <c r="C19" s="14">
        <v>0.03</v>
      </c>
      <c r="D19" s="14">
        <v>0.01</v>
      </c>
      <c r="E19" s="14">
        <v>0.01</v>
      </c>
      <c r="F19" s="14">
        <v>0.03</v>
      </c>
      <c r="G19" s="14">
        <v>0.02</v>
      </c>
      <c r="H19" s="14">
        <v>0.03</v>
      </c>
      <c r="I19" s="14">
        <v>0.03</v>
      </c>
      <c r="J19" s="14">
        <v>0.03</v>
      </c>
      <c r="K19" s="14">
        <v>0.03</v>
      </c>
      <c r="L19" s="14">
        <v>0.01</v>
      </c>
      <c r="M19" s="14">
        <v>0.01</v>
      </c>
      <c r="N19" s="14">
        <v>0.01</v>
      </c>
      <c r="O19" s="14">
        <v>0.03</v>
      </c>
      <c r="P19" s="14">
        <v>0.02</v>
      </c>
      <c r="Q19" s="14">
        <v>0.01</v>
      </c>
      <c r="R19" s="14">
        <v>0.02</v>
      </c>
      <c r="S19" s="14">
        <v>0.02</v>
      </c>
      <c r="T19" s="14">
        <v>0.01</v>
      </c>
      <c r="U19" s="14">
        <v>0.01</v>
      </c>
      <c r="V19" s="14">
        <v>0.01</v>
      </c>
      <c r="W19" s="14">
        <v>0.01</v>
      </c>
      <c r="X19" s="14">
        <v>7.0000000000000007E-2</v>
      </c>
      <c r="Y19" s="14">
        <v>0.01</v>
      </c>
      <c r="Z19" s="14">
        <v>0.03</v>
      </c>
      <c r="AA19" s="14">
        <v>0.04</v>
      </c>
      <c r="AB19" s="14">
        <v>0.03</v>
      </c>
      <c r="AC19" s="14">
        <v>0.02</v>
      </c>
      <c r="AD19" s="14">
        <v>0.01</v>
      </c>
      <c r="AE19" s="14">
        <v>0.01</v>
      </c>
      <c r="AF19" s="14">
        <v>0.03</v>
      </c>
    </row>
    <row r="20" spans="1:32">
      <c r="A20" s="23"/>
      <c r="B20" s="11" t="s">
        <v>497</v>
      </c>
      <c r="C20" s="12">
        <v>606</v>
      </c>
      <c r="D20" s="12">
        <v>16</v>
      </c>
      <c r="E20" s="12">
        <v>39</v>
      </c>
      <c r="F20" s="12">
        <v>28</v>
      </c>
      <c r="G20" s="12">
        <v>41</v>
      </c>
      <c r="H20" s="12">
        <v>44</v>
      </c>
      <c r="I20" s="12">
        <v>50</v>
      </c>
      <c r="J20" s="12">
        <v>6</v>
      </c>
      <c r="K20" s="12">
        <v>49</v>
      </c>
      <c r="L20" s="12">
        <v>15</v>
      </c>
      <c r="M20" s="12">
        <v>10</v>
      </c>
      <c r="N20" s="12">
        <v>34</v>
      </c>
      <c r="O20" s="12">
        <v>20</v>
      </c>
      <c r="P20" s="12">
        <v>8</v>
      </c>
      <c r="Q20" s="12">
        <v>20</v>
      </c>
      <c r="R20" s="12">
        <v>0</v>
      </c>
      <c r="S20" s="12">
        <v>42</v>
      </c>
      <c r="T20" s="12">
        <v>18</v>
      </c>
      <c r="U20" s="12">
        <v>15</v>
      </c>
      <c r="V20" s="12">
        <v>11</v>
      </c>
      <c r="W20" s="12">
        <v>4</v>
      </c>
      <c r="X20" s="12">
        <v>6</v>
      </c>
      <c r="Y20" s="12">
        <v>21</v>
      </c>
      <c r="Z20" s="12">
        <v>22</v>
      </c>
      <c r="AA20" s="12">
        <v>11</v>
      </c>
      <c r="AB20" s="12">
        <v>23</v>
      </c>
      <c r="AC20" s="12">
        <v>14</v>
      </c>
      <c r="AD20" s="12">
        <v>7</v>
      </c>
      <c r="AE20" s="12">
        <v>11</v>
      </c>
      <c r="AF20" s="12">
        <v>7</v>
      </c>
    </row>
    <row r="21" spans="1:32">
      <c r="A21" s="23"/>
      <c r="B21" s="13" t="s">
        <v>498</v>
      </c>
      <c r="C21" s="14">
        <v>0.02</v>
      </c>
      <c r="D21" s="14">
        <v>0.02</v>
      </c>
      <c r="E21" s="14">
        <v>0.04</v>
      </c>
      <c r="F21" s="14">
        <v>0.03</v>
      </c>
      <c r="G21" s="14">
        <v>0.04</v>
      </c>
      <c r="H21" s="14">
        <v>0.04</v>
      </c>
      <c r="I21" s="14">
        <v>0.03</v>
      </c>
      <c r="J21" s="14">
        <v>0.02</v>
      </c>
      <c r="K21" s="14">
        <v>0.05</v>
      </c>
      <c r="L21" s="14">
        <v>0.01</v>
      </c>
      <c r="M21" s="14">
        <v>0.01</v>
      </c>
      <c r="N21" s="14">
        <v>0.04</v>
      </c>
      <c r="O21" s="14">
        <v>0.02</v>
      </c>
      <c r="P21" s="14">
        <v>0.01</v>
      </c>
      <c r="Q21" s="14">
        <v>0.02</v>
      </c>
      <c r="R21" s="15" t="s">
        <v>485</v>
      </c>
      <c r="S21" s="14">
        <v>0.04</v>
      </c>
      <c r="T21" s="14">
        <v>0.02</v>
      </c>
      <c r="U21" s="14">
        <v>0.03</v>
      </c>
      <c r="V21" s="14">
        <v>0.01</v>
      </c>
      <c r="W21" s="14">
        <v>0.01</v>
      </c>
      <c r="X21" s="14">
        <v>0.01</v>
      </c>
      <c r="Y21" s="14">
        <v>0.02</v>
      </c>
      <c r="Z21" s="14">
        <v>0.02</v>
      </c>
      <c r="AA21" s="14">
        <v>0.01</v>
      </c>
      <c r="AB21" s="14">
        <v>0.02</v>
      </c>
      <c r="AC21" s="14">
        <v>0.01</v>
      </c>
      <c r="AD21" s="14">
        <v>0.01</v>
      </c>
      <c r="AE21" s="14">
        <v>0.01</v>
      </c>
      <c r="AF21" s="14">
        <v>0.01</v>
      </c>
    </row>
    <row r="22" spans="1:32">
      <c r="A22" s="23"/>
      <c r="B22" s="11" t="s">
        <v>1045</v>
      </c>
      <c r="C22" s="12">
        <v>22665</v>
      </c>
      <c r="D22" s="12">
        <v>875</v>
      </c>
      <c r="E22" s="12">
        <v>922</v>
      </c>
      <c r="F22" s="12">
        <v>842</v>
      </c>
      <c r="G22" s="12">
        <v>877</v>
      </c>
      <c r="H22" s="12">
        <v>1025</v>
      </c>
      <c r="I22" s="12">
        <v>1265</v>
      </c>
      <c r="J22" s="12">
        <v>241</v>
      </c>
      <c r="K22" s="12">
        <v>802</v>
      </c>
      <c r="L22" s="12">
        <v>947</v>
      </c>
      <c r="M22" s="12">
        <v>937</v>
      </c>
      <c r="N22" s="12">
        <v>882</v>
      </c>
      <c r="O22" s="12">
        <v>877</v>
      </c>
      <c r="P22" s="12">
        <v>896</v>
      </c>
      <c r="Q22" s="12">
        <v>892</v>
      </c>
      <c r="R22" s="12">
        <v>463</v>
      </c>
      <c r="S22" s="12">
        <v>865</v>
      </c>
      <c r="T22" s="12">
        <v>910</v>
      </c>
      <c r="U22" s="12">
        <v>459</v>
      </c>
      <c r="V22" s="12">
        <v>891</v>
      </c>
      <c r="W22" s="12">
        <v>476</v>
      </c>
      <c r="X22" s="12">
        <v>824</v>
      </c>
      <c r="Y22" s="12">
        <v>896</v>
      </c>
      <c r="Z22" s="12">
        <v>823</v>
      </c>
      <c r="AA22" s="12">
        <v>872</v>
      </c>
      <c r="AB22" s="12">
        <v>825</v>
      </c>
      <c r="AC22" s="12">
        <v>900</v>
      </c>
      <c r="AD22" s="12">
        <v>905</v>
      </c>
      <c r="AE22" s="12">
        <v>923</v>
      </c>
      <c r="AF22" s="12">
        <v>988</v>
      </c>
    </row>
    <row r="23" spans="1:32">
      <c r="A23" s="23"/>
      <c r="B23" s="13" t="s">
        <v>1046</v>
      </c>
      <c r="C23" s="14">
        <v>0.86</v>
      </c>
      <c r="D23" s="14">
        <v>0.87</v>
      </c>
      <c r="E23" s="14">
        <v>0.88</v>
      </c>
      <c r="F23" s="14">
        <v>0.83000000000000007</v>
      </c>
      <c r="G23" s="14">
        <v>0.87</v>
      </c>
      <c r="H23" s="14">
        <v>0.84</v>
      </c>
      <c r="I23" s="14">
        <v>0.84</v>
      </c>
      <c r="J23" s="14">
        <v>0.82000000000000006</v>
      </c>
      <c r="K23" s="14">
        <v>0.8</v>
      </c>
      <c r="L23" s="14">
        <v>0.94000000000000006</v>
      </c>
      <c r="M23" s="14">
        <v>0.93</v>
      </c>
      <c r="N23" s="14">
        <v>0.88</v>
      </c>
      <c r="O23" s="14">
        <v>0.87</v>
      </c>
      <c r="P23" s="14">
        <v>0.88</v>
      </c>
      <c r="Q23" s="14">
        <v>0.87</v>
      </c>
      <c r="R23" s="14">
        <v>0.92</v>
      </c>
      <c r="S23" s="14">
        <v>0.86</v>
      </c>
      <c r="T23" s="14">
        <v>0.91</v>
      </c>
      <c r="U23" s="14">
        <v>0.91</v>
      </c>
      <c r="V23" s="14">
        <v>0.88</v>
      </c>
      <c r="W23" s="14">
        <v>0.94000000000000006</v>
      </c>
      <c r="X23" s="14">
        <v>0.81</v>
      </c>
      <c r="Y23" s="14">
        <v>0.89</v>
      </c>
      <c r="Z23" s="14">
        <v>0.81</v>
      </c>
      <c r="AA23" s="14">
        <v>0.84</v>
      </c>
      <c r="AB23" s="14">
        <v>0.8</v>
      </c>
      <c r="AC23" s="14">
        <v>0.9</v>
      </c>
      <c r="AD23" s="14">
        <v>0.9</v>
      </c>
      <c r="AE23" s="14">
        <v>0.92</v>
      </c>
      <c r="AF23" s="14">
        <v>0.92</v>
      </c>
    </row>
    <row r="24" spans="1:32">
      <c r="A24" s="23"/>
      <c r="B24" s="11" t="s">
        <v>1047</v>
      </c>
      <c r="C24" s="12">
        <v>3083</v>
      </c>
      <c r="D24" s="12">
        <v>116</v>
      </c>
      <c r="E24" s="12">
        <v>83</v>
      </c>
      <c r="F24" s="12">
        <v>137</v>
      </c>
      <c r="G24" s="12">
        <v>84</v>
      </c>
      <c r="H24" s="12">
        <v>141</v>
      </c>
      <c r="I24" s="12">
        <v>188</v>
      </c>
      <c r="J24" s="12">
        <v>47</v>
      </c>
      <c r="K24" s="12">
        <v>153</v>
      </c>
      <c r="L24" s="12">
        <v>45</v>
      </c>
      <c r="M24" s="12">
        <v>64</v>
      </c>
      <c r="N24" s="12">
        <v>85</v>
      </c>
      <c r="O24" s="12">
        <v>109</v>
      </c>
      <c r="P24" s="12">
        <v>107</v>
      </c>
      <c r="Q24" s="12">
        <v>112</v>
      </c>
      <c r="R24" s="12">
        <v>38</v>
      </c>
      <c r="S24" s="12">
        <v>98</v>
      </c>
      <c r="T24" s="12">
        <v>75</v>
      </c>
      <c r="U24" s="12">
        <v>30</v>
      </c>
      <c r="V24" s="12">
        <v>109</v>
      </c>
      <c r="W24" s="12">
        <v>23</v>
      </c>
      <c r="X24" s="12">
        <v>186</v>
      </c>
      <c r="Y24" s="12">
        <v>92</v>
      </c>
      <c r="Z24" s="12">
        <v>173</v>
      </c>
      <c r="AA24" s="12">
        <v>158</v>
      </c>
      <c r="AB24" s="12">
        <v>184</v>
      </c>
      <c r="AC24" s="12">
        <v>91</v>
      </c>
      <c r="AD24" s="12">
        <v>90</v>
      </c>
      <c r="AE24" s="12">
        <v>74</v>
      </c>
      <c r="AF24" s="12">
        <v>78</v>
      </c>
    </row>
    <row r="25" spans="1:32">
      <c r="A25" s="23"/>
      <c r="B25" s="13" t="s">
        <v>1048</v>
      </c>
      <c r="C25" s="14">
        <v>0.12</v>
      </c>
      <c r="D25" s="14">
        <v>0.11</v>
      </c>
      <c r="E25" s="14">
        <v>0.08</v>
      </c>
      <c r="F25" s="14">
        <v>0.14000000000000001</v>
      </c>
      <c r="G25" s="14">
        <v>0.09</v>
      </c>
      <c r="H25" s="14">
        <v>0.12</v>
      </c>
      <c r="I25" s="14">
        <v>0.13</v>
      </c>
      <c r="J25" s="14">
        <v>0.16</v>
      </c>
      <c r="K25" s="14">
        <v>0.15</v>
      </c>
      <c r="L25" s="14">
        <v>0.05</v>
      </c>
      <c r="M25" s="14">
        <v>0.06</v>
      </c>
      <c r="N25" s="14">
        <v>0.08</v>
      </c>
      <c r="O25" s="14">
        <v>0.11</v>
      </c>
      <c r="P25" s="14">
        <v>0.11</v>
      </c>
      <c r="Q25" s="14">
        <v>0.11</v>
      </c>
      <c r="R25" s="14">
        <v>0.08</v>
      </c>
      <c r="S25" s="14">
        <v>0.1</v>
      </c>
      <c r="T25" s="14">
        <v>7.0000000000000007E-2</v>
      </c>
      <c r="U25" s="14">
        <v>0.06</v>
      </c>
      <c r="V25" s="14">
        <v>0.11</v>
      </c>
      <c r="W25" s="14">
        <v>0.05</v>
      </c>
      <c r="X25" s="14">
        <v>0.18</v>
      </c>
      <c r="Y25" s="14">
        <v>0.09</v>
      </c>
      <c r="Z25" s="14">
        <v>0.17</v>
      </c>
      <c r="AA25" s="14">
        <v>0.15</v>
      </c>
      <c r="AB25" s="14">
        <v>0.18</v>
      </c>
      <c r="AC25" s="14">
        <v>0.09</v>
      </c>
      <c r="AD25" s="14">
        <v>0.09</v>
      </c>
      <c r="AE25" s="14">
        <v>7.0000000000000007E-2</v>
      </c>
      <c r="AF25" s="14">
        <v>7.0000000000000007E-2</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1101</v>
      </c>
      <c r="C3" s="19"/>
      <c r="D3" s="19"/>
      <c r="E3" s="19"/>
      <c r="F3" s="19"/>
      <c r="H3" s="19" t="s">
        <v>1102</v>
      </c>
      <c r="I3" s="19"/>
      <c r="J3" s="19"/>
      <c r="K3" s="19"/>
      <c r="L3" s="19"/>
    </row>
    <row r="4" spans="1:32" ht="27" customHeight="1">
      <c r="B4" s="19" t="s">
        <v>1103</v>
      </c>
      <c r="C4" s="19"/>
      <c r="D4" s="19"/>
      <c r="E4" s="19"/>
      <c r="F4" s="19"/>
      <c r="H4" s="19" t="s">
        <v>1104</v>
      </c>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HYPERLINK("#Content!A90","&lt;&lt;Back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1037</v>
      </c>
      <c r="C12" s="12">
        <v>12440</v>
      </c>
      <c r="D12" s="12">
        <v>438</v>
      </c>
      <c r="E12" s="12">
        <v>554</v>
      </c>
      <c r="F12" s="12">
        <v>400</v>
      </c>
      <c r="G12" s="12">
        <v>579</v>
      </c>
      <c r="H12" s="12">
        <v>519</v>
      </c>
      <c r="I12" s="12">
        <v>618</v>
      </c>
      <c r="J12" s="12">
        <v>99</v>
      </c>
      <c r="K12" s="12">
        <v>503</v>
      </c>
      <c r="L12" s="12">
        <v>737</v>
      </c>
      <c r="M12" s="12">
        <v>587</v>
      </c>
      <c r="N12" s="12">
        <v>582</v>
      </c>
      <c r="O12" s="12">
        <v>558</v>
      </c>
      <c r="P12" s="12">
        <v>490</v>
      </c>
      <c r="Q12" s="12">
        <v>380</v>
      </c>
      <c r="R12" s="12">
        <v>376</v>
      </c>
      <c r="S12" s="12">
        <v>571</v>
      </c>
      <c r="T12" s="12">
        <v>670</v>
      </c>
      <c r="U12" s="12">
        <v>343</v>
      </c>
      <c r="V12" s="12">
        <v>491</v>
      </c>
      <c r="W12" s="12">
        <v>294</v>
      </c>
      <c r="X12" s="12">
        <v>543</v>
      </c>
      <c r="Y12" s="12">
        <v>429</v>
      </c>
      <c r="Z12" s="12">
        <v>420</v>
      </c>
      <c r="AA12" s="12">
        <v>453</v>
      </c>
      <c r="AB12" s="12">
        <v>320</v>
      </c>
      <c r="AC12" s="12">
        <v>536</v>
      </c>
      <c r="AD12" s="12">
        <v>474</v>
      </c>
      <c r="AE12" s="12">
        <v>500</v>
      </c>
      <c r="AF12" s="12">
        <v>665</v>
      </c>
    </row>
    <row r="13" spans="1:32">
      <c r="A13" s="23"/>
      <c r="B13" s="13" t="s">
        <v>1038</v>
      </c>
      <c r="C13" s="14">
        <v>0.47</v>
      </c>
      <c r="D13" s="14">
        <v>0.44</v>
      </c>
      <c r="E13" s="14">
        <v>0.53</v>
      </c>
      <c r="F13" s="14">
        <v>0.4</v>
      </c>
      <c r="G13" s="14">
        <v>0.57999999999999996</v>
      </c>
      <c r="H13" s="14">
        <v>0.43</v>
      </c>
      <c r="I13" s="14">
        <v>0.41</v>
      </c>
      <c r="J13" s="14">
        <v>0.34</v>
      </c>
      <c r="K13" s="14">
        <v>0.5</v>
      </c>
      <c r="L13" s="14">
        <v>0.73</v>
      </c>
      <c r="M13" s="14">
        <v>0.57999999999999996</v>
      </c>
      <c r="N13" s="14">
        <v>0.57999999999999996</v>
      </c>
      <c r="O13" s="14">
        <v>0.55000000000000004</v>
      </c>
      <c r="P13" s="14">
        <v>0.48</v>
      </c>
      <c r="Q13" s="14">
        <v>0.37</v>
      </c>
      <c r="R13" s="14">
        <v>0.75</v>
      </c>
      <c r="S13" s="14">
        <v>0.57000000000000006</v>
      </c>
      <c r="T13" s="14">
        <v>0.67</v>
      </c>
      <c r="U13" s="14">
        <v>0.68</v>
      </c>
      <c r="V13" s="14">
        <v>0.49</v>
      </c>
      <c r="W13" s="14">
        <v>0.59</v>
      </c>
      <c r="X13" s="14">
        <v>0.53</v>
      </c>
      <c r="Y13" s="14">
        <v>0.43</v>
      </c>
      <c r="Z13" s="14">
        <v>0.41</v>
      </c>
      <c r="AA13" s="14">
        <v>0.44</v>
      </c>
      <c r="AB13" s="14">
        <v>0.31</v>
      </c>
      <c r="AC13" s="14">
        <v>0.53</v>
      </c>
      <c r="AD13" s="14">
        <v>0.47</v>
      </c>
      <c r="AE13" s="14">
        <v>0.5</v>
      </c>
      <c r="AF13" s="14">
        <v>0.62</v>
      </c>
    </row>
    <row r="14" spans="1:32">
      <c r="A14" s="23"/>
      <c r="B14" s="11" t="s">
        <v>1039</v>
      </c>
      <c r="C14" s="12">
        <v>9371</v>
      </c>
      <c r="D14" s="12">
        <v>415</v>
      </c>
      <c r="E14" s="12">
        <v>342</v>
      </c>
      <c r="F14" s="12">
        <v>442</v>
      </c>
      <c r="G14" s="12">
        <v>295</v>
      </c>
      <c r="H14" s="12">
        <v>458</v>
      </c>
      <c r="I14" s="12">
        <v>576</v>
      </c>
      <c r="J14" s="12">
        <v>118</v>
      </c>
      <c r="K14" s="12">
        <v>288</v>
      </c>
      <c r="L14" s="12">
        <v>209</v>
      </c>
      <c r="M14" s="12">
        <v>363</v>
      </c>
      <c r="N14" s="12">
        <v>257</v>
      </c>
      <c r="O14" s="12">
        <v>291</v>
      </c>
      <c r="P14" s="12">
        <v>373</v>
      </c>
      <c r="Q14" s="12">
        <v>461</v>
      </c>
      <c r="R14" s="12">
        <v>83</v>
      </c>
      <c r="S14" s="12">
        <v>279</v>
      </c>
      <c r="T14" s="12">
        <v>225</v>
      </c>
      <c r="U14" s="12">
        <v>116</v>
      </c>
      <c r="V14" s="12">
        <v>378</v>
      </c>
      <c r="W14" s="12">
        <v>127</v>
      </c>
      <c r="X14" s="12">
        <v>299</v>
      </c>
      <c r="Y14" s="12">
        <v>400</v>
      </c>
      <c r="Z14" s="12">
        <v>403</v>
      </c>
      <c r="AA14" s="12">
        <v>386</v>
      </c>
      <c r="AB14" s="12">
        <v>439</v>
      </c>
      <c r="AC14" s="12">
        <v>343</v>
      </c>
      <c r="AD14" s="12">
        <v>383</v>
      </c>
      <c r="AE14" s="12">
        <v>377</v>
      </c>
      <c r="AF14" s="12">
        <v>279</v>
      </c>
    </row>
    <row r="15" spans="1:32">
      <c r="A15" s="23"/>
      <c r="B15" s="13" t="s">
        <v>1040</v>
      </c>
      <c r="C15" s="14">
        <v>0.36</v>
      </c>
      <c r="D15" s="14">
        <v>0.41</v>
      </c>
      <c r="E15" s="14">
        <v>0.33</v>
      </c>
      <c r="F15" s="14">
        <v>0.44</v>
      </c>
      <c r="G15" s="14">
        <v>0.3</v>
      </c>
      <c r="H15" s="14">
        <v>0.38</v>
      </c>
      <c r="I15" s="14">
        <v>0.38</v>
      </c>
      <c r="J15" s="14">
        <v>0.4</v>
      </c>
      <c r="K15" s="14">
        <v>0.28999999999999998</v>
      </c>
      <c r="L15" s="14">
        <v>0.21</v>
      </c>
      <c r="M15" s="14">
        <v>0.36</v>
      </c>
      <c r="N15" s="14">
        <v>0.26</v>
      </c>
      <c r="O15" s="14">
        <v>0.28999999999999998</v>
      </c>
      <c r="P15" s="14">
        <v>0.37</v>
      </c>
      <c r="Q15" s="14">
        <v>0.45</v>
      </c>
      <c r="R15" s="14">
        <v>0.17</v>
      </c>
      <c r="S15" s="14">
        <v>0.28000000000000003</v>
      </c>
      <c r="T15" s="14">
        <v>0.22</v>
      </c>
      <c r="U15" s="14">
        <v>0.23</v>
      </c>
      <c r="V15" s="14">
        <v>0.37</v>
      </c>
      <c r="W15" s="14">
        <v>0.25</v>
      </c>
      <c r="X15" s="14">
        <v>0.28999999999999998</v>
      </c>
      <c r="Y15" s="14">
        <v>0.4</v>
      </c>
      <c r="Z15" s="14">
        <v>0.4</v>
      </c>
      <c r="AA15" s="14">
        <v>0.37</v>
      </c>
      <c r="AB15" s="14">
        <v>0.42</v>
      </c>
      <c r="AC15" s="14">
        <v>0.34</v>
      </c>
      <c r="AD15" s="14">
        <v>0.38</v>
      </c>
      <c r="AE15" s="14">
        <v>0.37</v>
      </c>
      <c r="AF15" s="14">
        <v>0.26</v>
      </c>
    </row>
    <row r="16" spans="1:32">
      <c r="A16" s="23"/>
      <c r="B16" s="11" t="s">
        <v>1041</v>
      </c>
      <c r="C16" s="12">
        <v>3132</v>
      </c>
      <c r="D16" s="12">
        <v>113</v>
      </c>
      <c r="E16" s="12">
        <v>85</v>
      </c>
      <c r="F16" s="12">
        <v>106</v>
      </c>
      <c r="G16" s="12">
        <v>72</v>
      </c>
      <c r="H16" s="12">
        <v>154</v>
      </c>
      <c r="I16" s="12">
        <v>209</v>
      </c>
      <c r="J16" s="12">
        <v>55</v>
      </c>
      <c r="K16" s="12">
        <v>123</v>
      </c>
      <c r="L16" s="12">
        <v>39</v>
      </c>
      <c r="M16" s="12">
        <v>52</v>
      </c>
      <c r="N16" s="12">
        <v>91</v>
      </c>
      <c r="O16" s="12">
        <v>117</v>
      </c>
      <c r="P16" s="12">
        <v>111</v>
      </c>
      <c r="Q16" s="12">
        <v>132</v>
      </c>
      <c r="R16" s="12">
        <v>29</v>
      </c>
      <c r="S16" s="12">
        <v>91</v>
      </c>
      <c r="T16" s="12">
        <v>76</v>
      </c>
      <c r="U16" s="12">
        <v>27</v>
      </c>
      <c r="V16" s="12">
        <v>120</v>
      </c>
      <c r="W16" s="12">
        <v>52</v>
      </c>
      <c r="X16" s="12">
        <v>129</v>
      </c>
      <c r="Y16" s="12">
        <v>104</v>
      </c>
      <c r="Z16" s="12">
        <v>139</v>
      </c>
      <c r="AA16" s="12">
        <v>140</v>
      </c>
      <c r="AB16" s="12">
        <v>182</v>
      </c>
      <c r="AC16" s="12">
        <v>83</v>
      </c>
      <c r="AD16" s="12">
        <v>106</v>
      </c>
      <c r="AE16" s="12">
        <v>110</v>
      </c>
      <c r="AF16" s="12">
        <v>93</v>
      </c>
    </row>
    <row r="17" spans="1:32">
      <c r="A17" s="23"/>
      <c r="B17" s="13" t="s">
        <v>1042</v>
      </c>
      <c r="C17" s="14">
        <v>0.12</v>
      </c>
      <c r="D17" s="14">
        <v>0.11</v>
      </c>
      <c r="E17" s="14">
        <v>0.08</v>
      </c>
      <c r="F17" s="14">
        <v>0.11</v>
      </c>
      <c r="G17" s="14">
        <v>7.0000000000000007E-2</v>
      </c>
      <c r="H17" s="14">
        <v>0.13</v>
      </c>
      <c r="I17" s="14">
        <v>0.14000000000000001</v>
      </c>
      <c r="J17" s="14">
        <v>0.19</v>
      </c>
      <c r="K17" s="14">
        <v>0.12</v>
      </c>
      <c r="L17" s="14">
        <v>0.04</v>
      </c>
      <c r="M17" s="14">
        <v>0.05</v>
      </c>
      <c r="N17" s="14">
        <v>0.09</v>
      </c>
      <c r="O17" s="14">
        <v>0.12</v>
      </c>
      <c r="P17" s="14">
        <v>0.11</v>
      </c>
      <c r="Q17" s="14">
        <v>0.13</v>
      </c>
      <c r="R17" s="14">
        <v>0.06</v>
      </c>
      <c r="S17" s="14">
        <v>0.09</v>
      </c>
      <c r="T17" s="14">
        <v>0.08</v>
      </c>
      <c r="U17" s="14">
        <v>0.06</v>
      </c>
      <c r="V17" s="14">
        <v>0.12</v>
      </c>
      <c r="W17" s="14">
        <v>0.1</v>
      </c>
      <c r="X17" s="14">
        <v>0.13</v>
      </c>
      <c r="Y17" s="14">
        <v>0.1</v>
      </c>
      <c r="Z17" s="14">
        <v>0.14000000000000001</v>
      </c>
      <c r="AA17" s="14">
        <v>0.13</v>
      </c>
      <c r="AB17" s="14">
        <v>0.18</v>
      </c>
      <c r="AC17" s="14">
        <v>0.08</v>
      </c>
      <c r="AD17" s="14">
        <v>0.11</v>
      </c>
      <c r="AE17" s="14">
        <v>0.11</v>
      </c>
      <c r="AF17" s="14">
        <v>0.09</v>
      </c>
    </row>
    <row r="18" spans="1:32">
      <c r="A18" s="23"/>
      <c r="B18" s="11" t="s">
        <v>1043</v>
      </c>
      <c r="C18" s="12">
        <v>807</v>
      </c>
      <c r="D18" s="12">
        <v>22</v>
      </c>
      <c r="E18" s="12">
        <v>19</v>
      </c>
      <c r="F18" s="12">
        <v>35</v>
      </c>
      <c r="G18" s="12">
        <v>14</v>
      </c>
      <c r="H18" s="12">
        <v>45</v>
      </c>
      <c r="I18" s="12">
        <v>60</v>
      </c>
      <c r="J18" s="12">
        <v>15</v>
      </c>
      <c r="K18" s="12">
        <v>36</v>
      </c>
      <c r="L18" s="12">
        <v>7</v>
      </c>
      <c r="M18" s="12">
        <v>2</v>
      </c>
      <c r="N18" s="12">
        <v>34</v>
      </c>
      <c r="O18" s="12">
        <v>24</v>
      </c>
      <c r="P18" s="12">
        <v>28</v>
      </c>
      <c r="Q18" s="12">
        <v>25</v>
      </c>
      <c r="R18" s="12">
        <v>11</v>
      </c>
      <c r="S18" s="12">
        <v>28</v>
      </c>
      <c r="T18" s="12">
        <v>17</v>
      </c>
      <c r="U18" s="12">
        <v>7</v>
      </c>
      <c r="V18" s="12">
        <v>15</v>
      </c>
      <c r="W18" s="12">
        <v>25</v>
      </c>
      <c r="X18" s="12">
        <v>37</v>
      </c>
      <c r="Y18" s="12">
        <v>24</v>
      </c>
      <c r="Z18" s="12">
        <v>32</v>
      </c>
      <c r="AA18" s="12">
        <v>51</v>
      </c>
      <c r="AB18" s="12">
        <v>69</v>
      </c>
      <c r="AC18" s="12">
        <v>29</v>
      </c>
      <c r="AD18" s="12">
        <v>32</v>
      </c>
      <c r="AE18" s="12">
        <v>8</v>
      </c>
      <c r="AF18" s="12">
        <v>26</v>
      </c>
    </row>
    <row r="19" spans="1:32">
      <c r="A19" s="23"/>
      <c r="B19" s="13" t="s">
        <v>1044</v>
      </c>
      <c r="C19" s="14">
        <v>0.03</v>
      </c>
      <c r="D19" s="14">
        <v>0.02</v>
      </c>
      <c r="E19" s="14">
        <v>0.02</v>
      </c>
      <c r="F19" s="14">
        <v>0.03</v>
      </c>
      <c r="G19" s="14">
        <v>0.01</v>
      </c>
      <c r="H19" s="14">
        <v>0.03</v>
      </c>
      <c r="I19" s="14">
        <v>0.04</v>
      </c>
      <c r="J19" s="14">
        <v>0.05</v>
      </c>
      <c r="K19" s="14">
        <v>0.04</v>
      </c>
      <c r="L19" s="14">
        <v>0.01</v>
      </c>
      <c r="M19" s="15" t="s">
        <v>485</v>
      </c>
      <c r="N19" s="14">
        <v>0.03</v>
      </c>
      <c r="O19" s="14">
        <v>0.02</v>
      </c>
      <c r="P19" s="14">
        <v>0.03</v>
      </c>
      <c r="Q19" s="14">
        <v>0.02</v>
      </c>
      <c r="R19" s="14">
        <v>0.02</v>
      </c>
      <c r="S19" s="14">
        <v>0.03</v>
      </c>
      <c r="T19" s="14">
        <v>0.02</v>
      </c>
      <c r="U19" s="14">
        <v>0.01</v>
      </c>
      <c r="V19" s="14">
        <v>0.01</v>
      </c>
      <c r="W19" s="14">
        <v>0.05</v>
      </c>
      <c r="X19" s="14">
        <v>0.04</v>
      </c>
      <c r="Y19" s="14">
        <v>0.02</v>
      </c>
      <c r="Z19" s="14">
        <v>0.03</v>
      </c>
      <c r="AA19" s="14">
        <v>0.05</v>
      </c>
      <c r="AB19" s="14">
        <v>7.0000000000000007E-2</v>
      </c>
      <c r="AC19" s="14">
        <v>0.03</v>
      </c>
      <c r="AD19" s="14">
        <v>0.03</v>
      </c>
      <c r="AE19" s="14">
        <v>0.01</v>
      </c>
      <c r="AF19" s="14">
        <v>0.02</v>
      </c>
    </row>
    <row r="20" spans="1:32">
      <c r="A20" s="23"/>
      <c r="B20" s="11" t="s">
        <v>497</v>
      </c>
      <c r="C20" s="12">
        <v>605</v>
      </c>
      <c r="D20" s="12">
        <v>18</v>
      </c>
      <c r="E20" s="12">
        <v>44</v>
      </c>
      <c r="F20" s="12">
        <v>24</v>
      </c>
      <c r="G20" s="12">
        <v>42</v>
      </c>
      <c r="H20" s="12">
        <v>35</v>
      </c>
      <c r="I20" s="12">
        <v>42</v>
      </c>
      <c r="J20" s="12">
        <v>7</v>
      </c>
      <c r="K20" s="12">
        <v>54</v>
      </c>
      <c r="L20" s="12">
        <v>14</v>
      </c>
      <c r="M20" s="12">
        <v>6</v>
      </c>
      <c r="N20" s="12">
        <v>35</v>
      </c>
      <c r="O20" s="12">
        <v>17</v>
      </c>
      <c r="P20" s="12">
        <v>9</v>
      </c>
      <c r="Q20" s="12">
        <v>25</v>
      </c>
      <c r="R20" s="12">
        <v>2</v>
      </c>
      <c r="S20" s="12">
        <v>36</v>
      </c>
      <c r="T20" s="12">
        <v>15</v>
      </c>
      <c r="U20" s="12">
        <v>10</v>
      </c>
      <c r="V20" s="12">
        <v>7</v>
      </c>
      <c r="W20" s="12">
        <v>6</v>
      </c>
      <c r="X20" s="12">
        <v>8</v>
      </c>
      <c r="Y20" s="12">
        <v>50</v>
      </c>
      <c r="Z20" s="12">
        <v>24</v>
      </c>
      <c r="AA20" s="12">
        <v>10</v>
      </c>
      <c r="AB20" s="12">
        <v>22</v>
      </c>
      <c r="AC20" s="12">
        <v>14</v>
      </c>
      <c r="AD20" s="12">
        <v>7</v>
      </c>
      <c r="AE20" s="12">
        <v>13</v>
      </c>
      <c r="AF20" s="12">
        <v>9</v>
      </c>
    </row>
    <row r="21" spans="1:32">
      <c r="A21" s="23"/>
      <c r="B21" s="13" t="s">
        <v>498</v>
      </c>
      <c r="C21" s="14">
        <v>0.02</v>
      </c>
      <c r="D21" s="14">
        <v>0.02</v>
      </c>
      <c r="E21" s="14">
        <v>0.04</v>
      </c>
      <c r="F21" s="14">
        <v>0.02</v>
      </c>
      <c r="G21" s="14">
        <v>0.04</v>
      </c>
      <c r="H21" s="14">
        <v>0.03</v>
      </c>
      <c r="I21" s="14">
        <v>0.03</v>
      </c>
      <c r="J21" s="14">
        <v>0.02</v>
      </c>
      <c r="K21" s="14">
        <v>0.05</v>
      </c>
      <c r="L21" s="14">
        <v>0.01</v>
      </c>
      <c r="M21" s="14">
        <v>0.01</v>
      </c>
      <c r="N21" s="14">
        <v>0.04</v>
      </c>
      <c r="O21" s="14">
        <v>0.02</v>
      </c>
      <c r="P21" s="14">
        <v>0.01</v>
      </c>
      <c r="Q21" s="14">
        <v>0.03</v>
      </c>
      <c r="R21" s="15" t="s">
        <v>485</v>
      </c>
      <c r="S21" s="14">
        <v>0.03</v>
      </c>
      <c r="T21" s="14">
        <v>0.01</v>
      </c>
      <c r="U21" s="14">
        <v>0.02</v>
      </c>
      <c r="V21" s="14">
        <v>0.01</v>
      </c>
      <c r="W21" s="14">
        <v>0.01</v>
      </c>
      <c r="X21" s="14">
        <v>0.01</v>
      </c>
      <c r="Y21" s="14">
        <v>0.05</v>
      </c>
      <c r="Z21" s="14">
        <v>0.02</v>
      </c>
      <c r="AA21" s="14">
        <v>0.01</v>
      </c>
      <c r="AB21" s="14">
        <v>0.02</v>
      </c>
      <c r="AC21" s="14">
        <v>0.02</v>
      </c>
      <c r="AD21" s="14">
        <v>0.01</v>
      </c>
      <c r="AE21" s="14">
        <v>0.01</v>
      </c>
      <c r="AF21" s="14">
        <v>0.01</v>
      </c>
    </row>
    <row r="22" spans="1:32">
      <c r="A22" s="23"/>
      <c r="B22" s="11" t="s">
        <v>1045</v>
      </c>
      <c r="C22" s="12">
        <v>21811</v>
      </c>
      <c r="D22" s="12">
        <v>853</v>
      </c>
      <c r="E22" s="12">
        <v>896</v>
      </c>
      <c r="F22" s="12">
        <v>842</v>
      </c>
      <c r="G22" s="12">
        <v>874</v>
      </c>
      <c r="H22" s="12">
        <v>977</v>
      </c>
      <c r="I22" s="12">
        <v>1194</v>
      </c>
      <c r="J22" s="12">
        <v>217</v>
      </c>
      <c r="K22" s="12">
        <v>791</v>
      </c>
      <c r="L22" s="12">
        <v>946</v>
      </c>
      <c r="M22" s="12">
        <v>950</v>
      </c>
      <c r="N22" s="12">
        <v>839</v>
      </c>
      <c r="O22" s="12">
        <v>849</v>
      </c>
      <c r="P22" s="12">
        <v>863</v>
      </c>
      <c r="Q22" s="12">
        <v>841</v>
      </c>
      <c r="R22" s="12">
        <v>459</v>
      </c>
      <c r="S22" s="12">
        <v>850</v>
      </c>
      <c r="T22" s="12">
        <v>895</v>
      </c>
      <c r="U22" s="12">
        <v>459</v>
      </c>
      <c r="V22" s="12">
        <v>869</v>
      </c>
      <c r="W22" s="12">
        <v>421</v>
      </c>
      <c r="X22" s="12">
        <v>842</v>
      </c>
      <c r="Y22" s="12">
        <v>829</v>
      </c>
      <c r="Z22" s="12">
        <v>823</v>
      </c>
      <c r="AA22" s="12">
        <v>839</v>
      </c>
      <c r="AB22" s="12">
        <v>759</v>
      </c>
      <c r="AC22" s="12">
        <v>879</v>
      </c>
      <c r="AD22" s="12">
        <v>857</v>
      </c>
      <c r="AE22" s="12">
        <v>877</v>
      </c>
      <c r="AF22" s="12">
        <v>944</v>
      </c>
    </row>
    <row r="23" spans="1:32">
      <c r="A23" s="23"/>
      <c r="B23" s="13" t="s">
        <v>1046</v>
      </c>
      <c r="C23" s="14">
        <v>0.83000000000000007</v>
      </c>
      <c r="D23" s="14">
        <v>0.85</v>
      </c>
      <c r="E23" s="14">
        <v>0.86</v>
      </c>
      <c r="F23" s="14">
        <v>0.84</v>
      </c>
      <c r="G23" s="14">
        <v>0.88</v>
      </c>
      <c r="H23" s="14">
        <v>0.81</v>
      </c>
      <c r="I23" s="14">
        <v>0.79</v>
      </c>
      <c r="J23" s="14">
        <v>0.74</v>
      </c>
      <c r="K23" s="14">
        <v>0.79</v>
      </c>
      <c r="L23" s="14">
        <v>0.94000000000000006</v>
      </c>
      <c r="M23" s="14">
        <v>0.94000000000000006</v>
      </c>
      <c r="N23" s="14">
        <v>0.84</v>
      </c>
      <c r="O23" s="14">
        <v>0.84</v>
      </c>
      <c r="P23" s="14">
        <v>0.85</v>
      </c>
      <c r="Q23" s="14">
        <v>0.82000000000000006</v>
      </c>
      <c r="R23" s="14">
        <v>0.92</v>
      </c>
      <c r="S23" s="14">
        <v>0.85</v>
      </c>
      <c r="T23" s="14">
        <v>0.89</v>
      </c>
      <c r="U23" s="14">
        <v>0.91</v>
      </c>
      <c r="V23" s="14">
        <v>0.86</v>
      </c>
      <c r="W23" s="14">
        <v>0.84</v>
      </c>
      <c r="X23" s="14">
        <v>0.82000000000000006</v>
      </c>
      <c r="Y23" s="14">
        <v>0.83000000000000007</v>
      </c>
      <c r="Z23" s="14">
        <v>0.81</v>
      </c>
      <c r="AA23" s="14">
        <v>0.81</v>
      </c>
      <c r="AB23" s="14">
        <v>0.73</v>
      </c>
      <c r="AC23" s="14">
        <v>0.87</v>
      </c>
      <c r="AD23" s="14">
        <v>0.85</v>
      </c>
      <c r="AE23" s="14">
        <v>0.87</v>
      </c>
      <c r="AF23" s="14">
        <v>0.88</v>
      </c>
    </row>
    <row r="24" spans="1:32">
      <c r="A24" s="23"/>
      <c r="B24" s="11" t="s">
        <v>1047</v>
      </c>
      <c r="C24" s="12">
        <v>3939</v>
      </c>
      <c r="D24" s="12">
        <v>135</v>
      </c>
      <c r="E24" s="12">
        <v>104</v>
      </c>
      <c r="F24" s="12">
        <v>141</v>
      </c>
      <c r="G24" s="12">
        <v>86</v>
      </c>
      <c r="H24" s="12">
        <v>199</v>
      </c>
      <c r="I24" s="12">
        <v>269</v>
      </c>
      <c r="J24" s="12">
        <v>70</v>
      </c>
      <c r="K24" s="12">
        <v>159</v>
      </c>
      <c r="L24" s="12">
        <v>46</v>
      </c>
      <c r="M24" s="12">
        <v>54</v>
      </c>
      <c r="N24" s="12">
        <v>125</v>
      </c>
      <c r="O24" s="12">
        <v>141</v>
      </c>
      <c r="P24" s="12">
        <v>139</v>
      </c>
      <c r="Q24" s="12">
        <v>157</v>
      </c>
      <c r="R24" s="12">
        <v>40</v>
      </c>
      <c r="S24" s="12">
        <v>119</v>
      </c>
      <c r="T24" s="12">
        <v>93</v>
      </c>
      <c r="U24" s="12">
        <v>34</v>
      </c>
      <c r="V24" s="12">
        <v>135</v>
      </c>
      <c r="W24" s="12">
        <v>77</v>
      </c>
      <c r="X24" s="12">
        <v>166</v>
      </c>
      <c r="Y24" s="12">
        <v>128</v>
      </c>
      <c r="Z24" s="12">
        <v>171</v>
      </c>
      <c r="AA24" s="12">
        <v>191</v>
      </c>
      <c r="AB24" s="12">
        <v>251</v>
      </c>
      <c r="AC24" s="12">
        <v>112</v>
      </c>
      <c r="AD24" s="12">
        <v>138</v>
      </c>
      <c r="AE24" s="12">
        <v>118</v>
      </c>
      <c r="AF24" s="12">
        <v>119</v>
      </c>
    </row>
    <row r="25" spans="1:32">
      <c r="A25" s="23"/>
      <c r="B25" s="13" t="s">
        <v>1048</v>
      </c>
      <c r="C25" s="14">
        <v>0.15</v>
      </c>
      <c r="D25" s="14">
        <v>0.13</v>
      </c>
      <c r="E25" s="14">
        <v>0.1</v>
      </c>
      <c r="F25" s="14">
        <v>0.14000000000000001</v>
      </c>
      <c r="G25" s="14">
        <v>0.08</v>
      </c>
      <c r="H25" s="14">
        <v>0.16</v>
      </c>
      <c r="I25" s="14">
        <v>0.18</v>
      </c>
      <c r="J25" s="14">
        <v>0.24</v>
      </c>
      <c r="K25" s="14">
        <v>0.16</v>
      </c>
      <c r="L25" s="14">
        <v>0.05</v>
      </c>
      <c r="M25" s="14">
        <v>0.05</v>
      </c>
      <c r="N25" s="14">
        <v>0.12</v>
      </c>
      <c r="O25" s="14">
        <v>0.14000000000000001</v>
      </c>
      <c r="P25" s="14">
        <v>0.14000000000000001</v>
      </c>
      <c r="Q25" s="14">
        <v>0.15</v>
      </c>
      <c r="R25" s="14">
        <v>0.08</v>
      </c>
      <c r="S25" s="14">
        <v>0.12</v>
      </c>
      <c r="T25" s="14">
        <v>0.1</v>
      </c>
      <c r="U25" s="14">
        <v>7.0000000000000007E-2</v>
      </c>
      <c r="V25" s="14">
        <v>0.13</v>
      </c>
      <c r="W25" s="14">
        <v>0.15</v>
      </c>
      <c r="X25" s="14">
        <v>0.17</v>
      </c>
      <c r="Y25" s="14">
        <v>0.12</v>
      </c>
      <c r="Z25" s="14">
        <v>0.17</v>
      </c>
      <c r="AA25" s="14">
        <v>0.18</v>
      </c>
      <c r="AB25" s="14">
        <v>0.25</v>
      </c>
      <c r="AC25" s="14">
        <v>0.11</v>
      </c>
      <c r="AD25" s="14">
        <v>0.14000000000000001</v>
      </c>
      <c r="AE25" s="14">
        <v>0.12</v>
      </c>
      <c r="AF25" s="14">
        <v>0.11</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1105</v>
      </c>
      <c r="C3" s="19"/>
      <c r="D3" s="19"/>
      <c r="E3" s="19"/>
      <c r="F3" s="19"/>
      <c r="H3" s="19" t="s">
        <v>1106</v>
      </c>
      <c r="I3" s="19"/>
      <c r="J3" s="19"/>
      <c r="K3" s="19"/>
      <c r="L3" s="19"/>
    </row>
    <row r="4" spans="1:32" ht="27" customHeight="1">
      <c r="B4" s="19" t="s">
        <v>1107</v>
      </c>
      <c r="C4" s="19"/>
      <c r="D4" s="19"/>
      <c r="E4" s="19"/>
      <c r="F4" s="19"/>
      <c r="H4" s="19" t="s">
        <v>1108</v>
      </c>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HYPERLINK("#Content!A91","&lt;&lt;Back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1037</v>
      </c>
      <c r="C12" s="12">
        <v>13878</v>
      </c>
      <c r="D12" s="12">
        <v>501</v>
      </c>
      <c r="E12" s="12">
        <v>605</v>
      </c>
      <c r="F12" s="12">
        <v>384</v>
      </c>
      <c r="G12" s="12">
        <v>599</v>
      </c>
      <c r="H12" s="12">
        <v>591</v>
      </c>
      <c r="I12" s="12">
        <v>718</v>
      </c>
      <c r="J12" s="12">
        <v>127</v>
      </c>
      <c r="K12" s="12">
        <v>502</v>
      </c>
      <c r="L12" s="12">
        <v>777</v>
      </c>
      <c r="M12" s="12">
        <v>665</v>
      </c>
      <c r="N12" s="12">
        <v>659</v>
      </c>
      <c r="O12" s="12">
        <v>564</v>
      </c>
      <c r="P12" s="12">
        <v>553</v>
      </c>
      <c r="Q12" s="12">
        <v>455</v>
      </c>
      <c r="R12" s="12">
        <v>387</v>
      </c>
      <c r="S12" s="12">
        <v>574</v>
      </c>
      <c r="T12" s="12">
        <v>684</v>
      </c>
      <c r="U12" s="12">
        <v>368</v>
      </c>
      <c r="V12" s="12">
        <v>535</v>
      </c>
      <c r="W12" s="12">
        <v>385</v>
      </c>
      <c r="X12" s="12">
        <v>608</v>
      </c>
      <c r="Y12" s="12">
        <v>555</v>
      </c>
      <c r="Z12" s="12">
        <v>421</v>
      </c>
      <c r="AA12" s="12">
        <v>523</v>
      </c>
      <c r="AB12" s="12">
        <v>368</v>
      </c>
      <c r="AC12" s="12">
        <v>551</v>
      </c>
      <c r="AD12" s="12">
        <v>513</v>
      </c>
      <c r="AE12" s="12">
        <v>712</v>
      </c>
      <c r="AF12" s="12">
        <v>870</v>
      </c>
    </row>
    <row r="13" spans="1:32">
      <c r="A13" s="23"/>
      <c r="B13" s="13" t="s">
        <v>1038</v>
      </c>
      <c r="C13" s="14">
        <v>0.53</v>
      </c>
      <c r="D13" s="14">
        <v>0.5</v>
      </c>
      <c r="E13" s="14">
        <v>0.57999999999999996</v>
      </c>
      <c r="F13" s="14">
        <v>0.38</v>
      </c>
      <c r="G13" s="14">
        <v>0.6</v>
      </c>
      <c r="H13" s="14">
        <v>0.49</v>
      </c>
      <c r="I13" s="14">
        <v>0.48</v>
      </c>
      <c r="J13" s="14">
        <v>0.43</v>
      </c>
      <c r="K13" s="14">
        <v>0.5</v>
      </c>
      <c r="L13" s="14">
        <v>0.77</v>
      </c>
      <c r="M13" s="14">
        <v>0.66</v>
      </c>
      <c r="N13" s="14">
        <v>0.66</v>
      </c>
      <c r="O13" s="14">
        <v>0.56000000000000005</v>
      </c>
      <c r="P13" s="14">
        <v>0.55000000000000004</v>
      </c>
      <c r="Q13" s="14">
        <v>0.45</v>
      </c>
      <c r="R13" s="14">
        <v>0.77</v>
      </c>
      <c r="S13" s="14">
        <v>0.57000000000000006</v>
      </c>
      <c r="T13" s="14">
        <v>0.68</v>
      </c>
      <c r="U13" s="14">
        <v>0.73</v>
      </c>
      <c r="V13" s="14">
        <v>0.53</v>
      </c>
      <c r="W13" s="14">
        <v>0.76</v>
      </c>
      <c r="X13" s="14">
        <v>0.6</v>
      </c>
      <c r="Y13" s="14">
        <v>0.55000000000000004</v>
      </c>
      <c r="Z13" s="14">
        <v>0.41</v>
      </c>
      <c r="AA13" s="14">
        <v>0.5</v>
      </c>
      <c r="AB13" s="14">
        <v>0.36</v>
      </c>
      <c r="AC13" s="14">
        <v>0.55000000000000004</v>
      </c>
      <c r="AD13" s="14">
        <v>0.51</v>
      </c>
      <c r="AE13" s="14">
        <v>0.71</v>
      </c>
      <c r="AF13" s="14">
        <v>0.81</v>
      </c>
    </row>
    <row r="14" spans="1:32">
      <c r="A14" s="23"/>
      <c r="B14" s="11" t="s">
        <v>1039</v>
      </c>
      <c r="C14" s="12">
        <v>8918</v>
      </c>
      <c r="D14" s="12">
        <v>377</v>
      </c>
      <c r="E14" s="12">
        <v>319</v>
      </c>
      <c r="F14" s="12">
        <v>468</v>
      </c>
      <c r="G14" s="12">
        <v>282</v>
      </c>
      <c r="H14" s="12">
        <v>443</v>
      </c>
      <c r="I14" s="12">
        <v>537</v>
      </c>
      <c r="J14" s="12">
        <v>94</v>
      </c>
      <c r="K14" s="12">
        <v>309</v>
      </c>
      <c r="L14" s="12">
        <v>173</v>
      </c>
      <c r="M14" s="12">
        <v>305</v>
      </c>
      <c r="N14" s="12">
        <v>236</v>
      </c>
      <c r="O14" s="12">
        <v>302</v>
      </c>
      <c r="P14" s="12">
        <v>368</v>
      </c>
      <c r="Q14" s="12">
        <v>433</v>
      </c>
      <c r="R14" s="12">
        <v>79</v>
      </c>
      <c r="S14" s="12">
        <v>292</v>
      </c>
      <c r="T14" s="12">
        <v>229</v>
      </c>
      <c r="U14" s="12">
        <v>108</v>
      </c>
      <c r="V14" s="12">
        <v>386</v>
      </c>
      <c r="W14" s="12">
        <v>100</v>
      </c>
      <c r="X14" s="12">
        <v>287</v>
      </c>
      <c r="Y14" s="12">
        <v>339</v>
      </c>
      <c r="Z14" s="12">
        <v>409</v>
      </c>
      <c r="AA14" s="12">
        <v>391</v>
      </c>
      <c r="AB14" s="12">
        <v>454</v>
      </c>
      <c r="AC14" s="12">
        <v>339</v>
      </c>
      <c r="AD14" s="12">
        <v>385</v>
      </c>
      <c r="AE14" s="12">
        <v>236</v>
      </c>
      <c r="AF14" s="12">
        <v>134</v>
      </c>
    </row>
    <row r="15" spans="1:32">
      <c r="A15" s="23"/>
      <c r="B15" s="13" t="s">
        <v>1040</v>
      </c>
      <c r="C15" s="14">
        <v>0.34</v>
      </c>
      <c r="D15" s="14">
        <v>0.37</v>
      </c>
      <c r="E15" s="14">
        <v>0.31</v>
      </c>
      <c r="F15" s="14">
        <v>0.47</v>
      </c>
      <c r="G15" s="14">
        <v>0.28000000000000003</v>
      </c>
      <c r="H15" s="14">
        <v>0.37</v>
      </c>
      <c r="I15" s="14">
        <v>0.36</v>
      </c>
      <c r="J15" s="14">
        <v>0.32</v>
      </c>
      <c r="K15" s="14">
        <v>0.31</v>
      </c>
      <c r="L15" s="14">
        <v>0.17</v>
      </c>
      <c r="M15" s="14">
        <v>0.3</v>
      </c>
      <c r="N15" s="14">
        <v>0.24</v>
      </c>
      <c r="O15" s="14">
        <v>0.3</v>
      </c>
      <c r="P15" s="14">
        <v>0.36</v>
      </c>
      <c r="Q15" s="14">
        <v>0.42</v>
      </c>
      <c r="R15" s="14">
        <v>0.16</v>
      </c>
      <c r="S15" s="14">
        <v>0.28999999999999998</v>
      </c>
      <c r="T15" s="14">
        <v>0.23</v>
      </c>
      <c r="U15" s="14">
        <v>0.21</v>
      </c>
      <c r="V15" s="14">
        <v>0.38</v>
      </c>
      <c r="W15" s="14">
        <v>0.2</v>
      </c>
      <c r="X15" s="14">
        <v>0.28000000000000003</v>
      </c>
      <c r="Y15" s="14">
        <v>0.34</v>
      </c>
      <c r="Z15" s="14">
        <v>0.4</v>
      </c>
      <c r="AA15" s="14">
        <v>0.38</v>
      </c>
      <c r="AB15" s="14">
        <v>0.44</v>
      </c>
      <c r="AC15" s="14">
        <v>0.34</v>
      </c>
      <c r="AD15" s="14">
        <v>0.38</v>
      </c>
      <c r="AE15" s="14">
        <v>0.23</v>
      </c>
      <c r="AF15" s="14">
        <v>0.13</v>
      </c>
    </row>
    <row r="16" spans="1:32">
      <c r="A16" s="23"/>
      <c r="B16" s="11" t="s">
        <v>1041</v>
      </c>
      <c r="C16" s="12">
        <v>2296</v>
      </c>
      <c r="D16" s="12">
        <v>93</v>
      </c>
      <c r="E16" s="12">
        <v>67</v>
      </c>
      <c r="F16" s="12">
        <v>94</v>
      </c>
      <c r="G16" s="12">
        <v>59</v>
      </c>
      <c r="H16" s="12">
        <v>104</v>
      </c>
      <c r="I16" s="12">
        <v>159</v>
      </c>
      <c r="J16" s="12">
        <v>55</v>
      </c>
      <c r="K16" s="12">
        <v>113</v>
      </c>
      <c r="L16" s="12">
        <v>39</v>
      </c>
      <c r="M16" s="12">
        <v>29</v>
      </c>
      <c r="N16" s="12">
        <v>56</v>
      </c>
      <c r="O16" s="12">
        <v>84</v>
      </c>
      <c r="P16" s="12">
        <v>70</v>
      </c>
      <c r="Q16" s="12">
        <v>87</v>
      </c>
      <c r="R16" s="12">
        <v>26</v>
      </c>
      <c r="S16" s="12">
        <v>79</v>
      </c>
      <c r="T16" s="12">
        <v>66</v>
      </c>
      <c r="U16" s="12">
        <v>14</v>
      </c>
      <c r="V16" s="12">
        <v>79</v>
      </c>
      <c r="W16" s="12">
        <v>13</v>
      </c>
      <c r="X16" s="12">
        <v>88</v>
      </c>
      <c r="Y16" s="12">
        <v>68</v>
      </c>
      <c r="Z16" s="12">
        <v>138</v>
      </c>
      <c r="AA16" s="12">
        <v>74</v>
      </c>
      <c r="AB16" s="12">
        <v>150</v>
      </c>
      <c r="AC16" s="12">
        <v>76</v>
      </c>
      <c r="AD16" s="12">
        <v>89</v>
      </c>
      <c r="AE16" s="12">
        <v>42</v>
      </c>
      <c r="AF16" s="12">
        <v>37</v>
      </c>
    </row>
    <row r="17" spans="1:32">
      <c r="A17" s="23"/>
      <c r="B17" s="13" t="s">
        <v>1042</v>
      </c>
      <c r="C17" s="14">
        <v>0.09</v>
      </c>
      <c r="D17" s="14">
        <v>0.09</v>
      </c>
      <c r="E17" s="14">
        <v>0.06</v>
      </c>
      <c r="F17" s="14">
        <v>0.09</v>
      </c>
      <c r="G17" s="14">
        <v>0.06</v>
      </c>
      <c r="H17" s="14">
        <v>0.08</v>
      </c>
      <c r="I17" s="14">
        <v>0.1</v>
      </c>
      <c r="J17" s="14">
        <v>0.19</v>
      </c>
      <c r="K17" s="14">
        <v>0.11</v>
      </c>
      <c r="L17" s="14">
        <v>0.04</v>
      </c>
      <c r="M17" s="14">
        <v>0.03</v>
      </c>
      <c r="N17" s="14">
        <v>0.05</v>
      </c>
      <c r="O17" s="14">
        <v>0.08</v>
      </c>
      <c r="P17" s="14">
        <v>7.0000000000000007E-2</v>
      </c>
      <c r="Q17" s="14">
        <v>0.08</v>
      </c>
      <c r="R17" s="14">
        <v>0.05</v>
      </c>
      <c r="S17" s="14">
        <v>0.08</v>
      </c>
      <c r="T17" s="14">
        <v>0.06</v>
      </c>
      <c r="U17" s="14">
        <v>0.03</v>
      </c>
      <c r="V17" s="14">
        <v>0.08</v>
      </c>
      <c r="W17" s="14">
        <v>0.03</v>
      </c>
      <c r="X17" s="14">
        <v>0.09</v>
      </c>
      <c r="Y17" s="14">
        <v>7.0000000000000007E-2</v>
      </c>
      <c r="Z17" s="14">
        <v>0.14000000000000001</v>
      </c>
      <c r="AA17" s="14">
        <v>7.0000000000000007E-2</v>
      </c>
      <c r="AB17" s="14">
        <v>0.15</v>
      </c>
      <c r="AC17" s="14">
        <v>7.0000000000000007E-2</v>
      </c>
      <c r="AD17" s="14">
        <v>0.09</v>
      </c>
      <c r="AE17" s="14">
        <v>0.04</v>
      </c>
      <c r="AF17" s="14">
        <v>0.03</v>
      </c>
    </row>
    <row r="18" spans="1:32">
      <c r="A18" s="23"/>
      <c r="B18" s="11" t="s">
        <v>1043</v>
      </c>
      <c r="C18" s="12">
        <v>604</v>
      </c>
      <c r="D18" s="12">
        <v>15</v>
      </c>
      <c r="E18" s="12">
        <v>8</v>
      </c>
      <c r="F18" s="12">
        <v>29</v>
      </c>
      <c r="G18" s="12">
        <v>17</v>
      </c>
      <c r="H18" s="12">
        <v>35</v>
      </c>
      <c r="I18" s="12">
        <v>46</v>
      </c>
      <c r="J18" s="12">
        <v>10</v>
      </c>
      <c r="K18" s="12">
        <v>24</v>
      </c>
      <c r="L18" s="12">
        <v>6</v>
      </c>
      <c r="M18" s="12">
        <v>9</v>
      </c>
      <c r="N18" s="12">
        <v>16</v>
      </c>
      <c r="O18" s="12">
        <v>28</v>
      </c>
      <c r="P18" s="12">
        <v>14</v>
      </c>
      <c r="Q18" s="12">
        <v>17</v>
      </c>
      <c r="R18" s="12">
        <v>8</v>
      </c>
      <c r="S18" s="12">
        <v>12</v>
      </c>
      <c r="T18" s="12">
        <v>8</v>
      </c>
      <c r="U18" s="12">
        <v>4</v>
      </c>
      <c r="V18" s="12">
        <v>6</v>
      </c>
      <c r="W18" s="12">
        <v>3</v>
      </c>
      <c r="X18" s="12">
        <v>27</v>
      </c>
      <c r="Y18" s="12">
        <v>14</v>
      </c>
      <c r="Z18" s="12">
        <v>28</v>
      </c>
      <c r="AA18" s="12">
        <v>43</v>
      </c>
      <c r="AB18" s="12">
        <v>36</v>
      </c>
      <c r="AC18" s="12">
        <v>22</v>
      </c>
      <c r="AD18" s="12">
        <v>8</v>
      </c>
      <c r="AE18" s="12">
        <v>7</v>
      </c>
      <c r="AF18" s="12">
        <v>22</v>
      </c>
    </row>
    <row r="19" spans="1:32">
      <c r="A19" s="23"/>
      <c r="B19" s="13" t="s">
        <v>1044</v>
      </c>
      <c r="C19" s="14">
        <v>0.02</v>
      </c>
      <c r="D19" s="14">
        <v>0.02</v>
      </c>
      <c r="E19" s="14">
        <v>0.01</v>
      </c>
      <c r="F19" s="14">
        <v>0.03</v>
      </c>
      <c r="G19" s="14">
        <v>0.02</v>
      </c>
      <c r="H19" s="14">
        <v>0.03</v>
      </c>
      <c r="I19" s="14">
        <v>0.03</v>
      </c>
      <c r="J19" s="14">
        <v>0.03</v>
      </c>
      <c r="K19" s="14">
        <v>0.02</v>
      </c>
      <c r="L19" s="14">
        <v>0.01</v>
      </c>
      <c r="M19" s="14">
        <v>0.01</v>
      </c>
      <c r="N19" s="14">
        <v>0.02</v>
      </c>
      <c r="O19" s="14">
        <v>0.03</v>
      </c>
      <c r="P19" s="14">
        <v>0.01</v>
      </c>
      <c r="Q19" s="14">
        <v>0.02</v>
      </c>
      <c r="R19" s="14">
        <v>0.02</v>
      </c>
      <c r="S19" s="14">
        <v>0.01</v>
      </c>
      <c r="T19" s="14">
        <v>0.01</v>
      </c>
      <c r="U19" s="14">
        <v>0.01</v>
      </c>
      <c r="V19" s="15" t="s">
        <v>485</v>
      </c>
      <c r="W19" s="14">
        <v>0.01</v>
      </c>
      <c r="X19" s="14">
        <v>0.03</v>
      </c>
      <c r="Y19" s="14">
        <v>0.01</v>
      </c>
      <c r="Z19" s="14">
        <v>0.03</v>
      </c>
      <c r="AA19" s="14">
        <v>0.04</v>
      </c>
      <c r="AB19" s="14">
        <v>0.03</v>
      </c>
      <c r="AC19" s="14">
        <v>0.02</v>
      </c>
      <c r="AD19" s="14">
        <v>0.01</v>
      </c>
      <c r="AE19" s="14">
        <v>0.01</v>
      </c>
      <c r="AF19" s="14">
        <v>0.02</v>
      </c>
    </row>
    <row r="20" spans="1:32">
      <c r="A20" s="23"/>
      <c r="B20" s="11" t="s">
        <v>497</v>
      </c>
      <c r="C20" s="12">
        <v>658</v>
      </c>
      <c r="D20" s="12">
        <v>19</v>
      </c>
      <c r="E20" s="12">
        <v>45</v>
      </c>
      <c r="F20" s="12">
        <v>32</v>
      </c>
      <c r="G20" s="12">
        <v>45</v>
      </c>
      <c r="H20" s="12">
        <v>37</v>
      </c>
      <c r="I20" s="12">
        <v>45</v>
      </c>
      <c r="J20" s="12">
        <v>8</v>
      </c>
      <c r="K20" s="12">
        <v>56</v>
      </c>
      <c r="L20" s="12">
        <v>12</v>
      </c>
      <c r="M20" s="12">
        <v>2</v>
      </c>
      <c r="N20" s="12">
        <v>32</v>
      </c>
      <c r="O20" s="12">
        <v>27</v>
      </c>
      <c r="P20" s="12">
        <v>6</v>
      </c>
      <c r="Q20" s="12">
        <v>32</v>
      </c>
      <c r="R20" s="12">
        <v>2</v>
      </c>
      <c r="S20" s="12">
        <v>47</v>
      </c>
      <c r="T20" s="12">
        <v>16</v>
      </c>
      <c r="U20" s="12">
        <v>9</v>
      </c>
      <c r="V20" s="12">
        <v>6</v>
      </c>
      <c r="W20" s="12">
        <v>3</v>
      </c>
      <c r="X20" s="12">
        <v>6</v>
      </c>
      <c r="Y20" s="12">
        <v>31</v>
      </c>
      <c r="Z20" s="12">
        <v>22</v>
      </c>
      <c r="AA20" s="12">
        <v>9</v>
      </c>
      <c r="AB20" s="12">
        <v>22</v>
      </c>
      <c r="AC20" s="12">
        <v>18</v>
      </c>
      <c r="AD20" s="12">
        <v>7</v>
      </c>
      <c r="AE20" s="12">
        <v>11</v>
      </c>
      <c r="AF20" s="12">
        <v>10</v>
      </c>
    </row>
    <row r="21" spans="1:32">
      <c r="A21" s="23"/>
      <c r="B21" s="13" t="s">
        <v>498</v>
      </c>
      <c r="C21" s="14">
        <v>0.02</v>
      </c>
      <c r="D21" s="14">
        <v>0.02</v>
      </c>
      <c r="E21" s="14">
        <v>0.04</v>
      </c>
      <c r="F21" s="14">
        <v>0.03</v>
      </c>
      <c r="G21" s="14">
        <v>0.04</v>
      </c>
      <c r="H21" s="14">
        <v>0.03</v>
      </c>
      <c r="I21" s="14">
        <v>0.03</v>
      </c>
      <c r="J21" s="14">
        <v>0.03</v>
      </c>
      <c r="K21" s="14">
        <v>0.06</v>
      </c>
      <c r="L21" s="14">
        <v>0.01</v>
      </c>
      <c r="M21" s="15" t="s">
        <v>485</v>
      </c>
      <c r="N21" s="14">
        <v>0.03</v>
      </c>
      <c r="O21" s="14">
        <v>0.03</v>
      </c>
      <c r="P21" s="14">
        <v>0.01</v>
      </c>
      <c r="Q21" s="14">
        <v>0.03</v>
      </c>
      <c r="R21" s="15" t="s">
        <v>485</v>
      </c>
      <c r="S21" s="14">
        <v>0.05</v>
      </c>
      <c r="T21" s="14">
        <v>0.02</v>
      </c>
      <c r="U21" s="14">
        <v>0.02</v>
      </c>
      <c r="V21" s="14">
        <v>0.01</v>
      </c>
      <c r="W21" s="15" t="s">
        <v>485</v>
      </c>
      <c r="X21" s="15" t="s">
        <v>485</v>
      </c>
      <c r="Y21" s="14">
        <v>0.03</v>
      </c>
      <c r="Z21" s="14">
        <v>0.02</v>
      </c>
      <c r="AA21" s="14">
        <v>0.01</v>
      </c>
      <c r="AB21" s="14">
        <v>0.02</v>
      </c>
      <c r="AC21" s="14">
        <v>0.02</v>
      </c>
      <c r="AD21" s="14">
        <v>0.01</v>
      </c>
      <c r="AE21" s="14">
        <v>0.01</v>
      </c>
      <c r="AF21" s="14">
        <v>0.01</v>
      </c>
    </row>
    <row r="22" spans="1:32">
      <c r="A22" s="23"/>
      <c r="B22" s="11" t="s">
        <v>1045</v>
      </c>
      <c r="C22" s="12">
        <v>22796</v>
      </c>
      <c r="D22" s="12">
        <v>878</v>
      </c>
      <c r="E22" s="12">
        <v>924</v>
      </c>
      <c r="F22" s="12">
        <v>852</v>
      </c>
      <c r="G22" s="12">
        <v>881</v>
      </c>
      <c r="H22" s="12">
        <v>1034</v>
      </c>
      <c r="I22" s="12">
        <v>1255</v>
      </c>
      <c r="J22" s="12">
        <v>221</v>
      </c>
      <c r="K22" s="12">
        <v>811</v>
      </c>
      <c r="L22" s="12">
        <v>950</v>
      </c>
      <c r="M22" s="12">
        <v>970</v>
      </c>
      <c r="N22" s="12">
        <v>895</v>
      </c>
      <c r="O22" s="12">
        <v>866</v>
      </c>
      <c r="P22" s="12">
        <v>921</v>
      </c>
      <c r="Q22" s="12">
        <v>888</v>
      </c>
      <c r="R22" s="12">
        <v>466</v>
      </c>
      <c r="S22" s="12">
        <v>866</v>
      </c>
      <c r="T22" s="12">
        <v>913</v>
      </c>
      <c r="U22" s="12">
        <v>476</v>
      </c>
      <c r="V22" s="12">
        <v>921</v>
      </c>
      <c r="W22" s="12">
        <v>485</v>
      </c>
      <c r="X22" s="12">
        <v>895</v>
      </c>
      <c r="Y22" s="12">
        <v>894</v>
      </c>
      <c r="Z22" s="12">
        <v>830</v>
      </c>
      <c r="AA22" s="12">
        <v>914</v>
      </c>
      <c r="AB22" s="12">
        <v>822</v>
      </c>
      <c r="AC22" s="12">
        <v>890</v>
      </c>
      <c r="AD22" s="12">
        <v>898</v>
      </c>
      <c r="AE22" s="12">
        <v>948</v>
      </c>
      <c r="AF22" s="12">
        <v>1004</v>
      </c>
    </row>
    <row r="23" spans="1:32">
      <c r="A23" s="23"/>
      <c r="B23" s="13" t="s">
        <v>1046</v>
      </c>
      <c r="C23" s="14">
        <v>0.87</v>
      </c>
      <c r="D23" s="14">
        <v>0.87</v>
      </c>
      <c r="E23" s="14">
        <v>0.89</v>
      </c>
      <c r="F23" s="14">
        <v>0.85</v>
      </c>
      <c r="G23" s="14">
        <v>0.88</v>
      </c>
      <c r="H23" s="14">
        <v>0.86</v>
      </c>
      <c r="I23" s="14">
        <v>0.84</v>
      </c>
      <c r="J23" s="14">
        <v>0.75</v>
      </c>
      <c r="K23" s="14">
        <v>0.81</v>
      </c>
      <c r="L23" s="14">
        <v>0.94000000000000006</v>
      </c>
      <c r="M23" s="14">
        <v>0.96</v>
      </c>
      <c r="N23" s="14">
        <v>0.9</v>
      </c>
      <c r="O23" s="14">
        <v>0.86</v>
      </c>
      <c r="P23" s="14">
        <v>0.91</v>
      </c>
      <c r="Q23" s="14">
        <v>0.87</v>
      </c>
      <c r="R23" s="14">
        <v>0.93</v>
      </c>
      <c r="S23" s="14">
        <v>0.86</v>
      </c>
      <c r="T23" s="14">
        <v>0.91</v>
      </c>
      <c r="U23" s="14">
        <v>0.94000000000000006</v>
      </c>
      <c r="V23" s="14">
        <v>0.91</v>
      </c>
      <c r="W23" s="14">
        <v>0.96</v>
      </c>
      <c r="X23" s="14">
        <v>0.88</v>
      </c>
      <c r="Y23" s="14">
        <v>0.89</v>
      </c>
      <c r="Z23" s="14">
        <v>0.81</v>
      </c>
      <c r="AA23" s="14">
        <v>0.88</v>
      </c>
      <c r="AB23" s="14">
        <v>0.8</v>
      </c>
      <c r="AC23" s="14">
        <v>0.89</v>
      </c>
      <c r="AD23" s="14">
        <v>0.89</v>
      </c>
      <c r="AE23" s="14">
        <v>0.94000000000000006</v>
      </c>
      <c r="AF23" s="14">
        <v>0.94000000000000006</v>
      </c>
    </row>
    <row r="24" spans="1:32">
      <c r="A24" s="23"/>
      <c r="B24" s="11" t="s">
        <v>1047</v>
      </c>
      <c r="C24" s="12">
        <v>2900</v>
      </c>
      <c r="D24" s="12">
        <v>108</v>
      </c>
      <c r="E24" s="12">
        <v>75</v>
      </c>
      <c r="F24" s="12">
        <v>123</v>
      </c>
      <c r="G24" s="12">
        <v>76</v>
      </c>
      <c r="H24" s="12">
        <v>139</v>
      </c>
      <c r="I24" s="12">
        <v>205</v>
      </c>
      <c r="J24" s="12">
        <v>65</v>
      </c>
      <c r="K24" s="12">
        <v>137</v>
      </c>
      <c r="L24" s="12">
        <v>45</v>
      </c>
      <c r="M24" s="12">
        <v>38</v>
      </c>
      <c r="N24" s="12">
        <v>72</v>
      </c>
      <c r="O24" s="12">
        <v>112</v>
      </c>
      <c r="P24" s="12">
        <v>84</v>
      </c>
      <c r="Q24" s="12">
        <v>104</v>
      </c>
      <c r="R24" s="12">
        <v>34</v>
      </c>
      <c r="S24" s="12">
        <v>91</v>
      </c>
      <c r="T24" s="12">
        <v>74</v>
      </c>
      <c r="U24" s="12">
        <v>18</v>
      </c>
      <c r="V24" s="12">
        <v>85</v>
      </c>
      <c r="W24" s="12">
        <v>16</v>
      </c>
      <c r="X24" s="12">
        <v>115</v>
      </c>
      <c r="Y24" s="12">
        <v>82</v>
      </c>
      <c r="Z24" s="12">
        <v>166</v>
      </c>
      <c r="AA24" s="12">
        <v>117</v>
      </c>
      <c r="AB24" s="12">
        <v>186</v>
      </c>
      <c r="AC24" s="12">
        <v>98</v>
      </c>
      <c r="AD24" s="12">
        <v>97</v>
      </c>
      <c r="AE24" s="12">
        <v>49</v>
      </c>
      <c r="AF24" s="12">
        <v>59</v>
      </c>
    </row>
    <row r="25" spans="1:32">
      <c r="A25" s="23"/>
      <c r="B25" s="13" t="s">
        <v>1048</v>
      </c>
      <c r="C25" s="14">
        <v>0.11</v>
      </c>
      <c r="D25" s="14">
        <v>0.11</v>
      </c>
      <c r="E25" s="14">
        <v>7.0000000000000007E-2</v>
      </c>
      <c r="F25" s="14">
        <v>0.12</v>
      </c>
      <c r="G25" s="14">
        <v>0.08</v>
      </c>
      <c r="H25" s="14">
        <v>0.11</v>
      </c>
      <c r="I25" s="14">
        <v>0.13</v>
      </c>
      <c r="J25" s="14">
        <v>0.22</v>
      </c>
      <c r="K25" s="14">
        <v>0.13</v>
      </c>
      <c r="L25" s="14">
        <v>0.05</v>
      </c>
      <c r="M25" s="14">
        <v>0.04</v>
      </c>
      <c r="N25" s="14">
        <v>7.0000000000000007E-2</v>
      </c>
      <c r="O25" s="14">
        <v>0.11</v>
      </c>
      <c r="P25" s="14">
        <v>0.08</v>
      </c>
      <c r="Q25" s="14">
        <v>0.1</v>
      </c>
      <c r="R25" s="14">
        <v>7.0000000000000007E-2</v>
      </c>
      <c r="S25" s="14">
        <v>0.09</v>
      </c>
      <c r="T25" s="14">
        <v>7.0000000000000007E-2</v>
      </c>
      <c r="U25" s="14">
        <v>0.04</v>
      </c>
      <c r="V25" s="14">
        <v>0.08</v>
      </c>
      <c r="W25" s="14">
        <v>0.04</v>
      </c>
      <c r="X25" s="14">
        <v>0.12</v>
      </c>
      <c r="Y25" s="14">
        <v>0.08</v>
      </c>
      <c r="Z25" s="14">
        <v>0.17</v>
      </c>
      <c r="AA25" s="14">
        <v>0.11</v>
      </c>
      <c r="AB25" s="14">
        <v>0.18</v>
      </c>
      <c r="AC25" s="14">
        <v>0.09</v>
      </c>
      <c r="AD25" s="14">
        <v>0.1</v>
      </c>
      <c r="AE25" s="14">
        <v>0.05</v>
      </c>
      <c r="AF25" s="14">
        <v>0.05</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AF1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12" customHeight="1">
      <c r="B3" s="19" t="s">
        <v>181</v>
      </c>
      <c r="C3" s="19"/>
      <c r="D3" s="19"/>
      <c r="E3" s="19"/>
      <c r="F3" s="19"/>
      <c r="H3" s="19" t="s">
        <v>182</v>
      </c>
      <c r="I3" s="19"/>
      <c r="J3" s="19"/>
      <c r="K3" s="19"/>
      <c r="L3" s="19"/>
    </row>
    <row r="4" spans="1:32" ht="27" customHeight="1">
      <c r="B4" s="19"/>
      <c r="C4" s="19"/>
      <c r="D4" s="19"/>
      <c r="E4" s="19"/>
      <c r="F4" s="19"/>
      <c r="H4" s="19"/>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HYPERLINK("#Content!A92","&lt;&lt;Back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1109</v>
      </c>
      <c r="C12" s="12">
        <v>10802</v>
      </c>
      <c r="D12" s="12">
        <v>320</v>
      </c>
      <c r="E12" s="12">
        <v>84</v>
      </c>
      <c r="F12" s="12">
        <v>46</v>
      </c>
      <c r="G12" s="12">
        <v>62</v>
      </c>
      <c r="H12" s="12">
        <v>773</v>
      </c>
      <c r="I12" s="12">
        <v>970</v>
      </c>
      <c r="J12" s="12">
        <v>198</v>
      </c>
      <c r="K12" s="12">
        <v>141</v>
      </c>
      <c r="L12" s="12">
        <v>228</v>
      </c>
      <c r="M12" s="12">
        <v>826</v>
      </c>
      <c r="N12" s="12">
        <v>482</v>
      </c>
      <c r="O12" s="12">
        <v>545</v>
      </c>
      <c r="P12" s="12">
        <v>507</v>
      </c>
      <c r="Q12" s="12">
        <v>427</v>
      </c>
      <c r="R12" s="12">
        <v>169</v>
      </c>
      <c r="S12" s="12">
        <v>27</v>
      </c>
      <c r="T12" s="12">
        <v>69</v>
      </c>
      <c r="U12" s="12">
        <v>236</v>
      </c>
      <c r="V12" s="12">
        <v>267</v>
      </c>
      <c r="W12" s="12">
        <v>351</v>
      </c>
      <c r="X12" s="12">
        <v>440</v>
      </c>
      <c r="Y12" s="12">
        <v>239</v>
      </c>
      <c r="Z12" s="12">
        <v>79</v>
      </c>
      <c r="AA12" s="12">
        <v>684</v>
      </c>
      <c r="AB12" s="12">
        <v>74</v>
      </c>
      <c r="AC12" s="12">
        <v>312</v>
      </c>
      <c r="AD12" s="12">
        <v>119</v>
      </c>
      <c r="AE12" s="12">
        <v>37</v>
      </c>
      <c r="AF12" s="12">
        <v>113</v>
      </c>
    </row>
    <row r="13" spans="1:32">
      <c r="A13" s="23"/>
      <c r="B13" s="13" t="s">
        <v>1110</v>
      </c>
      <c r="C13" s="14">
        <v>0.41</v>
      </c>
      <c r="D13" s="14">
        <v>0.32</v>
      </c>
      <c r="E13" s="14">
        <v>0.08</v>
      </c>
      <c r="F13" s="14">
        <v>0.05</v>
      </c>
      <c r="G13" s="14">
        <v>0.06</v>
      </c>
      <c r="H13" s="14">
        <v>0.64</v>
      </c>
      <c r="I13" s="14">
        <v>0.65</v>
      </c>
      <c r="J13" s="14">
        <v>0.67</v>
      </c>
      <c r="K13" s="14">
        <v>0.14000000000000001</v>
      </c>
      <c r="L13" s="14">
        <v>0.23</v>
      </c>
      <c r="M13" s="14">
        <v>0.82000000000000006</v>
      </c>
      <c r="N13" s="14">
        <v>0.48</v>
      </c>
      <c r="O13" s="14">
        <v>0.54</v>
      </c>
      <c r="P13" s="14">
        <v>0.5</v>
      </c>
      <c r="Q13" s="14">
        <v>0.42</v>
      </c>
      <c r="R13" s="14">
        <v>0.34</v>
      </c>
      <c r="S13" s="14">
        <v>0.03</v>
      </c>
      <c r="T13" s="14">
        <v>7.0000000000000007E-2</v>
      </c>
      <c r="U13" s="14">
        <v>0.47</v>
      </c>
      <c r="V13" s="14">
        <v>0.26</v>
      </c>
      <c r="W13" s="14">
        <v>0.70000000000000007</v>
      </c>
      <c r="X13" s="14">
        <v>0.43</v>
      </c>
      <c r="Y13" s="14">
        <v>0.24</v>
      </c>
      <c r="Z13" s="14">
        <v>0.08</v>
      </c>
      <c r="AA13" s="14">
        <v>0.66</v>
      </c>
      <c r="AB13" s="14">
        <v>7.0000000000000007E-2</v>
      </c>
      <c r="AC13" s="14">
        <v>0.31</v>
      </c>
      <c r="AD13" s="14">
        <v>0.12</v>
      </c>
      <c r="AE13" s="14">
        <v>0.04</v>
      </c>
      <c r="AF13" s="14">
        <v>0.11</v>
      </c>
    </row>
    <row r="14" spans="1:32">
      <c r="A14" s="23"/>
      <c r="B14" s="11" t="s">
        <v>1111</v>
      </c>
      <c r="C14" s="12">
        <v>15552</v>
      </c>
      <c r="D14" s="12">
        <v>686</v>
      </c>
      <c r="E14" s="12">
        <v>960</v>
      </c>
      <c r="F14" s="12">
        <v>961</v>
      </c>
      <c r="G14" s="12">
        <v>941</v>
      </c>
      <c r="H14" s="12">
        <v>438</v>
      </c>
      <c r="I14" s="12">
        <v>534</v>
      </c>
      <c r="J14" s="12">
        <v>96</v>
      </c>
      <c r="K14" s="12">
        <v>863</v>
      </c>
      <c r="L14" s="12">
        <v>779</v>
      </c>
      <c r="M14" s="12">
        <v>185</v>
      </c>
      <c r="N14" s="12">
        <v>518</v>
      </c>
      <c r="O14" s="12">
        <v>461</v>
      </c>
      <c r="P14" s="12">
        <v>504</v>
      </c>
      <c r="Q14" s="12">
        <v>597</v>
      </c>
      <c r="R14" s="12">
        <v>333</v>
      </c>
      <c r="S14" s="12">
        <v>978</v>
      </c>
      <c r="T14" s="12">
        <v>935</v>
      </c>
      <c r="U14" s="12">
        <v>267</v>
      </c>
      <c r="V14" s="12">
        <v>744</v>
      </c>
      <c r="W14" s="12">
        <v>152</v>
      </c>
      <c r="X14" s="12">
        <v>576</v>
      </c>
      <c r="Y14" s="12">
        <v>768</v>
      </c>
      <c r="Z14" s="12">
        <v>938</v>
      </c>
      <c r="AA14" s="12">
        <v>356</v>
      </c>
      <c r="AB14" s="12">
        <v>957</v>
      </c>
      <c r="AC14" s="12">
        <v>693</v>
      </c>
      <c r="AD14" s="12">
        <v>883</v>
      </c>
      <c r="AE14" s="12">
        <v>971</v>
      </c>
      <c r="AF14" s="12">
        <v>960</v>
      </c>
    </row>
    <row r="15" spans="1:32">
      <c r="A15" s="23"/>
      <c r="B15" s="13" t="s">
        <v>1112</v>
      </c>
      <c r="C15" s="14">
        <v>0.59</v>
      </c>
      <c r="D15" s="14">
        <v>0.68</v>
      </c>
      <c r="E15" s="14">
        <v>0.92</v>
      </c>
      <c r="F15" s="14">
        <v>0.95000000000000007</v>
      </c>
      <c r="G15" s="14">
        <v>0.94000000000000006</v>
      </c>
      <c r="H15" s="14">
        <v>0.36</v>
      </c>
      <c r="I15" s="14">
        <v>0.35</v>
      </c>
      <c r="J15" s="14">
        <v>0.33</v>
      </c>
      <c r="K15" s="14">
        <v>0.86</v>
      </c>
      <c r="L15" s="14">
        <v>0.77</v>
      </c>
      <c r="M15" s="14">
        <v>0.18</v>
      </c>
      <c r="N15" s="14">
        <v>0.52</v>
      </c>
      <c r="O15" s="14">
        <v>0.46</v>
      </c>
      <c r="P15" s="14">
        <v>0.5</v>
      </c>
      <c r="Q15" s="14">
        <v>0.57999999999999996</v>
      </c>
      <c r="R15" s="14">
        <v>0.66</v>
      </c>
      <c r="S15" s="14">
        <v>0.97</v>
      </c>
      <c r="T15" s="14">
        <v>0.93</v>
      </c>
      <c r="U15" s="14">
        <v>0.53</v>
      </c>
      <c r="V15" s="14">
        <v>0.74</v>
      </c>
      <c r="W15" s="14">
        <v>0.3</v>
      </c>
      <c r="X15" s="14">
        <v>0.57000000000000006</v>
      </c>
      <c r="Y15" s="14">
        <v>0.76</v>
      </c>
      <c r="Z15" s="14">
        <v>0.92</v>
      </c>
      <c r="AA15" s="14">
        <v>0.34</v>
      </c>
      <c r="AB15" s="14">
        <v>0.93</v>
      </c>
      <c r="AC15" s="14">
        <v>0.69000000000000006</v>
      </c>
      <c r="AD15" s="14">
        <v>0.88</v>
      </c>
      <c r="AE15" s="14">
        <v>0.96</v>
      </c>
      <c r="AF15" s="14">
        <v>0.89</v>
      </c>
    </row>
  </sheetData>
  <mergeCells count="9">
    <mergeCell ref="H3:L3"/>
    <mergeCell ref="C8:AF8"/>
    <mergeCell ref="B3:F3"/>
    <mergeCell ref="B5:F5"/>
    <mergeCell ref="A10:A15"/>
    <mergeCell ref="H5:L5"/>
    <mergeCell ref="B10:B11"/>
    <mergeCell ref="H4:L4"/>
    <mergeCell ref="B4:F4"/>
  </mergeCells>
  <pageMargins left="0.75" right="0.75" top="1" bottom="1" header="0.5" footer="0.5"/>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AF1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12" customHeight="1">
      <c r="B3" s="19" t="s">
        <v>183</v>
      </c>
      <c r="C3" s="19"/>
      <c r="D3" s="19"/>
      <c r="E3" s="19"/>
      <c r="F3" s="19"/>
      <c r="H3" s="19" t="s">
        <v>184</v>
      </c>
      <c r="I3" s="19"/>
      <c r="J3" s="19"/>
      <c r="K3" s="19"/>
      <c r="L3" s="19"/>
    </row>
    <row r="4" spans="1:32" ht="27" customHeight="1">
      <c r="B4" s="19"/>
      <c r="C4" s="19"/>
      <c r="D4" s="19"/>
      <c r="E4" s="19"/>
      <c r="F4" s="19"/>
      <c r="H4" s="19"/>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HYPERLINK("#Content!A93","&lt;&lt;Back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1109</v>
      </c>
      <c r="C12" s="12">
        <v>25544</v>
      </c>
      <c r="D12" s="12">
        <v>971</v>
      </c>
      <c r="E12" s="12">
        <v>1006</v>
      </c>
      <c r="F12" s="12">
        <v>979</v>
      </c>
      <c r="G12" s="12">
        <v>996</v>
      </c>
      <c r="H12" s="12">
        <v>1160</v>
      </c>
      <c r="I12" s="12">
        <v>1443</v>
      </c>
      <c r="J12" s="12">
        <v>283</v>
      </c>
      <c r="K12" s="12">
        <v>981</v>
      </c>
      <c r="L12" s="12">
        <v>977</v>
      </c>
      <c r="M12" s="12">
        <v>980</v>
      </c>
      <c r="N12" s="12">
        <v>975</v>
      </c>
      <c r="O12" s="12">
        <v>967</v>
      </c>
      <c r="P12" s="12">
        <v>975</v>
      </c>
      <c r="Q12" s="12">
        <v>990</v>
      </c>
      <c r="R12" s="12">
        <v>493</v>
      </c>
      <c r="S12" s="12">
        <v>997</v>
      </c>
      <c r="T12" s="12">
        <v>980</v>
      </c>
      <c r="U12" s="12">
        <v>495</v>
      </c>
      <c r="V12" s="12">
        <v>969</v>
      </c>
      <c r="W12" s="12">
        <v>495</v>
      </c>
      <c r="X12" s="12">
        <v>1009</v>
      </c>
      <c r="Y12" s="12">
        <v>983</v>
      </c>
      <c r="Z12" s="12">
        <v>986</v>
      </c>
      <c r="AA12" s="12">
        <v>1006</v>
      </c>
      <c r="AB12" s="12">
        <v>1008</v>
      </c>
      <c r="AC12" s="12">
        <v>988</v>
      </c>
      <c r="AD12" s="12">
        <v>990</v>
      </c>
      <c r="AE12" s="12">
        <v>1001</v>
      </c>
      <c r="AF12" s="12">
        <v>1069</v>
      </c>
    </row>
    <row r="13" spans="1:32">
      <c r="A13" s="23"/>
      <c r="B13" s="13" t="s">
        <v>1110</v>
      </c>
      <c r="C13" s="14">
        <v>0.97</v>
      </c>
      <c r="D13" s="14">
        <v>0.96</v>
      </c>
      <c r="E13" s="14">
        <v>0.96</v>
      </c>
      <c r="F13" s="14">
        <v>0.97</v>
      </c>
      <c r="G13" s="14">
        <v>0.99</v>
      </c>
      <c r="H13" s="14">
        <v>0.96</v>
      </c>
      <c r="I13" s="14">
        <v>0.96</v>
      </c>
      <c r="J13" s="14">
        <v>0.96</v>
      </c>
      <c r="K13" s="14">
        <v>0.98</v>
      </c>
      <c r="L13" s="14">
        <v>0.97</v>
      </c>
      <c r="M13" s="14">
        <v>0.97</v>
      </c>
      <c r="N13" s="14">
        <v>0.97</v>
      </c>
      <c r="O13" s="14">
        <v>0.96</v>
      </c>
      <c r="P13" s="14">
        <v>0.96</v>
      </c>
      <c r="Q13" s="14">
        <v>0.97</v>
      </c>
      <c r="R13" s="14">
        <v>0.98</v>
      </c>
      <c r="S13" s="14">
        <v>0.99</v>
      </c>
      <c r="T13" s="14">
        <v>0.98</v>
      </c>
      <c r="U13" s="14">
        <v>0.98</v>
      </c>
      <c r="V13" s="14">
        <v>0.96</v>
      </c>
      <c r="W13" s="14">
        <v>0.98</v>
      </c>
      <c r="X13" s="14">
        <v>0.99</v>
      </c>
      <c r="Y13" s="14">
        <v>0.98</v>
      </c>
      <c r="Z13" s="14">
        <v>0.97</v>
      </c>
      <c r="AA13" s="14">
        <v>0.97</v>
      </c>
      <c r="AB13" s="14">
        <v>0.98</v>
      </c>
      <c r="AC13" s="14">
        <v>0.98</v>
      </c>
      <c r="AD13" s="14">
        <v>0.99</v>
      </c>
      <c r="AE13" s="14">
        <v>0.99</v>
      </c>
      <c r="AF13" s="14">
        <v>1</v>
      </c>
    </row>
    <row r="14" spans="1:32">
      <c r="A14" s="23"/>
      <c r="B14" s="11" t="s">
        <v>1111</v>
      </c>
      <c r="C14" s="12">
        <v>810</v>
      </c>
      <c r="D14" s="12">
        <v>35</v>
      </c>
      <c r="E14" s="12">
        <v>38</v>
      </c>
      <c r="F14" s="12">
        <v>28</v>
      </c>
      <c r="G14" s="12">
        <v>7</v>
      </c>
      <c r="H14" s="12">
        <v>50</v>
      </c>
      <c r="I14" s="12">
        <v>61</v>
      </c>
      <c r="J14" s="12">
        <v>11</v>
      </c>
      <c r="K14" s="12">
        <v>23</v>
      </c>
      <c r="L14" s="12">
        <v>30</v>
      </c>
      <c r="M14" s="12">
        <v>31</v>
      </c>
      <c r="N14" s="12">
        <v>25</v>
      </c>
      <c r="O14" s="12">
        <v>39</v>
      </c>
      <c r="P14" s="12">
        <v>36</v>
      </c>
      <c r="Q14" s="12">
        <v>34</v>
      </c>
      <c r="R14" s="12">
        <v>9</v>
      </c>
      <c r="S14" s="12">
        <v>8</v>
      </c>
      <c r="T14" s="12">
        <v>24</v>
      </c>
      <c r="U14" s="12">
        <v>8</v>
      </c>
      <c r="V14" s="12">
        <v>42</v>
      </c>
      <c r="W14" s="12">
        <v>8</v>
      </c>
      <c r="X14" s="12">
        <v>7</v>
      </c>
      <c r="Y14" s="12">
        <v>24</v>
      </c>
      <c r="Z14" s="12">
        <v>31</v>
      </c>
      <c r="AA14" s="12">
        <v>34</v>
      </c>
      <c r="AB14" s="12">
        <v>23</v>
      </c>
      <c r="AC14" s="12">
        <v>17</v>
      </c>
      <c r="AD14" s="12">
        <v>12</v>
      </c>
      <c r="AE14" s="12">
        <v>7</v>
      </c>
      <c r="AF14" s="12">
        <v>4</v>
      </c>
    </row>
    <row r="15" spans="1:32">
      <c r="A15" s="23"/>
      <c r="B15" s="13" t="s">
        <v>1112</v>
      </c>
      <c r="C15" s="14">
        <v>0.03</v>
      </c>
      <c r="D15" s="14">
        <v>0.04</v>
      </c>
      <c r="E15" s="14">
        <v>0.04</v>
      </c>
      <c r="F15" s="14">
        <v>0.03</v>
      </c>
      <c r="G15" s="14">
        <v>0.01</v>
      </c>
      <c r="H15" s="14">
        <v>0.04</v>
      </c>
      <c r="I15" s="14">
        <v>0.04</v>
      </c>
      <c r="J15" s="14">
        <v>0.04</v>
      </c>
      <c r="K15" s="14">
        <v>0.02</v>
      </c>
      <c r="L15" s="14">
        <v>0.03</v>
      </c>
      <c r="M15" s="14">
        <v>0.03</v>
      </c>
      <c r="N15" s="14">
        <v>0.03</v>
      </c>
      <c r="O15" s="14">
        <v>0.04</v>
      </c>
      <c r="P15" s="14">
        <v>0.04</v>
      </c>
      <c r="Q15" s="14">
        <v>0.03</v>
      </c>
      <c r="R15" s="14">
        <v>0.02</v>
      </c>
      <c r="S15" s="14">
        <v>0.01</v>
      </c>
      <c r="T15" s="14">
        <v>0.02</v>
      </c>
      <c r="U15" s="14">
        <v>0.02</v>
      </c>
      <c r="V15" s="14">
        <v>0.04</v>
      </c>
      <c r="W15" s="14">
        <v>0.02</v>
      </c>
      <c r="X15" s="14">
        <v>0.01</v>
      </c>
      <c r="Y15" s="14">
        <v>0.02</v>
      </c>
      <c r="Z15" s="14">
        <v>0.03</v>
      </c>
      <c r="AA15" s="14">
        <v>0.03</v>
      </c>
      <c r="AB15" s="14">
        <v>0.02</v>
      </c>
      <c r="AC15" s="14">
        <v>0.02</v>
      </c>
      <c r="AD15" s="14">
        <v>0.01</v>
      </c>
      <c r="AE15" s="14">
        <v>0.01</v>
      </c>
      <c r="AF15" s="15" t="s">
        <v>485</v>
      </c>
    </row>
  </sheetData>
  <mergeCells count="9">
    <mergeCell ref="H3:L3"/>
    <mergeCell ref="C8:AF8"/>
    <mergeCell ref="B3:F3"/>
    <mergeCell ref="B5:F5"/>
    <mergeCell ref="A10:A15"/>
    <mergeCell ref="H5:L5"/>
    <mergeCell ref="B10:B11"/>
    <mergeCell ref="H4:L4"/>
    <mergeCell ref="B4:F4"/>
  </mergeCells>
  <pageMargins left="0.75" right="0.75" top="1" bottom="1" header="0.5" footer="0.5"/>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AF1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12" customHeight="1">
      <c r="B3" s="19" t="s">
        <v>185</v>
      </c>
      <c r="C3" s="19"/>
      <c r="D3" s="19"/>
      <c r="E3" s="19"/>
      <c r="F3" s="19"/>
      <c r="H3" s="19" t="s">
        <v>186</v>
      </c>
      <c r="I3" s="19"/>
      <c r="J3" s="19"/>
      <c r="K3" s="19"/>
      <c r="L3" s="19"/>
    </row>
    <row r="4" spans="1:32" ht="27" customHeight="1">
      <c r="B4" s="19"/>
      <c r="C4" s="19"/>
      <c r="D4" s="19"/>
      <c r="E4" s="19"/>
      <c r="F4" s="19"/>
      <c r="H4" s="19"/>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HYPERLINK("#Content!A94","&lt;&lt;Back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1109</v>
      </c>
      <c r="C12" s="12">
        <v>22472</v>
      </c>
      <c r="D12" s="12">
        <v>939</v>
      </c>
      <c r="E12" s="12">
        <v>833</v>
      </c>
      <c r="F12" s="12">
        <v>833</v>
      </c>
      <c r="G12" s="12">
        <v>982</v>
      </c>
      <c r="H12" s="12">
        <v>1041</v>
      </c>
      <c r="I12" s="12">
        <v>1300</v>
      </c>
      <c r="J12" s="12">
        <v>260</v>
      </c>
      <c r="K12" s="12">
        <v>875</v>
      </c>
      <c r="L12" s="12">
        <v>917</v>
      </c>
      <c r="M12" s="12">
        <v>832</v>
      </c>
      <c r="N12" s="12">
        <v>878</v>
      </c>
      <c r="O12" s="12">
        <v>900</v>
      </c>
      <c r="P12" s="12">
        <v>812</v>
      </c>
      <c r="Q12" s="12">
        <v>727</v>
      </c>
      <c r="R12" s="12">
        <v>451</v>
      </c>
      <c r="S12" s="12">
        <v>868</v>
      </c>
      <c r="T12" s="12">
        <v>836</v>
      </c>
      <c r="U12" s="12">
        <v>487</v>
      </c>
      <c r="V12" s="12">
        <v>894</v>
      </c>
      <c r="W12" s="12">
        <v>463</v>
      </c>
      <c r="X12" s="12">
        <v>1009</v>
      </c>
      <c r="Y12" s="12">
        <v>837</v>
      </c>
      <c r="Z12" s="12">
        <v>844</v>
      </c>
      <c r="AA12" s="12">
        <v>912</v>
      </c>
      <c r="AB12" s="12">
        <v>796</v>
      </c>
      <c r="AC12" s="12">
        <v>901</v>
      </c>
      <c r="AD12" s="12">
        <v>888</v>
      </c>
      <c r="AE12" s="12">
        <v>957</v>
      </c>
      <c r="AF12" s="12">
        <v>1056</v>
      </c>
    </row>
    <row r="13" spans="1:32">
      <c r="A13" s="23"/>
      <c r="B13" s="13" t="s">
        <v>1110</v>
      </c>
      <c r="C13" s="14">
        <v>0.85</v>
      </c>
      <c r="D13" s="14">
        <v>0.93</v>
      </c>
      <c r="E13" s="14">
        <v>0.8</v>
      </c>
      <c r="F13" s="14">
        <v>0.83000000000000007</v>
      </c>
      <c r="G13" s="14">
        <v>0.98</v>
      </c>
      <c r="H13" s="14">
        <v>0.86</v>
      </c>
      <c r="I13" s="14">
        <v>0.86</v>
      </c>
      <c r="J13" s="14">
        <v>0.88</v>
      </c>
      <c r="K13" s="14">
        <v>0.87</v>
      </c>
      <c r="L13" s="14">
        <v>0.91</v>
      </c>
      <c r="M13" s="14">
        <v>0.82000000000000006</v>
      </c>
      <c r="N13" s="14">
        <v>0.88</v>
      </c>
      <c r="O13" s="14">
        <v>0.89</v>
      </c>
      <c r="P13" s="14">
        <v>0.8</v>
      </c>
      <c r="Q13" s="14">
        <v>0.71</v>
      </c>
      <c r="R13" s="14">
        <v>0.9</v>
      </c>
      <c r="S13" s="14">
        <v>0.86</v>
      </c>
      <c r="T13" s="14">
        <v>0.83000000000000007</v>
      </c>
      <c r="U13" s="14">
        <v>0.97</v>
      </c>
      <c r="V13" s="14">
        <v>0.88</v>
      </c>
      <c r="W13" s="14">
        <v>0.92</v>
      </c>
      <c r="X13" s="14">
        <v>0.99</v>
      </c>
      <c r="Y13" s="14">
        <v>0.83000000000000007</v>
      </c>
      <c r="Z13" s="14">
        <v>0.83000000000000007</v>
      </c>
      <c r="AA13" s="14">
        <v>0.88</v>
      </c>
      <c r="AB13" s="14">
        <v>0.77</v>
      </c>
      <c r="AC13" s="14">
        <v>0.9</v>
      </c>
      <c r="AD13" s="14">
        <v>0.89</v>
      </c>
      <c r="AE13" s="14">
        <v>0.95000000000000007</v>
      </c>
      <c r="AF13" s="14">
        <v>0.98</v>
      </c>
    </row>
    <row r="14" spans="1:32">
      <c r="A14" s="23"/>
      <c r="B14" s="11" t="s">
        <v>1111</v>
      </c>
      <c r="C14" s="12">
        <v>3882</v>
      </c>
      <c r="D14" s="12">
        <v>67</v>
      </c>
      <c r="E14" s="12">
        <v>211</v>
      </c>
      <c r="F14" s="12">
        <v>174</v>
      </c>
      <c r="G14" s="12">
        <v>21</v>
      </c>
      <c r="H14" s="12">
        <v>170</v>
      </c>
      <c r="I14" s="12">
        <v>204</v>
      </c>
      <c r="J14" s="12">
        <v>34</v>
      </c>
      <c r="K14" s="12">
        <v>129</v>
      </c>
      <c r="L14" s="12">
        <v>90</v>
      </c>
      <c r="M14" s="12">
        <v>179</v>
      </c>
      <c r="N14" s="12">
        <v>122</v>
      </c>
      <c r="O14" s="12">
        <v>106</v>
      </c>
      <c r="P14" s="12">
        <v>199</v>
      </c>
      <c r="Q14" s="12">
        <v>297</v>
      </c>
      <c r="R14" s="12">
        <v>51</v>
      </c>
      <c r="S14" s="12">
        <v>137</v>
      </c>
      <c r="T14" s="12">
        <v>168</v>
      </c>
      <c r="U14" s="12">
        <v>16</v>
      </c>
      <c r="V14" s="12">
        <v>117</v>
      </c>
      <c r="W14" s="12">
        <v>40</v>
      </c>
      <c r="X14" s="12">
        <v>7</v>
      </c>
      <c r="Y14" s="12">
        <v>170</v>
      </c>
      <c r="Z14" s="12">
        <v>173</v>
      </c>
      <c r="AA14" s="12">
        <v>128</v>
      </c>
      <c r="AB14" s="12">
        <v>235</v>
      </c>
      <c r="AC14" s="12">
        <v>104</v>
      </c>
      <c r="AD14" s="12">
        <v>114</v>
      </c>
      <c r="AE14" s="12">
        <v>51</v>
      </c>
      <c r="AF14" s="12">
        <v>17</v>
      </c>
    </row>
    <row r="15" spans="1:32">
      <c r="A15" s="23"/>
      <c r="B15" s="13" t="s">
        <v>1112</v>
      </c>
      <c r="C15" s="14">
        <v>0.15</v>
      </c>
      <c r="D15" s="14">
        <v>7.0000000000000007E-2</v>
      </c>
      <c r="E15" s="14">
        <v>0.2</v>
      </c>
      <c r="F15" s="14">
        <v>0.17</v>
      </c>
      <c r="G15" s="14">
        <v>0.02</v>
      </c>
      <c r="H15" s="14">
        <v>0.14000000000000001</v>
      </c>
      <c r="I15" s="14">
        <v>0.14000000000000001</v>
      </c>
      <c r="J15" s="14">
        <v>0.12</v>
      </c>
      <c r="K15" s="14">
        <v>0.13</v>
      </c>
      <c r="L15" s="14">
        <v>0.09</v>
      </c>
      <c r="M15" s="14">
        <v>0.18</v>
      </c>
      <c r="N15" s="14">
        <v>0.12</v>
      </c>
      <c r="O15" s="14">
        <v>0.11</v>
      </c>
      <c r="P15" s="14">
        <v>0.2</v>
      </c>
      <c r="Q15" s="14">
        <v>0.28999999999999998</v>
      </c>
      <c r="R15" s="14">
        <v>0.1</v>
      </c>
      <c r="S15" s="14">
        <v>0.14000000000000001</v>
      </c>
      <c r="T15" s="14">
        <v>0.17</v>
      </c>
      <c r="U15" s="14">
        <v>0.03</v>
      </c>
      <c r="V15" s="14">
        <v>0.12</v>
      </c>
      <c r="W15" s="14">
        <v>0.08</v>
      </c>
      <c r="X15" s="14">
        <v>0.01</v>
      </c>
      <c r="Y15" s="14">
        <v>0.17</v>
      </c>
      <c r="Z15" s="14">
        <v>0.17</v>
      </c>
      <c r="AA15" s="14">
        <v>0.12</v>
      </c>
      <c r="AB15" s="14">
        <v>0.23</v>
      </c>
      <c r="AC15" s="14">
        <v>0.1</v>
      </c>
      <c r="AD15" s="14">
        <v>0.11</v>
      </c>
      <c r="AE15" s="14">
        <v>0.05</v>
      </c>
      <c r="AF15" s="14">
        <v>0.02</v>
      </c>
    </row>
  </sheetData>
  <mergeCells count="9">
    <mergeCell ref="H3:L3"/>
    <mergeCell ref="C8:AF8"/>
    <mergeCell ref="B3:F3"/>
    <mergeCell ref="B5:F5"/>
    <mergeCell ref="A10:A15"/>
    <mergeCell ref="H5:L5"/>
    <mergeCell ref="B10:B11"/>
    <mergeCell ref="H4:L4"/>
    <mergeCell ref="B4:F4"/>
  </mergeCells>
  <pageMargins left="0.75" right="0.75" top="1" bottom="1" header="0.5" footer="0.5"/>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AF27"/>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187</v>
      </c>
      <c r="C3" s="19"/>
      <c r="D3" s="19"/>
      <c r="E3" s="19"/>
      <c r="F3" s="19"/>
      <c r="H3" s="19" t="s">
        <v>188</v>
      </c>
      <c r="I3" s="19"/>
      <c r="J3" s="19"/>
      <c r="K3" s="19"/>
      <c r="L3" s="19"/>
    </row>
    <row r="4" spans="1:32" ht="27" customHeight="1">
      <c r="B4" s="19"/>
      <c r="C4" s="19"/>
      <c r="D4" s="19"/>
      <c r="E4" s="19"/>
      <c r="F4" s="19"/>
      <c r="H4" s="19"/>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HYPERLINK("#Content!A95","&lt;&lt;Back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23.25">
      <c r="A12" s="23"/>
      <c r="B12" s="11" t="s">
        <v>1113</v>
      </c>
      <c r="C12" s="12">
        <v>405</v>
      </c>
      <c r="D12" s="12">
        <v>14</v>
      </c>
      <c r="E12" s="12">
        <v>9</v>
      </c>
      <c r="F12" s="12">
        <v>3</v>
      </c>
      <c r="G12" s="12">
        <v>1</v>
      </c>
      <c r="H12" s="12">
        <v>38</v>
      </c>
      <c r="I12" s="12">
        <v>43</v>
      </c>
      <c r="J12" s="12">
        <v>5</v>
      </c>
      <c r="K12" s="12">
        <v>4</v>
      </c>
      <c r="L12" s="12">
        <v>5</v>
      </c>
      <c r="M12" s="12">
        <v>24</v>
      </c>
      <c r="N12" s="12">
        <v>17</v>
      </c>
      <c r="O12" s="12">
        <v>20</v>
      </c>
      <c r="P12" s="12">
        <v>24</v>
      </c>
      <c r="Q12" s="12">
        <v>14</v>
      </c>
      <c r="R12" s="12">
        <v>6</v>
      </c>
      <c r="S12" s="12">
        <v>0</v>
      </c>
      <c r="T12" s="12">
        <v>4</v>
      </c>
      <c r="U12" s="12">
        <v>1</v>
      </c>
      <c r="V12" s="12">
        <v>24</v>
      </c>
      <c r="W12" s="12">
        <v>4</v>
      </c>
      <c r="X12" s="12">
        <v>0</v>
      </c>
      <c r="Y12" s="12">
        <v>22</v>
      </c>
      <c r="Z12" s="12">
        <v>4</v>
      </c>
      <c r="AA12" s="12">
        <v>7</v>
      </c>
      <c r="AB12" s="12">
        <v>9</v>
      </c>
      <c r="AC12" s="12">
        <v>8</v>
      </c>
      <c r="AD12" s="12">
        <v>0</v>
      </c>
      <c r="AE12" s="12">
        <v>1</v>
      </c>
      <c r="AF12" s="12">
        <v>0</v>
      </c>
    </row>
    <row r="13" spans="1:32">
      <c r="A13" s="23"/>
      <c r="B13" s="13" t="s">
        <v>1114</v>
      </c>
      <c r="C13" s="14">
        <v>0.02</v>
      </c>
      <c r="D13" s="14">
        <v>0.01</v>
      </c>
      <c r="E13" s="14">
        <v>0.01</v>
      </c>
      <c r="F13" s="15" t="s">
        <v>485</v>
      </c>
      <c r="G13" s="15" t="s">
        <v>485</v>
      </c>
      <c r="H13" s="14">
        <v>0.03</v>
      </c>
      <c r="I13" s="14">
        <v>0.03</v>
      </c>
      <c r="J13" s="14">
        <v>0.02</v>
      </c>
      <c r="K13" s="15" t="s">
        <v>485</v>
      </c>
      <c r="L13" s="14">
        <v>0.01</v>
      </c>
      <c r="M13" s="14">
        <v>0.02</v>
      </c>
      <c r="N13" s="14">
        <v>0.02</v>
      </c>
      <c r="O13" s="14">
        <v>0.02</v>
      </c>
      <c r="P13" s="14">
        <v>0.02</v>
      </c>
      <c r="Q13" s="14">
        <v>0.01</v>
      </c>
      <c r="R13" s="14">
        <v>0.01</v>
      </c>
      <c r="S13" s="15" t="s">
        <v>485</v>
      </c>
      <c r="T13" s="15" t="s">
        <v>485</v>
      </c>
      <c r="U13" s="15" t="s">
        <v>485</v>
      </c>
      <c r="V13" s="14">
        <v>0.02</v>
      </c>
      <c r="W13" s="14">
        <v>0.01</v>
      </c>
      <c r="X13" s="15" t="s">
        <v>485</v>
      </c>
      <c r="Y13" s="14">
        <v>0.02</v>
      </c>
      <c r="Z13" s="15" t="s">
        <v>485</v>
      </c>
      <c r="AA13" s="14">
        <v>0.01</v>
      </c>
      <c r="AB13" s="14">
        <v>0.01</v>
      </c>
      <c r="AC13" s="14">
        <v>0.01</v>
      </c>
      <c r="AD13" s="15" t="s">
        <v>485</v>
      </c>
      <c r="AE13" s="15" t="s">
        <v>485</v>
      </c>
      <c r="AF13" s="15" t="s">
        <v>485</v>
      </c>
    </row>
    <row r="14" spans="1:32" ht="23.25">
      <c r="A14" s="23"/>
      <c r="B14" s="11" t="s">
        <v>1115</v>
      </c>
      <c r="C14" s="12">
        <v>2469</v>
      </c>
      <c r="D14" s="12">
        <v>38</v>
      </c>
      <c r="E14" s="12">
        <v>164</v>
      </c>
      <c r="F14" s="12">
        <v>147</v>
      </c>
      <c r="G14" s="12">
        <v>16</v>
      </c>
      <c r="H14" s="12">
        <v>92</v>
      </c>
      <c r="I14" s="12">
        <v>109</v>
      </c>
      <c r="J14" s="12">
        <v>17</v>
      </c>
      <c r="K14" s="12">
        <v>97</v>
      </c>
      <c r="L14" s="12">
        <v>61</v>
      </c>
      <c r="M14" s="12">
        <v>101</v>
      </c>
      <c r="N14" s="12">
        <v>53</v>
      </c>
      <c r="O14" s="12">
        <v>53</v>
      </c>
      <c r="P14" s="12">
        <v>124</v>
      </c>
      <c r="Q14" s="12">
        <v>209</v>
      </c>
      <c r="R14" s="12">
        <v>31</v>
      </c>
      <c r="S14" s="12">
        <v>131</v>
      </c>
      <c r="T14" s="12">
        <v>137</v>
      </c>
      <c r="U14" s="12">
        <v>9</v>
      </c>
      <c r="V14" s="12">
        <v>66</v>
      </c>
      <c r="W14" s="12">
        <v>3</v>
      </c>
      <c r="X14" s="12">
        <v>4</v>
      </c>
      <c r="Y14" s="12">
        <v>105</v>
      </c>
      <c r="Z14" s="12">
        <v>131</v>
      </c>
      <c r="AA14" s="12">
        <v>41</v>
      </c>
      <c r="AB14" s="12">
        <v>210</v>
      </c>
      <c r="AC14" s="12">
        <v>67</v>
      </c>
      <c r="AD14" s="12">
        <v>84</v>
      </c>
      <c r="AE14" s="12">
        <v>46</v>
      </c>
      <c r="AF14" s="12">
        <v>13</v>
      </c>
    </row>
    <row r="15" spans="1:32">
      <c r="A15" s="23"/>
      <c r="B15" s="13" t="s">
        <v>1116</v>
      </c>
      <c r="C15" s="14">
        <v>0.09</v>
      </c>
      <c r="D15" s="14">
        <v>0.04</v>
      </c>
      <c r="E15" s="14">
        <v>0.16</v>
      </c>
      <c r="F15" s="14">
        <v>0.15</v>
      </c>
      <c r="G15" s="14">
        <v>0.02</v>
      </c>
      <c r="H15" s="14">
        <v>0.08</v>
      </c>
      <c r="I15" s="14">
        <v>7.0000000000000007E-2</v>
      </c>
      <c r="J15" s="14">
        <v>0.06</v>
      </c>
      <c r="K15" s="14">
        <v>0.1</v>
      </c>
      <c r="L15" s="14">
        <v>0.06</v>
      </c>
      <c r="M15" s="14">
        <v>0.1</v>
      </c>
      <c r="N15" s="14">
        <v>0.05</v>
      </c>
      <c r="O15" s="14">
        <v>0.05</v>
      </c>
      <c r="P15" s="14">
        <v>0.12</v>
      </c>
      <c r="Q15" s="14">
        <v>0.2</v>
      </c>
      <c r="R15" s="14">
        <v>0.06</v>
      </c>
      <c r="S15" s="14">
        <v>0.13</v>
      </c>
      <c r="T15" s="14">
        <v>0.14000000000000001</v>
      </c>
      <c r="U15" s="14">
        <v>0.02</v>
      </c>
      <c r="V15" s="14">
        <v>7.0000000000000007E-2</v>
      </c>
      <c r="W15" s="15" t="s">
        <v>485</v>
      </c>
      <c r="X15" s="15" t="s">
        <v>485</v>
      </c>
      <c r="Y15" s="14">
        <v>0.11</v>
      </c>
      <c r="Z15" s="14">
        <v>0.13</v>
      </c>
      <c r="AA15" s="14">
        <v>0.04</v>
      </c>
      <c r="AB15" s="14">
        <v>0.2</v>
      </c>
      <c r="AC15" s="14">
        <v>7.0000000000000007E-2</v>
      </c>
      <c r="AD15" s="14">
        <v>0.08</v>
      </c>
      <c r="AE15" s="14">
        <v>0.05</v>
      </c>
      <c r="AF15" s="14">
        <v>0.01</v>
      </c>
    </row>
    <row r="16" spans="1:32">
      <c r="A16" s="23"/>
      <c r="B16" s="11" t="s">
        <v>1117</v>
      </c>
      <c r="C16" s="12">
        <v>86</v>
      </c>
      <c r="D16" s="12">
        <v>6</v>
      </c>
      <c r="E16" s="12">
        <v>6</v>
      </c>
      <c r="F16" s="12">
        <v>8</v>
      </c>
      <c r="G16" s="12">
        <v>4</v>
      </c>
      <c r="H16" s="12">
        <v>5</v>
      </c>
      <c r="I16" s="12">
        <v>5</v>
      </c>
      <c r="J16" s="12">
        <v>0</v>
      </c>
      <c r="K16" s="12">
        <v>7</v>
      </c>
      <c r="L16" s="12">
        <v>15</v>
      </c>
      <c r="M16" s="12">
        <v>0</v>
      </c>
      <c r="N16" s="12">
        <v>2</v>
      </c>
      <c r="O16" s="12">
        <v>5</v>
      </c>
      <c r="P16" s="12">
        <v>6</v>
      </c>
      <c r="Q16" s="12">
        <v>1</v>
      </c>
      <c r="R16" s="12">
        <v>0</v>
      </c>
      <c r="S16" s="12">
        <v>6</v>
      </c>
      <c r="T16" s="12">
        <v>7</v>
      </c>
      <c r="U16" s="12">
        <v>3</v>
      </c>
      <c r="V16" s="12">
        <v>2</v>
      </c>
      <c r="W16" s="12">
        <v>3</v>
      </c>
      <c r="X16" s="12">
        <v>1</v>
      </c>
      <c r="Y16" s="12">
        <v>1</v>
      </c>
      <c r="Z16" s="12">
        <v>2</v>
      </c>
      <c r="AA16" s="12">
        <v>3</v>
      </c>
      <c r="AB16" s="12">
        <v>6</v>
      </c>
      <c r="AC16" s="12">
        <v>4</v>
      </c>
      <c r="AD16" s="12">
        <v>4</v>
      </c>
      <c r="AE16" s="12">
        <v>5</v>
      </c>
      <c r="AF16" s="12">
        <v>3</v>
      </c>
    </row>
    <row r="17" spans="1:32">
      <c r="A17" s="23"/>
      <c r="B17" s="13" t="s">
        <v>1118</v>
      </c>
      <c r="C17" s="15" t="s">
        <v>485</v>
      </c>
      <c r="D17" s="15" t="s">
        <v>485</v>
      </c>
      <c r="E17" s="14">
        <v>0.01</v>
      </c>
      <c r="F17" s="14">
        <v>0.01</v>
      </c>
      <c r="G17" s="15" t="s">
        <v>485</v>
      </c>
      <c r="H17" s="15" t="s">
        <v>485</v>
      </c>
      <c r="I17" s="15" t="s">
        <v>485</v>
      </c>
      <c r="J17" s="15" t="s">
        <v>485</v>
      </c>
      <c r="K17" s="14">
        <v>0.01</v>
      </c>
      <c r="L17" s="14">
        <v>0.01</v>
      </c>
      <c r="M17" s="15" t="s">
        <v>485</v>
      </c>
      <c r="N17" s="15" t="s">
        <v>485</v>
      </c>
      <c r="O17" s="14">
        <v>0.01</v>
      </c>
      <c r="P17" s="14">
        <v>0.01</v>
      </c>
      <c r="Q17" s="15" t="s">
        <v>485</v>
      </c>
      <c r="R17" s="15" t="s">
        <v>485</v>
      </c>
      <c r="S17" s="14">
        <v>0.01</v>
      </c>
      <c r="T17" s="14">
        <v>0.01</v>
      </c>
      <c r="U17" s="15" t="s">
        <v>485</v>
      </c>
      <c r="V17" s="15" t="s">
        <v>485</v>
      </c>
      <c r="W17" s="14">
        <v>0.01</v>
      </c>
      <c r="X17" s="15" t="s">
        <v>485</v>
      </c>
      <c r="Y17" s="15" t="s">
        <v>485</v>
      </c>
      <c r="Z17" s="15" t="s">
        <v>485</v>
      </c>
      <c r="AA17" s="15" t="s">
        <v>485</v>
      </c>
      <c r="AB17" s="14">
        <v>0.01</v>
      </c>
      <c r="AC17" s="15" t="s">
        <v>485</v>
      </c>
      <c r="AD17" s="15" t="s">
        <v>485</v>
      </c>
      <c r="AE17" s="14">
        <v>0.01</v>
      </c>
      <c r="AF17" s="15" t="s">
        <v>485</v>
      </c>
    </row>
    <row r="18" spans="1:32" ht="23.25">
      <c r="A18" s="23"/>
      <c r="B18" s="11" t="s">
        <v>1119</v>
      </c>
      <c r="C18" s="12">
        <v>819</v>
      </c>
      <c r="D18" s="12">
        <v>7</v>
      </c>
      <c r="E18" s="12">
        <v>16</v>
      </c>
      <c r="F18" s="12">
        <v>8</v>
      </c>
      <c r="G18" s="12">
        <v>5</v>
      </c>
      <c r="H18" s="12">
        <v>38</v>
      </c>
      <c r="I18" s="12">
        <v>48</v>
      </c>
      <c r="J18" s="12">
        <v>11</v>
      </c>
      <c r="K18" s="12">
        <v>21</v>
      </c>
      <c r="L18" s="12">
        <v>19</v>
      </c>
      <c r="M18" s="12">
        <v>50</v>
      </c>
      <c r="N18" s="12">
        <v>49</v>
      </c>
      <c r="O18" s="12">
        <v>31</v>
      </c>
      <c r="P18" s="12">
        <v>47</v>
      </c>
      <c r="Q18" s="12">
        <v>57</v>
      </c>
      <c r="R18" s="12">
        <v>14</v>
      </c>
      <c r="S18" s="12">
        <v>3</v>
      </c>
      <c r="T18" s="12">
        <v>14</v>
      </c>
      <c r="U18" s="12">
        <v>5</v>
      </c>
      <c r="V18" s="12">
        <v>16</v>
      </c>
      <c r="W18" s="12">
        <v>33</v>
      </c>
      <c r="X18" s="12">
        <v>3</v>
      </c>
      <c r="Y18" s="12">
        <v>43</v>
      </c>
      <c r="Z18" s="12">
        <v>15</v>
      </c>
      <c r="AA18" s="12">
        <v>61</v>
      </c>
      <c r="AB18" s="12">
        <v>9</v>
      </c>
      <c r="AC18" s="12">
        <v>28</v>
      </c>
      <c r="AD18" s="12">
        <v>22</v>
      </c>
      <c r="AE18" s="12">
        <v>3</v>
      </c>
      <c r="AF18" s="12">
        <v>4</v>
      </c>
    </row>
    <row r="19" spans="1:32" ht="23.25">
      <c r="A19" s="23"/>
      <c r="B19" s="13" t="s">
        <v>1120</v>
      </c>
      <c r="C19" s="14">
        <v>0.03</v>
      </c>
      <c r="D19" s="14">
        <v>0.01</v>
      </c>
      <c r="E19" s="14">
        <v>0.01</v>
      </c>
      <c r="F19" s="14">
        <v>0.01</v>
      </c>
      <c r="G19" s="14">
        <v>0.01</v>
      </c>
      <c r="H19" s="14">
        <v>0.03</v>
      </c>
      <c r="I19" s="14">
        <v>0.03</v>
      </c>
      <c r="J19" s="14">
        <v>0.04</v>
      </c>
      <c r="K19" s="14">
        <v>0.02</v>
      </c>
      <c r="L19" s="14">
        <v>0.02</v>
      </c>
      <c r="M19" s="14">
        <v>0.05</v>
      </c>
      <c r="N19" s="14">
        <v>0.05</v>
      </c>
      <c r="O19" s="14">
        <v>0.03</v>
      </c>
      <c r="P19" s="14">
        <v>0.05</v>
      </c>
      <c r="Q19" s="14">
        <v>0.06</v>
      </c>
      <c r="R19" s="14">
        <v>0.03</v>
      </c>
      <c r="S19" s="15" t="s">
        <v>485</v>
      </c>
      <c r="T19" s="14">
        <v>0.01</v>
      </c>
      <c r="U19" s="14">
        <v>0.01</v>
      </c>
      <c r="V19" s="14">
        <v>0.02</v>
      </c>
      <c r="W19" s="14">
        <v>7.0000000000000007E-2</v>
      </c>
      <c r="X19" s="15" t="s">
        <v>485</v>
      </c>
      <c r="Y19" s="14">
        <v>0.04</v>
      </c>
      <c r="Z19" s="14">
        <v>0.02</v>
      </c>
      <c r="AA19" s="14">
        <v>0.06</v>
      </c>
      <c r="AB19" s="14">
        <v>0.01</v>
      </c>
      <c r="AC19" s="14">
        <v>0.03</v>
      </c>
      <c r="AD19" s="14">
        <v>0.02</v>
      </c>
      <c r="AE19" s="15" t="s">
        <v>485</v>
      </c>
      <c r="AF19" s="14">
        <v>0.01</v>
      </c>
    </row>
    <row r="20" spans="1:32" ht="23.25">
      <c r="A20" s="23"/>
      <c r="B20" s="11" t="s">
        <v>1121</v>
      </c>
      <c r="C20" s="12">
        <v>130</v>
      </c>
      <c r="D20" s="12">
        <v>7</v>
      </c>
      <c r="E20" s="12">
        <v>1</v>
      </c>
      <c r="F20" s="12">
        <v>0</v>
      </c>
      <c r="G20" s="12">
        <v>2</v>
      </c>
      <c r="H20" s="12">
        <v>6</v>
      </c>
      <c r="I20" s="12">
        <v>11</v>
      </c>
      <c r="J20" s="12">
        <v>5</v>
      </c>
      <c r="K20" s="12">
        <v>4</v>
      </c>
      <c r="L20" s="12">
        <v>6</v>
      </c>
      <c r="M20" s="12">
        <v>3</v>
      </c>
      <c r="N20" s="12">
        <v>3</v>
      </c>
      <c r="O20" s="12">
        <v>13</v>
      </c>
      <c r="P20" s="12">
        <v>2</v>
      </c>
      <c r="Q20" s="12">
        <v>2</v>
      </c>
      <c r="R20" s="12">
        <v>4</v>
      </c>
      <c r="S20" s="12">
        <v>0</v>
      </c>
      <c r="T20" s="12">
        <v>0</v>
      </c>
      <c r="U20" s="12">
        <v>4</v>
      </c>
      <c r="V20" s="12">
        <v>4</v>
      </c>
      <c r="W20" s="12">
        <v>1</v>
      </c>
      <c r="X20" s="12">
        <v>6</v>
      </c>
      <c r="Y20" s="12">
        <v>1</v>
      </c>
      <c r="Z20" s="12">
        <v>2</v>
      </c>
      <c r="AA20" s="12">
        <v>4</v>
      </c>
      <c r="AB20" s="12">
        <v>1</v>
      </c>
      <c r="AC20" s="12">
        <v>4</v>
      </c>
      <c r="AD20" s="12">
        <v>1</v>
      </c>
      <c r="AE20" s="12">
        <v>0</v>
      </c>
      <c r="AF20" s="12">
        <v>1</v>
      </c>
    </row>
    <row r="21" spans="1:32" ht="23.25">
      <c r="A21" s="23"/>
      <c r="B21" s="13" t="s">
        <v>1122</v>
      </c>
      <c r="C21" s="15" t="s">
        <v>485</v>
      </c>
      <c r="D21" s="14">
        <v>0.01</v>
      </c>
      <c r="E21" s="15" t="s">
        <v>485</v>
      </c>
      <c r="F21" s="15" t="s">
        <v>485</v>
      </c>
      <c r="G21" s="15" t="s">
        <v>485</v>
      </c>
      <c r="H21" s="14">
        <v>0.01</v>
      </c>
      <c r="I21" s="14">
        <v>0.01</v>
      </c>
      <c r="J21" s="14">
        <v>0.02</v>
      </c>
      <c r="K21" s="15" t="s">
        <v>485</v>
      </c>
      <c r="L21" s="14">
        <v>0.01</v>
      </c>
      <c r="M21" s="15" t="s">
        <v>485</v>
      </c>
      <c r="N21" s="15" t="s">
        <v>485</v>
      </c>
      <c r="O21" s="14">
        <v>0.01</v>
      </c>
      <c r="P21" s="15" t="s">
        <v>485</v>
      </c>
      <c r="Q21" s="15" t="s">
        <v>485</v>
      </c>
      <c r="R21" s="14">
        <v>0.01</v>
      </c>
      <c r="S21" s="15" t="s">
        <v>485</v>
      </c>
      <c r="T21" s="15" t="s">
        <v>485</v>
      </c>
      <c r="U21" s="14">
        <v>0.01</v>
      </c>
      <c r="V21" s="15" t="s">
        <v>485</v>
      </c>
      <c r="W21" s="15" t="s">
        <v>485</v>
      </c>
      <c r="X21" s="14">
        <v>0.01</v>
      </c>
      <c r="Y21" s="15" t="s">
        <v>485</v>
      </c>
      <c r="Z21" s="15" t="s">
        <v>485</v>
      </c>
      <c r="AA21" s="15" t="s">
        <v>485</v>
      </c>
      <c r="AB21" s="15" t="s">
        <v>485</v>
      </c>
      <c r="AC21" s="15" t="s">
        <v>485</v>
      </c>
      <c r="AD21" s="15" t="s">
        <v>485</v>
      </c>
      <c r="AE21" s="15" t="s">
        <v>485</v>
      </c>
      <c r="AF21" s="15" t="s">
        <v>485</v>
      </c>
    </row>
    <row r="22" spans="1:32" ht="23.25">
      <c r="A22" s="23"/>
      <c r="B22" s="11" t="s">
        <v>1123</v>
      </c>
      <c r="C22" s="12">
        <v>12807</v>
      </c>
      <c r="D22" s="12">
        <v>633</v>
      </c>
      <c r="E22" s="12">
        <v>769</v>
      </c>
      <c r="F22" s="12">
        <v>790</v>
      </c>
      <c r="G22" s="12">
        <v>922</v>
      </c>
      <c r="H22" s="12">
        <v>339</v>
      </c>
      <c r="I22" s="12">
        <v>417</v>
      </c>
      <c r="J22" s="12">
        <v>78</v>
      </c>
      <c r="K22" s="12">
        <v>751</v>
      </c>
      <c r="L22" s="12">
        <v>699</v>
      </c>
      <c r="M22" s="12">
        <v>80</v>
      </c>
      <c r="N22" s="12">
        <v>460</v>
      </c>
      <c r="O22" s="12">
        <v>402</v>
      </c>
      <c r="P22" s="12">
        <v>370</v>
      </c>
      <c r="Q22" s="12">
        <v>370</v>
      </c>
      <c r="R22" s="12">
        <v>302</v>
      </c>
      <c r="S22" s="12">
        <v>839</v>
      </c>
      <c r="T22" s="12">
        <v>778</v>
      </c>
      <c r="U22" s="12">
        <v>254</v>
      </c>
      <c r="V22" s="12">
        <v>664</v>
      </c>
      <c r="W22" s="12">
        <v>147</v>
      </c>
      <c r="X22" s="12">
        <v>570</v>
      </c>
      <c r="Y22" s="12">
        <v>661</v>
      </c>
      <c r="Z22" s="12">
        <v>782</v>
      </c>
      <c r="AA22" s="12">
        <v>292</v>
      </c>
      <c r="AB22" s="12">
        <v>734</v>
      </c>
      <c r="AC22" s="12">
        <v>620</v>
      </c>
      <c r="AD22" s="12">
        <v>788</v>
      </c>
      <c r="AE22" s="12">
        <v>920</v>
      </c>
      <c r="AF22" s="12">
        <v>945</v>
      </c>
    </row>
    <row r="23" spans="1:32" ht="23.25">
      <c r="A23" s="23"/>
      <c r="B23" s="13" t="s">
        <v>1124</v>
      </c>
      <c r="C23" s="14">
        <v>0.49</v>
      </c>
      <c r="D23" s="14">
        <v>0.63</v>
      </c>
      <c r="E23" s="14">
        <v>0.74</v>
      </c>
      <c r="F23" s="14">
        <v>0.78</v>
      </c>
      <c r="G23" s="14">
        <v>0.92</v>
      </c>
      <c r="H23" s="14">
        <v>0.28000000000000003</v>
      </c>
      <c r="I23" s="14">
        <v>0.28000000000000003</v>
      </c>
      <c r="J23" s="14">
        <v>0.26</v>
      </c>
      <c r="K23" s="14">
        <v>0.75</v>
      </c>
      <c r="L23" s="14">
        <v>0.69000000000000006</v>
      </c>
      <c r="M23" s="14">
        <v>0.08</v>
      </c>
      <c r="N23" s="14">
        <v>0.46</v>
      </c>
      <c r="O23" s="14">
        <v>0.4</v>
      </c>
      <c r="P23" s="14">
        <v>0.37</v>
      </c>
      <c r="Q23" s="14">
        <v>0.36</v>
      </c>
      <c r="R23" s="14">
        <v>0.6</v>
      </c>
      <c r="S23" s="14">
        <v>0.84</v>
      </c>
      <c r="T23" s="14">
        <v>0.78</v>
      </c>
      <c r="U23" s="14">
        <v>0.51</v>
      </c>
      <c r="V23" s="14">
        <v>0.66</v>
      </c>
      <c r="W23" s="14">
        <v>0.28999999999999998</v>
      </c>
      <c r="X23" s="14">
        <v>0.56000000000000005</v>
      </c>
      <c r="Y23" s="14">
        <v>0.66</v>
      </c>
      <c r="Z23" s="14">
        <v>0.77</v>
      </c>
      <c r="AA23" s="14">
        <v>0.28000000000000003</v>
      </c>
      <c r="AB23" s="14">
        <v>0.71</v>
      </c>
      <c r="AC23" s="14">
        <v>0.62</v>
      </c>
      <c r="AD23" s="14">
        <v>0.79</v>
      </c>
      <c r="AE23" s="14">
        <v>0.91</v>
      </c>
      <c r="AF23" s="14">
        <v>0.88</v>
      </c>
    </row>
    <row r="24" spans="1:32" ht="34.5">
      <c r="A24" s="23"/>
      <c r="B24" s="11" t="s">
        <v>1125</v>
      </c>
      <c r="C24" s="12">
        <v>9449</v>
      </c>
      <c r="D24" s="12">
        <v>292</v>
      </c>
      <c r="E24" s="12">
        <v>58</v>
      </c>
      <c r="F24" s="12">
        <v>35</v>
      </c>
      <c r="G24" s="12">
        <v>54</v>
      </c>
      <c r="H24" s="12">
        <v>691</v>
      </c>
      <c r="I24" s="12">
        <v>868</v>
      </c>
      <c r="J24" s="12">
        <v>177</v>
      </c>
      <c r="K24" s="12">
        <v>112</v>
      </c>
      <c r="L24" s="12">
        <v>198</v>
      </c>
      <c r="M24" s="12">
        <v>749</v>
      </c>
      <c r="N24" s="12">
        <v>412</v>
      </c>
      <c r="O24" s="12">
        <v>481</v>
      </c>
      <c r="P24" s="12">
        <v>434</v>
      </c>
      <c r="Q24" s="12">
        <v>353</v>
      </c>
      <c r="R24" s="12">
        <v>145</v>
      </c>
      <c r="S24" s="12">
        <v>24</v>
      </c>
      <c r="T24" s="12">
        <v>51</v>
      </c>
      <c r="U24" s="12">
        <v>226</v>
      </c>
      <c r="V24" s="12">
        <v>223</v>
      </c>
      <c r="W24" s="12">
        <v>313</v>
      </c>
      <c r="X24" s="12">
        <v>432</v>
      </c>
      <c r="Y24" s="12">
        <v>174</v>
      </c>
      <c r="Z24" s="12">
        <v>58</v>
      </c>
      <c r="AA24" s="12">
        <v>612</v>
      </c>
      <c r="AB24" s="12">
        <v>54</v>
      </c>
      <c r="AC24" s="12">
        <v>272</v>
      </c>
      <c r="AD24" s="12">
        <v>96</v>
      </c>
      <c r="AE24" s="12">
        <v>33</v>
      </c>
      <c r="AF24" s="12">
        <v>108</v>
      </c>
    </row>
    <row r="25" spans="1:32" ht="23.25">
      <c r="A25" s="23"/>
      <c r="B25" s="13" t="s">
        <v>1126</v>
      </c>
      <c r="C25" s="14">
        <v>0.36</v>
      </c>
      <c r="D25" s="14">
        <v>0.28999999999999998</v>
      </c>
      <c r="E25" s="14">
        <v>0.05</v>
      </c>
      <c r="F25" s="14">
        <v>0.03</v>
      </c>
      <c r="G25" s="14">
        <v>0.05</v>
      </c>
      <c r="H25" s="14">
        <v>0.57000000000000006</v>
      </c>
      <c r="I25" s="14">
        <v>0.57999999999999996</v>
      </c>
      <c r="J25" s="14">
        <v>0.6</v>
      </c>
      <c r="K25" s="14">
        <v>0.11</v>
      </c>
      <c r="L25" s="14">
        <v>0.2</v>
      </c>
      <c r="M25" s="14">
        <v>0.74</v>
      </c>
      <c r="N25" s="14">
        <v>0.41</v>
      </c>
      <c r="O25" s="14">
        <v>0.48</v>
      </c>
      <c r="P25" s="14">
        <v>0.43</v>
      </c>
      <c r="Q25" s="14">
        <v>0.35</v>
      </c>
      <c r="R25" s="14">
        <v>0.28999999999999998</v>
      </c>
      <c r="S25" s="14">
        <v>0.02</v>
      </c>
      <c r="T25" s="14">
        <v>0.05</v>
      </c>
      <c r="U25" s="14">
        <v>0.45</v>
      </c>
      <c r="V25" s="14">
        <v>0.22</v>
      </c>
      <c r="W25" s="14">
        <v>0.62</v>
      </c>
      <c r="X25" s="14">
        <v>0.43</v>
      </c>
      <c r="Y25" s="14">
        <v>0.17</v>
      </c>
      <c r="Z25" s="14">
        <v>0.06</v>
      </c>
      <c r="AA25" s="14">
        <v>0.59</v>
      </c>
      <c r="AB25" s="14">
        <v>0.05</v>
      </c>
      <c r="AC25" s="14">
        <v>0.27</v>
      </c>
      <c r="AD25" s="14">
        <v>0.1</v>
      </c>
      <c r="AE25" s="14">
        <v>0.03</v>
      </c>
      <c r="AF25" s="14">
        <v>0.1</v>
      </c>
    </row>
    <row r="26" spans="1:32">
      <c r="A26" s="23"/>
      <c r="B26" s="11" t="s">
        <v>1127</v>
      </c>
      <c r="C26" s="12">
        <v>189</v>
      </c>
      <c r="D26" s="12">
        <v>8</v>
      </c>
      <c r="E26" s="12">
        <v>22</v>
      </c>
      <c r="F26" s="12">
        <v>16</v>
      </c>
      <c r="G26" s="12">
        <v>0</v>
      </c>
      <c r="H26" s="12">
        <v>2</v>
      </c>
      <c r="I26" s="12">
        <v>3</v>
      </c>
      <c r="J26" s="12">
        <v>1</v>
      </c>
      <c r="K26" s="12">
        <v>7</v>
      </c>
      <c r="L26" s="12">
        <v>5</v>
      </c>
      <c r="M26" s="12">
        <v>4</v>
      </c>
      <c r="N26" s="12">
        <v>3</v>
      </c>
      <c r="O26" s="12">
        <v>1</v>
      </c>
      <c r="P26" s="12">
        <v>4</v>
      </c>
      <c r="Q26" s="12">
        <v>17</v>
      </c>
      <c r="R26" s="12">
        <v>0</v>
      </c>
      <c r="S26" s="12">
        <v>3</v>
      </c>
      <c r="T26" s="12">
        <v>13</v>
      </c>
      <c r="U26" s="12">
        <v>1</v>
      </c>
      <c r="V26" s="12">
        <v>11</v>
      </c>
      <c r="W26" s="12">
        <v>0</v>
      </c>
      <c r="X26" s="12">
        <v>0</v>
      </c>
      <c r="Y26" s="12">
        <v>0</v>
      </c>
      <c r="Z26" s="12">
        <v>24</v>
      </c>
      <c r="AA26" s="12">
        <v>19</v>
      </c>
      <c r="AB26" s="12">
        <v>7</v>
      </c>
      <c r="AC26" s="12">
        <v>2</v>
      </c>
      <c r="AD26" s="12">
        <v>8</v>
      </c>
      <c r="AE26" s="12">
        <v>1</v>
      </c>
      <c r="AF26" s="12">
        <v>0</v>
      </c>
    </row>
    <row r="27" spans="1:32">
      <c r="A27" s="23"/>
      <c r="B27" s="13" t="s">
        <v>1128</v>
      </c>
      <c r="C27" s="14">
        <v>0.01</v>
      </c>
      <c r="D27" s="14">
        <v>0.01</v>
      </c>
      <c r="E27" s="14">
        <v>0.02</v>
      </c>
      <c r="F27" s="14">
        <v>0.02</v>
      </c>
      <c r="G27" s="15" t="s">
        <v>485</v>
      </c>
      <c r="H27" s="15" t="s">
        <v>485</v>
      </c>
      <c r="I27" s="15" t="s">
        <v>485</v>
      </c>
      <c r="J27" s="15" t="s">
        <v>485</v>
      </c>
      <c r="K27" s="14">
        <v>0.01</v>
      </c>
      <c r="L27" s="15" t="s">
        <v>485</v>
      </c>
      <c r="M27" s="14">
        <v>0.01</v>
      </c>
      <c r="N27" s="14">
        <v>0.01</v>
      </c>
      <c r="O27" s="15" t="s">
        <v>485</v>
      </c>
      <c r="P27" s="15" t="s">
        <v>485</v>
      </c>
      <c r="Q27" s="14">
        <v>0.02</v>
      </c>
      <c r="R27" s="15" t="s">
        <v>485</v>
      </c>
      <c r="S27" s="15" t="s">
        <v>485</v>
      </c>
      <c r="T27" s="14">
        <v>0.01</v>
      </c>
      <c r="U27" s="15" t="s">
        <v>485</v>
      </c>
      <c r="V27" s="14">
        <v>0.01</v>
      </c>
      <c r="W27" s="15" t="s">
        <v>485</v>
      </c>
      <c r="X27" s="15" t="s">
        <v>485</v>
      </c>
      <c r="Y27" s="15" t="s">
        <v>485</v>
      </c>
      <c r="Z27" s="14">
        <v>0.02</v>
      </c>
      <c r="AA27" s="14">
        <v>0.02</v>
      </c>
      <c r="AB27" s="14">
        <v>0.01</v>
      </c>
      <c r="AC27" s="15" t="s">
        <v>485</v>
      </c>
      <c r="AD27" s="14">
        <v>0.01</v>
      </c>
      <c r="AE27" s="15" t="s">
        <v>485</v>
      </c>
      <c r="AF27" s="15" t="s">
        <v>485</v>
      </c>
    </row>
  </sheetData>
  <mergeCells count="9">
    <mergeCell ref="H3:L3"/>
    <mergeCell ref="C8:AF8"/>
    <mergeCell ref="B3:F3"/>
    <mergeCell ref="B5:F5"/>
    <mergeCell ref="A10:A27"/>
    <mergeCell ref="B10:B11"/>
    <mergeCell ref="H4:L4"/>
    <mergeCell ref="B4:F4"/>
    <mergeCell ref="H5:L5"/>
  </mergeCells>
  <pageMargins left="0.75" right="0.75" top="1" bottom="1" header="0.5" footer="0.5"/>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AF27"/>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12" customHeight="1">
      <c r="B3" s="19" t="s">
        <v>1129</v>
      </c>
      <c r="C3" s="19"/>
      <c r="D3" s="19"/>
      <c r="E3" s="19"/>
      <c r="F3" s="19"/>
      <c r="H3" s="19" t="s">
        <v>1130</v>
      </c>
      <c r="I3" s="19"/>
      <c r="J3" s="19"/>
      <c r="K3" s="19"/>
      <c r="L3" s="19"/>
    </row>
    <row r="4" spans="1:32" ht="27" customHeight="1">
      <c r="B4" s="19" t="s">
        <v>1131</v>
      </c>
      <c r="C4" s="19"/>
      <c r="D4" s="19"/>
      <c r="E4" s="19"/>
      <c r="F4" s="19"/>
      <c r="H4" s="19" t="s">
        <v>1132</v>
      </c>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HYPERLINK("#Content!A96","&lt;&lt;Back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1133</v>
      </c>
      <c r="C12" s="12">
        <v>20466</v>
      </c>
      <c r="D12" s="12">
        <v>876</v>
      </c>
      <c r="E12" s="12">
        <v>780</v>
      </c>
      <c r="F12" s="12">
        <v>726</v>
      </c>
      <c r="G12" s="12">
        <v>953</v>
      </c>
      <c r="H12" s="12">
        <v>964</v>
      </c>
      <c r="I12" s="12">
        <v>1187</v>
      </c>
      <c r="J12" s="12">
        <v>223</v>
      </c>
      <c r="K12" s="12">
        <v>814</v>
      </c>
      <c r="L12" s="12">
        <v>877</v>
      </c>
      <c r="M12" s="12">
        <v>745</v>
      </c>
      <c r="N12" s="12">
        <v>809</v>
      </c>
      <c r="O12" s="12">
        <v>796</v>
      </c>
      <c r="P12" s="12">
        <v>738</v>
      </c>
      <c r="Q12" s="12">
        <v>677</v>
      </c>
      <c r="R12" s="12">
        <v>395</v>
      </c>
      <c r="S12" s="12">
        <v>837</v>
      </c>
      <c r="T12" s="12">
        <v>752</v>
      </c>
      <c r="U12" s="12">
        <v>457</v>
      </c>
      <c r="V12" s="12">
        <v>772</v>
      </c>
      <c r="W12" s="12">
        <v>427</v>
      </c>
      <c r="X12" s="12">
        <v>971</v>
      </c>
      <c r="Y12" s="12">
        <v>718</v>
      </c>
      <c r="Z12" s="12">
        <v>744</v>
      </c>
      <c r="AA12" s="12">
        <v>782</v>
      </c>
      <c r="AB12" s="12">
        <v>730</v>
      </c>
      <c r="AC12" s="12">
        <v>763</v>
      </c>
      <c r="AD12" s="12">
        <v>829</v>
      </c>
      <c r="AE12" s="12">
        <v>898</v>
      </c>
      <c r="AF12" s="12">
        <v>1024</v>
      </c>
    </row>
    <row r="13" spans="1:32" ht="23.25">
      <c r="A13" s="23"/>
      <c r="B13" s="13" t="s">
        <v>1134</v>
      </c>
      <c r="C13" s="14">
        <v>0.78</v>
      </c>
      <c r="D13" s="14">
        <v>0.87</v>
      </c>
      <c r="E13" s="14">
        <v>0.75</v>
      </c>
      <c r="F13" s="14">
        <v>0.72</v>
      </c>
      <c r="G13" s="14">
        <v>0.95000000000000007</v>
      </c>
      <c r="H13" s="14">
        <v>0.79</v>
      </c>
      <c r="I13" s="14">
        <v>0.79</v>
      </c>
      <c r="J13" s="14">
        <v>0.76</v>
      </c>
      <c r="K13" s="14">
        <v>0.81</v>
      </c>
      <c r="L13" s="14">
        <v>0.87</v>
      </c>
      <c r="M13" s="14">
        <v>0.74</v>
      </c>
      <c r="N13" s="14">
        <v>0.81</v>
      </c>
      <c r="O13" s="14">
        <v>0.79</v>
      </c>
      <c r="P13" s="14">
        <v>0.73</v>
      </c>
      <c r="Q13" s="14">
        <v>0.66</v>
      </c>
      <c r="R13" s="14">
        <v>0.79</v>
      </c>
      <c r="S13" s="14">
        <v>0.83000000000000007</v>
      </c>
      <c r="T13" s="14">
        <v>0.75</v>
      </c>
      <c r="U13" s="14">
        <v>0.91</v>
      </c>
      <c r="V13" s="14">
        <v>0.76</v>
      </c>
      <c r="W13" s="14">
        <v>0.85</v>
      </c>
      <c r="X13" s="14">
        <v>0.96</v>
      </c>
      <c r="Y13" s="14">
        <v>0.71</v>
      </c>
      <c r="Z13" s="14">
        <v>0.73</v>
      </c>
      <c r="AA13" s="14">
        <v>0.75</v>
      </c>
      <c r="AB13" s="14">
        <v>0.71</v>
      </c>
      <c r="AC13" s="14">
        <v>0.76</v>
      </c>
      <c r="AD13" s="14">
        <v>0.83000000000000007</v>
      </c>
      <c r="AE13" s="14">
        <v>0.89</v>
      </c>
      <c r="AF13" s="14">
        <v>0.96</v>
      </c>
    </row>
    <row r="14" spans="1:32" ht="23.25">
      <c r="A14" s="23"/>
      <c r="B14" s="11" t="s">
        <v>1135</v>
      </c>
      <c r="C14" s="12">
        <v>1830</v>
      </c>
      <c r="D14" s="12">
        <v>65</v>
      </c>
      <c r="E14" s="12">
        <v>58</v>
      </c>
      <c r="F14" s="12">
        <v>84</v>
      </c>
      <c r="G14" s="12">
        <v>18</v>
      </c>
      <c r="H14" s="12">
        <v>81</v>
      </c>
      <c r="I14" s="12">
        <v>107</v>
      </c>
      <c r="J14" s="12">
        <v>26</v>
      </c>
      <c r="K14" s="12">
        <v>64</v>
      </c>
      <c r="L14" s="12">
        <v>53</v>
      </c>
      <c r="M14" s="12">
        <v>67</v>
      </c>
      <c r="N14" s="12">
        <v>45</v>
      </c>
      <c r="O14" s="12">
        <v>82</v>
      </c>
      <c r="P14" s="12">
        <v>74</v>
      </c>
      <c r="Q14" s="12">
        <v>101</v>
      </c>
      <c r="R14" s="12">
        <v>17</v>
      </c>
      <c r="S14" s="12">
        <v>32</v>
      </c>
      <c r="T14" s="12">
        <v>35</v>
      </c>
      <c r="U14" s="12">
        <v>26</v>
      </c>
      <c r="V14" s="12">
        <v>95</v>
      </c>
      <c r="W14" s="12">
        <v>10</v>
      </c>
      <c r="X14" s="12">
        <v>21</v>
      </c>
      <c r="Y14" s="12">
        <v>106</v>
      </c>
      <c r="Z14" s="12">
        <v>81</v>
      </c>
      <c r="AA14" s="12">
        <v>61</v>
      </c>
      <c r="AB14" s="12">
        <v>68</v>
      </c>
      <c r="AC14" s="12">
        <v>71</v>
      </c>
      <c r="AD14" s="12">
        <v>44</v>
      </c>
      <c r="AE14" s="12">
        <v>36</v>
      </c>
      <c r="AF14" s="12">
        <v>24</v>
      </c>
    </row>
    <row r="15" spans="1:32" ht="23.25">
      <c r="A15" s="23"/>
      <c r="B15" s="13" t="s">
        <v>1136</v>
      </c>
      <c r="C15" s="14">
        <v>7.0000000000000007E-2</v>
      </c>
      <c r="D15" s="14">
        <v>0.06</v>
      </c>
      <c r="E15" s="14">
        <v>0.05</v>
      </c>
      <c r="F15" s="14">
        <v>0.09</v>
      </c>
      <c r="G15" s="14">
        <v>0.02</v>
      </c>
      <c r="H15" s="14">
        <v>7.0000000000000007E-2</v>
      </c>
      <c r="I15" s="14">
        <v>7.0000000000000007E-2</v>
      </c>
      <c r="J15" s="14">
        <v>0.09</v>
      </c>
      <c r="K15" s="14">
        <v>0.06</v>
      </c>
      <c r="L15" s="14">
        <v>0.05</v>
      </c>
      <c r="M15" s="14">
        <v>7.0000000000000007E-2</v>
      </c>
      <c r="N15" s="14">
        <v>0.05</v>
      </c>
      <c r="O15" s="14">
        <v>0.08</v>
      </c>
      <c r="P15" s="14">
        <v>7.0000000000000007E-2</v>
      </c>
      <c r="Q15" s="14">
        <v>0.1</v>
      </c>
      <c r="R15" s="14">
        <v>0.03</v>
      </c>
      <c r="S15" s="14">
        <v>0.03</v>
      </c>
      <c r="T15" s="14">
        <v>0.04</v>
      </c>
      <c r="U15" s="14">
        <v>0.05</v>
      </c>
      <c r="V15" s="14">
        <v>0.09</v>
      </c>
      <c r="W15" s="14">
        <v>0.02</v>
      </c>
      <c r="X15" s="14">
        <v>0.02</v>
      </c>
      <c r="Y15" s="14">
        <v>0.1</v>
      </c>
      <c r="Z15" s="14">
        <v>0.08</v>
      </c>
      <c r="AA15" s="14">
        <v>0.06</v>
      </c>
      <c r="AB15" s="14">
        <v>7.0000000000000007E-2</v>
      </c>
      <c r="AC15" s="14">
        <v>7.0000000000000007E-2</v>
      </c>
      <c r="AD15" s="14">
        <v>0.04</v>
      </c>
      <c r="AE15" s="14">
        <v>0.03</v>
      </c>
      <c r="AF15" s="14">
        <v>0.02</v>
      </c>
    </row>
    <row r="16" spans="1:32" ht="23.25">
      <c r="A16" s="23"/>
      <c r="B16" s="11" t="s">
        <v>1137</v>
      </c>
      <c r="C16" s="12">
        <v>514</v>
      </c>
      <c r="D16" s="12">
        <v>11</v>
      </c>
      <c r="E16" s="12">
        <v>17</v>
      </c>
      <c r="F16" s="12">
        <v>23</v>
      </c>
      <c r="G16" s="12">
        <v>7</v>
      </c>
      <c r="H16" s="12">
        <v>26</v>
      </c>
      <c r="I16" s="12">
        <v>33</v>
      </c>
      <c r="J16" s="12">
        <v>8</v>
      </c>
      <c r="K16" s="12">
        <v>24</v>
      </c>
      <c r="L16" s="12">
        <v>7</v>
      </c>
      <c r="M16" s="12">
        <v>13</v>
      </c>
      <c r="N16" s="12">
        <v>11</v>
      </c>
      <c r="O16" s="12">
        <v>21</v>
      </c>
      <c r="P16" s="12">
        <v>19</v>
      </c>
      <c r="Q16" s="12">
        <v>26</v>
      </c>
      <c r="R16" s="12">
        <v>5</v>
      </c>
      <c r="S16" s="12">
        <v>7</v>
      </c>
      <c r="T16" s="12">
        <v>14</v>
      </c>
      <c r="U16" s="12">
        <v>4</v>
      </c>
      <c r="V16" s="12">
        <v>19</v>
      </c>
      <c r="W16" s="12">
        <v>8</v>
      </c>
      <c r="X16" s="12">
        <v>5</v>
      </c>
      <c r="Y16" s="12">
        <v>42</v>
      </c>
      <c r="Z16" s="12">
        <v>31</v>
      </c>
      <c r="AA16" s="12">
        <v>15</v>
      </c>
      <c r="AB16" s="12">
        <v>19</v>
      </c>
      <c r="AC16" s="12">
        <v>19</v>
      </c>
      <c r="AD16" s="12">
        <v>8</v>
      </c>
      <c r="AE16" s="12">
        <v>18</v>
      </c>
      <c r="AF16" s="12">
        <v>8</v>
      </c>
    </row>
    <row r="17" spans="1:32">
      <c r="A17" s="23"/>
      <c r="B17" s="13" t="s">
        <v>1138</v>
      </c>
      <c r="C17" s="14">
        <v>0.02</v>
      </c>
      <c r="D17" s="14">
        <v>0.01</v>
      </c>
      <c r="E17" s="14">
        <v>0.02</v>
      </c>
      <c r="F17" s="14">
        <v>0.02</v>
      </c>
      <c r="G17" s="14">
        <v>0.01</v>
      </c>
      <c r="H17" s="14">
        <v>0.02</v>
      </c>
      <c r="I17" s="14">
        <v>0.02</v>
      </c>
      <c r="J17" s="14">
        <v>0.03</v>
      </c>
      <c r="K17" s="14">
        <v>0.02</v>
      </c>
      <c r="L17" s="14">
        <v>0.01</v>
      </c>
      <c r="M17" s="14">
        <v>0.01</v>
      </c>
      <c r="N17" s="14">
        <v>0.01</v>
      </c>
      <c r="O17" s="14">
        <v>0.02</v>
      </c>
      <c r="P17" s="14">
        <v>0.02</v>
      </c>
      <c r="Q17" s="14">
        <v>0.03</v>
      </c>
      <c r="R17" s="14">
        <v>0.01</v>
      </c>
      <c r="S17" s="14">
        <v>0.01</v>
      </c>
      <c r="T17" s="14">
        <v>0.01</v>
      </c>
      <c r="U17" s="14">
        <v>0.01</v>
      </c>
      <c r="V17" s="14">
        <v>0.02</v>
      </c>
      <c r="W17" s="14">
        <v>0.01</v>
      </c>
      <c r="X17" s="14">
        <v>0.01</v>
      </c>
      <c r="Y17" s="14">
        <v>0.04</v>
      </c>
      <c r="Z17" s="14">
        <v>0.03</v>
      </c>
      <c r="AA17" s="14">
        <v>0.02</v>
      </c>
      <c r="AB17" s="14">
        <v>0.02</v>
      </c>
      <c r="AC17" s="14">
        <v>0.02</v>
      </c>
      <c r="AD17" s="14">
        <v>0.01</v>
      </c>
      <c r="AE17" s="14">
        <v>0.02</v>
      </c>
      <c r="AF17" s="14">
        <v>0.01</v>
      </c>
    </row>
    <row r="18" spans="1:32" ht="23.25">
      <c r="A18" s="23"/>
      <c r="B18" s="11" t="s">
        <v>1139</v>
      </c>
      <c r="C18" s="12">
        <v>158</v>
      </c>
      <c r="D18" s="12">
        <v>8</v>
      </c>
      <c r="E18" s="12">
        <v>6</v>
      </c>
      <c r="F18" s="12">
        <v>3</v>
      </c>
      <c r="G18" s="12">
        <v>2</v>
      </c>
      <c r="H18" s="12">
        <v>8</v>
      </c>
      <c r="I18" s="12">
        <v>10</v>
      </c>
      <c r="J18" s="12">
        <v>2</v>
      </c>
      <c r="K18" s="12">
        <v>5</v>
      </c>
      <c r="L18" s="12">
        <v>1</v>
      </c>
      <c r="M18" s="12">
        <v>6</v>
      </c>
      <c r="N18" s="12">
        <v>3</v>
      </c>
      <c r="O18" s="12">
        <v>9</v>
      </c>
      <c r="P18" s="12">
        <v>6</v>
      </c>
      <c r="Q18" s="12">
        <v>10</v>
      </c>
      <c r="R18" s="12">
        <v>9</v>
      </c>
      <c r="S18" s="12">
        <v>3</v>
      </c>
      <c r="T18" s="12">
        <v>4</v>
      </c>
      <c r="U18" s="12">
        <v>0</v>
      </c>
      <c r="V18" s="12">
        <v>4</v>
      </c>
      <c r="W18" s="12">
        <v>1</v>
      </c>
      <c r="X18" s="12">
        <v>3</v>
      </c>
      <c r="Y18" s="12">
        <v>5</v>
      </c>
      <c r="Z18" s="12">
        <v>3</v>
      </c>
      <c r="AA18" s="12">
        <v>6</v>
      </c>
      <c r="AB18" s="12">
        <v>6</v>
      </c>
      <c r="AC18" s="12">
        <v>4</v>
      </c>
      <c r="AD18" s="12">
        <v>1</v>
      </c>
      <c r="AE18" s="12">
        <v>8</v>
      </c>
      <c r="AF18" s="12">
        <v>2</v>
      </c>
    </row>
    <row r="19" spans="1:32" ht="23.25">
      <c r="A19" s="23"/>
      <c r="B19" s="13" t="s">
        <v>1140</v>
      </c>
      <c r="C19" s="15" t="s">
        <v>485</v>
      </c>
      <c r="D19" s="14">
        <v>0.01</v>
      </c>
      <c r="E19" s="14">
        <v>0.01</v>
      </c>
      <c r="F19" s="15" t="s">
        <v>485</v>
      </c>
      <c r="G19" s="15" t="s">
        <v>485</v>
      </c>
      <c r="H19" s="14">
        <v>0.01</v>
      </c>
      <c r="I19" s="14">
        <v>0.01</v>
      </c>
      <c r="J19" s="15" t="s">
        <v>485</v>
      </c>
      <c r="K19" s="14">
        <v>0.01</v>
      </c>
      <c r="L19" s="15" t="s">
        <v>485</v>
      </c>
      <c r="M19" s="15" t="s">
        <v>485</v>
      </c>
      <c r="N19" s="15" t="s">
        <v>485</v>
      </c>
      <c r="O19" s="14">
        <v>0.01</v>
      </c>
      <c r="P19" s="14">
        <v>0.01</v>
      </c>
      <c r="Q19" s="14">
        <v>0.01</v>
      </c>
      <c r="R19" s="14">
        <v>0.02</v>
      </c>
      <c r="S19" s="15" t="s">
        <v>485</v>
      </c>
      <c r="T19" s="15" t="s">
        <v>485</v>
      </c>
      <c r="U19" s="15" t="s">
        <v>485</v>
      </c>
      <c r="V19" s="14">
        <v>0.01</v>
      </c>
      <c r="W19" s="15" t="s">
        <v>485</v>
      </c>
      <c r="X19" s="15" t="s">
        <v>485</v>
      </c>
      <c r="Y19" s="14">
        <v>0.01</v>
      </c>
      <c r="Z19" s="15" t="s">
        <v>485</v>
      </c>
      <c r="AA19" s="14">
        <v>0.01</v>
      </c>
      <c r="AB19" s="15" t="s">
        <v>485</v>
      </c>
      <c r="AC19" s="14">
        <v>0.01</v>
      </c>
      <c r="AD19" s="15" t="s">
        <v>485</v>
      </c>
      <c r="AE19" s="14">
        <v>0.01</v>
      </c>
      <c r="AF19" s="15" t="s">
        <v>485</v>
      </c>
    </row>
    <row r="20" spans="1:32">
      <c r="A20" s="23"/>
      <c r="B20" s="11" t="s">
        <v>1141</v>
      </c>
      <c r="C20" s="12">
        <v>286</v>
      </c>
      <c r="D20" s="12">
        <v>9</v>
      </c>
      <c r="E20" s="12">
        <v>15</v>
      </c>
      <c r="F20" s="12">
        <v>11</v>
      </c>
      <c r="G20" s="12">
        <v>1</v>
      </c>
      <c r="H20" s="12">
        <v>20</v>
      </c>
      <c r="I20" s="12">
        <v>27</v>
      </c>
      <c r="J20" s="12">
        <v>6</v>
      </c>
      <c r="K20" s="12">
        <v>15</v>
      </c>
      <c r="L20" s="12">
        <v>7</v>
      </c>
      <c r="M20" s="12">
        <v>6</v>
      </c>
      <c r="N20" s="12">
        <v>14</v>
      </c>
      <c r="O20" s="12">
        <v>8</v>
      </c>
      <c r="P20" s="12">
        <v>24</v>
      </c>
      <c r="Q20" s="12">
        <v>13</v>
      </c>
      <c r="R20" s="12">
        <v>5</v>
      </c>
      <c r="S20" s="12">
        <v>6</v>
      </c>
      <c r="T20" s="12">
        <v>5</v>
      </c>
      <c r="U20" s="12">
        <v>2</v>
      </c>
      <c r="V20" s="12">
        <v>9</v>
      </c>
      <c r="W20" s="12">
        <v>3</v>
      </c>
      <c r="X20" s="12">
        <v>5</v>
      </c>
      <c r="Y20" s="12">
        <v>6</v>
      </c>
      <c r="Z20" s="12">
        <v>4</v>
      </c>
      <c r="AA20" s="12">
        <v>13</v>
      </c>
      <c r="AB20" s="12">
        <v>9</v>
      </c>
      <c r="AC20" s="12">
        <v>24</v>
      </c>
      <c r="AD20" s="12">
        <v>4</v>
      </c>
      <c r="AE20" s="12">
        <v>7</v>
      </c>
      <c r="AF20" s="12">
        <v>5</v>
      </c>
    </row>
    <row r="21" spans="1:32">
      <c r="A21" s="23"/>
      <c r="B21" s="13" t="s">
        <v>1142</v>
      </c>
      <c r="C21" s="14">
        <v>0.01</v>
      </c>
      <c r="D21" s="14">
        <v>0.01</v>
      </c>
      <c r="E21" s="14">
        <v>0.01</v>
      </c>
      <c r="F21" s="14">
        <v>0.01</v>
      </c>
      <c r="G21" s="15" t="s">
        <v>485</v>
      </c>
      <c r="H21" s="14">
        <v>0.02</v>
      </c>
      <c r="I21" s="14">
        <v>0.02</v>
      </c>
      <c r="J21" s="14">
        <v>0.02</v>
      </c>
      <c r="K21" s="14">
        <v>0.02</v>
      </c>
      <c r="L21" s="14">
        <v>0.01</v>
      </c>
      <c r="M21" s="14">
        <v>0.01</v>
      </c>
      <c r="N21" s="14">
        <v>0.01</v>
      </c>
      <c r="O21" s="14">
        <v>0.01</v>
      </c>
      <c r="P21" s="14">
        <v>0.02</v>
      </c>
      <c r="Q21" s="14">
        <v>0.01</v>
      </c>
      <c r="R21" s="14">
        <v>0.01</v>
      </c>
      <c r="S21" s="14">
        <v>0.01</v>
      </c>
      <c r="T21" s="15" t="s">
        <v>485</v>
      </c>
      <c r="U21" s="15" t="s">
        <v>485</v>
      </c>
      <c r="V21" s="14">
        <v>0.01</v>
      </c>
      <c r="W21" s="14">
        <v>0.01</v>
      </c>
      <c r="X21" s="15" t="s">
        <v>485</v>
      </c>
      <c r="Y21" s="14">
        <v>0.01</v>
      </c>
      <c r="Z21" s="14">
        <v>0.01</v>
      </c>
      <c r="AA21" s="14">
        <v>0.01</v>
      </c>
      <c r="AB21" s="14">
        <v>0.01</v>
      </c>
      <c r="AC21" s="14">
        <v>0.02</v>
      </c>
      <c r="AD21" s="15" t="s">
        <v>485</v>
      </c>
      <c r="AE21" s="14">
        <v>0.01</v>
      </c>
      <c r="AF21" s="15" t="s">
        <v>485</v>
      </c>
    </row>
    <row r="22" spans="1:32">
      <c r="A22" s="23"/>
      <c r="B22" s="11" t="s">
        <v>1143</v>
      </c>
      <c r="C22" s="12">
        <v>2890</v>
      </c>
      <c r="D22" s="12">
        <v>36</v>
      </c>
      <c r="E22" s="12">
        <v>142</v>
      </c>
      <c r="F22" s="12">
        <v>140</v>
      </c>
      <c r="G22" s="12">
        <v>20</v>
      </c>
      <c r="H22" s="12">
        <v>99</v>
      </c>
      <c r="I22" s="12">
        <v>128</v>
      </c>
      <c r="J22" s="12">
        <v>28</v>
      </c>
      <c r="K22" s="12">
        <v>82</v>
      </c>
      <c r="L22" s="12">
        <v>60</v>
      </c>
      <c r="M22" s="12">
        <v>159</v>
      </c>
      <c r="N22" s="12">
        <v>114</v>
      </c>
      <c r="O22" s="12">
        <v>86</v>
      </c>
      <c r="P22" s="12">
        <v>143</v>
      </c>
      <c r="Q22" s="12">
        <v>183</v>
      </c>
      <c r="R22" s="12">
        <v>70</v>
      </c>
      <c r="S22" s="12">
        <v>116</v>
      </c>
      <c r="T22" s="12">
        <v>177</v>
      </c>
      <c r="U22" s="12">
        <v>12</v>
      </c>
      <c r="V22" s="12">
        <v>112</v>
      </c>
      <c r="W22" s="12">
        <v>40</v>
      </c>
      <c r="X22" s="12">
        <v>10</v>
      </c>
      <c r="Y22" s="12">
        <v>88</v>
      </c>
      <c r="Z22" s="12">
        <v>152</v>
      </c>
      <c r="AA22" s="12">
        <v>148</v>
      </c>
      <c r="AB22" s="12">
        <v>179</v>
      </c>
      <c r="AC22" s="12">
        <v>120</v>
      </c>
      <c r="AD22" s="12">
        <v>115</v>
      </c>
      <c r="AE22" s="12">
        <v>37</v>
      </c>
      <c r="AF22" s="12">
        <v>11</v>
      </c>
    </row>
    <row r="23" spans="1:32">
      <c r="A23" s="23"/>
      <c r="B23" s="13" t="s">
        <v>1144</v>
      </c>
      <c r="C23" s="14">
        <v>0.11</v>
      </c>
      <c r="D23" s="14">
        <v>0.04</v>
      </c>
      <c r="E23" s="14">
        <v>0.14000000000000001</v>
      </c>
      <c r="F23" s="14">
        <v>0.14000000000000001</v>
      </c>
      <c r="G23" s="14">
        <v>0.02</v>
      </c>
      <c r="H23" s="14">
        <v>0.08</v>
      </c>
      <c r="I23" s="14">
        <v>0.08</v>
      </c>
      <c r="J23" s="14">
        <v>0.1</v>
      </c>
      <c r="K23" s="14">
        <v>0.08</v>
      </c>
      <c r="L23" s="14">
        <v>0.06</v>
      </c>
      <c r="M23" s="14">
        <v>0.16</v>
      </c>
      <c r="N23" s="14">
        <v>0.12</v>
      </c>
      <c r="O23" s="14">
        <v>0.09</v>
      </c>
      <c r="P23" s="14">
        <v>0.14000000000000001</v>
      </c>
      <c r="Q23" s="14">
        <v>0.18</v>
      </c>
      <c r="R23" s="14">
        <v>0.14000000000000001</v>
      </c>
      <c r="S23" s="14">
        <v>0.12</v>
      </c>
      <c r="T23" s="14">
        <v>0.18</v>
      </c>
      <c r="U23" s="14">
        <v>0.03</v>
      </c>
      <c r="V23" s="14">
        <v>0.11</v>
      </c>
      <c r="W23" s="14">
        <v>0.08</v>
      </c>
      <c r="X23" s="14">
        <v>0.01</v>
      </c>
      <c r="Y23" s="14">
        <v>0.09</v>
      </c>
      <c r="Z23" s="14">
        <v>0.15</v>
      </c>
      <c r="AA23" s="14">
        <v>0.14000000000000001</v>
      </c>
      <c r="AB23" s="14">
        <v>0.17</v>
      </c>
      <c r="AC23" s="14">
        <v>0.12</v>
      </c>
      <c r="AD23" s="14">
        <v>0.12</v>
      </c>
      <c r="AE23" s="14">
        <v>0.04</v>
      </c>
      <c r="AF23" s="14">
        <v>0.01</v>
      </c>
    </row>
    <row r="24" spans="1:32" ht="23.25">
      <c r="A24" s="23"/>
      <c r="B24" s="11" t="s">
        <v>1145</v>
      </c>
      <c r="C24" s="12">
        <v>210</v>
      </c>
      <c r="D24" s="12">
        <v>2</v>
      </c>
      <c r="E24" s="12">
        <v>26</v>
      </c>
      <c r="F24" s="12">
        <v>20</v>
      </c>
      <c r="G24" s="12">
        <v>2</v>
      </c>
      <c r="H24" s="12">
        <v>12</v>
      </c>
      <c r="I24" s="12">
        <v>12</v>
      </c>
      <c r="J24" s="12">
        <v>0</v>
      </c>
      <c r="K24" s="12">
        <v>1</v>
      </c>
      <c r="L24" s="12">
        <v>1</v>
      </c>
      <c r="M24" s="12">
        <v>14</v>
      </c>
      <c r="N24" s="12">
        <v>4</v>
      </c>
      <c r="O24" s="12">
        <v>3</v>
      </c>
      <c r="P24" s="12">
        <v>6</v>
      </c>
      <c r="Q24" s="12">
        <v>15</v>
      </c>
      <c r="R24" s="12">
        <v>1</v>
      </c>
      <c r="S24" s="12">
        <v>5</v>
      </c>
      <c r="T24" s="12">
        <v>18</v>
      </c>
      <c r="U24" s="12">
        <v>2</v>
      </c>
      <c r="V24" s="12">
        <v>0</v>
      </c>
      <c r="W24" s="12">
        <v>15</v>
      </c>
      <c r="X24" s="12">
        <v>0</v>
      </c>
      <c r="Y24" s="12">
        <v>43</v>
      </c>
      <c r="Z24" s="12">
        <v>2</v>
      </c>
      <c r="AA24" s="12">
        <v>15</v>
      </c>
      <c r="AB24" s="12">
        <v>19</v>
      </c>
      <c r="AC24" s="12">
        <v>4</v>
      </c>
      <c r="AD24" s="12">
        <v>1</v>
      </c>
      <c r="AE24" s="12">
        <v>4</v>
      </c>
      <c r="AF24" s="12">
        <v>0</v>
      </c>
    </row>
    <row r="25" spans="1:32" ht="23.25">
      <c r="A25" s="23"/>
      <c r="B25" s="13" t="s">
        <v>1146</v>
      </c>
      <c r="C25" s="14">
        <v>0.01</v>
      </c>
      <c r="D25" s="15" t="s">
        <v>485</v>
      </c>
      <c r="E25" s="14">
        <v>0.02</v>
      </c>
      <c r="F25" s="14">
        <v>0.02</v>
      </c>
      <c r="G25" s="15" t="s">
        <v>485</v>
      </c>
      <c r="H25" s="14">
        <v>0.01</v>
      </c>
      <c r="I25" s="14">
        <v>0.01</v>
      </c>
      <c r="J25" s="15" t="s">
        <v>485</v>
      </c>
      <c r="K25" s="15" t="s">
        <v>485</v>
      </c>
      <c r="L25" s="15" t="s">
        <v>485</v>
      </c>
      <c r="M25" s="14">
        <v>0.01</v>
      </c>
      <c r="N25" s="15" t="s">
        <v>485</v>
      </c>
      <c r="O25" s="15" t="s">
        <v>485</v>
      </c>
      <c r="P25" s="14">
        <v>0.01</v>
      </c>
      <c r="Q25" s="14">
        <v>0.01</v>
      </c>
      <c r="R25" s="15" t="s">
        <v>485</v>
      </c>
      <c r="S25" s="15" t="s">
        <v>485</v>
      </c>
      <c r="T25" s="14">
        <v>0.02</v>
      </c>
      <c r="U25" s="15" t="s">
        <v>485</v>
      </c>
      <c r="V25" s="15" t="s">
        <v>485</v>
      </c>
      <c r="W25" s="14">
        <v>0.03</v>
      </c>
      <c r="X25" s="15" t="s">
        <v>485</v>
      </c>
      <c r="Y25" s="14">
        <v>0.04</v>
      </c>
      <c r="Z25" s="15" t="s">
        <v>485</v>
      </c>
      <c r="AA25" s="14">
        <v>0.01</v>
      </c>
      <c r="AB25" s="14">
        <v>0.02</v>
      </c>
      <c r="AC25" s="15" t="s">
        <v>485</v>
      </c>
      <c r="AD25" s="15" t="s">
        <v>485</v>
      </c>
      <c r="AE25" s="15" t="s">
        <v>485</v>
      </c>
      <c r="AF25" s="15" t="s">
        <v>485</v>
      </c>
    </row>
    <row r="26" spans="1:32">
      <c r="A26" s="23"/>
      <c r="B26" s="11" t="s">
        <v>1147</v>
      </c>
      <c r="C26" s="12">
        <v>23254</v>
      </c>
      <c r="D26" s="12">
        <v>969</v>
      </c>
      <c r="E26" s="12">
        <v>876</v>
      </c>
      <c r="F26" s="12">
        <v>847</v>
      </c>
      <c r="G26" s="12">
        <v>981</v>
      </c>
      <c r="H26" s="12">
        <v>1099</v>
      </c>
      <c r="I26" s="12">
        <v>1364</v>
      </c>
      <c r="J26" s="12">
        <v>265</v>
      </c>
      <c r="K26" s="12">
        <v>922</v>
      </c>
      <c r="L26" s="12">
        <v>945</v>
      </c>
      <c r="M26" s="12">
        <v>837</v>
      </c>
      <c r="N26" s="12">
        <v>882</v>
      </c>
      <c r="O26" s="12">
        <v>916</v>
      </c>
      <c r="P26" s="12">
        <v>861</v>
      </c>
      <c r="Q26" s="12">
        <v>827</v>
      </c>
      <c r="R26" s="12">
        <v>431</v>
      </c>
      <c r="S26" s="12">
        <v>885</v>
      </c>
      <c r="T26" s="12">
        <v>810</v>
      </c>
      <c r="U26" s="12">
        <v>489</v>
      </c>
      <c r="V26" s="12">
        <v>899</v>
      </c>
      <c r="W26" s="12">
        <v>449</v>
      </c>
      <c r="X26" s="12">
        <v>1005</v>
      </c>
      <c r="Y26" s="12">
        <v>877</v>
      </c>
      <c r="Z26" s="12">
        <v>863</v>
      </c>
      <c r="AA26" s="12">
        <v>877</v>
      </c>
      <c r="AB26" s="12">
        <v>832</v>
      </c>
      <c r="AC26" s="12">
        <v>881</v>
      </c>
      <c r="AD26" s="12">
        <v>886</v>
      </c>
      <c r="AE26" s="12">
        <v>967</v>
      </c>
      <c r="AF26" s="12">
        <v>1063</v>
      </c>
    </row>
    <row r="27" spans="1:32">
      <c r="A27" s="23"/>
      <c r="B27" s="13" t="s">
        <v>1148</v>
      </c>
      <c r="C27" s="14">
        <v>0.88</v>
      </c>
      <c r="D27" s="14">
        <v>0.96</v>
      </c>
      <c r="E27" s="14">
        <v>0.84</v>
      </c>
      <c r="F27" s="14">
        <v>0.84</v>
      </c>
      <c r="G27" s="14">
        <v>0.98</v>
      </c>
      <c r="H27" s="14">
        <v>0.91</v>
      </c>
      <c r="I27" s="14">
        <v>0.91</v>
      </c>
      <c r="J27" s="14">
        <v>0.9</v>
      </c>
      <c r="K27" s="14">
        <v>0.92</v>
      </c>
      <c r="L27" s="14">
        <v>0.94000000000000006</v>
      </c>
      <c r="M27" s="14">
        <v>0.83000000000000007</v>
      </c>
      <c r="N27" s="14">
        <v>0.88</v>
      </c>
      <c r="O27" s="14">
        <v>0.91</v>
      </c>
      <c r="P27" s="14">
        <v>0.85</v>
      </c>
      <c r="Q27" s="14">
        <v>0.81</v>
      </c>
      <c r="R27" s="14">
        <v>0.86</v>
      </c>
      <c r="S27" s="14">
        <v>0.88</v>
      </c>
      <c r="T27" s="14">
        <v>0.8</v>
      </c>
      <c r="U27" s="14">
        <v>0.97</v>
      </c>
      <c r="V27" s="14">
        <v>0.89</v>
      </c>
      <c r="W27" s="14">
        <v>0.89</v>
      </c>
      <c r="X27" s="14">
        <v>0.99</v>
      </c>
      <c r="Y27" s="14">
        <v>0.87</v>
      </c>
      <c r="Z27" s="14">
        <v>0.85</v>
      </c>
      <c r="AA27" s="14">
        <v>0.85</v>
      </c>
      <c r="AB27" s="14">
        <v>0.81</v>
      </c>
      <c r="AC27" s="14">
        <v>0.88</v>
      </c>
      <c r="AD27" s="14">
        <v>0.88</v>
      </c>
      <c r="AE27" s="14">
        <v>0.96</v>
      </c>
      <c r="AF27" s="14">
        <v>0.99</v>
      </c>
    </row>
  </sheetData>
  <mergeCells count="10">
    <mergeCell ref="B4:F4"/>
    <mergeCell ref="H3:L3"/>
    <mergeCell ref="C8:AF8"/>
    <mergeCell ref="A26:A27"/>
    <mergeCell ref="B3:F3"/>
    <mergeCell ref="B5:F5"/>
    <mergeCell ref="A10:A25"/>
    <mergeCell ref="H5:L5"/>
    <mergeCell ref="B10:B11"/>
    <mergeCell ref="H4:L4"/>
  </mergeCells>
  <pageMargins left="0.75" right="0.75" top="1" bottom="1" header="0.5" footer="0.5"/>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AF27"/>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12" customHeight="1">
      <c r="B3" s="19" t="s">
        <v>1149</v>
      </c>
      <c r="C3" s="19"/>
      <c r="D3" s="19"/>
      <c r="E3" s="19"/>
      <c r="F3" s="19"/>
      <c r="H3" s="19" t="s">
        <v>1150</v>
      </c>
      <c r="I3" s="19"/>
      <c r="J3" s="19"/>
      <c r="K3" s="19"/>
      <c r="L3" s="19"/>
    </row>
    <row r="4" spans="1:32" ht="27" customHeight="1">
      <c r="B4" s="19" t="s">
        <v>1151</v>
      </c>
      <c r="C4" s="19"/>
      <c r="D4" s="19"/>
      <c r="E4" s="19"/>
      <c r="F4" s="19"/>
      <c r="H4" s="19" t="s">
        <v>1152</v>
      </c>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HYPERLINK("#Content!A97","&lt;&lt;Back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1133</v>
      </c>
      <c r="C12" s="12">
        <v>12365</v>
      </c>
      <c r="D12" s="12">
        <v>572</v>
      </c>
      <c r="E12" s="12">
        <v>471</v>
      </c>
      <c r="F12" s="12">
        <v>479</v>
      </c>
      <c r="G12" s="12">
        <v>586</v>
      </c>
      <c r="H12" s="12">
        <v>547</v>
      </c>
      <c r="I12" s="12">
        <v>681</v>
      </c>
      <c r="J12" s="12">
        <v>134</v>
      </c>
      <c r="K12" s="12">
        <v>480</v>
      </c>
      <c r="L12" s="12">
        <v>548</v>
      </c>
      <c r="M12" s="12">
        <v>477</v>
      </c>
      <c r="N12" s="12">
        <v>455</v>
      </c>
      <c r="O12" s="12">
        <v>418</v>
      </c>
      <c r="P12" s="12">
        <v>554</v>
      </c>
      <c r="Q12" s="12">
        <v>439</v>
      </c>
      <c r="R12" s="12">
        <v>263</v>
      </c>
      <c r="S12" s="12">
        <v>506</v>
      </c>
      <c r="T12" s="12">
        <v>430</v>
      </c>
      <c r="U12" s="12">
        <v>294</v>
      </c>
      <c r="V12" s="12">
        <v>488</v>
      </c>
      <c r="W12" s="12">
        <v>332</v>
      </c>
      <c r="X12" s="12">
        <v>707</v>
      </c>
      <c r="Y12" s="12">
        <v>494</v>
      </c>
      <c r="Z12" s="12">
        <v>456</v>
      </c>
      <c r="AA12" s="12">
        <v>470</v>
      </c>
      <c r="AB12" s="12">
        <v>442</v>
      </c>
      <c r="AC12" s="12">
        <v>508</v>
      </c>
      <c r="AD12" s="12">
        <v>518</v>
      </c>
      <c r="AE12" s="12">
        <v>583</v>
      </c>
      <c r="AF12" s="12">
        <v>698</v>
      </c>
    </row>
    <row r="13" spans="1:32" ht="23.25">
      <c r="A13" s="23"/>
      <c r="B13" s="13" t="s">
        <v>1134</v>
      </c>
      <c r="C13" s="14">
        <v>0.47</v>
      </c>
      <c r="D13" s="14">
        <v>0.57000000000000006</v>
      </c>
      <c r="E13" s="14">
        <v>0.45</v>
      </c>
      <c r="F13" s="14">
        <v>0.48</v>
      </c>
      <c r="G13" s="14">
        <v>0.57999999999999996</v>
      </c>
      <c r="H13" s="14">
        <v>0.45</v>
      </c>
      <c r="I13" s="14">
        <v>0.45</v>
      </c>
      <c r="J13" s="14">
        <v>0.46</v>
      </c>
      <c r="K13" s="14">
        <v>0.48</v>
      </c>
      <c r="L13" s="14">
        <v>0.55000000000000004</v>
      </c>
      <c r="M13" s="14">
        <v>0.47</v>
      </c>
      <c r="N13" s="14">
        <v>0.46</v>
      </c>
      <c r="O13" s="14">
        <v>0.41</v>
      </c>
      <c r="P13" s="14">
        <v>0.55000000000000004</v>
      </c>
      <c r="Q13" s="14">
        <v>0.43</v>
      </c>
      <c r="R13" s="14">
        <v>0.52</v>
      </c>
      <c r="S13" s="14">
        <v>0.5</v>
      </c>
      <c r="T13" s="14">
        <v>0.43</v>
      </c>
      <c r="U13" s="14">
        <v>0.59</v>
      </c>
      <c r="V13" s="14">
        <v>0.48</v>
      </c>
      <c r="W13" s="14">
        <v>0.66</v>
      </c>
      <c r="X13" s="14">
        <v>0.70000000000000007</v>
      </c>
      <c r="Y13" s="14">
        <v>0.49</v>
      </c>
      <c r="Z13" s="14">
        <v>0.45</v>
      </c>
      <c r="AA13" s="14">
        <v>0.45</v>
      </c>
      <c r="AB13" s="14">
        <v>0.43</v>
      </c>
      <c r="AC13" s="14">
        <v>0.51</v>
      </c>
      <c r="AD13" s="14">
        <v>0.52</v>
      </c>
      <c r="AE13" s="14">
        <v>0.57999999999999996</v>
      </c>
      <c r="AF13" s="14">
        <v>0.65</v>
      </c>
    </row>
    <row r="14" spans="1:32" ht="23.25">
      <c r="A14" s="23"/>
      <c r="B14" s="11" t="s">
        <v>1135</v>
      </c>
      <c r="C14" s="12">
        <v>1253</v>
      </c>
      <c r="D14" s="12">
        <v>49</v>
      </c>
      <c r="E14" s="12">
        <v>52</v>
      </c>
      <c r="F14" s="12">
        <v>37</v>
      </c>
      <c r="G14" s="12">
        <v>41</v>
      </c>
      <c r="H14" s="12">
        <v>77</v>
      </c>
      <c r="I14" s="12">
        <v>88</v>
      </c>
      <c r="J14" s="12">
        <v>11</v>
      </c>
      <c r="K14" s="12">
        <v>59</v>
      </c>
      <c r="L14" s="12">
        <v>62</v>
      </c>
      <c r="M14" s="12">
        <v>45</v>
      </c>
      <c r="N14" s="12">
        <v>24</v>
      </c>
      <c r="O14" s="12">
        <v>30</v>
      </c>
      <c r="P14" s="12">
        <v>42</v>
      </c>
      <c r="Q14" s="12">
        <v>57</v>
      </c>
      <c r="R14" s="12">
        <v>13</v>
      </c>
      <c r="S14" s="12">
        <v>29</v>
      </c>
      <c r="T14" s="12">
        <v>40</v>
      </c>
      <c r="U14" s="12">
        <v>17</v>
      </c>
      <c r="V14" s="12">
        <v>68</v>
      </c>
      <c r="W14" s="12">
        <v>10</v>
      </c>
      <c r="X14" s="12">
        <v>34</v>
      </c>
      <c r="Y14" s="12">
        <v>76</v>
      </c>
      <c r="Z14" s="12">
        <v>81</v>
      </c>
      <c r="AA14" s="12">
        <v>23</v>
      </c>
      <c r="AB14" s="12">
        <v>74</v>
      </c>
      <c r="AC14" s="12">
        <v>39</v>
      </c>
      <c r="AD14" s="12">
        <v>37</v>
      </c>
      <c r="AE14" s="12">
        <v>33</v>
      </c>
      <c r="AF14" s="12">
        <v>22</v>
      </c>
    </row>
    <row r="15" spans="1:32" ht="23.25">
      <c r="A15" s="23"/>
      <c r="B15" s="13" t="s">
        <v>1136</v>
      </c>
      <c r="C15" s="14">
        <v>0.05</v>
      </c>
      <c r="D15" s="14">
        <v>0.05</v>
      </c>
      <c r="E15" s="14">
        <v>0.05</v>
      </c>
      <c r="F15" s="14">
        <v>0.04</v>
      </c>
      <c r="G15" s="14">
        <v>0.04</v>
      </c>
      <c r="H15" s="14">
        <v>0.06</v>
      </c>
      <c r="I15" s="14">
        <v>0.06</v>
      </c>
      <c r="J15" s="14">
        <v>0.04</v>
      </c>
      <c r="K15" s="14">
        <v>0.06</v>
      </c>
      <c r="L15" s="14">
        <v>0.06</v>
      </c>
      <c r="M15" s="14">
        <v>0.05</v>
      </c>
      <c r="N15" s="14">
        <v>0.02</v>
      </c>
      <c r="O15" s="14">
        <v>0.03</v>
      </c>
      <c r="P15" s="14">
        <v>0.04</v>
      </c>
      <c r="Q15" s="14">
        <v>0.06</v>
      </c>
      <c r="R15" s="14">
        <v>0.03</v>
      </c>
      <c r="S15" s="14">
        <v>0.03</v>
      </c>
      <c r="T15" s="14">
        <v>0.04</v>
      </c>
      <c r="U15" s="14">
        <v>0.03</v>
      </c>
      <c r="V15" s="14">
        <v>7.0000000000000007E-2</v>
      </c>
      <c r="W15" s="14">
        <v>0.02</v>
      </c>
      <c r="X15" s="14">
        <v>0.03</v>
      </c>
      <c r="Y15" s="14">
        <v>0.08</v>
      </c>
      <c r="Z15" s="14">
        <v>0.08</v>
      </c>
      <c r="AA15" s="14">
        <v>0.02</v>
      </c>
      <c r="AB15" s="14">
        <v>7.0000000000000007E-2</v>
      </c>
      <c r="AC15" s="14">
        <v>0.04</v>
      </c>
      <c r="AD15" s="14">
        <v>0.04</v>
      </c>
      <c r="AE15" s="14">
        <v>0.03</v>
      </c>
      <c r="AF15" s="14">
        <v>0.02</v>
      </c>
    </row>
    <row r="16" spans="1:32" ht="23.25">
      <c r="A16" s="23"/>
      <c r="B16" s="11" t="s">
        <v>1137</v>
      </c>
      <c r="C16" s="12">
        <v>419</v>
      </c>
      <c r="D16" s="12">
        <v>14</v>
      </c>
      <c r="E16" s="12">
        <v>21</v>
      </c>
      <c r="F16" s="12">
        <v>17</v>
      </c>
      <c r="G16" s="12">
        <v>8</v>
      </c>
      <c r="H16" s="12">
        <v>13</v>
      </c>
      <c r="I16" s="12">
        <v>21</v>
      </c>
      <c r="J16" s="12">
        <v>8</v>
      </c>
      <c r="K16" s="12">
        <v>27</v>
      </c>
      <c r="L16" s="12">
        <v>11</v>
      </c>
      <c r="M16" s="12">
        <v>13</v>
      </c>
      <c r="N16" s="12">
        <v>15</v>
      </c>
      <c r="O16" s="12">
        <v>7</v>
      </c>
      <c r="P16" s="12">
        <v>13</v>
      </c>
      <c r="Q16" s="12">
        <v>18</v>
      </c>
      <c r="R16" s="12">
        <v>6</v>
      </c>
      <c r="S16" s="12">
        <v>5</v>
      </c>
      <c r="T16" s="12">
        <v>8</v>
      </c>
      <c r="U16" s="12">
        <v>4</v>
      </c>
      <c r="V16" s="12">
        <v>28</v>
      </c>
      <c r="W16" s="12">
        <v>3</v>
      </c>
      <c r="X16" s="12">
        <v>13</v>
      </c>
      <c r="Y16" s="12">
        <v>20</v>
      </c>
      <c r="Z16" s="12">
        <v>39</v>
      </c>
      <c r="AA16" s="12">
        <v>15</v>
      </c>
      <c r="AB16" s="12">
        <v>23</v>
      </c>
      <c r="AC16" s="12">
        <v>4</v>
      </c>
      <c r="AD16" s="12">
        <v>12</v>
      </c>
      <c r="AE16" s="12">
        <v>15</v>
      </c>
      <c r="AF16" s="12">
        <v>8</v>
      </c>
    </row>
    <row r="17" spans="1:32">
      <c r="A17" s="23"/>
      <c r="B17" s="13" t="s">
        <v>1138</v>
      </c>
      <c r="C17" s="14">
        <v>0.02</v>
      </c>
      <c r="D17" s="14">
        <v>0.01</v>
      </c>
      <c r="E17" s="14">
        <v>0.02</v>
      </c>
      <c r="F17" s="14">
        <v>0.02</v>
      </c>
      <c r="G17" s="14">
        <v>0.01</v>
      </c>
      <c r="H17" s="14">
        <v>0.01</v>
      </c>
      <c r="I17" s="14">
        <v>0.02</v>
      </c>
      <c r="J17" s="14">
        <v>0.03</v>
      </c>
      <c r="K17" s="14">
        <v>0.03</v>
      </c>
      <c r="L17" s="14">
        <v>0.01</v>
      </c>
      <c r="M17" s="14">
        <v>0.01</v>
      </c>
      <c r="N17" s="14">
        <v>0.01</v>
      </c>
      <c r="O17" s="14">
        <v>0.01</v>
      </c>
      <c r="P17" s="14">
        <v>0.01</v>
      </c>
      <c r="Q17" s="14">
        <v>0.02</v>
      </c>
      <c r="R17" s="14">
        <v>0.01</v>
      </c>
      <c r="S17" s="14">
        <v>0.01</v>
      </c>
      <c r="T17" s="14">
        <v>0.01</v>
      </c>
      <c r="U17" s="14">
        <v>0.01</v>
      </c>
      <c r="V17" s="14">
        <v>0.03</v>
      </c>
      <c r="W17" s="14">
        <v>0.01</v>
      </c>
      <c r="X17" s="14">
        <v>0.01</v>
      </c>
      <c r="Y17" s="14">
        <v>0.02</v>
      </c>
      <c r="Z17" s="14">
        <v>0.04</v>
      </c>
      <c r="AA17" s="14">
        <v>0.02</v>
      </c>
      <c r="AB17" s="14">
        <v>0.02</v>
      </c>
      <c r="AC17" s="15" t="s">
        <v>485</v>
      </c>
      <c r="AD17" s="14">
        <v>0.01</v>
      </c>
      <c r="AE17" s="14">
        <v>0.01</v>
      </c>
      <c r="AF17" s="14">
        <v>0.01</v>
      </c>
    </row>
    <row r="18" spans="1:32" ht="23.25">
      <c r="A18" s="23"/>
      <c r="B18" s="11" t="s">
        <v>1139</v>
      </c>
      <c r="C18" s="12">
        <v>121</v>
      </c>
      <c r="D18" s="12">
        <v>7</v>
      </c>
      <c r="E18" s="12">
        <v>7</v>
      </c>
      <c r="F18" s="12">
        <v>6</v>
      </c>
      <c r="G18" s="12">
        <v>1</v>
      </c>
      <c r="H18" s="12">
        <v>3</v>
      </c>
      <c r="I18" s="12">
        <v>6</v>
      </c>
      <c r="J18" s="12">
        <v>3</v>
      </c>
      <c r="K18" s="12">
        <v>4</v>
      </c>
      <c r="L18" s="12">
        <v>2</v>
      </c>
      <c r="M18" s="12">
        <v>2</v>
      </c>
      <c r="N18" s="12">
        <v>5</v>
      </c>
      <c r="O18" s="12">
        <v>1</v>
      </c>
      <c r="P18" s="12">
        <v>5</v>
      </c>
      <c r="Q18" s="12">
        <v>4</v>
      </c>
      <c r="R18" s="12">
        <v>5</v>
      </c>
      <c r="S18" s="12">
        <v>2</v>
      </c>
      <c r="T18" s="12">
        <v>2</v>
      </c>
      <c r="U18" s="12">
        <v>2</v>
      </c>
      <c r="V18" s="12">
        <v>11</v>
      </c>
      <c r="W18" s="12">
        <v>1</v>
      </c>
      <c r="X18" s="12">
        <v>2</v>
      </c>
      <c r="Y18" s="12">
        <v>4</v>
      </c>
      <c r="Z18" s="12">
        <v>14</v>
      </c>
      <c r="AA18" s="12">
        <v>4</v>
      </c>
      <c r="AB18" s="12">
        <v>7</v>
      </c>
      <c r="AC18" s="12">
        <v>4</v>
      </c>
      <c r="AD18" s="12">
        <v>1</v>
      </c>
      <c r="AE18" s="12">
        <v>6</v>
      </c>
      <c r="AF18" s="12">
        <v>0</v>
      </c>
    </row>
    <row r="19" spans="1:32" ht="23.25">
      <c r="A19" s="23"/>
      <c r="B19" s="13" t="s">
        <v>1140</v>
      </c>
      <c r="C19" s="15" t="s">
        <v>485</v>
      </c>
      <c r="D19" s="14">
        <v>0.01</v>
      </c>
      <c r="E19" s="14">
        <v>0.01</v>
      </c>
      <c r="F19" s="15" t="s">
        <v>485</v>
      </c>
      <c r="G19" s="15" t="s">
        <v>485</v>
      </c>
      <c r="H19" s="15" t="s">
        <v>485</v>
      </c>
      <c r="I19" s="15" t="s">
        <v>485</v>
      </c>
      <c r="J19" s="14">
        <v>0.01</v>
      </c>
      <c r="K19" s="15" t="s">
        <v>485</v>
      </c>
      <c r="L19" s="15" t="s">
        <v>485</v>
      </c>
      <c r="M19" s="15" t="s">
        <v>485</v>
      </c>
      <c r="N19" s="14">
        <v>0.01</v>
      </c>
      <c r="O19" s="15" t="s">
        <v>485</v>
      </c>
      <c r="P19" s="14">
        <v>0.01</v>
      </c>
      <c r="Q19" s="15" t="s">
        <v>485</v>
      </c>
      <c r="R19" s="14">
        <v>0.01</v>
      </c>
      <c r="S19" s="15" t="s">
        <v>485</v>
      </c>
      <c r="T19" s="15" t="s">
        <v>485</v>
      </c>
      <c r="U19" s="15" t="s">
        <v>485</v>
      </c>
      <c r="V19" s="14">
        <v>0.01</v>
      </c>
      <c r="W19" s="15" t="s">
        <v>485</v>
      </c>
      <c r="X19" s="15" t="s">
        <v>485</v>
      </c>
      <c r="Y19" s="15" t="s">
        <v>485</v>
      </c>
      <c r="Z19" s="14">
        <v>0.01</v>
      </c>
      <c r="AA19" s="15" t="s">
        <v>485</v>
      </c>
      <c r="AB19" s="14">
        <v>0.01</v>
      </c>
      <c r="AC19" s="15" t="s">
        <v>485</v>
      </c>
      <c r="AD19" s="15" t="s">
        <v>485</v>
      </c>
      <c r="AE19" s="14">
        <v>0.01</v>
      </c>
      <c r="AF19" s="15" t="s">
        <v>485</v>
      </c>
    </row>
    <row r="20" spans="1:32">
      <c r="A20" s="23"/>
      <c r="B20" s="11" t="s">
        <v>1141</v>
      </c>
      <c r="C20" s="12">
        <v>730</v>
      </c>
      <c r="D20" s="12">
        <v>42</v>
      </c>
      <c r="E20" s="12">
        <v>38</v>
      </c>
      <c r="F20" s="12">
        <v>48</v>
      </c>
      <c r="G20" s="12">
        <v>29</v>
      </c>
      <c r="H20" s="12">
        <v>43</v>
      </c>
      <c r="I20" s="12">
        <v>64</v>
      </c>
      <c r="J20" s="12">
        <v>21</v>
      </c>
      <c r="K20" s="12">
        <v>62</v>
      </c>
      <c r="L20" s="12">
        <v>22</v>
      </c>
      <c r="M20" s="12">
        <v>22</v>
      </c>
      <c r="N20" s="12">
        <v>32</v>
      </c>
      <c r="O20" s="12">
        <v>16</v>
      </c>
      <c r="P20" s="12">
        <v>43</v>
      </c>
      <c r="Q20" s="12">
        <v>13</v>
      </c>
      <c r="R20" s="12">
        <v>10</v>
      </c>
      <c r="S20" s="12">
        <v>29</v>
      </c>
      <c r="T20" s="12">
        <v>33</v>
      </c>
      <c r="U20" s="12">
        <v>12</v>
      </c>
      <c r="V20" s="12">
        <v>33</v>
      </c>
      <c r="W20" s="12">
        <v>3</v>
      </c>
      <c r="X20" s="12">
        <v>23</v>
      </c>
      <c r="Y20" s="12">
        <v>19</v>
      </c>
      <c r="Z20" s="12">
        <v>31</v>
      </c>
      <c r="AA20" s="12">
        <v>17</v>
      </c>
      <c r="AB20" s="12">
        <v>32</v>
      </c>
      <c r="AC20" s="12">
        <v>38</v>
      </c>
      <c r="AD20" s="12">
        <v>34</v>
      </c>
      <c r="AE20" s="12">
        <v>15</v>
      </c>
      <c r="AF20" s="12">
        <v>16</v>
      </c>
    </row>
    <row r="21" spans="1:32">
      <c r="A21" s="23"/>
      <c r="B21" s="13" t="s">
        <v>1142</v>
      </c>
      <c r="C21" s="14">
        <v>0.03</v>
      </c>
      <c r="D21" s="14">
        <v>0.04</v>
      </c>
      <c r="E21" s="14">
        <v>0.04</v>
      </c>
      <c r="F21" s="14">
        <v>0.05</v>
      </c>
      <c r="G21" s="14">
        <v>0.03</v>
      </c>
      <c r="H21" s="14">
        <v>0.04</v>
      </c>
      <c r="I21" s="14">
        <v>0.04</v>
      </c>
      <c r="J21" s="14">
        <v>7.0000000000000007E-2</v>
      </c>
      <c r="K21" s="14">
        <v>0.06</v>
      </c>
      <c r="L21" s="14">
        <v>0.02</v>
      </c>
      <c r="M21" s="14">
        <v>0.02</v>
      </c>
      <c r="N21" s="14">
        <v>0.03</v>
      </c>
      <c r="O21" s="14">
        <v>0.02</v>
      </c>
      <c r="P21" s="14">
        <v>0.04</v>
      </c>
      <c r="Q21" s="14">
        <v>0.01</v>
      </c>
      <c r="R21" s="14">
        <v>0.02</v>
      </c>
      <c r="S21" s="14">
        <v>0.03</v>
      </c>
      <c r="T21" s="14">
        <v>0.03</v>
      </c>
      <c r="U21" s="14">
        <v>0.02</v>
      </c>
      <c r="V21" s="14">
        <v>0.03</v>
      </c>
      <c r="W21" s="15" t="s">
        <v>485</v>
      </c>
      <c r="X21" s="14">
        <v>0.02</v>
      </c>
      <c r="Y21" s="14">
        <v>0.02</v>
      </c>
      <c r="Z21" s="14">
        <v>0.03</v>
      </c>
      <c r="AA21" s="14">
        <v>0.02</v>
      </c>
      <c r="AB21" s="14">
        <v>0.03</v>
      </c>
      <c r="AC21" s="14">
        <v>0.04</v>
      </c>
      <c r="AD21" s="14">
        <v>0.03</v>
      </c>
      <c r="AE21" s="14">
        <v>0.02</v>
      </c>
      <c r="AF21" s="14">
        <v>0.02</v>
      </c>
    </row>
    <row r="22" spans="1:32">
      <c r="A22" s="23"/>
      <c r="B22" s="11" t="s">
        <v>1143</v>
      </c>
      <c r="C22" s="12">
        <v>11053</v>
      </c>
      <c r="D22" s="12">
        <v>306</v>
      </c>
      <c r="E22" s="12">
        <v>423</v>
      </c>
      <c r="F22" s="12">
        <v>397</v>
      </c>
      <c r="G22" s="12">
        <v>315</v>
      </c>
      <c r="H22" s="12">
        <v>500</v>
      </c>
      <c r="I22" s="12">
        <v>616</v>
      </c>
      <c r="J22" s="12">
        <v>116</v>
      </c>
      <c r="K22" s="12">
        <v>359</v>
      </c>
      <c r="L22" s="12">
        <v>358</v>
      </c>
      <c r="M22" s="12">
        <v>416</v>
      </c>
      <c r="N22" s="12">
        <v>454</v>
      </c>
      <c r="O22" s="12">
        <v>529</v>
      </c>
      <c r="P22" s="12">
        <v>340</v>
      </c>
      <c r="Q22" s="12">
        <v>466</v>
      </c>
      <c r="R22" s="12">
        <v>202</v>
      </c>
      <c r="S22" s="12">
        <v>410</v>
      </c>
      <c r="T22" s="12">
        <v>483</v>
      </c>
      <c r="U22" s="12">
        <v>166</v>
      </c>
      <c r="V22" s="12">
        <v>381</v>
      </c>
      <c r="W22" s="12">
        <v>151</v>
      </c>
      <c r="X22" s="12">
        <v>229</v>
      </c>
      <c r="Y22" s="12">
        <v>359</v>
      </c>
      <c r="Z22" s="12">
        <v>393</v>
      </c>
      <c r="AA22" s="12">
        <v>490</v>
      </c>
      <c r="AB22" s="12">
        <v>429</v>
      </c>
      <c r="AC22" s="12">
        <v>409</v>
      </c>
      <c r="AD22" s="12">
        <v>397</v>
      </c>
      <c r="AE22" s="12">
        <v>355</v>
      </c>
      <c r="AF22" s="12">
        <v>315</v>
      </c>
    </row>
    <row r="23" spans="1:32">
      <c r="A23" s="23"/>
      <c r="B23" s="13" t="s">
        <v>1144</v>
      </c>
      <c r="C23" s="14">
        <v>0.42</v>
      </c>
      <c r="D23" s="14">
        <v>0.3</v>
      </c>
      <c r="E23" s="14">
        <v>0.4</v>
      </c>
      <c r="F23" s="14">
        <v>0.39</v>
      </c>
      <c r="G23" s="14">
        <v>0.32</v>
      </c>
      <c r="H23" s="14">
        <v>0.41</v>
      </c>
      <c r="I23" s="14">
        <v>0.41</v>
      </c>
      <c r="J23" s="14">
        <v>0.39</v>
      </c>
      <c r="K23" s="14">
        <v>0.36</v>
      </c>
      <c r="L23" s="14">
        <v>0.36</v>
      </c>
      <c r="M23" s="14">
        <v>0.41</v>
      </c>
      <c r="N23" s="14">
        <v>0.45</v>
      </c>
      <c r="O23" s="14">
        <v>0.53</v>
      </c>
      <c r="P23" s="14">
        <v>0.34</v>
      </c>
      <c r="Q23" s="14">
        <v>0.45</v>
      </c>
      <c r="R23" s="14">
        <v>0.4</v>
      </c>
      <c r="S23" s="14">
        <v>0.41</v>
      </c>
      <c r="T23" s="14">
        <v>0.48</v>
      </c>
      <c r="U23" s="14">
        <v>0.33</v>
      </c>
      <c r="V23" s="14">
        <v>0.38</v>
      </c>
      <c r="W23" s="14">
        <v>0.3</v>
      </c>
      <c r="X23" s="14">
        <v>0.23</v>
      </c>
      <c r="Y23" s="14">
        <v>0.36</v>
      </c>
      <c r="Z23" s="14">
        <v>0.39</v>
      </c>
      <c r="AA23" s="14">
        <v>0.47</v>
      </c>
      <c r="AB23" s="14">
        <v>0.42</v>
      </c>
      <c r="AC23" s="14">
        <v>0.41</v>
      </c>
      <c r="AD23" s="14">
        <v>0.4</v>
      </c>
      <c r="AE23" s="14">
        <v>0.35</v>
      </c>
      <c r="AF23" s="14">
        <v>0.28999999999999998</v>
      </c>
    </row>
    <row r="24" spans="1:32" ht="23.25">
      <c r="A24" s="23"/>
      <c r="B24" s="11" t="s">
        <v>1145</v>
      </c>
      <c r="C24" s="12">
        <v>412</v>
      </c>
      <c r="D24" s="12">
        <v>16</v>
      </c>
      <c r="E24" s="12">
        <v>32</v>
      </c>
      <c r="F24" s="12">
        <v>22</v>
      </c>
      <c r="G24" s="12">
        <v>23</v>
      </c>
      <c r="H24" s="12">
        <v>29</v>
      </c>
      <c r="I24" s="12">
        <v>30</v>
      </c>
      <c r="J24" s="12">
        <v>1</v>
      </c>
      <c r="K24" s="12">
        <v>13</v>
      </c>
      <c r="L24" s="12">
        <v>2</v>
      </c>
      <c r="M24" s="12">
        <v>35</v>
      </c>
      <c r="N24" s="12">
        <v>16</v>
      </c>
      <c r="O24" s="12">
        <v>4</v>
      </c>
      <c r="P24" s="12">
        <v>14</v>
      </c>
      <c r="Q24" s="12">
        <v>27</v>
      </c>
      <c r="R24" s="12">
        <v>3</v>
      </c>
      <c r="S24" s="12">
        <v>25</v>
      </c>
      <c r="T24" s="12">
        <v>8</v>
      </c>
      <c r="U24" s="12">
        <v>8</v>
      </c>
      <c r="V24" s="12">
        <v>2</v>
      </c>
      <c r="W24" s="12">
        <v>4</v>
      </c>
      <c r="X24" s="12">
        <v>8</v>
      </c>
      <c r="Y24" s="12">
        <v>35</v>
      </c>
      <c r="Z24" s="12">
        <v>4</v>
      </c>
      <c r="AA24" s="12">
        <v>21</v>
      </c>
      <c r="AB24" s="12">
        <v>24</v>
      </c>
      <c r="AC24" s="12">
        <v>4</v>
      </c>
      <c r="AD24" s="12">
        <v>3</v>
      </c>
      <c r="AE24" s="12">
        <v>2</v>
      </c>
      <c r="AF24" s="12">
        <v>14</v>
      </c>
    </row>
    <row r="25" spans="1:32" ht="23.25">
      <c r="A25" s="23"/>
      <c r="B25" s="13" t="s">
        <v>1146</v>
      </c>
      <c r="C25" s="14">
        <v>0.01</v>
      </c>
      <c r="D25" s="14">
        <v>0.02</v>
      </c>
      <c r="E25" s="14">
        <v>0.03</v>
      </c>
      <c r="F25" s="14">
        <v>0.02</v>
      </c>
      <c r="G25" s="14">
        <v>0.02</v>
      </c>
      <c r="H25" s="14">
        <v>0.03</v>
      </c>
      <c r="I25" s="14">
        <v>0.02</v>
      </c>
      <c r="J25" s="15" t="s">
        <v>485</v>
      </c>
      <c r="K25" s="14">
        <v>0.01</v>
      </c>
      <c r="L25" s="15" t="s">
        <v>485</v>
      </c>
      <c r="M25" s="14">
        <v>0.04</v>
      </c>
      <c r="N25" s="14">
        <v>0.02</v>
      </c>
      <c r="O25" s="15" t="s">
        <v>485</v>
      </c>
      <c r="P25" s="14">
        <v>0.01</v>
      </c>
      <c r="Q25" s="14">
        <v>0.03</v>
      </c>
      <c r="R25" s="14">
        <v>0.01</v>
      </c>
      <c r="S25" s="14">
        <v>0.02</v>
      </c>
      <c r="T25" s="14">
        <v>0.01</v>
      </c>
      <c r="U25" s="14">
        <v>0.02</v>
      </c>
      <c r="V25" s="15" t="s">
        <v>485</v>
      </c>
      <c r="W25" s="14">
        <v>0.01</v>
      </c>
      <c r="X25" s="14">
        <v>0.01</v>
      </c>
      <c r="Y25" s="14">
        <v>0.03</v>
      </c>
      <c r="Z25" s="15" t="s">
        <v>485</v>
      </c>
      <c r="AA25" s="14">
        <v>0.02</v>
      </c>
      <c r="AB25" s="14">
        <v>0.02</v>
      </c>
      <c r="AC25" s="15" t="s">
        <v>485</v>
      </c>
      <c r="AD25" s="15" t="s">
        <v>485</v>
      </c>
      <c r="AE25" s="15" t="s">
        <v>485</v>
      </c>
      <c r="AF25" s="14">
        <v>0.01</v>
      </c>
    </row>
    <row r="26" spans="1:32">
      <c r="A26" s="23"/>
      <c r="B26" s="11" t="s">
        <v>1147</v>
      </c>
      <c r="C26" s="12">
        <v>14888</v>
      </c>
      <c r="D26" s="12">
        <v>684</v>
      </c>
      <c r="E26" s="12">
        <v>589</v>
      </c>
      <c r="F26" s="12">
        <v>587</v>
      </c>
      <c r="G26" s="12">
        <v>665</v>
      </c>
      <c r="H26" s="12">
        <v>683</v>
      </c>
      <c r="I26" s="12">
        <v>860</v>
      </c>
      <c r="J26" s="12">
        <v>177</v>
      </c>
      <c r="K26" s="12">
        <v>632</v>
      </c>
      <c r="L26" s="12">
        <v>645</v>
      </c>
      <c r="M26" s="12">
        <v>559</v>
      </c>
      <c r="N26" s="12">
        <v>531</v>
      </c>
      <c r="O26" s="12">
        <v>472</v>
      </c>
      <c r="P26" s="12">
        <v>657</v>
      </c>
      <c r="Q26" s="12">
        <v>531</v>
      </c>
      <c r="R26" s="12">
        <v>297</v>
      </c>
      <c r="S26" s="12">
        <v>571</v>
      </c>
      <c r="T26" s="12">
        <v>513</v>
      </c>
      <c r="U26" s="12">
        <v>329</v>
      </c>
      <c r="V26" s="12">
        <v>628</v>
      </c>
      <c r="W26" s="12">
        <v>349</v>
      </c>
      <c r="X26" s="12">
        <v>779</v>
      </c>
      <c r="Y26" s="12">
        <v>613</v>
      </c>
      <c r="Z26" s="12">
        <v>621</v>
      </c>
      <c r="AA26" s="12">
        <v>529</v>
      </c>
      <c r="AB26" s="12">
        <v>578</v>
      </c>
      <c r="AC26" s="12">
        <v>593</v>
      </c>
      <c r="AD26" s="12">
        <v>602</v>
      </c>
      <c r="AE26" s="12">
        <v>652</v>
      </c>
      <c r="AF26" s="12">
        <v>744</v>
      </c>
    </row>
    <row r="27" spans="1:32">
      <c r="A27" s="23"/>
      <c r="B27" s="13" t="s">
        <v>1148</v>
      </c>
      <c r="C27" s="14">
        <v>0.57000000000000006</v>
      </c>
      <c r="D27" s="14">
        <v>0.68</v>
      </c>
      <c r="E27" s="14">
        <v>0.57000000000000006</v>
      </c>
      <c r="F27" s="14">
        <v>0.59</v>
      </c>
      <c r="G27" s="14">
        <v>0.66</v>
      </c>
      <c r="H27" s="14">
        <v>0.56000000000000005</v>
      </c>
      <c r="I27" s="14">
        <v>0.57000000000000006</v>
      </c>
      <c r="J27" s="14">
        <v>0.61</v>
      </c>
      <c r="K27" s="14">
        <v>0.63</v>
      </c>
      <c r="L27" s="14">
        <v>0.64</v>
      </c>
      <c r="M27" s="14">
        <v>0.55000000000000004</v>
      </c>
      <c r="N27" s="14">
        <v>0.53</v>
      </c>
      <c r="O27" s="14">
        <v>0.47</v>
      </c>
      <c r="P27" s="14">
        <v>0.65</v>
      </c>
      <c r="Q27" s="14">
        <v>0.52</v>
      </c>
      <c r="R27" s="14">
        <v>0.59</v>
      </c>
      <c r="S27" s="14">
        <v>0.57000000000000006</v>
      </c>
      <c r="T27" s="14">
        <v>0.51</v>
      </c>
      <c r="U27" s="14">
        <v>0.65</v>
      </c>
      <c r="V27" s="14">
        <v>0.62</v>
      </c>
      <c r="W27" s="14">
        <v>0.69000000000000006</v>
      </c>
      <c r="X27" s="14">
        <v>0.76</v>
      </c>
      <c r="Y27" s="14">
        <v>0.61</v>
      </c>
      <c r="Z27" s="14">
        <v>0.61</v>
      </c>
      <c r="AA27" s="14">
        <v>0.51</v>
      </c>
      <c r="AB27" s="14">
        <v>0.56000000000000005</v>
      </c>
      <c r="AC27" s="14">
        <v>0.59</v>
      </c>
      <c r="AD27" s="14">
        <v>0.6</v>
      </c>
      <c r="AE27" s="14">
        <v>0.65</v>
      </c>
      <c r="AF27" s="14">
        <v>0.70000000000000007</v>
      </c>
    </row>
  </sheetData>
  <mergeCells count="10">
    <mergeCell ref="B4:F4"/>
    <mergeCell ref="H3:L3"/>
    <mergeCell ref="C8:AF8"/>
    <mergeCell ref="A26:A27"/>
    <mergeCell ref="B3:F3"/>
    <mergeCell ref="B5:F5"/>
    <mergeCell ref="A10:A25"/>
    <mergeCell ref="H5:L5"/>
    <mergeCell ref="B10:B11"/>
    <mergeCell ref="H4:L4"/>
  </mergeCells>
  <pageMargins left="0.75" right="0.75" top="1" bottom="1" header="0.5" footer="0.5"/>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AF27"/>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12" customHeight="1">
      <c r="B3" s="19" t="s">
        <v>1153</v>
      </c>
      <c r="C3" s="19"/>
      <c r="D3" s="19"/>
      <c r="E3" s="19"/>
      <c r="F3" s="19"/>
      <c r="H3" s="19" t="s">
        <v>1154</v>
      </c>
      <c r="I3" s="19"/>
      <c r="J3" s="19"/>
      <c r="K3" s="19"/>
      <c r="L3" s="19"/>
    </row>
    <row r="4" spans="1:32" ht="27" customHeight="1">
      <c r="B4" s="19" t="s">
        <v>1155</v>
      </c>
      <c r="C4" s="19"/>
      <c r="D4" s="19"/>
      <c r="E4" s="19"/>
      <c r="F4" s="19"/>
      <c r="H4" s="19" t="s">
        <v>1156</v>
      </c>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HYPERLINK("#Content!A98","&lt;&lt;Back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1133</v>
      </c>
      <c r="C12" s="12">
        <v>20783</v>
      </c>
      <c r="D12" s="12">
        <v>846</v>
      </c>
      <c r="E12" s="12">
        <v>807</v>
      </c>
      <c r="F12" s="12">
        <v>719</v>
      </c>
      <c r="G12" s="12">
        <v>917</v>
      </c>
      <c r="H12" s="12">
        <v>957</v>
      </c>
      <c r="I12" s="12">
        <v>1184</v>
      </c>
      <c r="J12" s="12">
        <v>227</v>
      </c>
      <c r="K12" s="12">
        <v>823</v>
      </c>
      <c r="L12" s="12">
        <v>831</v>
      </c>
      <c r="M12" s="12">
        <v>738</v>
      </c>
      <c r="N12" s="12">
        <v>797</v>
      </c>
      <c r="O12" s="12">
        <v>813</v>
      </c>
      <c r="P12" s="12">
        <v>754</v>
      </c>
      <c r="Q12" s="12">
        <v>820</v>
      </c>
      <c r="R12" s="12">
        <v>365</v>
      </c>
      <c r="S12" s="12">
        <v>835</v>
      </c>
      <c r="T12" s="12">
        <v>774</v>
      </c>
      <c r="U12" s="12">
        <v>448</v>
      </c>
      <c r="V12" s="12">
        <v>724</v>
      </c>
      <c r="W12" s="12">
        <v>421</v>
      </c>
      <c r="X12" s="12">
        <v>939</v>
      </c>
      <c r="Y12" s="12">
        <v>776</v>
      </c>
      <c r="Z12" s="12">
        <v>699</v>
      </c>
      <c r="AA12" s="12">
        <v>746</v>
      </c>
      <c r="AB12" s="12">
        <v>729</v>
      </c>
      <c r="AC12" s="12">
        <v>814</v>
      </c>
      <c r="AD12" s="12">
        <v>778</v>
      </c>
      <c r="AE12" s="12">
        <v>908</v>
      </c>
      <c r="AF12" s="12">
        <v>1009</v>
      </c>
    </row>
    <row r="13" spans="1:32" ht="23.25">
      <c r="A13" s="23"/>
      <c r="B13" s="13" t="s">
        <v>1134</v>
      </c>
      <c r="C13" s="14">
        <v>0.79</v>
      </c>
      <c r="D13" s="14">
        <v>0.84</v>
      </c>
      <c r="E13" s="14">
        <v>0.77</v>
      </c>
      <c r="F13" s="14">
        <v>0.71</v>
      </c>
      <c r="G13" s="14">
        <v>0.92</v>
      </c>
      <c r="H13" s="14">
        <v>0.79</v>
      </c>
      <c r="I13" s="14">
        <v>0.79</v>
      </c>
      <c r="J13" s="14">
        <v>0.77</v>
      </c>
      <c r="K13" s="14">
        <v>0.82000000000000006</v>
      </c>
      <c r="L13" s="14">
        <v>0.83000000000000007</v>
      </c>
      <c r="M13" s="14">
        <v>0.73</v>
      </c>
      <c r="N13" s="14">
        <v>0.8</v>
      </c>
      <c r="O13" s="14">
        <v>0.81</v>
      </c>
      <c r="P13" s="14">
        <v>0.74</v>
      </c>
      <c r="Q13" s="14">
        <v>0.8</v>
      </c>
      <c r="R13" s="14">
        <v>0.73</v>
      </c>
      <c r="S13" s="14">
        <v>0.83000000000000007</v>
      </c>
      <c r="T13" s="14">
        <v>0.77</v>
      </c>
      <c r="U13" s="14">
        <v>0.89</v>
      </c>
      <c r="V13" s="14">
        <v>0.72</v>
      </c>
      <c r="W13" s="14">
        <v>0.84</v>
      </c>
      <c r="X13" s="14">
        <v>0.92</v>
      </c>
      <c r="Y13" s="14">
        <v>0.77</v>
      </c>
      <c r="Z13" s="14">
        <v>0.69000000000000006</v>
      </c>
      <c r="AA13" s="14">
        <v>0.72</v>
      </c>
      <c r="AB13" s="14">
        <v>0.71</v>
      </c>
      <c r="AC13" s="14">
        <v>0.81</v>
      </c>
      <c r="AD13" s="14">
        <v>0.78</v>
      </c>
      <c r="AE13" s="14">
        <v>0.9</v>
      </c>
      <c r="AF13" s="14">
        <v>0.94000000000000006</v>
      </c>
    </row>
    <row r="14" spans="1:32" ht="23.25">
      <c r="A14" s="23"/>
      <c r="B14" s="11" t="s">
        <v>1135</v>
      </c>
      <c r="C14" s="12">
        <v>1685</v>
      </c>
      <c r="D14" s="12">
        <v>67</v>
      </c>
      <c r="E14" s="12">
        <v>52</v>
      </c>
      <c r="F14" s="12">
        <v>60</v>
      </c>
      <c r="G14" s="12">
        <v>22</v>
      </c>
      <c r="H14" s="12">
        <v>91</v>
      </c>
      <c r="I14" s="12">
        <v>110</v>
      </c>
      <c r="J14" s="12">
        <v>19</v>
      </c>
      <c r="K14" s="12">
        <v>35</v>
      </c>
      <c r="L14" s="12">
        <v>54</v>
      </c>
      <c r="M14" s="12">
        <v>67</v>
      </c>
      <c r="N14" s="12">
        <v>56</v>
      </c>
      <c r="O14" s="12">
        <v>55</v>
      </c>
      <c r="P14" s="12">
        <v>68</v>
      </c>
      <c r="Q14" s="12">
        <v>74</v>
      </c>
      <c r="R14" s="12">
        <v>27</v>
      </c>
      <c r="S14" s="12">
        <v>25</v>
      </c>
      <c r="T14" s="12">
        <v>39</v>
      </c>
      <c r="U14" s="12">
        <v>26</v>
      </c>
      <c r="V14" s="12">
        <v>81</v>
      </c>
      <c r="W14" s="12">
        <v>14</v>
      </c>
      <c r="X14" s="12">
        <v>29</v>
      </c>
      <c r="Y14" s="12">
        <v>89</v>
      </c>
      <c r="Z14" s="12">
        <v>95</v>
      </c>
      <c r="AA14" s="12">
        <v>78</v>
      </c>
      <c r="AB14" s="12">
        <v>70</v>
      </c>
      <c r="AC14" s="12">
        <v>51</v>
      </c>
      <c r="AD14" s="12">
        <v>54</v>
      </c>
      <c r="AE14" s="12">
        <v>20</v>
      </c>
      <c r="AF14" s="12">
        <v>24</v>
      </c>
    </row>
    <row r="15" spans="1:32" ht="23.25">
      <c r="A15" s="23"/>
      <c r="B15" s="13" t="s">
        <v>1136</v>
      </c>
      <c r="C15" s="14">
        <v>0.06</v>
      </c>
      <c r="D15" s="14">
        <v>7.0000000000000007E-2</v>
      </c>
      <c r="E15" s="14">
        <v>0.05</v>
      </c>
      <c r="F15" s="14">
        <v>0.06</v>
      </c>
      <c r="G15" s="14">
        <v>0.02</v>
      </c>
      <c r="H15" s="14">
        <v>0.08</v>
      </c>
      <c r="I15" s="14">
        <v>7.0000000000000007E-2</v>
      </c>
      <c r="J15" s="14">
        <v>7.0000000000000007E-2</v>
      </c>
      <c r="K15" s="14">
        <v>0.03</v>
      </c>
      <c r="L15" s="14">
        <v>0.05</v>
      </c>
      <c r="M15" s="14">
        <v>7.0000000000000007E-2</v>
      </c>
      <c r="N15" s="14">
        <v>0.06</v>
      </c>
      <c r="O15" s="14">
        <v>0.05</v>
      </c>
      <c r="P15" s="14">
        <v>7.0000000000000007E-2</v>
      </c>
      <c r="Q15" s="14">
        <v>7.0000000000000007E-2</v>
      </c>
      <c r="R15" s="14">
        <v>0.05</v>
      </c>
      <c r="S15" s="14">
        <v>0.02</v>
      </c>
      <c r="T15" s="14">
        <v>0.04</v>
      </c>
      <c r="U15" s="14">
        <v>0.05</v>
      </c>
      <c r="V15" s="14">
        <v>0.08</v>
      </c>
      <c r="W15" s="14">
        <v>0.03</v>
      </c>
      <c r="X15" s="14">
        <v>0.03</v>
      </c>
      <c r="Y15" s="14">
        <v>0.09</v>
      </c>
      <c r="Z15" s="14">
        <v>0.09</v>
      </c>
      <c r="AA15" s="14">
        <v>7.0000000000000007E-2</v>
      </c>
      <c r="AB15" s="14">
        <v>7.0000000000000007E-2</v>
      </c>
      <c r="AC15" s="14">
        <v>0.05</v>
      </c>
      <c r="AD15" s="14">
        <v>0.05</v>
      </c>
      <c r="AE15" s="14">
        <v>0.02</v>
      </c>
      <c r="AF15" s="14">
        <v>0.02</v>
      </c>
    </row>
    <row r="16" spans="1:32" ht="23.25">
      <c r="A16" s="23"/>
      <c r="B16" s="11" t="s">
        <v>1137</v>
      </c>
      <c r="C16" s="12">
        <v>445</v>
      </c>
      <c r="D16" s="12">
        <v>15</v>
      </c>
      <c r="E16" s="12">
        <v>15</v>
      </c>
      <c r="F16" s="12">
        <v>21</v>
      </c>
      <c r="G16" s="12">
        <v>9</v>
      </c>
      <c r="H16" s="12">
        <v>16</v>
      </c>
      <c r="I16" s="12">
        <v>23</v>
      </c>
      <c r="J16" s="12">
        <v>6</v>
      </c>
      <c r="K16" s="12">
        <v>18</v>
      </c>
      <c r="L16" s="12">
        <v>19</v>
      </c>
      <c r="M16" s="12">
        <v>13</v>
      </c>
      <c r="N16" s="12">
        <v>17</v>
      </c>
      <c r="O16" s="12">
        <v>15</v>
      </c>
      <c r="P16" s="12">
        <v>16</v>
      </c>
      <c r="Q16" s="12">
        <v>19</v>
      </c>
      <c r="R16" s="12">
        <v>10</v>
      </c>
      <c r="S16" s="12">
        <v>12</v>
      </c>
      <c r="T16" s="12">
        <v>8</v>
      </c>
      <c r="U16" s="12">
        <v>4</v>
      </c>
      <c r="V16" s="12">
        <v>29</v>
      </c>
      <c r="W16" s="12">
        <v>3</v>
      </c>
      <c r="X16" s="12">
        <v>9</v>
      </c>
      <c r="Y16" s="12">
        <v>30</v>
      </c>
      <c r="Z16" s="12">
        <v>25</v>
      </c>
      <c r="AA16" s="12">
        <v>17</v>
      </c>
      <c r="AB16" s="12">
        <v>19</v>
      </c>
      <c r="AC16" s="12">
        <v>17</v>
      </c>
      <c r="AD16" s="12">
        <v>14</v>
      </c>
      <c r="AE16" s="12">
        <v>13</v>
      </c>
      <c r="AF16" s="12">
        <v>6</v>
      </c>
    </row>
    <row r="17" spans="1:32">
      <c r="A17" s="23"/>
      <c r="B17" s="13" t="s">
        <v>1138</v>
      </c>
      <c r="C17" s="14">
        <v>0.02</v>
      </c>
      <c r="D17" s="14">
        <v>0.02</v>
      </c>
      <c r="E17" s="14">
        <v>0.02</v>
      </c>
      <c r="F17" s="14">
        <v>0.02</v>
      </c>
      <c r="G17" s="14">
        <v>0.01</v>
      </c>
      <c r="H17" s="14">
        <v>0.01</v>
      </c>
      <c r="I17" s="14">
        <v>0.02</v>
      </c>
      <c r="J17" s="14">
        <v>0.02</v>
      </c>
      <c r="K17" s="14">
        <v>0.02</v>
      </c>
      <c r="L17" s="14">
        <v>0.02</v>
      </c>
      <c r="M17" s="14">
        <v>0.01</v>
      </c>
      <c r="N17" s="14">
        <v>0.02</v>
      </c>
      <c r="O17" s="14">
        <v>0.02</v>
      </c>
      <c r="P17" s="14">
        <v>0.01</v>
      </c>
      <c r="Q17" s="14">
        <v>0.02</v>
      </c>
      <c r="R17" s="14">
        <v>0.02</v>
      </c>
      <c r="S17" s="14">
        <v>0.01</v>
      </c>
      <c r="T17" s="14">
        <v>0.01</v>
      </c>
      <c r="U17" s="14">
        <v>0.01</v>
      </c>
      <c r="V17" s="14">
        <v>0.03</v>
      </c>
      <c r="W17" s="14">
        <v>0.01</v>
      </c>
      <c r="X17" s="14">
        <v>0.01</v>
      </c>
      <c r="Y17" s="14">
        <v>0.03</v>
      </c>
      <c r="Z17" s="14">
        <v>0.02</v>
      </c>
      <c r="AA17" s="14">
        <v>0.02</v>
      </c>
      <c r="AB17" s="14">
        <v>0.02</v>
      </c>
      <c r="AC17" s="14">
        <v>0.02</v>
      </c>
      <c r="AD17" s="14">
        <v>0.01</v>
      </c>
      <c r="AE17" s="14">
        <v>0.01</v>
      </c>
      <c r="AF17" s="14">
        <v>0.01</v>
      </c>
    </row>
    <row r="18" spans="1:32" ht="23.25">
      <c r="A18" s="23"/>
      <c r="B18" s="11" t="s">
        <v>1139</v>
      </c>
      <c r="C18" s="12">
        <v>206</v>
      </c>
      <c r="D18" s="12">
        <v>10</v>
      </c>
      <c r="E18" s="12">
        <v>6</v>
      </c>
      <c r="F18" s="12">
        <v>7</v>
      </c>
      <c r="G18" s="12">
        <v>4</v>
      </c>
      <c r="H18" s="12">
        <v>10</v>
      </c>
      <c r="I18" s="12">
        <v>14</v>
      </c>
      <c r="J18" s="12">
        <v>5</v>
      </c>
      <c r="K18" s="12">
        <v>6</v>
      </c>
      <c r="L18" s="12">
        <v>2</v>
      </c>
      <c r="M18" s="12">
        <v>4</v>
      </c>
      <c r="N18" s="12">
        <v>9</v>
      </c>
      <c r="O18" s="12">
        <v>4</v>
      </c>
      <c r="P18" s="12">
        <v>9</v>
      </c>
      <c r="Q18" s="12">
        <v>8</v>
      </c>
      <c r="R18" s="12">
        <v>8</v>
      </c>
      <c r="S18" s="12">
        <v>5</v>
      </c>
      <c r="T18" s="12">
        <v>1</v>
      </c>
      <c r="U18" s="12">
        <v>1</v>
      </c>
      <c r="V18" s="12">
        <v>7</v>
      </c>
      <c r="W18" s="12">
        <v>2</v>
      </c>
      <c r="X18" s="12">
        <v>3</v>
      </c>
      <c r="Y18" s="12">
        <v>3</v>
      </c>
      <c r="Z18" s="12">
        <v>21</v>
      </c>
      <c r="AA18" s="12">
        <v>3</v>
      </c>
      <c r="AB18" s="12">
        <v>6</v>
      </c>
      <c r="AC18" s="12">
        <v>0</v>
      </c>
      <c r="AD18" s="12">
        <v>6</v>
      </c>
      <c r="AE18" s="12">
        <v>6</v>
      </c>
      <c r="AF18" s="12">
        <v>5</v>
      </c>
    </row>
    <row r="19" spans="1:32" ht="23.25">
      <c r="A19" s="23"/>
      <c r="B19" s="13" t="s">
        <v>1140</v>
      </c>
      <c r="C19" s="14">
        <v>0.01</v>
      </c>
      <c r="D19" s="14">
        <v>0.01</v>
      </c>
      <c r="E19" s="14">
        <v>0.01</v>
      </c>
      <c r="F19" s="14">
        <v>0.01</v>
      </c>
      <c r="G19" s="15" t="s">
        <v>485</v>
      </c>
      <c r="H19" s="14">
        <v>0.01</v>
      </c>
      <c r="I19" s="14">
        <v>0.01</v>
      </c>
      <c r="J19" s="14">
        <v>0.02</v>
      </c>
      <c r="K19" s="14">
        <v>0.01</v>
      </c>
      <c r="L19" s="15" t="s">
        <v>485</v>
      </c>
      <c r="M19" s="15" t="s">
        <v>485</v>
      </c>
      <c r="N19" s="14">
        <v>0.01</v>
      </c>
      <c r="O19" s="15" t="s">
        <v>485</v>
      </c>
      <c r="P19" s="14">
        <v>0.01</v>
      </c>
      <c r="Q19" s="14">
        <v>0.01</v>
      </c>
      <c r="R19" s="14">
        <v>0.02</v>
      </c>
      <c r="S19" s="14">
        <v>0.01</v>
      </c>
      <c r="T19" s="15" t="s">
        <v>485</v>
      </c>
      <c r="U19" s="15" t="s">
        <v>485</v>
      </c>
      <c r="V19" s="14">
        <v>0.01</v>
      </c>
      <c r="W19" s="15" t="s">
        <v>485</v>
      </c>
      <c r="X19" s="15" t="s">
        <v>485</v>
      </c>
      <c r="Y19" s="15" t="s">
        <v>485</v>
      </c>
      <c r="Z19" s="14">
        <v>0.02</v>
      </c>
      <c r="AA19" s="15" t="s">
        <v>485</v>
      </c>
      <c r="AB19" s="15" t="s">
        <v>485</v>
      </c>
      <c r="AC19" s="15" t="s">
        <v>485</v>
      </c>
      <c r="AD19" s="14">
        <v>0.01</v>
      </c>
      <c r="AE19" s="14">
        <v>0.01</v>
      </c>
      <c r="AF19" s="15" t="s">
        <v>485</v>
      </c>
    </row>
    <row r="20" spans="1:32">
      <c r="A20" s="23"/>
      <c r="B20" s="11" t="s">
        <v>1141</v>
      </c>
      <c r="C20" s="12">
        <v>340</v>
      </c>
      <c r="D20" s="12">
        <v>9</v>
      </c>
      <c r="E20" s="12">
        <v>14</v>
      </c>
      <c r="F20" s="12">
        <v>27</v>
      </c>
      <c r="G20" s="12">
        <v>7</v>
      </c>
      <c r="H20" s="12">
        <v>22</v>
      </c>
      <c r="I20" s="12">
        <v>29</v>
      </c>
      <c r="J20" s="12">
        <v>7</v>
      </c>
      <c r="K20" s="12">
        <v>15</v>
      </c>
      <c r="L20" s="12">
        <v>18</v>
      </c>
      <c r="M20" s="12">
        <v>7</v>
      </c>
      <c r="N20" s="12">
        <v>15</v>
      </c>
      <c r="O20" s="12">
        <v>12</v>
      </c>
      <c r="P20" s="12">
        <v>37</v>
      </c>
      <c r="Q20" s="12">
        <v>7</v>
      </c>
      <c r="R20" s="12">
        <v>9</v>
      </c>
      <c r="S20" s="12">
        <v>5</v>
      </c>
      <c r="T20" s="12">
        <v>4</v>
      </c>
      <c r="U20" s="12">
        <v>2</v>
      </c>
      <c r="V20" s="12">
        <v>14</v>
      </c>
      <c r="W20" s="12">
        <v>1</v>
      </c>
      <c r="X20" s="12">
        <v>10</v>
      </c>
      <c r="Y20" s="12">
        <v>13</v>
      </c>
      <c r="Z20" s="12">
        <v>10</v>
      </c>
      <c r="AA20" s="12">
        <v>13</v>
      </c>
      <c r="AB20" s="12">
        <v>14</v>
      </c>
      <c r="AC20" s="12">
        <v>16</v>
      </c>
      <c r="AD20" s="12">
        <v>13</v>
      </c>
      <c r="AE20" s="12">
        <v>10</v>
      </c>
      <c r="AF20" s="12">
        <v>6</v>
      </c>
    </row>
    <row r="21" spans="1:32">
      <c r="A21" s="23"/>
      <c r="B21" s="13" t="s">
        <v>1142</v>
      </c>
      <c r="C21" s="14">
        <v>0.01</v>
      </c>
      <c r="D21" s="14">
        <v>0.01</v>
      </c>
      <c r="E21" s="14">
        <v>0.01</v>
      </c>
      <c r="F21" s="14">
        <v>0.03</v>
      </c>
      <c r="G21" s="14">
        <v>0.01</v>
      </c>
      <c r="H21" s="14">
        <v>0.02</v>
      </c>
      <c r="I21" s="14">
        <v>0.02</v>
      </c>
      <c r="J21" s="14">
        <v>0.02</v>
      </c>
      <c r="K21" s="14">
        <v>0.02</v>
      </c>
      <c r="L21" s="14">
        <v>0.02</v>
      </c>
      <c r="M21" s="14">
        <v>0.01</v>
      </c>
      <c r="N21" s="14">
        <v>0.01</v>
      </c>
      <c r="O21" s="14">
        <v>0.01</v>
      </c>
      <c r="P21" s="14">
        <v>0.04</v>
      </c>
      <c r="Q21" s="14">
        <v>0.01</v>
      </c>
      <c r="R21" s="14">
        <v>0.02</v>
      </c>
      <c r="S21" s="14">
        <v>0.01</v>
      </c>
      <c r="T21" s="15" t="s">
        <v>485</v>
      </c>
      <c r="U21" s="14">
        <v>0.01</v>
      </c>
      <c r="V21" s="14">
        <v>0.01</v>
      </c>
      <c r="W21" s="15" t="s">
        <v>485</v>
      </c>
      <c r="X21" s="14">
        <v>0.01</v>
      </c>
      <c r="Y21" s="14">
        <v>0.01</v>
      </c>
      <c r="Z21" s="14">
        <v>0.01</v>
      </c>
      <c r="AA21" s="14">
        <v>0.01</v>
      </c>
      <c r="AB21" s="14">
        <v>0.01</v>
      </c>
      <c r="AC21" s="14">
        <v>0.02</v>
      </c>
      <c r="AD21" s="14">
        <v>0.01</v>
      </c>
      <c r="AE21" s="14">
        <v>0.01</v>
      </c>
      <c r="AF21" s="14">
        <v>0.01</v>
      </c>
    </row>
    <row r="22" spans="1:32">
      <c r="A22" s="23"/>
      <c r="B22" s="11" t="s">
        <v>1143</v>
      </c>
      <c r="C22" s="12">
        <v>2663</v>
      </c>
      <c r="D22" s="12">
        <v>55</v>
      </c>
      <c r="E22" s="12">
        <v>126</v>
      </c>
      <c r="F22" s="12">
        <v>145</v>
      </c>
      <c r="G22" s="12">
        <v>41</v>
      </c>
      <c r="H22" s="12">
        <v>95</v>
      </c>
      <c r="I22" s="12">
        <v>124</v>
      </c>
      <c r="J22" s="12">
        <v>29</v>
      </c>
      <c r="K22" s="12">
        <v>102</v>
      </c>
      <c r="L22" s="12">
        <v>81</v>
      </c>
      <c r="M22" s="12">
        <v>162</v>
      </c>
      <c r="N22" s="12">
        <v>105</v>
      </c>
      <c r="O22" s="12">
        <v>106</v>
      </c>
      <c r="P22" s="12">
        <v>119</v>
      </c>
      <c r="Q22" s="12">
        <v>83</v>
      </c>
      <c r="R22" s="12">
        <v>82</v>
      </c>
      <c r="S22" s="12">
        <v>114</v>
      </c>
      <c r="T22" s="12">
        <v>168</v>
      </c>
      <c r="U22" s="12">
        <v>21</v>
      </c>
      <c r="V22" s="12">
        <v>156</v>
      </c>
      <c r="W22" s="12">
        <v>40</v>
      </c>
      <c r="X22" s="12">
        <v>25</v>
      </c>
      <c r="Y22" s="12">
        <v>59</v>
      </c>
      <c r="Z22" s="12">
        <v>162</v>
      </c>
      <c r="AA22" s="12">
        <v>166</v>
      </c>
      <c r="AB22" s="12">
        <v>173</v>
      </c>
      <c r="AC22" s="12">
        <v>103</v>
      </c>
      <c r="AD22" s="12">
        <v>135</v>
      </c>
      <c r="AE22" s="12">
        <v>45</v>
      </c>
      <c r="AF22" s="12">
        <v>22</v>
      </c>
    </row>
    <row r="23" spans="1:32">
      <c r="A23" s="23"/>
      <c r="B23" s="13" t="s">
        <v>1144</v>
      </c>
      <c r="C23" s="14">
        <v>0.1</v>
      </c>
      <c r="D23" s="14">
        <v>0.05</v>
      </c>
      <c r="E23" s="14">
        <v>0.12</v>
      </c>
      <c r="F23" s="14">
        <v>0.14000000000000001</v>
      </c>
      <c r="G23" s="14">
        <v>0.04</v>
      </c>
      <c r="H23" s="14">
        <v>0.08</v>
      </c>
      <c r="I23" s="14">
        <v>0.08</v>
      </c>
      <c r="J23" s="14">
        <v>0.1</v>
      </c>
      <c r="K23" s="14">
        <v>0.1</v>
      </c>
      <c r="L23" s="14">
        <v>0.08</v>
      </c>
      <c r="M23" s="14">
        <v>0.16</v>
      </c>
      <c r="N23" s="14">
        <v>0.1</v>
      </c>
      <c r="O23" s="14">
        <v>0.11</v>
      </c>
      <c r="P23" s="14">
        <v>0.12</v>
      </c>
      <c r="Q23" s="14">
        <v>0.08</v>
      </c>
      <c r="R23" s="14">
        <v>0.16</v>
      </c>
      <c r="S23" s="14">
        <v>0.11</v>
      </c>
      <c r="T23" s="14">
        <v>0.17</v>
      </c>
      <c r="U23" s="14">
        <v>0.04</v>
      </c>
      <c r="V23" s="14">
        <v>0.15</v>
      </c>
      <c r="W23" s="14">
        <v>0.08</v>
      </c>
      <c r="X23" s="14">
        <v>0.03</v>
      </c>
      <c r="Y23" s="14">
        <v>0.06</v>
      </c>
      <c r="Z23" s="14">
        <v>0.16</v>
      </c>
      <c r="AA23" s="14">
        <v>0.16</v>
      </c>
      <c r="AB23" s="14">
        <v>0.17</v>
      </c>
      <c r="AC23" s="14">
        <v>0.1</v>
      </c>
      <c r="AD23" s="14">
        <v>0.14000000000000001</v>
      </c>
      <c r="AE23" s="14">
        <v>0.05</v>
      </c>
      <c r="AF23" s="14">
        <v>0.02</v>
      </c>
    </row>
    <row r="24" spans="1:32" ht="23.25">
      <c r="A24" s="23"/>
      <c r="B24" s="11" t="s">
        <v>1145</v>
      </c>
      <c r="C24" s="12">
        <v>232</v>
      </c>
      <c r="D24" s="12">
        <v>5</v>
      </c>
      <c r="E24" s="12">
        <v>23</v>
      </c>
      <c r="F24" s="12">
        <v>27</v>
      </c>
      <c r="G24" s="12">
        <v>3</v>
      </c>
      <c r="H24" s="12">
        <v>19</v>
      </c>
      <c r="I24" s="12">
        <v>19</v>
      </c>
      <c r="J24" s="12">
        <v>1</v>
      </c>
      <c r="K24" s="12">
        <v>4</v>
      </c>
      <c r="L24" s="12">
        <v>1</v>
      </c>
      <c r="M24" s="12">
        <v>19</v>
      </c>
      <c r="N24" s="12">
        <v>2</v>
      </c>
      <c r="O24" s="12">
        <v>2</v>
      </c>
      <c r="P24" s="12">
        <v>6</v>
      </c>
      <c r="Q24" s="12">
        <v>13</v>
      </c>
      <c r="R24" s="12">
        <v>1</v>
      </c>
      <c r="S24" s="12">
        <v>8</v>
      </c>
      <c r="T24" s="12">
        <v>10</v>
      </c>
      <c r="U24" s="12">
        <v>1</v>
      </c>
      <c r="V24" s="12">
        <v>1</v>
      </c>
      <c r="W24" s="12">
        <v>20</v>
      </c>
      <c r="X24" s="12">
        <v>0</v>
      </c>
      <c r="Y24" s="12">
        <v>36</v>
      </c>
      <c r="Z24" s="12">
        <v>5</v>
      </c>
      <c r="AA24" s="12">
        <v>16</v>
      </c>
      <c r="AB24" s="12">
        <v>20</v>
      </c>
      <c r="AC24" s="12">
        <v>4</v>
      </c>
      <c r="AD24" s="12">
        <v>3</v>
      </c>
      <c r="AE24" s="12">
        <v>5</v>
      </c>
      <c r="AF24" s="12">
        <v>0</v>
      </c>
    </row>
    <row r="25" spans="1:32" ht="23.25">
      <c r="A25" s="23"/>
      <c r="B25" s="13" t="s">
        <v>1146</v>
      </c>
      <c r="C25" s="14">
        <v>0.01</v>
      </c>
      <c r="D25" s="15" t="s">
        <v>485</v>
      </c>
      <c r="E25" s="14">
        <v>0.02</v>
      </c>
      <c r="F25" s="14">
        <v>0.03</v>
      </c>
      <c r="G25" s="15" t="s">
        <v>485</v>
      </c>
      <c r="H25" s="14">
        <v>0.01</v>
      </c>
      <c r="I25" s="14">
        <v>0.01</v>
      </c>
      <c r="J25" s="15" t="s">
        <v>485</v>
      </c>
      <c r="K25" s="15" t="s">
        <v>485</v>
      </c>
      <c r="L25" s="15" t="s">
        <v>485</v>
      </c>
      <c r="M25" s="14">
        <v>0.02</v>
      </c>
      <c r="N25" s="15" t="s">
        <v>485</v>
      </c>
      <c r="O25" s="15" t="s">
        <v>485</v>
      </c>
      <c r="P25" s="14">
        <v>0.01</v>
      </c>
      <c r="Q25" s="14">
        <v>0.01</v>
      </c>
      <c r="R25" s="15" t="s">
        <v>485</v>
      </c>
      <c r="S25" s="14">
        <v>0.01</v>
      </c>
      <c r="T25" s="14">
        <v>0.01</v>
      </c>
      <c r="U25" s="15" t="s">
        <v>485</v>
      </c>
      <c r="V25" s="15" t="s">
        <v>485</v>
      </c>
      <c r="W25" s="14">
        <v>0.04</v>
      </c>
      <c r="X25" s="15" t="s">
        <v>485</v>
      </c>
      <c r="Y25" s="14">
        <v>0.04</v>
      </c>
      <c r="Z25" s="14">
        <v>0.01</v>
      </c>
      <c r="AA25" s="14">
        <v>0.02</v>
      </c>
      <c r="AB25" s="14">
        <v>0.02</v>
      </c>
      <c r="AC25" s="15" t="s">
        <v>485</v>
      </c>
      <c r="AD25" s="15" t="s">
        <v>485</v>
      </c>
      <c r="AE25" s="15" t="s">
        <v>485</v>
      </c>
      <c r="AF25" s="15" t="s">
        <v>485</v>
      </c>
    </row>
    <row r="26" spans="1:32">
      <c r="A26" s="23"/>
      <c r="B26" s="11" t="s">
        <v>1147</v>
      </c>
      <c r="C26" s="12">
        <v>23459</v>
      </c>
      <c r="D26" s="12">
        <v>947</v>
      </c>
      <c r="E26" s="12">
        <v>894</v>
      </c>
      <c r="F26" s="12">
        <v>834</v>
      </c>
      <c r="G26" s="12">
        <v>959</v>
      </c>
      <c r="H26" s="12">
        <v>1096</v>
      </c>
      <c r="I26" s="12">
        <v>1360</v>
      </c>
      <c r="J26" s="12">
        <v>264</v>
      </c>
      <c r="K26" s="12">
        <v>897</v>
      </c>
      <c r="L26" s="12">
        <v>924</v>
      </c>
      <c r="M26" s="12">
        <v>829</v>
      </c>
      <c r="N26" s="12">
        <v>894</v>
      </c>
      <c r="O26" s="12">
        <v>899</v>
      </c>
      <c r="P26" s="12">
        <v>884</v>
      </c>
      <c r="Q26" s="12">
        <v>928</v>
      </c>
      <c r="R26" s="12">
        <v>419</v>
      </c>
      <c r="S26" s="12">
        <v>882</v>
      </c>
      <c r="T26" s="12">
        <v>826</v>
      </c>
      <c r="U26" s="12">
        <v>481</v>
      </c>
      <c r="V26" s="12">
        <v>855</v>
      </c>
      <c r="W26" s="12">
        <v>441</v>
      </c>
      <c r="X26" s="12">
        <v>990</v>
      </c>
      <c r="Y26" s="12">
        <v>911</v>
      </c>
      <c r="Z26" s="12">
        <v>850</v>
      </c>
      <c r="AA26" s="12">
        <v>857</v>
      </c>
      <c r="AB26" s="12">
        <v>838</v>
      </c>
      <c r="AC26" s="12">
        <v>898</v>
      </c>
      <c r="AD26" s="12">
        <v>865</v>
      </c>
      <c r="AE26" s="12">
        <v>957</v>
      </c>
      <c r="AF26" s="12">
        <v>1050</v>
      </c>
    </row>
    <row r="27" spans="1:32">
      <c r="A27" s="23"/>
      <c r="B27" s="13" t="s">
        <v>1148</v>
      </c>
      <c r="C27" s="14">
        <v>0.89</v>
      </c>
      <c r="D27" s="14">
        <v>0.95000000000000007</v>
      </c>
      <c r="E27" s="14">
        <v>0.86</v>
      </c>
      <c r="F27" s="14">
        <v>0.83000000000000007</v>
      </c>
      <c r="G27" s="14">
        <v>0.96</v>
      </c>
      <c r="H27" s="14">
        <v>0.91</v>
      </c>
      <c r="I27" s="14">
        <v>0.91</v>
      </c>
      <c r="J27" s="14">
        <v>0.9</v>
      </c>
      <c r="K27" s="14">
        <v>0.9</v>
      </c>
      <c r="L27" s="14">
        <v>0.92</v>
      </c>
      <c r="M27" s="14">
        <v>0.82000000000000006</v>
      </c>
      <c r="N27" s="14">
        <v>0.9</v>
      </c>
      <c r="O27" s="14">
        <v>0.89</v>
      </c>
      <c r="P27" s="14">
        <v>0.87</v>
      </c>
      <c r="Q27" s="14">
        <v>0.91</v>
      </c>
      <c r="R27" s="14">
        <v>0.84</v>
      </c>
      <c r="S27" s="14">
        <v>0.88</v>
      </c>
      <c r="T27" s="14">
        <v>0.82000000000000006</v>
      </c>
      <c r="U27" s="14">
        <v>0.96</v>
      </c>
      <c r="V27" s="14">
        <v>0.85</v>
      </c>
      <c r="W27" s="14">
        <v>0.88</v>
      </c>
      <c r="X27" s="14">
        <v>0.97</v>
      </c>
      <c r="Y27" s="14">
        <v>0.9</v>
      </c>
      <c r="Z27" s="14">
        <v>0.83000000000000007</v>
      </c>
      <c r="AA27" s="14">
        <v>0.82000000000000006</v>
      </c>
      <c r="AB27" s="14">
        <v>0.81</v>
      </c>
      <c r="AC27" s="14">
        <v>0.9</v>
      </c>
      <c r="AD27" s="14">
        <v>0.86</v>
      </c>
      <c r="AE27" s="14">
        <v>0.95000000000000007</v>
      </c>
      <c r="AF27" s="14">
        <v>0.98</v>
      </c>
    </row>
  </sheetData>
  <mergeCells count="10">
    <mergeCell ref="B4:F4"/>
    <mergeCell ref="H3:L3"/>
    <mergeCell ref="C8:AF8"/>
    <mergeCell ref="A26:A27"/>
    <mergeCell ref="B3:F3"/>
    <mergeCell ref="B5:F5"/>
    <mergeCell ref="A10:A25"/>
    <mergeCell ref="H5:L5"/>
    <mergeCell ref="B10:B11"/>
    <mergeCell ref="H4:L4"/>
  </mergeCells>
  <pageMargins left="0.75" right="0.75" top="1" bottom="1" header="0.5" footer="0.5"/>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AF27"/>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12" customHeight="1">
      <c r="B3" s="19" t="s">
        <v>1157</v>
      </c>
      <c r="C3" s="19"/>
      <c r="D3" s="19"/>
      <c r="E3" s="19"/>
      <c r="F3" s="19"/>
      <c r="H3" s="19" t="s">
        <v>1158</v>
      </c>
      <c r="I3" s="19"/>
      <c r="J3" s="19"/>
      <c r="K3" s="19"/>
      <c r="L3" s="19"/>
    </row>
    <row r="4" spans="1:32" ht="27" customHeight="1">
      <c r="B4" s="19" t="s">
        <v>1159</v>
      </c>
      <c r="C4" s="19"/>
      <c r="D4" s="19"/>
      <c r="E4" s="19"/>
      <c r="F4" s="19"/>
      <c r="H4" s="19" t="s">
        <v>1160</v>
      </c>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HYPERLINK("#Content!A99","&lt;&lt;Back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1133</v>
      </c>
      <c r="C12" s="12">
        <v>6065</v>
      </c>
      <c r="D12" s="12">
        <v>399</v>
      </c>
      <c r="E12" s="12">
        <v>210</v>
      </c>
      <c r="F12" s="12">
        <v>214</v>
      </c>
      <c r="G12" s="12">
        <v>193</v>
      </c>
      <c r="H12" s="12">
        <v>260</v>
      </c>
      <c r="I12" s="12">
        <v>312</v>
      </c>
      <c r="J12" s="12">
        <v>52</v>
      </c>
      <c r="K12" s="12">
        <v>242</v>
      </c>
      <c r="L12" s="12">
        <v>299</v>
      </c>
      <c r="M12" s="12">
        <v>185</v>
      </c>
      <c r="N12" s="12">
        <v>290</v>
      </c>
      <c r="O12" s="12">
        <v>196</v>
      </c>
      <c r="P12" s="12">
        <v>302</v>
      </c>
      <c r="Q12" s="12">
        <v>202</v>
      </c>
      <c r="R12" s="12">
        <v>192</v>
      </c>
      <c r="S12" s="12">
        <v>388</v>
      </c>
      <c r="T12" s="12">
        <v>215</v>
      </c>
      <c r="U12" s="12">
        <v>184</v>
      </c>
      <c r="V12" s="12">
        <v>285</v>
      </c>
      <c r="W12" s="12">
        <v>236</v>
      </c>
      <c r="X12" s="12">
        <v>370</v>
      </c>
      <c r="Y12" s="12">
        <v>230</v>
      </c>
      <c r="Z12" s="12">
        <v>139</v>
      </c>
      <c r="AA12" s="12">
        <v>363</v>
      </c>
      <c r="AB12" s="12">
        <v>309</v>
      </c>
      <c r="AC12" s="12">
        <v>275</v>
      </c>
      <c r="AD12" s="12">
        <v>216</v>
      </c>
      <c r="AE12" s="12">
        <v>163</v>
      </c>
      <c r="AF12" s="12">
        <v>205</v>
      </c>
    </row>
    <row r="13" spans="1:32" ht="23.25">
      <c r="A13" s="23"/>
      <c r="B13" s="13" t="s">
        <v>1134</v>
      </c>
      <c r="C13" s="14">
        <v>0.23</v>
      </c>
      <c r="D13" s="14">
        <v>0.4</v>
      </c>
      <c r="E13" s="14">
        <v>0.2</v>
      </c>
      <c r="F13" s="14">
        <v>0.21</v>
      </c>
      <c r="G13" s="14">
        <v>0.19</v>
      </c>
      <c r="H13" s="14">
        <v>0.21</v>
      </c>
      <c r="I13" s="14">
        <v>0.21</v>
      </c>
      <c r="J13" s="14">
        <v>0.18</v>
      </c>
      <c r="K13" s="14">
        <v>0.24</v>
      </c>
      <c r="L13" s="14">
        <v>0.3</v>
      </c>
      <c r="M13" s="14">
        <v>0.18</v>
      </c>
      <c r="N13" s="14">
        <v>0.28999999999999998</v>
      </c>
      <c r="O13" s="14">
        <v>0.2</v>
      </c>
      <c r="P13" s="14">
        <v>0.3</v>
      </c>
      <c r="Q13" s="14">
        <v>0.2</v>
      </c>
      <c r="R13" s="14">
        <v>0.38</v>
      </c>
      <c r="S13" s="14">
        <v>0.39</v>
      </c>
      <c r="T13" s="14">
        <v>0.21</v>
      </c>
      <c r="U13" s="14">
        <v>0.37</v>
      </c>
      <c r="V13" s="14">
        <v>0.28000000000000003</v>
      </c>
      <c r="W13" s="14">
        <v>0.47</v>
      </c>
      <c r="X13" s="14">
        <v>0.36</v>
      </c>
      <c r="Y13" s="14">
        <v>0.23</v>
      </c>
      <c r="Z13" s="14">
        <v>0.14000000000000001</v>
      </c>
      <c r="AA13" s="14">
        <v>0.35</v>
      </c>
      <c r="AB13" s="14">
        <v>0.3</v>
      </c>
      <c r="AC13" s="14">
        <v>0.27</v>
      </c>
      <c r="AD13" s="14">
        <v>0.22</v>
      </c>
      <c r="AE13" s="14">
        <v>0.16</v>
      </c>
      <c r="AF13" s="14">
        <v>0.19</v>
      </c>
    </row>
    <row r="14" spans="1:32" ht="23.25">
      <c r="A14" s="23"/>
      <c r="B14" s="11" t="s">
        <v>1135</v>
      </c>
      <c r="C14" s="12">
        <v>1645</v>
      </c>
      <c r="D14" s="12">
        <v>83</v>
      </c>
      <c r="E14" s="12">
        <v>57</v>
      </c>
      <c r="F14" s="12">
        <v>84</v>
      </c>
      <c r="G14" s="12">
        <v>64</v>
      </c>
      <c r="H14" s="12">
        <v>74</v>
      </c>
      <c r="I14" s="12">
        <v>89</v>
      </c>
      <c r="J14" s="12">
        <v>15</v>
      </c>
      <c r="K14" s="12">
        <v>87</v>
      </c>
      <c r="L14" s="12">
        <v>119</v>
      </c>
      <c r="M14" s="12">
        <v>91</v>
      </c>
      <c r="N14" s="12">
        <v>45</v>
      </c>
      <c r="O14" s="12">
        <v>33</v>
      </c>
      <c r="P14" s="12">
        <v>67</v>
      </c>
      <c r="Q14" s="12">
        <v>86</v>
      </c>
      <c r="R14" s="12">
        <v>36</v>
      </c>
      <c r="S14" s="12">
        <v>54</v>
      </c>
      <c r="T14" s="12">
        <v>68</v>
      </c>
      <c r="U14" s="12">
        <v>21</v>
      </c>
      <c r="V14" s="12">
        <v>65</v>
      </c>
      <c r="W14" s="12">
        <v>60</v>
      </c>
      <c r="X14" s="12">
        <v>99</v>
      </c>
      <c r="Y14" s="12">
        <v>75</v>
      </c>
      <c r="Z14" s="12">
        <v>61</v>
      </c>
      <c r="AA14" s="12">
        <v>76</v>
      </c>
      <c r="AB14" s="12">
        <v>54</v>
      </c>
      <c r="AC14" s="12">
        <v>48</v>
      </c>
      <c r="AD14" s="12">
        <v>87</v>
      </c>
      <c r="AE14" s="12">
        <v>53</v>
      </c>
      <c r="AF14" s="12">
        <v>71</v>
      </c>
    </row>
    <row r="15" spans="1:32" ht="23.25">
      <c r="A15" s="23"/>
      <c r="B15" s="13" t="s">
        <v>1136</v>
      </c>
      <c r="C15" s="14">
        <v>0.06</v>
      </c>
      <c r="D15" s="14">
        <v>0.08</v>
      </c>
      <c r="E15" s="14">
        <v>0.06</v>
      </c>
      <c r="F15" s="14">
        <v>0.09</v>
      </c>
      <c r="G15" s="14">
        <v>0.06</v>
      </c>
      <c r="H15" s="14">
        <v>0.06</v>
      </c>
      <c r="I15" s="14">
        <v>0.06</v>
      </c>
      <c r="J15" s="14">
        <v>0.05</v>
      </c>
      <c r="K15" s="14">
        <v>0.09</v>
      </c>
      <c r="L15" s="14">
        <v>0.12</v>
      </c>
      <c r="M15" s="14">
        <v>0.09</v>
      </c>
      <c r="N15" s="14">
        <v>0.04</v>
      </c>
      <c r="O15" s="14">
        <v>0.03</v>
      </c>
      <c r="P15" s="14">
        <v>7.0000000000000007E-2</v>
      </c>
      <c r="Q15" s="14">
        <v>0.08</v>
      </c>
      <c r="R15" s="14">
        <v>7.0000000000000007E-2</v>
      </c>
      <c r="S15" s="14">
        <v>0.05</v>
      </c>
      <c r="T15" s="14">
        <v>7.0000000000000007E-2</v>
      </c>
      <c r="U15" s="14">
        <v>0.04</v>
      </c>
      <c r="V15" s="14">
        <v>0.06</v>
      </c>
      <c r="W15" s="14">
        <v>0.12</v>
      </c>
      <c r="X15" s="14">
        <v>0.1</v>
      </c>
      <c r="Y15" s="14">
        <v>0.08</v>
      </c>
      <c r="Z15" s="14">
        <v>0.06</v>
      </c>
      <c r="AA15" s="14">
        <v>7.0000000000000007E-2</v>
      </c>
      <c r="AB15" s="14">
        <v>0.05</v>
      </c>
      <c r="AC15" s="14">
        <v>0.05</v>
      </c>
      <c r="AD15" s="14">
        <v>0.09</v>
      </c>
      <c r="AE15" s="14">
        <v>0.05</v>
      </c>
      <c r="AF15" s="14">
        <v>7.0000000000000007E-2</v>
      </c>
    </row>
    <row r="16" spans="1:32" ht="23.25">
      <c r="A16" s="23"/>
      <c r="B16" s="11" t="s">
        <v>1137</v>
      </c>
      <c r="C16" s="12">
        <v>1038</v>
      </c>
      <c r="D16" s="12">
        <v>49</v>
      </c>
      <c r="E16" s="12">
        <v>51</v>
      </c>
      <c r="F16" s="12">
        <v>41</v>
      </c>
      <c r="G16" s="12">
        <v>48</v>
      </c>
      <c r="H16" s="12">
        <v>33</v>
      </c>
      <c r="I16" s="12">
        <v>46</v>
      </c>
      <c r="J16" s="12">
        <v>13</v>
      </c>
      <c r="K16" s="12">
        <v>84</v>
      </c>
      <c r="L16" s="12">
        <v>61</v>
      </c>
      <c r="M16" s="12">
        <v>56</v>
      </c>
      <c r="N16" s="12">
        <v>38</v>
      </c>
      <c r="O16" s="12">
        <v>12</v>
      </c>
      <c r="P16" s="12">
        <v>49</v>
      </c>
      <c r="Q16" s="12">
        <v>46</v>
      </c>
      <c r="R16" s="12">
        <v>22</v>
      </c>
      <c r="S16" s="12">
        <v>18</v>
      </c>
      <c r="T16" s="12">
        <v>54</v>
      </c>
      <c r="U16" s="12">
        <v>16</v>
      </c>
      <c r="V16" s="12">
        <v>60</v>
      </c>
      <c r="W16" s="12">
        <v>31</v>
      </c>
      <c r="X16" s="12">
        <v>35</v>
      </c>
      <c r="Y16" s="12">
        <v>70</v>
      </c>
      <c r="Z16" s="12">
        <v>57</v>
      </c>
      <c r="AA16" s="12">
        <v>34</v>
      </c>
      <c r="AB16" s="12">
        <v>49</v>
      </c>
      <c r="AC16" s="12">
        <v>32</v>
      </c>
      <c r="AD16" s="12">
        <v>102</v>
      </c>
      <c r="AE16" s="12">
        <v>30</v>
      </c>
      <c r="AF16" s="12">
        <v>78</v>
      </c>
    </row>
    <row r="17" spans="1:32">
      <c r="A17" s="23"/>
      <c r="B17" s="13" t="s">
        <v>1138</v>
      </c>
      <c r="C17" s="14">
        <v>0.04</v>
      </c>
      <c r="D17" s="14">
        <v>0.05</v>
      </c>
      <c r="E17" s="14">
        <v>0.05</v>
      </c>
      <c r="F17" s="14">
        <v>0.04</v>
      </c>
      <c r="G17" s="14">
        <v>0.05</v>
      </c>
      <c r="H17" s="14">
        <v>0.03</v>
      </c>
      <c r="I17" s="14">
        <v>0.03</v>
      </c>
      <c r="J17" s="14">
        <v>0.05</v>
      </c>
      <c r="K17" s="14">
        <v>0.08</v>
      </c>
      <c r="L17" s="14">
        <v>0.06</v>
      </c>
      <c r="M17" s="14">
        <v>0.06</v>
      </c>
      <c r="N17" s="14">
        <v>0.04</v>
      </c>
      <c r="O17" s="14">
        <v>0.01</v>
      </c>
      <c r="P17" s="14">
        <v>0.05</v>
      </c>
      <c r="Q17" s="14">
        <v>0.04</v>
      </c>
      <c r="R17" s="14">
        <v>0.05</v>
      </c>
      <c r="S17" s="14">
        <v>0.02</v>
      </c>
      <c r="T17" s="14">
        <v>0.05</v>
      </c>
      <c r="U17" s="14">
        <v>0.03</v>
      </c>
      <c r="V17" s="14">
        <v>0.06</v>
      </c>
      <c r="W17" s="14">
        <v>0.06</v>
      </c>
      <c r="X17" s="14">
        <v>0.03</v>
      </c>
      <c r="Y17" s="14">
        <v>7.0000000000000007E-2</v>
      </c>
      <c r="Z17" s="14">
        <v>0.05</v>
      </c>
      <c r="AA17" s="14">
        <v>0.03</v>
      </c>
      <c r="AB17" s="14">
        <v>0.05</v>
      </c>
      <c r="AC17" s="14">
        <v>0.03</v>
      </c>
      <c r="AD17" s="14">
        <v>0.1</v>
      </c>
      <c r="AE17" s="14">
        <v>0.03</v>
      </c>
      <c r="AF17" s="14">
        <v>7.0000000000000007E-2</v>
      </c>
    </row>
    <row r="18" spans="1:32" ht="23.25">
      <c r="A18" s="23"/>
      <c r="B18" s="11" t="s">
        <v>1139</v>
      </c>
      <c r="C18" s="12">
        <v>1031</v>
      </c>
      <c r="D18" s="12">
        <v>13</v>
      </c>
      <c r="E18" s="12">
        <v>24</v>
      </c>
      <c r="F18" s="12">
        <v>42</v>
      </c>
      <c r="G18" s="12">
        <v>76</v>
      </c>
      <c r="H18" s="12">
        <v>44</v>
      </c>
      <c r="I18" s="12">
        <v>59</v>
      </c>
      <c r="J18" s="12">
        <v>16</v>
      </c>
      <c r="K18" s="12">
        <v>58</v>
      </c>
      <c r="L18" s="12">
        <v>33</v>
      </c>
      <c r="M18" s="12">
        <v>57</v>
      </c>
      <c r="N18" s="12">
        <v>27</v>
      </c>
      <c r="O18" s="12">
        <v>26</v>
      </c>
      <c r="P18" s="12">
        <v>26</v>
      </c>
      <c r="Q18" s="12">
        <v>51</v>
      </c>
      <c r="R18" s="12">
        <v>22</v>
      </c>
      <c r="S18" s="12">
        <v>28</v>
      </c>
      <c r="T18" s="12">
        <v>44</v>
      </c>
      <c r="U18" s="12">
        <v>12</v>
      </c>
      <c r="V18" s="12">
        <v>51</v>
      </c>
      <c r="W18" s="12">
        <v>13</v>
      </c>
      <c r="X18" s="12">
        <v>19</v>
      </c>
      <c r="Y18" s="12">
        <v>88</v>
      </c>
      <c r="Z18" s="12">
        <v>42</v>
      </c>
      <c r="AA18" s="12">
        <v>36</v>
      </c>
      <c r="AB18" s="12">
        <v>63</v>
      </c>
      <c r="AC18" s="12">
        <v>25</v>
      </c>
      <c r="AD18" s="12">
        <v>57</v>
      </c>
      <c r="AE18" s="12">
        <v>50</v>
      </c>
      <c r="AF18" s="12">
        <v>45</v>
      </c>
    </row>
    <row r="19" spans="1:32" ht="23.25">
      <c r="A19" s="23"/>
      <c r="B19" s="13" t="s">
        <v>1140</v>
      </c>
      <c r="C19" s="14">
        <v>0.04</v>
      </c>
      <c r="D19" s="14">
        <v>0.01</v>
      </c>
      <c r="E19" s="14">
        <v>0.02</v>
      </c>
      <c r="F19" s="14">
        <v>0.04</v>
      </c>
      <c r="G19" s="14">
        <v>0.08</v>
      </c>
      <c r="H19" s="14">
        <v>0.04</v>
      </c>
      <c r="I19" s="14">
        <v>0.04</v>
      </c>
      <c r="J19" s="14">
        <v>0.05</v>
      </c>
      <c r="K19" s="14">
        <v>0.06</v>
      </c>
      <c r="L19" s="14">
        <v>0.03</v>
      </c>
      <c r="M19" s="14">
        <v>0.06</v>
      </c>
      <c r="N19" s="14">
        <v>0.03</v>
      </c>
      <c r="O19" s="14">
        <v>0.03</v>
      </c>
      <c r="P19" s="14">
        <v>0.03</v>
      </c>
      <c r="Q19" s="14">
        <v>0.05</v>
      </c>
      <c r="R19" s="14">
        <v>0.04</v>
      </c>
      <c r="S19" s="14">
        <v>0.03</v>
      </c>
      <c r="T19" s="14">
        <v>0.04</v>
      </c>
      <c r="U19" s="14">
        <v>0.03</v>
      </c>
      <c r="V19" s="14">
        <v>0.05</v>
      </c>
      <c r="W19" s="14">
        <v>0.03</v>
      </c>
      <c r="X19" s="14">
        <v>0.02</v>
      </c>
      <c r="Y19" s="14">
        <v>0.09</v>
      </c>
      <c r="Z19" s="14">
        <v>0.04</v>
      </c>
      <c r="AA19" s="14">
        <v>0.04</v>
      </c>
      <c r="AB19" s="14">
        <v>0.06</v>
      </c>
      <c r="AC19" s="14">
        <v>0.03</v>
      </c>
      <c r="AD19" s="14">
        <v>0.06</v>
      </c>
      <c r="AE19" s="14">
        <v>0.05</v>
      </c>
      <c r="AF19" s="14">
        <v>0.04</v>
      </c>
    </row>
    <row r="20" spans="1:32">
      <c r="A20" s="23"/>
      <c r="B20" s="11" t="s">
        <v>1141</v>
      </c>
      <c r="C20" s="12">
        <v>3720</v>
      </c>
      <c r="D20" s="12">
        <v>112</v>
      </c>
      <c r="E20" s="12">
        <v>160</v>
      </c>
      <c r="F20" s="12">
        <v>224</v>
      </c>
      <c r="G20" s="12">
        <v>183</v>
      </c>
      <c r="H20" s="12">
        <v>217</v>
      </c>
      <c r="I20" s="12">
        <v>292</v>
      </c>
      <c r="J20" s="12">
        <v>75</v>
      </c>
      <c r="K20" s="12">
        <v>205</v>
      </c>
      <c r="L20" s="12">
        <v>165</v>
      </c>
      <c r="M20" s="12">
        <v>101</v>
      </c>
      <c r="N20" s="12">
        <v>127</v>
      </c>
      <c r="O20" s="12">
        <v>105</v>
      </c>
      <c r="P20" s="12">
        <v>156</v>
      </c>
      <c r="Q20" s="12">
        <v>140</v>
      </c>
      <c r="R20" s="12">
        <v>40</v>
      </c>
      <c r="S20" s="12">
        <v>76</v>
      </c>
      <c r="T20" s="12">
        <v>135</v>
      </c>
      <c r="U20" s="12">
        <v>37</v>
      </c>
      <c r="V20" s="12">
        <v>126</v>
      </c>
      <c r="W20" s="12">
        <v>16</v>
      </c>
      <c r="X20" s="12">
        <v>147</v>
      </c>
      <c r="Y20" s="12">
        <v>133</v>
      </c>
      <c r="Z20" s="12">
        <v>113</v>
      </c>
      <c r="AA20" s="12">
        <v>75</v>
      </c>
      <c r="AB20" s="12">
        <v>115</v>
      </c>
      <c r="AC20" s="12">
        <v>145</v>
      </c>
      <c r="AD20" s="12">
        <v>161</v>
      </c>
      <c r="AE20" s="12">
        <v>200</v>
      </c>
      <c r="AF20" s="12">
        <v>221</v>
      </c>
    </row>
    <row r="21" spans="1:32">
      <c r="A21" s="23"/>
      <c r="B21" s="13" t="s">
        <v>1142</v>
      </c>
      <c r="C21" s="14">
        <v>0.14000000000000001</v>
      </c>
      <c r="D21" s="14">
        <v>0.11</v>
      </c>
      <c r="E21" s="14">
        <v>0.15</v>
      </c>
      <c r="F21" s="14">
        <v>0.22</v>
      </c>
      <c r="G21" s="14">
        <v>0.18</v>
      </c>
      <c r="H21" s="14">
        <v>0.18</v>
      </c>
      <c r="I21" s="14">
        <v>0.19</v>
      </c>
      <c r="J21" s="14">
        <v>0.25</v>
      </c>
      <c r="K21" s="14">
        <v>0.21</v>
      </c>
      <c r="L21" s="14">
        <v>0.16</v>
      </c>
      <c r="M21" s="14">
        <v>0.1</v>
      </c>
      <c r="N21" s="14">
        <v>0.13</v>
      </c>
      <c r="O21" s="14">
        <v>0.1</v>
      </c>
      <c r="P21" s="14">
        <v>0.15</v>
      </c>
      <c r="Q21" s="14">
        <v>0.14000000000000001</v>
      </c>
      <c r="R21" s="14">
        <v>0.08</v>
      </c>
      <c r="S21" s="14">
        <v>7.0000000000000007E-2</v>
      </c>
      <c r="T21" s="14">
        <v>0.14000000000000001</v>
      </c>
      <c r="U21" s="14">
        <v>7.0000000000000007E-2</v>
      </c>
      <c r="V21" s="14">
        <v>0.13</v>
      </c>
      <c r="W21" s="14">
        <v>0.03</v>
      </c>
      <c r="X21" s="14">
        <v>0.15</v>
      </c>
      <c r="Y21" s="14">
        <v>0.13</v>
      </c>
      <c r="Z21" s="14">
        <v>0.11</v>
      </c>
      <c r="AA21" s="14">
        <v>7.0000000000000007E-2</v>
      </c>
      <c r="AB21" s="14">
        <v>0.11</v>
      </c>
      <c r="AC21" s="14">
        <v>0.15</v>
      </c>
      <c r="AD21" s="14">
        <v>0.16</v>
      </c>
      <c r="AE21" s="14">
        <v>0.2</v>
      </c>
      <c r="AF21" s="14">
        <v>0.21</v>
      </c>
    </row>
    <row r="22" spans="1:32">
      <c r="A22" s="23"/>
      <c r="B22" s="11" t="s">
        <v>1143</v>
      </c>
      <c r="C22" s="12">
        <v>12589</v>
      </c>
      <c r="D22" s="12">
        <v>337</v>
      </c>
      <c r="E22" s="12">
        <v>524</v>
      </c>
      <c r="F22" s="12">
        <v>375</v>
      </c>
      <c r="G22" s="12">
        <v>438</v>
      </c>
      <c r="H22" s="12">
        <v>563</v>
      </c>
      <c r="I22" s="12">
        <v>684</v>
      </c>
      <c r="J22" s="12">
        <v>121</v>
      </c>
      <c r="K22" s="12">
        <v>325</v>
      </c>
      <c r="L22" s="12">
        <v>328</v>
      </c>
      <c r="M22" s="12">
        <v>500</v>
      </c>
      <c r="N22" s="12">
        <v>471</v>
      </c>
      <c r="O22" s="12">
        <v>629</v>
      </c>
      <c r="P22" s="12">
        <v>409</v>
      </c>
      <c r="Q22" s="12">
        <v>479</v>
      </c>
      <c r="R22" s="12">
        <v>190</v>
      </c>
      <c r="S22" s="12">
        <v>437</v>
      </c>
      <c r="T22" s="12">
        <v>487</v>
      </c>
      <c r="U22" s="12">
        <v>231</v>
      </c>
      <c r="V22" s="12">
        <v>422</v>
      </c>
      <c r="W22" s="12">
        <v>128</v>
      </c>
      <c r="X22" s="12">
        <v>347</v>
      </c>
      <c r="Y22" s="12">
        <v>386</v>
      </c>
      <c r="Z22" s="12">
        <v>598</v>
      </c>
      <c r="AA22" s="12">
        <v>437</v>
      </c>
      <c r="AB22" s="12">
        <v>419</v>
      </c>
      <c r="AC22" s="12">
        <v>475</v>
      </c>
      <c r="AD22" s="12">
        <v>374</v>
      </c>
      <c r="AE22" s="12">
        <v>509</v>
      </c>
      <c r="AF22" s="12">
        <v>454</v>
      </c>
    </row>
    <row r="23" spans="1:32">
      <c r="A23" s="23"/>
      <c r="B23" s="13" t="s">
        <v>1144</v>
      </c>
      <c r="C23" s="14">
        <v>0.48</v>
      </c>
      <c r="D23" s="14">
        <v>0.34</v>
      </c>
      <c r="E23" s="14">
        <v>0.5</v>
      </c>
      <c r="F23" s="14">
        <v>0.37</v>
      </c>
      <c r="G23" s="14">
        <v>0.44</v>
      </c>
      <c r="H23" s="14">
        <v>0.46</v>
      </c>
      <c r="I23" s="14">
        <v>0.46</v>
      </c>
      <c r="J23" s="14">
        <v>0.41</v>
      </c>
      <c r="K23" s="14">
        <v>0.32</v>
      </c>
      <c r="L23" s="14">
        <v>0.33</v>
      </c>
      <c r="M23" s="14">
        <v>0.49</v>
      </c>
      <c r="N23" s="14">
        <v>0.47</v>
      </c>
      <c r="O23" s="14">
        <v>0.63</v>
      </c>
      <c r="P23" s="14">
        <v>0.4</v>
      </c>
      <c r="Q23" s="14">
        <v>0.47</v>
      </c>
      <c r="R23" s="14">
        <v>0.38</v>
      </c>
      <c r="S23" s="14">
        <v>0.43</v>
      </c>
      <c r="T23" s="14">
        <v>0.49</v>
      </c>
      <c r="U23" s="14">
        <v>0.46</v>
      </c>
      <c r="V23" s="14">
        <v>0.42</v>
      </c>
      <c r="W23" s="14">
        <v>0.25</v>
      </c>
      <c r="X23" s="14">
        <v>0.34</v>
      </c>
      <c r="Y23" s="14">
        <v>0.38</v>
      </c>
      <c r="Z23" s="14">
        <v>0.59</v>
      </c>
      <c r="AA23" s="14">
        <v>0.42</v>
      </c>
      <c r="AB23" s="14">
        <v>0.41</v>
      </c>
      <c r="AC23" s="14">
        <v>0.47</v>
      </c>
      <c r="AD23" s="14">
        <v>0.37</v>
      </c>
      <c r="AE23" s="14">
        <v>0.51</v>
      </c>
      <c r="AF23" s="14">
        <v>0.42</v>
      </c>
    </row>
    <row r="24" spans="1:32" ht="23.25">
      <c r="A24" s="23"/>
      <c r="B24" s="11" t="s">
        <v>1145</v>
      </c>
      <c r="C24" s="12">
        <v>266</v>
      </c>
      <c r="D24" s="12">
        <v>12</v>
      </c>
      <c r="E24" s="12">
        <v>19</v>
      </c>
      <c r="F24" s="12">
        <v>27</v>
      </c>
      <c r="G24" s="12">
        <v>0</v>
      </c>
      <c r="H24" s="12">
        <v>21</v>
      </c>
      <c r="I24" s="12">
        <v>22</v>
      </c>
      <c r="J24" s="12">
        <v>1</v>
      </c>
      <c r="K24" s="12">
        <v>4</v>
      </c>
      <c r="L24" s="12">
        <v>1</v>
      </c>
      <c r="M24" s="12">
        <v>20</v>
      </c>
      <c r="N24" s="12">
        <v>1</v>
      </c>
      <c r="O24" s="12">
        <v>3</v>
      </c>
      <c r="P24" s="12">
        <v>3</v>
      </c>
      <c r="Q24" s="12">
        <v>18</v>
      </c>
      <c r="R24" s="12">
        <v>1</v>
      </c>
      <c r="S24" s="12">
        <v>6</v>
      </c>
      <c r="T24" s="12">
        <v>1</v>
      </c>
      <c r="U24" s="12">
        <v>2</v>
      </c>
      <c r="V24" s="12">
        <v>1</v>
      </c>
      <c r="W24" s="12">
        <v>20</v>
      </c>
      <c r="X24" s="12">
        <v>0</v>
      </c>
      <c r="Y24" s="12">
        <v>24</v>
      </c>
      <c r="Z24" s="12">
        <v>7</v>
      </c>
      <c r="AA24" s="12">
        <v>21</v>
      </c>
      <c r="AB24" s="12">
        <v>21</v>
      </c>
      <c r="AC24" s="12">
        <v>4</v>
      </c>
      <c r="AD24" s="12">
        <v>5</v>
      </c>
      <c r="AE24" s="12">
        <v>3</v>
      </c>
      <c r="AF24" s="12">
        <v>0</v>
      </c>
    </row>
    <row r="25" spans="1:32" ht="23.25">
      <c r="A25" s="23"/>
      <c r="B25" s="13" t="s">
        <v>1146</v>
      </c>
      <c r="C25" s="14">
        <v>0.01</v>
      </c>
      <c r="D25" s="14">
        <v>0.01</v>
      </c>
      <c r="E25" s="14">
        <v>0.02</v>
      </c>
      <c r="F25" s="14">
        <v>0.03</v>
      </c>
      <c r="G25" s="15" t="s">
        <v>485</v>
      </c>
      <c r="H25" s="14">
        <v>0.02</v>
      </c>
      <c r="I25" s="14">
        <v>0.01</v>
      </c>
      <c r="J25" s="14">
        <v>0.01</v>
      </c>
      <c r="K25" s="15" t="s">
        <v>485</v>
      </c>
      <c r="L25" s="15" t="s">
        <v>485</v>
      </c>
      <c r="M25" s="14">
        <v>0.02</v>
      </c>
      <c r="N25" s="15" t="s">
        <v>485</v>
      </c>
      <c r="O25" s="15" t="s">
        <v>485</v>
      </c>
      <c r="P25" s="15" t="s">
        <v>485</v>
      </c>
      <c r="Q25" s="14">
        <v>0.02</v>
      </c>
      <c r="R25" s="15" t="s">
        <v>485</v>
      </c>
      <c r="S25" s="14">
        <v>0.01</v>
      </c>
      <c r="T25" s="15" t="s">
        <v>485</v>
      </c>
      <c r="U25" s="15" t="s">
        <v>485</v>
      </c>
      <c r="V25" s="15" t="s">
        <v>485</v>
      </c>
      <c r="W25" s="14">
        <v>0.04</v>
      </c>
      <c r="X25" s="15" t="s">
        <v>485</v>
      </c>
      <c r="Y25" s="14">
        <v>0.02</v>
      </c>
      <c r="Z25" s="14">
        <v>0.01</v>
      </c>
      <c r="AA25" s="14">
        <v>0.02</v>
      </c>
      <c r="AB25" s="14">
        <v>0.02</v>
      </c>
      <c r="AC25" s="15" t="s">
        <v>485</v>
      </c>
      <c r="AD25" s="15" t="s">
        <v>485</v>
      </c>
      <c r="AE25" s="15" t="s">
        <v>485</v>
      </c>
      <c r="AF25" s="15" t="s">
        <v>485</v>
      </c>
    </row>
    <row r="26" spans="1:32">
      <c r="A26" s="23"/>
      <c r="B26" s="11" t="s">
        <v>1147</v>
      </c>
      <c r="C26" s="12">
        <v>13499</v>
      </c>
      <c r="D26" s="12">
        <v>656</v>
      </c>
      <c r="E26" s="12">
        <v>502</v>
      </c>
      <c r="F26" s="12">
        <v>605</v>
      </c>
      <c r="G26" s="12">
        <v>564</v>
      </c>
      <c r="H26" s="12">
        <v>628</v>
      </c>
      <c r="I26" s="12">
        <v>798</v>
      </c>
      <c r="J26" s="12">
        <v>171</v>
      </c>
      <c r="K26" s="12">
        <v>676</v>
      </c>
      <c r="L26" s="12">
        <v>677</v>
      </c>
      <c r="M26" s="12">
        <v>490</v>
      </c>
      <c r="N26" s="12">
        <v>527</v>
      </c>
      <c r="O26" s="12">
        <v>372</v>
      </c>
      <c r="P26" s="12">
        <v>600</v>
      </c>
      <c r="Q26" s="12">
        <v>525</v>
      </c>
      <c r="R26" s="12">
        <v>312</v>
      </c>
      <c r="S26" s="12">
        <v>564</v>
      </c>
      <c r="T26" s="12">
        <v>516</v>
      </c>
      <c r="U26" s="12">
        <v>270</v>
      </c>
      <c r="V26" s="12">
        <v>587</v>
      </c>
      <c r="W26" s="12">
        <v>356</v>
      </c>
      <c r="X26" s="12">
        <v>670</v>
      </c>
      <c r="Y26" s="12">
        <v>596</v>
      </c>
      <c r="Z26" s="12">
        <v>412</v>
      </c>
      <c r="AA26" s="12">
        <v>584</v>
      </c>
      <c r="AB26" s="12">
        <v>590</v>
      </c>
      <c r="AC26" s="12">
        <v>525</v>
      </c>
      <c r="AD26" s="12">
        <v>623</v>
      </c>
      <c r="AE26" s="12">
        <v>496</v>
      </c>
      <c r="AF26" s="12">
        <v>620</v>
      </c>
    </row>
    <row r="27" spans="1:32">
      <c r="A27" s="23"/>
      <c r="B27" s="13" t="s">
        <v>1148</v>
      </c>
      <c r="C27" s="14">
        <v>0.51</v>
      </c>
      <c r="D27" s="14">
        <v>0.65</v>
      </c>
      <c r="E27" s="14">
        <v>0.48</v>
      </c>
      <c r="F27" s="14">
        <v>0.6</v>
      </c>
      <c r="G27" s="14">
        <v>0.56000000000000005</v>
      </c>
      <c r="H27" s="14">
        <v>0.52</v>
      </c>
      <c r="I27" s="14">
        <v>0.53</v>
      </c>
      <c r="J27" s="14">
        <v>0.57999999999999996</v>
      </c>
      <c r="K27" s="14">
        <v>0.68</v>
      </c>
      <c r="L27" s="14">
        <v>0.67</v>
      </c>
      <c r="M27" s="14">
        <v>0.49</v>
      </c>
      <c r="N27" s="14">
        <v>0.53</v>
      </c>
      <c r="O27" s="14">
        <v>0.37</v>
      </c>
      <c r="P27" s="14">
        <v>0.6</v>
      </c>
      <c r="Q27" s="14">
        <v>0.51</v>
      </c>
      <c r="R27" s="14">
        <v>0.62</v>
      </c>
      <c r="S27" s="14">
        <v>0.56000000000000005</v>
      </c>
      <c r="T27" s="14">
        <v>0.51</v>
      </c>
      <c r="U27" s="14">
        <v>0.54</v>
      </c>
      <c r="V27" s="14">
        <v>0.57999999999999996</v>
      </c>
      <c r="W27" s="14">
        <v>0.71</v>
      </c>
      <c r="X27" s="14">
        <v>0.66</v>
      </c>
      <c r="Y27" s="14">
        <v>0.6</v>
      </c>
      <c r="Z27" s="14">
        <v>0.4</v>
      </c>
      <c r="AA27" s="14">
        <v>0.56000000000000005</v>
      </c>
      <c r="AB27" s="14">
        <v>0.57000000000000006</v>
      </c>
      <c r="AC27" s="14">
        <v>0.53</v>
      </c>
      <c r="AD27" s="14">
        <v>0.63</v>
      </c>
      <c r="AE27" s="14">
        <v>0.49</v>
      </c>
      <c r="AF27" s="14">
        <v>0.57999999999999996</v>
      </c>
    </row>
  </sheetData>
  <mergeCells count="10">
    <mergeCell ref="B4:F4"/>
    <mergeCell ref="H3:L3"/>
    <mergeCell ref="C8:AF8"/>
    <mergeCell ref="A26:A27"/>
    <mergeCell ref="B3:F3"/>
    <mergeCell ref="B5:F5"/>
    <mergeCell ref="A10:A25"/>
    <mergeCell ref="H5:L5"/>
    <mergeCell ref="B10:B11"/>
    <mergeCell ref="H4:L4"/>
  </mergeCells>
  <pageMargins left="0.75" right="0.75" top="1" bottom="1" header="0.5" footer="0.5"/>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AF1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12" customHeight="1">
      <c r="B3" s="19" t="s">
        <v>197</v>
      </c>
      <c r="C3" s="19"/>
      <c r="D3" s="19"/>
      <c r="E3" s="19"/>
      <c r="F3" s="19"/>
      <c r="H3" s="19" t="s">
        <v>198</v>
      </c>
      <c r="I3" s="19"/>
      <c r="J3" s="19"/>
      <c r="K3" s="19"/>
      <c r="L3" s="19"/>
    </row>
    <row r="4" spans="1:32" ht="27" customHeight="1">
      <c r="B4" s="19"/>
      <c r="C4" s="19"/>
      <c r="D4" s="19"/>
      <c r="E4" s="19"/>
      <c r="F4" s="19"/>
      <c r="H4" s="19"/>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HYPERLINK("#Content!A100","&lt;&lt;Back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1161</v>
      </c>
      <c r="C12" s="12">
        <v>22227</v>
      </c>
      <c r="D12" s="12">
        <v>922</v>
      </c>
      <c r="E12" s="12">
        <v>844</v>
      </c>
      <c r="F12" s="12">
        <v>796</v>
      </c>
      <c r="G12" s="12">
        <v>966</v>
      </c>
      <c r="H12" s="12">
        <v>1038</v>
      </c>
      <c r="I12" s="12">
        <v>1281</v>
      </c>
      <c r="J12" s="12">
        <v>244</v>
      </c>
      <c r="K12" s="12">
        <v>880</v>
      </c>
      <c r="L12" s="12">
        <v>909</v>
      </c>
      <c r="M12" s="12">
        <v>779</v>
      </c>
      <c r="N12" s="12">
        <v>848</v>
      </c>
      <c r="O12" s="12">
        <v>851</v>
      </c>
      <c r="P12" s="12">
        <v>844</v>
      </c>
      <c r="Q12" s="12">
        <v>856</v>
      </c>
      <c r="R12" s="12">
        <v>401</v>
      </c>
      <c r="S12" s="12">
        <v>889</v>
      </c>
      <c r="T12" s="12">
        <v>806</v>
      </c>
      <c r="U12" s="12">
        <v>468</v>
      </c>
      <c r="V12" s="12">
        <v>829</v>
      </c>
      <c r="W12" s="12">
        <v>434</v>
      </c>
      <c r="X12" s="12">
        <v>988</v>
      </c>
      <c r="Y12" s="12">
        <v>851</v>
      </c>
      <c r="Z12" s="12">
        <v>779</v>
      </c>
      <c r="AA12" s="12">
        <v>807</v>
      </c>
      <c r="AB12" s="12">
        <v>795</v>
      </c>
      <c r="AC12" s="12">
        <v>850</v>
      </c>
      <c r="AD12" s="12">
        <v>855</v>
      </c>
      <c r="AE12" s="12">
        <v>941</v>
      </c>
      <c r="AF12" s="12">
        <v>1044</v>
      </c>
    </row>
    <row r="13" spans="1:32">
      <c r="A13" s="23"/>
      <c r="B13" s="13" t="s">
        <v>1162</v>
      </c>
      <c r="C13" s="14">
        <v>0.84</v>
      </c>
      <c r="D13" s="14">
        <v>0.92</v>
      </c>
      <c r="E13" s="14">
        <v>0.81</v>
      </c>
      <c r="F13" s="14">
        <v>0.79</v>
      </c>
      <c r="G13" s="14">
        <v>0.96</v>
      </c>
      <c r="H13" s="14">
        <v>0.86</v>
      </c>
      <c r="I13" s="14">
        <v>0.85</v>
      </c>
      <c r="J13" s="14">
        <v>0.83000000000000007</v>
      </c>
      <c r="K13" s="14">
        <v>0.88</v>
      </c>
      <c r="L13" s="14">
        <v>0.9</v>
      </c>
      <c r="M13" s="14">
        <v>0.77</v>
      </c>
      <c r="N13" s="14">
        <v>0.85</v>
      </c>
      <c r="O13" s="14">
        <v>0.85</v>
      </c>
      <c r="P13" s="14">
        <v>0.84</v>
      </c>
      <c r="Q13" s="14">
        <v>0.84</v>
      </c>
      <c r="R13" s="14">
        <v>0.8</v>
      </c>
      <c r="S13" s="14">
        <v>0.88</v>
      </c>
      <c r="T13" s="14">
        <v>0.8</v>
      </c>
      <c r="U13" s="14">
        <v>0.93</v>
      </c>
      <c r="V13" s="14">
        <v>0.82000000000000006</v>
      </c>
      <c r="W13" s="14">
        <v>0.87</v>
      </c>
      <c r="X13" s="14">
        <v>0.97</v>
      </c>
      <c r="Y13" s="14">
        <v>0.84</v>
      </c>
      <c r="Z13" s="14">
        <v>0.77</v>
      </c>
      <c r="AA13" s="14">
        <v>0.78</v>
      </c>
      <c r="AB13" s="14">
        <v>0.77</v>
      </c>
      <c r="AC13" s="14">
        <v>0.85</v>
      </c>
      <c r="AD13" s="14">
        <v>0.85</v>
      </c>
      <c r="AE13" s="14">
        <v>0.93</v>
      </c>
      <c r="AF13" s="14">
        <v>0.97</v>
      </c>
    </row>
    <row r="14" spans="1:32">
      <c r="A14" s="23"/>
      <c r="B14" s="11" t="s">
        <v>1163</v>
      </c>
      <c r="C14" s="12">
        <v>1939</v>
      </c>
      <c r="D14" s="12">
        <v>59</v>
      </c>
      <c r="E14" s="12">
        <v>68</v>
      </c>
      <c r="F14" s="12">
        <v>85</v>
      </c>
      <c r="G14" s="12">
        <v>19</v>
      </c>
      <c r="H14" s="12">
        <v>96</v>
      </c>
      <c r="I14" s="12">
        <v>127</v>
      </c>
      <c r="J14" s="12">
        <v>31</v>
      </c>
      <c r="K14" s="12">
        <v>66</v>
      </c>
      <c r="L14" s="12">
        <v>49</v>
      </c>
      <c r="M14" s="12">
        <v>76</v>
      </c>
      <c r="N14" s="12">
        <v>63</v>
      </c>
      <c r="O14" s="12">
        <v>86</v>
      </c>
      <c r="P14" s="12">
        <v>66</v>
      </c>
      <c r="Q14" s="12">
        <v>86</v>
      </c>
      <c r="R14" s="12">
        <v>39</v>
      </c>
      <c r="S14" s="12">
        <v>35</v>
      </c>
      <c r="T14" s="12">
        <v>46</v>
      </c>
      <c r="U14" s="12">
        <v>22</v>
      </c>
      <c r="V14" s="12">
        <v>79</v>
      </c>
      <c r="W14" s="12">
        <v>16</v>
      </c>
      <c r="X14" s="12">
        <v>23</v>
      </c>
      <c r="Y14" s="12">
        <v>77</v>
      </c>
      <c r="Z14" s="12">
        <v>93</v>
      </c>
      <c r="AA14" s="12">
        <v>81</v>
      </c>
      <c r="AB14" s="12">
        <v>74</v>
      </c>
      <c r="AC14" s="12">
        <v>65</v>
      </c>
      <c r="AD14" s="12">
        <v>43</v>
      </c>
      <c r="AE14" s="12">
        <v>40</v>
      </c>
      <c r="AF14" s="12">
        <v>22</v>
      </c>
    </row>
    <row r="15" spans="1:32">
      <c r="A15" s="23"/>
      <c r="B15" s="13" t="s">
        <v>1164</v>
      </c>
      <c r="C15" s="14">
        <v>7.0000000000000007E-2</v>
      </c>
      <c r="D15" s="14">
        <v>0.06</v>
      </c>
      <c r="E15" s="14">
        <v>7.0000000000000007E-2</v>
      </c>
      <c r="F15" s="14">
        <v>0.08</v>
      </c>
      <c r="G15" s="14">
        <v>0.02</v>
      </c>
      <c r="H15" s="14">
        <v>0.08</v>
      </c>
      <c r="I15" s="14">
        <v>0.08</v>
      </c>
      <c r="J15" s="14">
        <v>0.1</v>
      </c>
      <c r="K15" s="14">
        <v>0.06</v>
      </c>
      <c r="L15" s="14">
        <v>0.05</v>
      </c>
      <c r="M15" s="14">
        <v>0.08</v>
      </c>
      <c r="N15" s="14">
        <v>0.06</v>
      </c>
      <c r="O15" s="14">
        <v>0.08</v>
      </c>
      <c r="P15" s="14">
        <v>0.06</v>
      </c>
      <c r="Q15" s="14">
        <v>0.08</v>
      </c>
      <c r="R15" s="14">
        <v>0.08</v>
      </c>
      <c r="S15" s="14">
        <v>0.04</v>
      </c>
      <c r="T15" s="14">
        <v>0.05</v>
      </c>
      <c r="U15" s="14">
        <v>0.04</v>
      </c>
      <c r="V15" s="14">
        <v>0.08</v>
      </c>
      <c r="W15" s="14">
        <v>0.03</v>
      </c>
      <c r="X15" s="14">
        <v>0.02</v>
      </c>
      <c r="Y15" s="14">
        <v>0.08</v>
      </c>
      <c r="Z15" s="14">
        <v>0.09</v>
      </c>
      <c r="AA15" s="14">
        <v>0.08</v>
      </c>
      <c r="AB15" s="14">
        <v>7.0000000000000007E-2</v>
      </c>
      <c r="AC15" s="14">
        <v>0.06</v>
      </c>
      <c r="AD15" s="14">
        <v>0.04</v>
      </c>
      <c r="AE15" s="14">
        <v>0.04</v>
      </c>
      <c r="AF15" s="14">
        <v>0.02</v>
      </c>
    </row>
    <row r="16" spans="1:32">
      <c r="A16" s="23"/>
      <c r="B16" s="11" t="s">
        <v>1143</v>
      </c>
      <c r="C16" s="12">
        <v>2055</v>
      </c>
      <c r="D16" s="12">
        <v>23</v>
      </c>
      <c r="E16" s="12">
        <v>118</v>
      </c>
      <c r="F16" s="12">
        <v>107</v>
      </c>
      <c r="G16" s="12">
        <v>17</v>
      </c>
      <c r="H16" s="12">
        <v>66</v>
      </c>
      <c r="I16" s="12">
        <v>85</v>
      </c>
      <c r="J16" s="12">
        <v>19</v>
      </c>
      <c r="K16" s="12">
        <v>58</v>
      </c>
      <c r="L16" s="12">
        <v>48</v>
      </c>
      <c r="M16" s="12">
        <v>144</v>
      </c>
      <c r="N16" s="12">
        <v>88</v>
      </c>
      <c r="O16" s="12">
        <v>69</v>
      </c>
      <c r="P16" s="12">
        <v>101</v>
      </c>
      <c r="Q16" s="12">
        <v>75</v>
      </c>
      <c r="R16" s="12">
        <v>61</v>
      </c>
      <c r="S16" s="12">
        <v>78</v>
      </c>
      <c r="T16" s="12">
        <v>151</v>
      </c>
      <c r="U16" s="12">
        <v>12</v>
      </c>
      <c r="V16" s="12">
        <v>103</v>
      </c>
      <c r="W16" s="12">
        <v>51</v>
      </c>
      <c r="X16" s="12">
        <v>5</v>
      </c>
      <c r="Y16" s="12">
        <v>62</v>
      </c>
      <c r="Z16" s="12">
        <v>143</v>
      </c>
      <c r="AA16" s="12">
        <v>137</v>
      </c>
      <c r="AB16" s="12">
        <v>143</v>
      </c>
      <c r="AC16" s="12">
        <v>86</v>
      </c>
      <c r="AD16" s="12">
        <v>104</v>
      </c>
      <c r="AE16" s="12">
        <v>26</v>
      </c>
      <c r="AF16" s="12">
        <v>7</v>
      </c>
    </row>
    <row r="17" spans="1:32">
      <c r="A17" s="23"/>
      <c r="B17" s="13" t="s">
        <v>1144</v>
      </c>
      <c r="C17" s="14">
        <v>0.08</v>
      </c>
      <c r="D17" s="14">
        <v>0.02</v>
      </c>
      <c r="E17" s="14">
        <v>0.11</v>
      </c>
      <c r="F17" s="14">
        <v>0.11</v>
      </c>
      <c r="G17" s="14">
        <v>0.02</v>
      </c>
      <c r="H17" s="14">
        <v>0.05</v>
      </c>
      <c r="I17" s="14">
        <v>0.06</v>
      </c>
      <c r="J17" s="14">
        <v>7.0000000000000007E-2</v>
      </c>
      <c r="K17" s="14">
        <v>0.06</v>
      </c>
      <c r="L17" s="14">
        <v>0.05</v>
      </c>
      <c r="M17" s="14">
        <v>0.14000000000000001</v>
      </c>
      <c r="N17" s="14">
        <v>0.09</v>
      </c>
      <c r="O17" s="14">
        <v>7.0000000000000007E-2</v>
      </c>
      <c r="P17" s="14">
        <v>0.1</v>
      </c>
      <c r="Q17" s="14">
        <v>7.0000000000000007E-2</v>
      </c>
      <c r="R17" s="14">
        <v>0.12</v>
      </c>
      <c r="S17" s="14">
        <v>0.08</v>
      </c>
      <c r="T17" s="14">
        <v>0.15</v>
      </c>
      <c r="U17" s="14">
        <v>0.03</v>
      </c>
      <c r="V17" s="14">
        <v>0.1</v>
      </c>
      <c r="W17" s="14">
        <v>0.1</v>
      </c>
      <c r="X17" s="14">
        <v>0.01</v>
      </c>
      <c r="Y17" s="14">
        <v>0.06</v>
      </c>
      <c r="Z17" s="14">
        <v>0.14000000000000001</v>
      </c>
      <c r="AA17" s="14">
        <v>0.13</v>
      </c>
      <c r="AB17" s="14">
        <v>0.14000000000000001</v>
      </c>
      <c r="AC17" s="14">
        <v>0.09</v>
      </c>
      <c r="AD17" s="14">
        <v>0.11</v>
      </c>
      <c r="AE17" s="14">
        <v>0.03</v>
      </c>
      <c r="AF17" s="14">
        <v>0.01</v>
      </c>
    </row>
    <row r="18" spans="1:32" ht="23.25">
      <c r="A18" s="23"/>
      <c r="B18" s="11" t="s">
        <v>1165</v>
      </c>
      <c r="C18" s="12">
        <v>133</v>
      </c>
      <c r="D18" s="12">
        <v>2</v>
      </c>
      <c r="E18" s="12">
        <v>13</v>
      </c>
      <c r="F18" s="12">
        <v>19</v>
      </c>
      <c r="G18" s="12">
        <v>0</v>
      </c>
      <c r="H18" s="12">
        <v>11</v>
      </c>
      <c r="I18" s="12">
        <v>11</v>
      </c>
      <c r="J18" s="12">
        <v>0</v>
      </c>
      <c r="K18" s="12">
        <v>0</v>
      </c>
      <c r="L18" s="12">
        <v>1</v>
      </c>
      <c r="M18" s="12">
        <v>11</v>
      </c>
      <c r="N18" s="12">
        <v>0</v>
      </c>
      <c r="O18" s="12">
        <v>0</v>
      </c>
      <c r="P18" s="12">
        <v>0</v>
      </c>
      <c r="Q18" s="12">
        <v>8</v>
      </c>
      <c r="R18" s="12">
        <v>0</v>
      </c>
      <c r="S18" s="12">
        <v>2</v>
      </c>
      <c r="T18" s="12">
        <v>0</v>
      </c>
      <c r="U18" s="12">
        <v>1</v>
      </c>
      <c r="V18" s="12">
        <v>0</v>
      </c>
      <c r="W18" s="12">
        <v>1</v>
      </c>
      <c r="X18" s="12">
        <v>0</v>
      </c>
      <c r="Y18" s="12">
        <v>18</v>
      </c>
      <c r="Z18" s="12">
        <v>2</v>
      </c>
      <c r="AA18" s="12">
        <v>15</v>
      </c>
      <c r="AB18" s="12">
        <v>19</v>
      </c>
      <c r="AC18" s="12">
        <v>4</v>
      </c>
      <c r="AD18" s="12">
        <v>0</v>
      </c>
      <c r="AE18" s="12">
        <v>1</v>
      </c>
      <c r="AF18" s="12">
        <v>0</v>
      </c>
    </row>
    <row r="19" spans="1:32" ht="23.25">
      <c r="A19" s="23"/>
      <c r="B19" s="13" t="s">
        <v>1166</v>
      </c>
      <c r="C19" s="14">
        <v>0.01</v>
      </c>
      <c r="D19" s="15" t="s">
        <v>485</v>
      </c>
      <c r="E19" s="14">
        <v>0.01</v>
      </c>
      <c r="F19" s="14">
        <v>0.02</v>
      </c>
      <c r="G19" s="15" t="s">
        <v>485</v>
      </c>
      <c r="H19" s="14">
        <v>0.01</v>
      </c>
      <c r="I19" s="14">
        <v>0.01</v>
      </c>
      <c r="J19" s="15" t="s">
        <v>485</v>
      </c>
      <c r="K19" s="15" t="s">
        <v>485</v>
      </c>
      <c r="L19" s="15" t="s">
        <v>485</v>
      </c>
      <c r="M19" s="14">
        <v>0.01</v>
      </c>
      <c r="N19" s="15" t="s">
        <v>485</v>
      </c>
      <c r="O19" s="15" t="s">
        <v>485</v>
      </c>
      <c r="P19" s="15" t="s">
        <v>485</v>
      </c>
      <c r="Q19" s="14">
        <v>0.01</v>
      </c>
      <c r="R19" s="15" t="s">
        <v>485</v>
      </c>
      <c r="S19" s="15" t="s">
        <v>485</v>
      </c>
      <c r="T19" s="15" t="s">
        <v>485</v>
      </c>
      <c r="U19" s="15" t="s">
        <v>485</v>
      </c>
      <c r="V19" s="15" t="s">
        <v>485</v>
      </c>
      <c r="W19" s="15" t="s">
        <v>485</v>
      </c>
      <c r="X19" s="15" t="s">
        <v>485</v>
      </c>
      <c r="Y19" s="14">
        <v>0.02</v>
      </c>
      <c r="Z19" s="15" t="s">
        <v>485</v>
      </c>
      <c r="AA19" s="14">
        <v>0.01</v>
      </c>
      <c r="AB19" s="14">
        <v>0.02</v>
      </c>
      <c r="AC19" s="15" t="s">
        <v>485</v>
      </c>
      <c r="AD19" s="15" t="s">
        <v>485</v>
      </c>
      <c r="AE19" s="15" t="s">
        <v>485</v>
      </c>
      <c r="AF19" s="15" t="s">
        <v>485</v>
      </c>
    </row>
  </sheetData>
  <mergeCells count="9">
    <mergeCell ref="H3:L3"/>
    <mergeCell ref="C8:AF8"/>
    <mergeCell ref="B3:F3"/>
    <mergeCell ref="B5:F5"/>
    <mergeCell ref="A10:A19"/>
    <mergeCell ref="H5:L5"/>
    <mergeCell ref="B10:B11"/>
    <mergeCell ref="H4:L4"/>
    <mergeCell ref="B4:F4"/>
  </mergeCells>
  <pageMargins left="0.75" right="0.75" top="1" bottom="1" header="0.5" footer="0.5"/>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AF33"/>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199</v>
      </c>
      <c r="C3" s="19"/>
      <c r="D3" s="19"/>
      <c r="E3" s="19"/>
      <c r="F3" s="19"/>
      <c r="H3" s="19" t="s">
        <v>200</v>
      </c>
      <c r="I3" s="19"/>
      <c r="J3" s="19"/>
      <c r="K3" s="19"/>
      <c r="L3" s="19"/>
    </row>
    <row r="4" spans="1:32" ht="27" customHeight="1">
      <c r="B4" s="19"/>
      <c r="C4" s="19"/>
      <c r="D4" s="19"/>
      <c r="E4" s="19"/>
      <c r="F4" s="19"/>
      <c r="H4" s="19"/>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HYPERLINK("#Content!A101","&lt;&lt;Back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45.75">
      <c r="A12" s="23"/>
      <c r="B12" s="11" t="s">
        <v>1167</v>
      </c>
      <c r="C12" s="12">
        <v>9022</v>
      </c>
      <c r="D12" s="12">
        <v>111</v>
      </c>
      <c r="E12" s="12">
        <v>284</v>
      </c>
      <c r="F12" s="12">
        <v>487</v>
      </c>
      <c r="G12" s="12">
        <v>389</v>
      </c>
      <c r="H12" s="12">
        <v>449</v>
      </c>
      <c r="I12" s="12">
        <v>554</v>
      </c>
      <c r="J12" s="12">
        <v>104</v>
      </c>
      <c r="K12" s="12">
        <v>121</v>
      </c>
      <c r="L12" s="12">
        <v>440</v>
      </c>
      <c r="M12" s="12">
        <v>156</v>
      </c>
      <c r="N12" s="12">
        <v>181</v>
      </c>
      <c r="O12" s="12">
        <v>328</v>
      </c>
      <c r="P12" s="12">
        <v>306</v>
      </c>
      <c r="Q12" s="12">
        <v>529</v>
      </c>
      <c r="R12" s="12">
        <v>82</v>
      </c>
      <c r="S12" s="12">
        <v>324</v>
      </c>
      <c r="T12" s="12">
        <v>465</v>
      </c>
      <c r="U12" s="12">
        <v>167</v>
      </c>
      <c r="V12" s="12">
        <v>176</v>
      </c>
      <c r="W12" s="12">
        <v>40</v>
      </c>
      <c r="X12" s="12">
        <v>121</v>
      </c>
      <c r="Y12" s="12">
        <v>367</v>
      </c>
      <c r="Z12" s="12">
        <v>541</v>
      </c>
      <c r="AA12" s="12">
        <v>100</v>
      </c>
      <c r="AB12" s="12">
        <v>324</v>
      </c>
      <c r="AC12" s="12">
        <v>240</v>
      </c>
      <c r="AD12" s="12">
        <v>416</v>
      </c>
      <c r="AE12" s="12">
        <v>410</v>
      </c>
      <c r="AF12" s="12">
        <v>433</v>
      </c>
    </row>
    <row r="13" spans="1:32" ht="34.5">
      <c r="A13" s="23"/>
      <c r="B13" s="13" t="s">
        <v>1168</v>
      </c>
      <c r="C13" s="14">
        <v>0.34</v>
      </c>
      <c r="D13" s="14">
        <v>0.11</v>
      </c>
      <c r="E13" s="14">
        <v>0.27</v>
      </c>
      <c r="F13" s="14">
        <v>0.48</v>
      </c>
      <c r="G13" s="14">
        <v>0.39</v>
      </c>
      <c r="H13" s="14">
        <v>0.37</v>
      </c>
      <c r="I13" s="14">
        <v>0.37</v>
      </c>
      <c r="J13" s="14">
        <v>0.36</v>
      </c>
      <c r="K13" s="14">
        <v>0.12</v>
      </c>
      <c r="L13" s="14">
        <v>0.44</v>
      </c>
      <c r="M13" s="14">
        <v>0.15</v>
      </c>
      <c r="N13" s="14">
        <v>0.18</v>
      </c>
      <c r="O13" s="14">
        <v>0.33</v>
      </c>
      <c r="P13" s="14">
        <v>0.3</v>
      </c>
      <c r="Q13" s="14">
        <v>0.52</v>
      </c>
      <c r="R13" s="14">
        <v>0.16</v>
      </c>
      <c r="S13" s="14">
        <v>0.32</v>
      </c>
      <c r="T13" s="14">
        <v>0.46</v>
      </c>
      <c r="U13" s="14">
        <v>0.33</v>
      </c>
      <c r="V13" s="14">
        <v>0.17</v>
      </c>
      <c r="W13" s="14">
        <v>0.08</v>
      </c>
      <c r="X13" s="14">
        <v>0.12</v>
      </c>
      <c r="Y13" s="14">
        <v>0.36</v>
      </c>
      <c r="Z13" s="14">
        <v>0.53</v>
      </c>
      <c r="AA13" s="14">
        <v>0.1</v>
      </c>
      <c r="AB13" s="14">
        <v>0.31</v>
      </c>
      <c r="AC13" s="14">
        <v>0.24</v>
      </c>
      <c r="AD13" s="14">
        <v>0.41</v>
      </c>
      <c r="AE13" s="14">
        <v>0.41</v>
      </c>
      <c r="AF13" s="14">
        <v>0.4</v>
      </c>
    </row>
    <row r="14" spans="1:32">
      <c r="A14" s="23"/>
      <c r="B14" s="11" t="s">
        <v>1169</v>
      </c>
      <c r="C14" s="12">
        <v>6502</v>
      </c>
      <c r="D14" s="12">
        <v>250</v>
      </c>
      <c r="E14" s="12">
        <v>56</v>
      </c>
      <c r="F14" s="12">
        <v>19</v>
      </c>
      <c r="G14" s="12">
        <v>31</v>
      </c>
      <c r="H14" s="12">
        <v>375</v>
      </c>
      <c r="I14" s="12">
        <v>479</v>
      </c>
      <c r="J14" s="12">
        <v>104</v>
      </c>
      <c r="K14" s="12">
        <v>90</v>
      </c>
      <c r="L14" s="12">
        <v>163</v>
      </c>
      <c r="M14" s="12">
        <v>529</v>
      </c>
      <c r="N14" s="12">
        <v>363</v>
      </c>
      <c r="O14" s="12">
        <v>359</v>
      </c>
      <c r="P14" s="12">
        <v>277</v>
      </c>
      <c r="Q14" s="12">
        <v>165</v>
      </c>
      <c r="R14" s="12">
        <v>100</v>
      </c>
      <c r="S14" s="12">
        <v>12</v>
      </c>
      <c r="T14" s="12">
        <v>31</v>
      </c>
      <c r="U14" s="12">
        <v>135</v>
      </c>
      <c r="V14" s="12">
        <v>238</v>
      </c>
      <c r="W14" s="12">
        <v>307</v>
      </c>
      <c r="X14" s="12">
        <v>408</v>
      </c>
      <c r="Y14" s="12">
        <v>119</v>
      </c>
      <c r="Z14" s="12">
        <v>42</v>
      </c>
      <c r="AA14" s="12">
        <v>640</v>
      </c>
      <c r="AB14" s="12">
        <v>44</v>
      </c>
      <c r="AC14" s="12">
        <v>201</v>
      </c>
      <c r="AD14" s="12">
        <v>30</v>
      </c>
      <c r="AE14" s="12">
        <v>4</v>
      </c>
      <c r="AF14" s="12">
        <v>56</v>
      </c>
    </row>
    <row r="15" spans="1:32">
      <c r="A15" s="23"/>
      <c r="B15" s="13" t="s">
        <v>1170</v>
      </c>
      <c r="C15" s="14">
        <v>0.25</v>
      </c>
      <c r="D15" s="14">
        <v>0.25</v>
      </c>
      <c r="E15" s="14">
        <v>0.05</v>
      </c>
      <c r="F15" s="14">
        <v>0.02</v>
      </c>
      <c r="G15" s="14">
        <v>0.03</v>
      </c>
      <c r="H15" s="14">
        <v>0.31</v>
      </c>
      <c r="I15" s="14">
        <v>0.32</v>
      </c>
      <c r="J15" s="14">
        <v>0.35</v>
      </c>
      <c r="K15" s="14">
        <v>0.09</v>
      </c>
      <c r="L15" s="14">
        <v>0.16</v>
      </c>
      <c r="M15" s="14">
        <v>0.52</v>
      </c>
      <c r="N15" s="14">
        <v>0.36</v>
      </c>
      <c r="O15" s="14">
        <v>0.36</v>
      </c>
      <c r="P15" s="14">
        <v>0.27</v>
      </c>
      <c r="Q15" s="14">
        <v>0.16</v>
      </c>
      <c r="R15" s="14">
        <v>0.2</v>
      </c>
      <c r="S15" s="14">
        <v>0.01</v>
      </c>
      <c r="T15" s="14">
        <v>0.03</v>
      </c>
      <c r="U15" s="14">
        <v>0.27</v>
      </c>
      <c r="V15" s="14">
        <v>0.24</v>
      </c>
      <c r="W15" s="14">
        <v>0.61</v>
      </c>
      <c r="X15" s="14">
        <v>0.4</v>
      </c>
      <c r="Y15" s="14">
        <v>0.12</v>
      </c>
      <c r="Z15" s="14">
        <v>0.04</v>
      </c>
      <c r="AA15" s="14">
        <v>0.62</v>
      </c>
      <c r="AB15" s="14">
        <v>0.04</v>
      </c>
      <c r="AC15" s="14">
        <v>0.2</v>
      </c>
      <c r="AD15" s="14">
        <v>0.03</v>
      </c>
      <c r="AE15" s="15" t="s">
        <v>485</v>
      </c>
      <c r="AF15" s="14">
        <v>0.05</v>
      </c>
    </row>
    <row r="16" spans="1:32" ht="23.25">
      <c r="A16" s="23"/>
      <c r="B16" s="11" t="s">
        <v>1171</v>
      </c>
      <c r="C16" s="12">
        <v>10485</v>
      </c>
      <c r="D16" s="12">
        <v>429</v>
      </c>
      <c r="E16" s="12">
        <v>405</v>
      </c>
      <c r="F16" s="12">
        <v>327</v>
      </c>
      <c r="G16" s="12">
        <v>423</v>
      </c>
      <c r="H16" s="12">
        <v>375</v>
      </c>
      <c r="I16" s="12">
        <v>452</v>
      </c>
      <c r="J16" s="12">
        <v>77</v>
      </c>
      <c r="K16" s="12">
        <v>542</v>
      </c>
      <c r="L16" s="12">
        <v>245</v>
      </c>
      <c r="M16" s="12">
        <v>381</v>
      </c>
      <c r="N16" s="12">
        <v>696</v>
      </c>
      <c r="O16" s="12">
        <v>454</v>
      </c>
      <c r="P16" s="12">
        <v>390</v>
      </c>
      <c r="Q16" s="12">
        <v>227</v>
      </c>
      <c r="R16" s="12">
        <v>324</v>
      </c>
      <c r="S16" s="12">
        <v>296</v>
      </c>
      <c r="T16" s="12">
        <v>309</v>
      </c>
      <c r="U16" s="12">
        <v>211</v>
      </c>
      <c r="V16" s="12">
        <v>390</v>
      </c>
      <c r="W16" s="12">
        <v>305</v>
      </c>
      <c r="X16" s="12">
        <v>553</v>
      </c>
      <c r="Y16" s="12">
        <v>487</v>
      </c>
      <c r="Z16" s="12">
        <v>318</v>
      </c>
      <c r="AA16" s="12">
        <v>632</v>
      </c>
      <c r="AB16" s="12">
        <v>422</v>
      </c>
      <c r="AC16" s="12">
        <v>629</v>
      </c>
      <c r="AD16" s="12">
        <v>347</v>
      </c>
      <c r="AE16" s="12">
        <v>409</v>
      </c>
      <c r="AF16" s="12">
        <v>357</v>
      </c>
    </row>
    <row r="17" spans="1:32">
      <c r="A17" s="23"/>
      <c r="B17" s="13" t="s">
        <v>1172</v>
      </c>
      <c r="C17" s="14">
        <v>0.4</v>
      </c>
      <c r="D17" s="14">
        <v>0.43</v>
      </c>
      <c r="E17" s="14">
        <v>0.39</v>
      </c>
      <c r="F17" s="14">
        <v>0.32</v>
      </c>
      <c r="G17" s="14">
        <v>0.42</v>
      </c>
      <c r="H17" s="14">
        <v>0.31</v>
      </c>
      <c r="I17" s="14">
        <v>0.3</v>
      </c>
      <c r="J17" s="14">
        <v>0.26</v>
      </c>
      <c r="K17" s="14">
        <v>0.54</v>
      </c>
      <c r="L17" s="14">
        <v>0.24</v>
      </c>
      <c r="M17" s="14">
        <v>0.38</v>
      </c>
      <c r="N17" s="14">
        <v>0.70000000000000007</v>
      </c>
      <c r="O17" s="14">
        <v>0.45</v>
      </c>
      <c r="P17" s="14">
        <v>0.39</v>
      </c>
      <c r="Q17" s="14">
        <v>0.22</v>
      </c>
      <c r="R17" s="14">
        <v>0.65</v>
      </c>
      <c r="S17" s="14">
        <v>0.28999999999999998</v>
      </c>
      <c r="T17" s="14">
        <v>0.31</v>
      </c>
      <c r="U17" s="14">
        <v>0.42</v>
      </c>
      <c r="V17" s="14">
        <v>0.39</v>
      </c>
      <c r="W17" s="14">
        <v>0.61</v>
      </c>
      <c r="X17" s="14">
        <v>0.54</v>
      </c>
      <c r="Y17" s="14">
        <v>0.48</v>
      </c>
      <c r="Z17" s="14">
        <v>0.31</v>
      </c>
      <c r="AA17" s="14">
        <v>0.61</v>
      </c>
      <c r="AB17" s="14">
        <v>0.41</v>
      </c>
      <c r="AC17" s="14">
        <v>0.63</v>
      </c>
      <c r="AD17" s="14">
        <v>0.35</v>
      </c>
      <c r="AE17" s="14">
        <v>0.41</v>
      </c>
      <c r="AF17" s="14">
        <v>0.33</v>
      </c>
    </row>
    <row r="18" spans="1:32" ht="23.25">
      <c r="A18" s="23"/>
      <c r="B18" s="11" t="s">
        <v>1173</v>
      </c>
      <c r="C18" s="12">
        <v>11309</v>
      </c>
      <c r="D18" s="12">
        <v>412</v>
      </c>
      <c r="E18" s="12">
        <v>610</v>
      </c>
      <c r="F18" s="12">
        <v>276</v>
      </c>
      <c r="G18" s="12">
        <v>265</v>
      </c>
      <c r="H18" s="12">
        <v>464</v>
      </c>
      <c r="I18" s="12">
        <v>573</v>
      </c>
      <c r="J18" s="12">
        <v>109</v>
      </c>
      <c r="K18" s="12">
        <v>448</v>
      </c>
      <c r="L18" s="12">
        <v>375</v>
      </c>
      <c r="M18" s="12">
        <v>700</v>
      </c>
      <c r="N18" s="12">
        <v>592</v>
      </c>
      <c r="O18" s="12">
        <v>516</v>
      </c>
      <c r="P18" s="12">
        <v>390</v>
      </c>
      <c r="Q18" s="12">
        <v>258</v>
      </c>
      <c r="R18" s="12">
        <v>118</v>
      </c>
      <c r="S18" s="12">
        <v>419</v>
      </c>
      <c r="T18" s="12">
        <v>156</v>
      </c>
      <c r="U18" s="12">
        <v>182</v>
      </c>
      <c r="V18" s="12">
        <v>714</v>
      </c>
      <c r="W18" s="12">
        <v>369</v>
      </c>
      <c r="X18" s="12">
        <v>783</v>
      </c>
      <c r="Y18" s="12">
        <v>171</v>
      </c>
      <c r="Z18" s="12">
        <v>256</v>
      </c>
      <c r="AA18" s="12">
        <v>763</v>
      </c>
      <c r="AB18" s="12">
        <v>514</v>
      </c>
      <c r="AC18" s="12">
        <v>507</v>
      </c>
      <c r="AD18" s="12">
        <v>74</v>
      </c>
      <c r="AE18" s="12">
        <v>258</v>
      </c>
      <c r="AF18" s="12">
        <v>454</v>
      </c>
    </row>
    <row r="19" spans="1:32" ht="23.25">
      <c r="A19" s="23"/>
      <c r="B19" s="13" t="s">
        <v>1174</v>
      </c>
      <c r="C19" s="14">
        <v>0.43</v>
      </c>
      <c r="D19" s="14">
        <v>0.41</v>
      </c>
      <c r="E19" s="14">
        <v>0.57999999999999996</v>
      </c>
      <c r="F19" s="14">
        <v>0.27</v>
      </c>
      <c r="G19" s="14">
        <v>0.26</v>
      </c>
      <c r="H19" s="14">
        <v>0.38</v>
      </c>
      <c r="I19" s="14">
        <v>0.38</v>
      </c>
      <c r="J19" s="14">
        <v>0.37</v>
      </c>
      <c r="K19" s="14">
        <v>0.45</v>
      </c>
      <c r="L19" s="14">
        <v>0.37</v>
      </c>
      <c r="M19" s="14">
        <v>0.69000000000000006</v>
      </c>
      <c r="N19" s="14">
        <v>0.59</v>
      </c>
      <c r="O19" s="14">
        <v>0.51</v>
      </c>
      <c r="P19" s="14">
        <v>0.39</v>
      </c>
      <c r="Q19" s="14">
        <v>0.25</v>
      </c>
      <c r="R19" s="14">
        <v>0.23</v>
      </c>
      <c r="S19" s="14">
        <v>0.42</v>
      </c>
      <c r="T19" s="14">
        <v>0.16</v>
      </c>
      <c r="U19" s="14">
        <v>0.36</v>
      </c>
      <c r="V19" s="14">
        <v>0.71</v>
      </c>
      <c r="W19" s="14">
        <v>0.73</v>
      </c>
      <c r="X19" s="14">
        <v>0.77</v>
      </c>
      <c r="Y19" s="14">
        <v>0.17</v>
      </c>
      <c r="Z19" s="14">
        <v>0.25</v>
      </c>
      <c r="AA19" s="14">
        <v>0.73</v>
      </c>
      <c r="AB19" s="14">
        <v>0.5</v>
      </c>
      <c r="AC19" s="14">
        <v>0.5</v>
      </c>
      <c r="AD19" s="14">
        <v>7.0000000000000007E-2</v>
      </c>
      <c r="AE19" s="14">
        <v>0.26</v>
      </c>
      <c r="AF19" s="14">
        <v>0.42</v>
      </c>
    </row>
    <row r="20" spans="1:32" ht="23.25">
      <c r="A20" s="23"/>
      <c r="B20" s="11" t="s">
        <v>1175</v>
      </c>
      <c r="C20" s="12">
        <v>8307</v>
      </c>
      <c r="D20" s="12">
        <v>501</v>
      </c>
      <c r="E20" s="12">
        <v>398</v>
      </c>
      <c r="F20" s="12">
        <v>246</v>
      </c>
      <c r="G20" s="12">
        <v>263</v>
      </c>
      <c r="H20" s="12">
        <v>319</v>
      </c>
      <c r="I20" s="12">
        <v>388</v>
      </c>
      <c r="J20" s="12">
        <v>68</v>
      </c>
      <c r="K20" s="12">
        <v>505</v>
      </c>
      <c r="L20" s="12">
        <v>164</v>
      </c>
      <c r="M20" s="12">
        <v>402</v>
      </c>
      <c r="N20" s="12">
        <v>598</v>
      </c>
      <c r="O20" s="12">
        <v>346</v>
      </c>
      <c r="P20" s="12">
        <v>293</v>
      </c>
      <c r="Q20" s="12">
        <v>194</v>
      </c>
      <c r="R20" s="12">
        <v>244</v>
      </c>
      <c r="S20" s="12">
        <v>290</v>
      </c>
      <c r="T20" s="12">
        <v>310</v>
      </c>
      <c r="U20" s="12">
        <v>160</v>
      </c>
      <c r="V20" s="12">
        <v>298</v>
      </c>
      <c r="W20" s="12">
        <v>248</v>
      </c>
      <c r="X20" s="12">
        <v>496</v>
      </c>
      <c r="Y20" s="12">
        <v>425</v>
      </c>
      <c r="Z20" s="12">
        <v>70</v>
      </c>
      <c r="AA20" s="12">
        <v>396</v>
      </c>
      <c r="AB20" s="12">
        <v>340</v>
      </c>
      <c r="AC20" s="12">
        <v>515</v>
      </c>
      <c r="AD20" s="12">
        <v>283</v>
      </c>
      <c r="AE20" s="12">
        <v>329</v>
      </c>
      <c r="AF20" s="12">
        <v>210</v>
      </c>
    </row>
    <row r="21" spans="1:32" ht="23.25">
      <c r="A21" s="23"/>
      <c r="B21" s="13" t="s">
        <v>1176</v>
      </c>
      <c r="C21" s="14">
        <v>0.32</v>
      </c>
      <c r="D21" s="14">
        <v>0.5</v>
      </c>
      <c r="E21" s="14">
        <v>0.38</v>
      </c>
      <c r="F21" s="14">
        <v>0.24</v>
      </c>
      <c r="G21" s="14">
        <v>0.26</v>
      </c>
      <c r="H21" s="14">
        <v>0.26</v>
      </c>
      <c r="I21" s="14">
        <v>0.26</v>
      </c>
      <c r="J21" s="14">
        <v>0.23</v>
      </c>
      <c r="K21" s="14">
        <v>0.5</v>
      </c>
      <c r="L21" s="14">
        <v>0.16</v>
      </c>
      <c r="M21" s="14">
        <v>0.4</v>
      </c>
      <c r="N21" s="14">
        <v>0.6</v>
      </c>
      <c r="O21" s="14">
        <v>0.34</v>
      </c>
      <c r="P21" s="14">
        <v>0.28999999999999998</v>
      </c>
      <c r="Q21" s="14">
        <v>0.19</v>
      </c>
      <c r="R21" s="14">
        <v>0.49</v>
      </c>
      <c r="S21" s="14">
        <v>0.28999999999999998</v>
      </c>
      <c r="T21" s="14">
        <v>0.31</v>
      </c>
      <c r="U21" s="14">
        <v>0.32</v>
      </c>
      <c r="V21" s="14">
        <v>0.28999999999999998</v>
      </c>
      <c r="W21" s="14">
        <v>0.49</v>
      </c>
      <c r="X21" s="14">
        <v>0.49</v>
      </c>
      <c r="Y21" s="14">
        <v>0.42</v>
      </c>
      <c r="Z21" s="14">
        <v>7.0000000000000007E-2</v>
      </c>
      <c r="AA21" s="14">
        <v>0.38</v>
      </c>
      <c r="AB21" s="14">
        <v>0.33</v>
      </c>
      <c r="AC21" s="14">
        <v>0.51</v>
      </c>
      <c r="AD21" s="14">
        <v>0.28000000000000003</v>
      </c>
      <c r="AE21" s="14">
        <v>0.33</v>
      </c>
      <c r="AF21" s="14">
        <v>0.2</v>
      </c>
    </row>
    <row r="22" spans="1:32" ht="23.25">
      <c r="A22" s="23"/>
      <c r="B22" s="11" t="s">
        <v>1177</v>
      </c>
      <c r="C22" s="12">
        <v>9179</v>
      </c>
      <c r="D22" s="12">
        <v>441</v>
      </c>
      <c r="E22" s="12">
        <v>640</v>
      </c>
      <c r="F22" s="12">
        <v>241</v>
      </c>
      <c r="G22" s="12">
        <v>358</v>
      </c>
      <c r="H22" s="12">
        <v>304</v>
      </c>
      <c r="I22" s="12">
        <v>375</v>
      </c>
      <c r="J22" s="12">
        <v>72</v>
      </c>
      <c r="K22" s="12">
        <v>520</v>
      </c>
      <c r="L22" s="12">
        <v>291</v>
      </c>
      <c r="M22" s="12">
        <v>162</v>
      </c>
      <c r="N22" s="12">
        <v>347</v>
      </c>
      <c r="O22" s="12">
        <v>429</v>
      </c>
      <c r="P22" s="12">
        <v>394</v>
      </c>
      <c r="Q22" s="12">
        <v>132</v>
      </c>
      <c r="R22" s="12">
        <v>144</v>
      </c>
      <c r="S22" s="12">
        <v>472</v>
      </c>
      <c r="T22" s="12">
        <v>328</v>
      </c>
      <c r="U22" s="12">
        <v>182</v>
      </c>
      <c r="V22" s="12">
        <v>761</v>
      </c>
      <c r="W22" s="12">
        <v>355</v>
      </c>
      <c r="X22" s="12">
        <v>714</v>
      </c>
      <c r="Y22" s="12">
        <v>319</v>
      </c>
      <c r="Z22" s="12">
        <v>238</v>
      </c>
      <c r="AA22" s="12">
        <v>877</v>
      </c>
      <c r="AB22" s="12">
        <v>618</v>
      </c>
      <c r="AC22" s="12">
        <v>605</v>
      </c>
      <c r="AD22" s="12">
        <v>395</v>
      </c>
      <c r="AE22" s="12">
        <v>236</v>
      </c>
      <c r="AF22" s="12">
        <v>441</v>
      </c>
    </row>
    <row r="23" spans="1:32">
      <c r="A23" s="23"/>
      <c r="B23" s="13" t="s">
        <v>1178</v>
      </c>
      <c r="C23" s="14">
        <v>0.35</v>
      </c>
      <c r="D23" s="14">
        <v>0.44</v>
      </c>
      <c r="E23" s="14">
        <v>0.61</v>
      </c>
      <c r="F23" s="14">
        <v>0.24</v>
      </c>
      <c r="G23" s="14">
        <v>0.36</v>
      </c>
      <c r="H23" s="14">
        <v>0.25</v>
      </c>
      <c r="I23" s="14">
        <v>0.25</v>
      </c>
      <c r="J23" s="14">
        <v>0.24</v>
      </c>
      <c r="K23" s="14">
        <v>0.52</v>
      </c>
      <c r="L23" s="14">
        <v>0.28999999999999998</v>
      </c>
      <c r="M23" s="14">
        <v>0.16</v>
      </c>
      <c r="N23" s="14">
        <v>0.35</v>
      </c>
      <c r="O23" s="14">
        <v>0.43</v>
      </c>
      <c r="P23" s="14">
        <v>0.39</v>
      </c>
      <c r="Q23" s="14">
        <v>0.13</v>
      </c>
      <c r="R23" s="14">
        <v>0.28999999999999998</v>
      </c>
      <c r="S23" s="14">
        <v>0.47</v>
      </c>
      <c r="T23" s="14">
        <v>0.33</v>
      </c>
      <c r="U23" s="14">
        <v>0.36</v>
      </c>
      <c r="V23" s="14">
        <v>0.75</v>
      </c>
      <c r="W23" s="14">
        <v>0.71</v>
      </c>
      <c r="X23" s="14">
        <v>0.70000000000000007</v>
      </c>
      <c r="Y23" s="14">
        <v>0.32</v>
      </c>
      <c r="Z23" s="14">
        <v>0.23</v>
      </c>
      <c r="AA23" s="14">
        <v>0.84</v>
      </c>
      <c r="AB23" s="14">
        <v>0.6</v>
      </c>
      <c r="AC23" s="14">
        <v>0.6</v>
      </c>
      <c r="AD23" s="14">
        <v>0.39</v>
      </c>
      <c r="AE23" s="14">
        <v>0.23</v>
      </c>
      <c r="AF23" s="14">
        <v>0.41</v>
      </c>
    </row>
    <row r="24" spans="1:32" ht="34.5">
      <c r="A24" s="23"/>
      <c r="B24" s="11" t="s">
        <v>1179</v>
      </c>
      <c r="C24" s="12">
        <v>1694</v>
      </c>
      <c r="D24" s="12">
        <v>144</v>
      </c>
      <c r="E24" s="12">
        <v>24</v>
      </c>
      <c r="F24" s="12">
        <v>30</v>
      </c>
      <c r="G24" s="12">
        <v>257</v>
      </c>
      <c r="H24" s="12">
        <v>101</v>
      </c>
      <c r="I24" s="12">
        <v>127</v>
      </c>
      <c r="J24" s="12">
        <v>27</v>
      </c>
      <c r="K24" s="12">
        <v>115</v>
      </c>
      <c r="L24" s="12">
        <v>38</v>
      </c>
      <c r="M24" s="12">
        <v>8</v>
      </c>
      <c r="N24" s="12">
        <v>57</v>
      </c>
      <c r="O24" s="12">
        <v>57</v>
      </c>
      <c r="P24" s="12">
        <v>31</v>
      </c>
      <c r="Q24" s="12">
        <v>28</v>
      </c>
      <c r="R24" s="12">
        <v>31</v>
      </c>
      <c r="S24" s="12">
        <v>40</v>
      </c>
      <c r="T24" s="12">
        <v>13</v>
      </c>
      <c r="U24" s="12">
        <v>43</v>
      </c>
      <c r="V24" s="12">
        <v>35</v>
      </c>
      <c r="W24" s="12">
        <v>77</v>
      </c>
      <c r="X24" s="12">
        <v>241</v>
      </c>
      <c r="Y24" s="12">
        <v>146</v>
      </c>
      <c r="Z24" s="12">
        <v>2</v>
      </c>
      <c r="AA24" s="12">
        <v>14</v>
      </c>
      <c r="AB24" s="12">
        <v>23</v>
      </c>
      <c r="AC24" s="12">
        <v>90</v>
      </c>
      <c r="AD24" s="12">
        <v>67</v>
      </c>
      <c r="AE24" s="12">
        <v>122</v>
      </c>
      <c r="AF24" s="12">
        <v>130</v>
      </c>
    </row>
    <row r="25" spans="1:32" ht="23.25">
      <c r="A25" s="23"/>
      <c r="B25" s="13" t="s">
        <v>1180</v>
      </c>
      <c r="C25" s="14">
        <v>0.06</v>
      </c>
      <c r="D25" s="14">
        <v>0.14000000000000001</v>
      </c>
      <c r="E25" s="14">
        <v>0.02</v>
      </c>
      <c r="F25" s="14">
        <v>0.03</v>
      </c>
      <c r="G25" s="14">
        <v>0.26</v>
      </c>
      <c r="H25" s="14">
        <v>0.08</v>
      </c>
      <c r="I25" s="14">
        <v>0.08</v>
      </c>
      <c r="J25" s="14">
        <v>0.09</v>
      </c>
      <c r="K25" s="14">
        <v>0.11</v>
      </c>
      <c r="L25" s="14">
        <v>0.04</v>
      </c>
      <c r="M25" s="14">
        <v>0.01</v>
      </c>
      <c r="N25" s="14">
        <v>0.06</v>
      </c>
      <c r="O25" s="14">
        <v>0.06</v>
      </c>
      <c r="P25" s="14">
        <v>0.03</v>
      </c>
      <c r="Q25" s="14">
        <v>0.03</v>
      </c>
      <c r="R25" s="14">
        <v>0.06</v>
      </c>
      <c r="S25" s="14">
        <v>0.04</v>
      </c>
      <c r="T25" s="14">
        <v>0.01</v>
      </c>
      <c r="U25" s="14">
        <v>0.09</v>
      </c>
      <c r="V25" s="14">
        <v>0.03</v>
      </c>
      <c r="W25" s="14">
        <v>0.15</v>
      </c>
      <c r="X25" s="14">
        <v>0.24</v>
      </c>
      <c r="Y25" s="14">
        <v>0.14000000000000001</v>
      </c>
      <c r="Z25" s="15" t="s">
        <v>485</v>
      </c>
      <c r="AA25" s="14">
        <v>0.01</v>
      </c>
      <c r="AB25" s="14">
        <v>0.02</v>
      </c>
      <c r="AC25" s="14">
        <v>0.09</v>
      </c>
      <c r="AD25" s="14">
        <v>7.0000000000000007E-2</v>
      </c>
      <c r="AE25" s="14">
        <v>0.12</v>
      </c>
      <c r="AF25" s="14">
        <v>0.12</v>
      </c>
    </row>
    <row r="26" spans="1:32" ht="34.5">
      <c r="A26" s="23"/>
      <c r="B26" s="11" t="s">
        <v>1181</v>
      </c>
      <c r="C26" s="12">
        <v>1930</v>
      </c>
      <c r="D26" s="12">
        <v>144</v>
      </c>
      <c r="E26" s="12">
        <v>12</v>
      </c>
      <c r="F26" s="12">
        <v>19</v>
      </c>
      <c r="G26" s="12">
        <v>189</v>
      </c>
      <c r="H26" s="12">
        <v>113</v>
      </c>
      <c r="I26" s="12">
        <v>148</v>
      </c>
      <c r="J26" s="12">
        <v>35</v>
      </c>
      <c r="K26" s="12">
        <v>137</v>
      </c>
      <c r="L26" s="12">
        <v>62</v>
      </c>
      <c r="M26" s="12">
        <v>13</v>
      </c>
      <c r="N26" s="12">
        <v>56</v>
      </c>
      <c r="O26" s="12">
        <v>72</v>
      </c>
      <c r="P26" s="12">
        <v>40</v>
      </c>
      <c r="Q26" s="12">
        <v>48</v>
      </c>
      <c r="R26" s="12">
        <v>30</v>
      </c>
      <c r="S26" s="12">
        <v>45</v>
      </c>
      <c r="T26" s="12">
        <v>25</v>
      </c>
      <c r="U26" s="12">
        <v>43</v>
      </c>
      <c r="V26" s="12">
        <v>25</v>
      </c>
      <c r="W26" s="12">
        <v>66</v>
      </c>
      <c r="X26" s="12">
        <v>263</v>
      </c>
      <c r="Y26" s="12">
        <v>157</v>
      </c>
      <c r="Z26" s="12">
        <v>14</v>
      </c>
      <c r="AA26" s="12">
        <v>9</v>
      </c>
      <c r="AB26" s="12">
        <v>32</v>
      </c>
      <c r="AC26" s="12">
        <v>80</v>
      </c>
      <c r="AD26" s="12">
        <v>38</v>
      </c>
      <c r="AE26" s="12">
        <v>157</v>
      </c>
      <c r="AF26" s="12">
        <v>138</v>
      </c>
    </row>
    <row r="27" spans="1:32" ht="23.25">
      <c r="A27" s="23"/>
      <c r="B27" s="13" t="s">
        <v>1182</v>
      </c>
      <c r="C27" s="14">
        <v>7.0000000000000007E-2</v>
      </c>
      <c r="D27" s="14">
        <v>0.14000000000000001</v>
      </c>
      <c r="E27" s="14">
        <v>0.01</v>
      </c>
      <c r="F27" s="14">
        <v>0.02</v>
      </c>
      <c r="G27" s="14">
        <v>0.19</v>
      </c>
      <c r="H27" s="14">
        <v>0.09</v>
      </c>
      <c r="I27" s="14">
        <v>0.1</v>
      </c>
      <c r="J27" s="14">
        <v>0.12</v>
      </c>
      <c r="K27" s="14">
        <v>0.14000000000000001</v>
      </c>
      <c r="L27" s="14">
        <v>0.06</v>
      </c>
      <c r="M27" s="14">
        <v>0.01</v>
      </c>
      <c r="N27" s="14">
        <v>0.06</v>
      </c>
      <c r="O27" s="14">
        <v>7.0000000000000007E-2</v>
      </c>
      <c r="P27" s="14">
        <v>0.04</v>
      </c>
      <c r="Q27" s="14">
        <v>0.05</v>
      </c>
      <c r="R27" s="14">
        <v>0.06</v>
      </c>
      <c r="S27" s="14">
        <v>0.04</v>
      </c>
      <c r="T27" s="14">
        <v>0.03</v>
      </c>
      <c r="U27" s="14">
        <v>0.09</v>
      </c>
      <c r="V27" s="14">
        <v>0.02</v>
      </c>
      <c r="W27" s="14">
        <v>0.13</v>
      </c>
      <c r="X27" s="14">
        <v>0.26</v>
      </c>
      <c r="Y27" s="14">
        <v>0.16</v>
      </c>
      <c r="Z27" s="14">
        <v>0.01</v>
      </c>
      <c r="AA27" s="14">
        <v>0.01</v>
      </c>
      <c r="AB27" s="14">
        <v>0.03</v>
      </c>
      <c r="AC27" s="14">
        <v>0.08</v>
      </c>
      <c r="AD27" s="14">
        <v>0.04</v>
      </c>
      <c r="AE27" s="14">
        <v>0.16</v>
      </c>
      <c r="AF27" s="14">
        <v>0.13</v>
      </c>
    </row>
    <row r="28" spans="1:32">
      <c r="A28" s="23"/>
      <c r="B28" s="11" t="s">
        <v>550</v>
      </c>
      <c r="C28" s="12">
        <v>134</v>
      </c>
      <c r="D28" s="12">
        <v>63</v>
      </c>
      <c r="E28" s="12">
        <v>0</v>
      </c>
      <c r="F28" s="12">
        <v>6</v>
      </c>
      <c r="G28" s="12">
        <v>4</v>
      </c>
      <c r="H28" s="12">
        <v>13</v>
      </c>
      <c r="I28" s="12">
        <v>13</v>
      </c>
      <c r="J28" s="12">
        <v>0</v>
      </c>
      <c r="K28" s="12">
        <v>9</v>
      </c>
      <c r="L28" s="12">
        <v>1</v>
      </c>
      <c r="M28" s="12">
        <v>0</v>
      </c>
      <c r="N28" s="12">
        <v>2</v>
      </c>
      <c r="O28" s="12">
        <v>0</v>
      </c>
      <c r="P28" s="12">
        <v>2</v>
      </c>
      <c r="Q28" s="12">
        <v>5</v>
      </c>
      <c r="R28" s="12">
        <v>5</v>
      </c>
      <c r="S28" s="12">
        <v>6</v>
      </c>
      <c r="T28" s="12">
        <v>3</v>
      </c>
      <c r="U28" s="12">
        <v>6</v>
      </c>
      <c r="V28" s="12">
        <v>0</v>
      </c>
      <c r="W28" s="12">
        <v>4</v>
      </c>
      <c r="X28" s="12">
        <v>3</v>
      </c>
      <c r="Y28" s="12">
        <v>5</v>
      </c>
      <c r="Z28" s="12">
        <v>1</v>
      </c>
      <c r="AA28" s="12">
        <v>2</v>
      </c>
      <c r="AB28" s="12">
        <v>0</v>
      </c>
      <c r="AC28" s="12">
        <v>3</v>
      </c>
      <c r="AD28" s="12">
        <v>3</v>
      </c>
      <c r="AE28" s="12">
        <v>7</v>
      </c>
      <c r="AF28" s="12">
        <v>3</v>
      </c>
    </row>
    <row r="29" spans="1:32">
      <c r="A29" s="23"/>
      <c r="B29" s="13" t="s">
        <v>551</v>
      </c>
      <c r="C29" s="14">
        <v>0.01</v>
      </c>
      <c r="D29" s="14">
        <v>0.06</v>
      </c>
      <c r="E29" s="15" t="s">
        <v>485</v>
      </c>
      <c r="F29" s="14">
        <v>0.01</v>
      </c>
      <c r="G29" s="15" t="s">
        <v>485</v>
      </c>
      <c r="H29" s="14">
        <v>0.01</v>
      </c>
      <c r="I29" s="14">
        <v>0.01</v>
      </c>
      <c r="J29" s="15" t="s">
        <v>485</v>
      </c>
      <c r="K29" s="14">
        <v>0.01</v>
      </c>
      <c r="L29" s="15" t="s">
        <v>485</v>
      </c>
      <c r="M29" s="15" t="s">
        <v>485</v>
      </c>
      <c r="N29" s="15" t="s">
        <v>485</v>
      </c>
      <c r="O29" s="15" t="s">
        <v>485</v>
      </c>
      <c r="P29" s="15" t="s">
        <v>485</v>
      </c>
      <c r="Q29" s="14">
        <v>0.01</v>
      </c>
      <c r="R29" s="14">
        <v>0.01</v>
      </c>
      <c r="S29" s="14">
        <v>0.01</v>
      </c>
      <c r="T29" s="15" t="s">
        <v>485</v>
      </c>
      <c r="U29" s="14">
        <v>0.01</v>
      </c>
      <c r="V29" s="15" t="s">
        <v>485</v>
      </c>
      <c r="W29" s="14">
        <v>0.01</v>
      </c>
      <c r="X29" s="15" t="s">
        <v>485</v>
      </c>
      <c r="Y29" s="14">
        <v>0.01</v>
      </c>
      <c r="Z29" s="15" t="s">
        <v>485</v>
      </c>
      <c r="AA29" s="15" t="s">
        <v>485</v>
      </c>
      <c r="AB29" s="15" t="s">
        <v>485</v>
      </c>
      <c r="AC29" s="15" t="s">
        <v>485</v>
      </c>
      <c r="AD29" s="15" t="s">
        <v>485</v>
      </c>
      <c r="AE29" s="14">
        <v>0.01</v>
      </c>
      <c r="AF29" s="15" t="s">
        <v>485</v>
      </c>
    </row>
    <row r="30" spans="1:32">
      <c r="A30" s="23"/>
      <c r="B30" s="11" t="s">
        <v>497</v>
      </c>
      <c r="C30" s="12">
        <v>364</v>
      </c>
      <c r="D30" s="12">
        <v>34</v>
      </c>
      <c r="E30" s="12">
        <v>4</v>
      </c>
      <c r="F30" s="12">
        <v>21</v>
      </c>
      <c r="G30" s="12">
        <v>30</v>
      </c>
      <c r="H30" s="12">
        <v>10</v>
      </c>
      <c r="I30" s="12">
        <v>13</v>
      </c>
      <c r="J30" s="12">
        <v>3</v>
      </c>
      <c r="K30" s="12">
        <v>28</v>
      </c>
      <c r="L30" s="12">
        <v>27</v>
      </c>
      <c r="M30" s="12">
        <v>3</v>
      </c>
      <c r="N30" s="12">
        <v>15</v>
      </c>
      <c r="O30" s="12">
        <v>27</v>
      </c>
      <c r="P30" s="12">
        <v>8</v>
      </c>
      <c r="Q30" s="12">
        <v>6</v>
      </c>
      <c r="R30" s="12">
        <v>14</v>
      </c>
      <c r="S30" s="12">
        <v>12</v>
      </c>
      <c r="T30" s="12">
        <v>20</v>
      </c>
      <c r="U30" s="12">
        <v>8</v>
      </c>
      <c r="V30" s="12">
        <v>7</v>
      </c>
      <c r="W30" s="12">
        <v>11</v>
      </c>
      <c r="X30" s="12">
        <v>4</v>
      </c>
      <c r="Y30" s="12">
        <v>21</v>
      </c>
      <c r="Z30" s="12">
        <v>7</v>
      </c>
      <c r="AA30" s="12">
        <v>11</v>
      </c>
      <c r="AB30" s="12">
        <v>3</v>
      </c>
      <c r="AC30" s="12">
        <v>13</v>
      </c>
      <c r="AD30" s="12">
        <v>19</v>
      </c>
      <c r="AE30" s="12">
        <v>40</v>
      </c>
      <c r="AF30" s="12">
        <v>25</v>
      </c>
    </row>
    <row r="31" spans="1:32">
      <c r="A31" s="23"/>
      <c r="B31" s="13" t="s">
        <v>498</v>
      </c>
      <c r="C31" s="14">
        <v>0.01</v>
      </c>
      <c r="D31" s="14">
        <v>0.03</v>
      </c>
      <c r="E31" s="15" t="s">
        <v>485</v>
      </c>
      <c r="F31" s="14">
        <v>0.02</v>
      </c>
      <c r="G31" s="14">
        <v>0.03</v>
      </c>
      <c r="H31" s="14">
        <v>0.01</v>
      </c>
      <c r="I31" s="14">
        <v>0.01</v>
      </c>
      <c r="J31" s="14">
        <v>0.01</v>
      </c>
      <c r="K31" s="14">
        <v>0.03</v>
      </c>
      <c r="L31" s="14">
        <v>0.03</v>
      </c>
      <c r="M31" s="15" t="s">
        <v>485</v>
      </c>
      <c r="N31" s="14">
        <v>0.02</v>
      </c>
      <c r="O31" s="14">
        <v>0.03</v>
      </c>
      <c r="P31" s="14">
        <v>0.01</v>
      </c>
      <c r="Q31" s="14">
        <v>0.01</v>
      </c>
      <c r="R31" s="14">
        <v>0.03</v>
      </c>
      <c r="S31" s="14">
        <v>0.01</v>
      </c>
      <c r="T31" s="14">
        <v>0.02</v>
      </c>
      <c r="U31" s="14">
        <v>0.02</v>
      </c>
      <c r="V31" s="14">
        <v>0.01</v>
      </c>
      <c r="W31" s="14">
        <v>0.02</v>
      </c>
      <c r="X31" s="15" t="s">
        <v>485</v>
      </c>
      <c r="Y31" s="14">
        <v>0.02</v>
      </c>
      <c r="Z31" s="14">
        <v>0.01</v>
      </c>
      <c r="AA31" s="14">
        <v>0.01</v>
      </c>
      <c r="AB31" s="15" t="s">
        <v>485</v>
      </c>
      <c r="AC31" s="14">
        <v>0.01</v>
      </c>
      <c r="AD31" s="14">
        <v>0.02</v>
      </c>
      <c r="AE31" s="14">
        <v>0.04</v>
      </c>
      <c r="AF31" s="14">
        <v>0.02</v>
      </c>
    </row>
    <row r="32" spans="1:32">
      <c r="A32" s="23"/>
      <c r="B32" s="11" t="s">
        <v>518</v>
      </c>
      <c r="C32" s="12">
        <v>16838</v>
      </c>
      <c r="D32" s="12">
        <v>799</v>
      </c>
      <c r="E32" s="12">
        <v>756</v>
      </c>
      <c r="F32" s="12">
        <v>492</v>
      </c>
      <c r="G32" s="12">
        <v>580</v>
      </c>
      <c r="H32" s="12">
        <v>739</v>
      </c>
      <c r="I32" s="12">
        <v>924</v>
      </c>
      <c r="J32" s="12">
        <v>186</v>
      </c>
      <c r="K32" s="12">
        <v>846</v>
      </c>
      <c r="L32" s="12">
        <v>539</v>
      </c>
      <c r="M32" s="12">
        <v>852</v>
      </c>
      <c r="N32" s="12">
        <v>802</v>
      </c>
      <c r="O32" s="12">
        <v>650</v>
      </c>
      <c r="P32" s="12">
        <v>695</v>
      </c>
      <c r="Q32" s="12">
        <v>483</v>
      </c>
      <c r="R32" s="12">
        <v>401</v>
      </c>
      <c r="S32" s="12">
        <v>663</v>
      </c>
      <c r="T32" s="12">
        <v>516</v>
      </c>
      <c r="U32" s="12">
        <v>322</v>
      </c>
      <c r="V32" s="12">
        <v>828</v>
      </c>
      <c r="W32" s="12">
        <v>447</v>
      </c>
      <c r="X32" s="12">
        <v>888</v>
      </c>
      <c r="Y32" s="12">
        <v>619</v>
      </c>
      <c r="Z32" s="12">
        <v>469</v>
      </c>
      <c r="AA32" s="12">
        <v>927</v>
      </c>
      <c r="AB32" s="12">
        <v>704</v>
      </c>
      <c r="AC32" s="12">
        <v>749</v>
      </c>
      <c r="AD32" s="12">
        <v>564</v>
      </c>
      <c r="AE32" s="12">
        <v>551</v>
      </c>
      <c r="AF32" s="12">
        <v>612</v>
      </c>
    </row>
    <row r="33" spans="1:32">
      <c r="A33" s="23"/>
      <c r="B33" s="13" t="s">
        <v>519</v>
      </c>
      <c r="C33" s="14">
        <v>0.64</v>
      </c>
      <c r="D33" s="14">
        <v>0.79</v>
      </c>
      <c r="E33" s="14">
        <v>0.72</v>
      </c>
      <c r="F33" s="14">
        <v>0.49</v>
      </c>
      <c r="G33" s="14">
        <v>0.57999999999999996</v>
      </c>
      <c r="H33" s="14">
        <v>0.61</v>
      </c>
      <c r="I33" s="14">
        <v>0.61</v>
      </c>
      <c r="J33" s="14">
        <v>0.63</v>
      </c>
      <c r="K33" s="14">
        <v>0.84</v>
      </c>
      <c r="L33" s="14">
        <v>0.54</v>
      </c>
      <c r="M33" s="14">
        <v>0.84</v>
      </c>
      <c r="N33" s="14">
        <v>0.8</v>
      </c>
      <c r="O33" s="14">
        <v>0.65</v>
      </c>
      <c r="P33" s="14">
        <v>0.69000000000000006</v>
      </c>
      <c r="Q33" s="14">
        <v>0.47</v>
      </c>
      <c r="R33" s="14">
        <v>0.8</v>
      </c>
      <c r="S33" s="14">
        <v>0.66</v>
      </c>
      <c r="T33" s="14">
        <v>0.51</v>
      </c>
      <c r="U33" s="14">
        <v>0.64</v>
      </c>
      <c r="V33" s="14">
        <v>0.82000000000000006</v>
      </c>
      <c r="W33" s="14">
        <v>0.89</v>
      </c>
      <c r="X33" s="14">
        <v>0.87</v>
      </c>
      <c r="Y33" s="14">
        <v>0.61</v>
      </c>
      <c r="Z33" s="14">
        <v>0.46</v>
      </c>
      <c r="AA33" s="14">
        <v>0.89</v>
      </c>
      <c r="AB33" s="14">
        <v>0.68</v>
      </c>
      <c r="AC33" s="14">
        <v>0.75</v>
      </c>
      <c r="AD33" s="14">
        <v>0.56000000000000005</v>
      </c>
      <c r="AE33" s="14">
        <v>0.55000000000000004</v>
      </c>
      <c r="AF33" s="14">
        <v>0.56999999999999995</v>
      </c>
    </row>
  </sheetData>
  <mergeCells count="10">
    <mergeCell ref="B4:F4"/>
    <mergeCell ref="A32:A33"/>
    <mergeCell ref="H3:L3"/>
    <mergeCell ref="C8:AF8"/>
    <mergeCell ref="B3:F3"/>
    <mergeCell ref="B5:F5"/>
    <mergeCell ref="A10:A31"/>
    <mergeCell ref="H5:L5"/>
    <mergeCell ref="B10:B11"/>
    <mergeCell ref="H4:L4"/>
  </mergeCells>
  <pageMargins left="0.75" right="0.75" top="1" bottom="1" header="0.5" footer="0.5"/>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1:AF27"/>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201</v>
      </c>
      <c r="C3" s="19"/>
      <c r="D3" s="19"/>
      <c r="E3" s="19"/>
      <c r="F3" s="19"/>
      <c r="H3" s="19" t="s">
        <v>202</v>
      </c>
      <c r="I3" s="19"/>
      <c r="J3" s="19"/>
      <c r="K3" s="19"/>
      <c r="L3" s="19"/>
    </row>
    <row r="4" spans="1:32" ht="27" customHeight="1">
      <c r="B4" s="19"/>
      <c r="C4" s="19"/>
      <c r="D4" s="19"/>
      <c r="E4" s="19"/>
      <c r="F4" s="19"/>
      <c r="H4" s="19"/>
      <c r="I4" s="19"/>
      <c r="J4" s="19"/>
      <c r="K4" s="19"/>
      <c r="L4" s="19"/>
    </row>
    <row r="5" spans="1:32" ht="12" customHeight="1">
      <c r="B5" s="19" t="s">
        <v>1183</v>
      </c>
      <c r="C5" s="19"/>
      <c r="D5" s="19"/>
      <c r="E5" s="19"/>
      <c r="F5" s="19"/>
      <c r="H5" s="19" t="s">
        <v>1184</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HYPERLINK("#Content!A102","&lt;&lt;Back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13609</v>
      </c>
      <c r="D10" s="10">
        <v>552</v>
      </c>
      <c r="E10" s="10">
        <v>685</v>
      </c>
      <c r="F10" s="10">
        <v>350</v>
      </c>
      <c r="G10" s="10">
        <v>514</v>
      </c>
      <c r="H10" s="10">
        <v>524</v>
      </c>
      <c r="I10" s="10">
        <v>667</v>
      </c>
      <c r="J10" s="10">
        <v>143</v>
      </c>
      <c r="K10" s="10">
        <v>654</v>
      </c>
      <c r="L10" s="10">
        <v>435</v>
      </c>
      <c r="M10" s="10">
        <v>713</v>
      </c>
      <c r="N10" s="10">
        <v>703</v>
      </c>
      <c r="O10" s="10">
        <v>574</v>
      </c>
      <c r="P10" s="10">
        <v>505</v>
      </c>
      <c r="Q10" s="10">
        <v>289</v>
      </c>
      <c r="R10" s="10">
        <v>279</v>
      </c>
      <c r="S10" s="10">
        <v>568</v>
      </c>
      <c r="T10" s="10">
        <v>433</v>
      </c>
      <c r="U10" s="10">
        <v>269</v>
      </c>
      <c r="V10" s="10">
        <v>799</v>
      </c>
      <c r="W10" s="10">
        <v>407</v>
      </c>
      <c r="X10" s="10">
        <v>839</v>
      </c>
      <c r="Y10" s="10">
        <v>554</v>
      </c>
      <c r="Z10" s="10">
        <v>333</v>
      </c>
      <c r="AA10" s="10">
        <v>901</v>
      </c>
      <c r="AB10" s="10">
        <v>634</v>
      </c>
      <c r="AC10" s="10">
        <v>662</v>
      </c>
      <c r="AD10" s="10">
        <v>406</v>
      </c>
      <c r="AE10" s="10">
        <v>459</v>
      </c>
      <c r="AF10" s="10">
        <v>557</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1169</v>
      </c>
      <c r="C12" s="12">
        <v>6123</v>
      </c>
      <c r="D12" s="12">
        <v>192</v>
      </c>
      <c r="E12" s="12">
        <v>55</v>
      </c>
      <c r="F12" s="12">
        <v>16</v>
      </c>
      <c r="G12" s="12">
        <v>31</v>
      </c>
      <c r="H12" s="12">
        <v>346</v>
      </c>
      <c r="I12" s="12">
        <v>445</v>
      </c>
      <c r="J12" s="12">
        <v>99</v>
      </c>
      <c r="K12" s="12">
        <v>83</v>
      </c>
      <c r="L12" s="12">
        <v>150</v>
      </c>
      <c r="M12" s="12">
        <v>520</v>
      </c>
      <c r="N12" s="12">
        <v>351</v>
      </c>
      <c r="O12" s="12">
        <v>347</v>
      </c>
      <c r="P12" s="12">
        <v>248</v>
      </c>
      <c r="Q12" s="12">
        <v>140</v>
      </c>
      <c r="R12" s="12">
        <v>90</v>
      </c>
      <c r="S12" s="12">
        <v>7</v>
      </c>
      <c r="T12" s="12">
        <v>24</v>
      </c>
      <c r="U12" s="12">
        <v>122</v>
      </c>
      <c r="V12" s="12">
        <v>238</v>
      </c>
      <c r="W12" s="12">
        <v>300</v>
      </c>
      <c r="X12" s="12">
        <v>401</v>
      </c>
      <c r="Y12" s="12">
        <v>104</v>
      </c>
      <c r="Z12" s="12">
        <v>35</v>
      </c>
      <c r="AA12" s="12">
        <v>637</v>
      </c>
      <c r="AB12" s="12">
        <v>43</v>
      </c>
      <c r="AC12" s="12">
        <v>198</v>
      </c>
      <c r="AD12" s="12">
        <v>26</v>
      </c>
      <c r="AE12" s="12">
        <v>3</v>
      </c>
      <c r="AF12" s="12">
        <v>56</v>
      </c>
    </row>
    <row r="13" spans="1:32">
      <c r="A13" s="23"/>
      <c r="B13" s="13" t="s">
        <v>1170</v>
      </c>
      <c r="C13" s="14">
        <v>0.45</v>
      </c>
      <c r="D13" s="14">
        <v>0.35</v>
      </c>
      <c r="E13" s="14">
        <v>0.08</v>
      </c>
      <c r="F13" s="14">
        <v>0.04</v>
      </c>
      <c r="G13" s="14">
        <v>0.06</v>
      </c>
      <c r="H13" s="14">
        <v>0.66</v>
      </c>
      <c r="I13" s="14">
        <v>0.67</v>
      </c>
      <c r="J13" s="14">
        <v>0.69000000000000006</v>
      </c>
      <c r="K13" s="14">
        <v>0.13</v>
      </c>
      <c r="L13" s="14">
        <v>0.34</v>
      </c>
      <c r="M13" s="14">
        <v>0.73</v>
      </c>
      <c r="N13" s="14">
        <v>0.5</v>
      </c>
      <c r="O13" s="14">
        <v>0.6</v>
      </c>
      <c r="P13" s="14">
        <v>0.49</v>
      </c>
      <c r="Q13" s="14">
        <v>0.49</v>
      </c>
      <c r="R13" s="14">
        <v>0.32</v>
      </c>
      <c r="S13" s="14">
        <v>0.01</v>
      </c>
      <c r="T13" s="14">
        <v>0.06</v>
      </c>
      <c r="U13" s="14">
        <v>0.45</v>
      </c>
      <c r="V13" s="14">
        <v>0.3</v>
      </c>
      <c r="W13" s="14">
        <v>0.74</v>
      </c>
      <c r="X13" s="14">
        <v>0.48</v>
      </c>
      <c r="Y13" s="14">
        <v>0.19</v>
      </c>
      <c r="Z13" s="14">
        <v>0.11</v>
      </c>
      <c r="AA13" s="14">
        <v>0.71</v>
      </c>
      <c r="AB13" s="14">
        <v>7.0000000000000007E-2</v>
      </c>
      <c r="AC13" s="14">
        <v>0.3</v>
      </c>
      <c r="AD13" s="14">
        <v>0.06</v>
      </c>
      <c r="AE13" s="14">
        <v>0.01</v>
      </c>
      <c r="AF13" s="14">
        <v>0.1</v>
      </c>
    </row>
    <row r="14" spans="1:32" ht="23.25">
      <c r="A14" s="23"/>
      <c r="B14" s="11" t="s">
        <v>1171</v>
      </c>
      <c r="C14" s="12">
        <v>9574</v>
      </c>
      <c r="D14" s="12">
        <v>381</v>
      </c>
      <c r="E14" s="12">
        <v>398</v>
      </c>
      <c r="F14" s="12">
        <v>276</v>
      </c>
      <c r="G14" s="12">
        <v>410</v>
      </c>
      <c r="H14" s="12">
        <v>349</v>
      </c>
      <c r="I14" s="12">
        <v>418</v>
      </c>
      <c r="J14" s="12">
        <v>69</v>
      </c>
      <c r="K14" s="12">
        <v>495</v>
      </c>
      <c r="L14" s="12">
        <v>202</v>
      </c>
      <c r="M14" s="12">
        <v>372</v>
      </c>
      <c r="N14" s="12">
        <v>656</v>
      </c>
      <c r="O14" s="12">
        <v>427</v>
      </c>
      <c r="P14" s="12">
        <v>335</v>
      </c>
      <c r="Q14" s="12">
        <v>178</v>
      </c>
      <c r="R14" s="12">
        <v>252</v>
      </c>
      <c r="S14" s="12">
        <v>271</v>
      </c>
      <c r="T14" s="12">
        <v>288</v>
      </c>
      <c r="U14" s="12">
        <v>192</v>
      </c>
      <c r="V14" s="12">
        <v>380</v>
      </c>
      <c r="W14" s="12">
        <v>299</v>
      </c>
      <c r="X14" s="12">
        <v>537</v>
      </c>
      <c r="Y14" s="12">
        <v>473</v>
      </c>
      <c r="Z14" s="12">
        <v>229</v>
      </c>
      <c r="AA14" s="12">
        <v>618</v>
      </c>
      <c r="AB14" s="12">
        <v>400</v>
      </c>
      <c r="AC14" s="12">
        <v>592</v>
      </c>
      <c r="AD14" s="12">
        <v>314</v>
      </c>
      <c r="AE14" s="12">
        <v>378</v>
      </c>
      <c r="AF14" s="12">
        <v>339</v>
      </c>
    </row>
    <row r="15" spans="1:32">
      <c r="A15" s="23"/>
      <c r="B15" s="13" t="s">
        <v>1172</v>
      </c>
      <c r="C15" s="14">
        <v>0.70000000000000007</v>
      </c>
      <c r="D15" s="14">
        <v>0.69000000000000006</v>
      </c>
      <c r="E15" s="14">
        <v>0.57999999999999996</v>
      </c>
      <c r="F15" s="14">
        <v>0.79</v>
      </c>
      <c r="G15" s="14">
        <v>0.8</v>
      </c>
      <c r="H15" s="14">
        <v>0.67</v>
      </c>
      <c r="I15" s="14">
        <v>0.63</v>
      </c>
      <c r="J15" s="14">
        <v>0.48</v>
      </c>
      <c r="K15" s="14">
        <v>0.76</v>
      </c>
      <c r="L15" s="14">
        <v>0.46</v>
      </c>
      <c r="M15" s="14">
        <v>0.52</v>
      </c>
      <c r="N15" s="14">
        <v>0.93</v>
      </c>
      <c r="O15" s="14">
        <v>0.74</v>
      </c>
      <c r="P15" s="14">
        <v>0.66</v>
      </c>
      <c r="Q15" s="14">
        <v>0.62</v>
      </c>
      <c r="R15" s="14">
        <v>0.9</v>
      </c>
      <c r="S15" s="14">
        <v>0.48</v>
      </c>
      <c r="T15" s="14">
        <v>0.67</v>
      </c>
      <c r="U15" s="14">
        <v>0.71</v>
      </c>
      <c r="V15" s="14">
        <v>0.48</v>
      </c>
      <c r="W15" s="14">
        <v>0.73</v>
      </c>
      <c r="X15" s="14">
        <v>0.64</v>
      </c>
      <c r="Y15" s="14">
        <v>0.85</v>
      </c>
      <c r="Z15" s="14">
        <v>0.69000000000000006</v>
      </c>
      <c r="AA15" s="14">
        <v>0.69000000000000006</v>
      </c>
      <c r="AB15" s="14">
        <v>0.63</v>
      </c>
      <c r="AC15" s="14">
        <v>0.89</v>
      </c>
      <c r="AD15" s="14">
        <v>0.77</v>
      </c>
      <c r="AE15" s="14">
        <v>0.82000000000000006</v>
      </c>
      <c r="AF15" s="14">
        <v>0.61</v>
      </c>
    </row>
    <row r="16" spans="1:32" ht="23.25">
      <c r="A16" s="23"/>
      <c r="B16" s="11" t="s">
        <v>1173</v>
      </c>
      <c r="C16" s="12">
        <v>10474</v>
      </c>
      <c r="D16" s="12">
        <v>357</v>
      </c>
      <c r="E16" s="12">
        <v>585</v>
      </c>
      <c r="F16" s="12">
        <v>249</v>
      </c>
      <c r="G16" s="12">
        <v>261</v>
      </c>
      <c r="H16" s="12">
        <v>364</v>
      </c>
      <c r="I16" s="12">
        <v>456</v>
      </c>
      <c r="J16" s="12">
        <v>92</v>
      </c>
      <c r="K16" s="12">
        <v>392</v>
      </c>
      <c r="L16" s="12">
        <v>355</v>
      </c>
      <c r="M16" s="12">
        <v>615</v>
      </c>
      <c r="N16" s="12">
        <v>584</v>
      </c>
      <c r="O16" s="12">
        <v>501</v>
      </c>
      <c r="P16" s="12">
        <v>351</v>
      </c>
      <c r="Q16" s="12">
        <v>217</v>
      </c>
      <c r="R16" s="12">
        <v>107</v>
      </c>
      <c r="S16" s="12">
        <v>386</v>
      </c>
      <c r="T16" s="12">
        <v>149</v>
      </c>
      <c r="U16" s="12">
        <v>169</v>
      </c>
      <c r="V16" s="12">
        <v>702</v>
      </c>
      <c r="W16" s="12">
        <v>353</v>
      </c>
      <c r="X16" s="12">
        <v>770</v>
      </c>
      <c r="Y16" s="12">
        <v>158</v>
      </c>
      <c r="Z16" s="12">
        <v>244</v>
      </c>
      <c r="AA16" s="12">
        <v>760</v>
      </c>
      <c r="AB16" s="12">
        <v>506</v>
      </c>
      <c r="AC16" s="12">
        <v>494</v>
      </c>
      <c r="AD16" s="12">
        <v>67</v>
      </c>
      <c r="AE16" s="12">
        <v>246</v>
      </c>
      <c r="AF16" s="12">
        <v>439</v>
      </c>
    </row>
    <row r="17" spans="1:32" ht="23.25">
      <c r="A17" s="23"/>
      <c r="B17" s="13" t="s">
        <v>1174</v>
      </c>
      <c r="C17" s="14">
        <v>0.77</v>
      </c>
      <c r="D17" s="14">
        <v>0.65</v>
      </c>
      <c r="E17" s="14">
        <v>0.85</v>
      </c>
      <c r="F17" s="14">
        <v>0.71</v>
      </c>
      <c r="G17" s="14">
        <v>0.51</v>
      </c>
      <c r="H17" s="14">
        <v>0.69000000000000006</v>
      </c>
      <c r="I17" s="14">
        <v>0.68</v>
      </c>
      <c r="J17" s="14">
        <v>0.64</v>
      </c>
      <c r="K17" s="14">
        <v>0.6</v>
      </c>
      <c r="L17" s="14">
        <v>0.82000000000000006</v>
      </c>
      <c r="M17" s="14">
        <v>0.86</v>
      </c>
      <c r="N17" s="14">
        <v>0.83000000000000007</v>
      </c>
      <c r="O17" s="14">
        <v>0.87</v>
      </c>
      <c r="P17" s="14">
        <v>0.70000000000000007</v>
      </c>
      <c r="Q17" s="14">
        <v>0.75</v>
      </c>
      <c r="R17" s="14">
        <v>0.38</v>
      </c>
      <c r="S17" s="14">
        <v>0.68</v>
      </c>
      <c r="T17" s="14">
        <v>0.35</v>
      </c>
      <c r="U17" s="14">
        <v>0.63</v>
      </c>
      <c r="V17" s="14">
        <v>0.88</v>
      </c>
      <c r="W17" s="14">
        <v>0.87</v>
      </c>
      <c r="X17" s="14">
        <v>0.92</v>
      </c>
      <c r="Y17" s="14">
        <v>0.28000000000000003</v>
      </c>
      <c r="Z17" s="14">
        <v>0.73</v>
      </c>
      <c r="AA17" s="14">
        <v>0.84</v>
      </c>
      <c r="AB17" s="14">
        <v>0.8</v>
      </c>
      <c r="AC17" s="14">
        <v>0.75</v>
      </c>
      <c r="AD17" s="14">
        <v>0.17</v>
      </c>
      <c r="AE17" s="14">
        <v>0.54</v>
      </c>
      <c r="AF17" s="14">
        <v>0.79</v>
      </c>
    </row>
    <row r="18" spans="1:32" ht="23.25">
      <c r="A18" s="23"/>
      <c r="B18" s="11" t="s">
        <v>1175</v>
      </c>
      <c r="C18" s="12">
        <v>7803</v>
      </c>
      <c r="D18" s="12">
        <v>449</v>
      </c>
      <c r="E18" s="12">
        <v>389</v>
      </c>
      <c r="F18" s="12">
        <v>223</v>
      </c>
      <c r="G18" s="12">
        <v>252</v>
      </c>
      <c r="H18" s="12">
        <v>283</v>
      </c>
      <c r="I18" s="12">
        <v>343</v>
      </c>
      <c r="J18" s="12">
        <v>59</v>
      </c>
      <c r="K18" s="12">
        <v>463</v>
      </c>
      <c r="L18" s="12">
        <v>154</v>
      </c>
      <c r="M18" s="12">
        <v>368</v>
      </c>
      <c r="N18" s="12">
        <v>577</v>
      </c>
      <c r="O18" s="12">
        <v>337</v>
      </c>
      <c r="P18" s="12">
        <v>257</v>
      </c>
      <c r="Q18" s="12">
        <v>165</v>
      </c>
      <c r="R18" s="12">
        <v>215</v>
      </c>
      <c r="S18" s="12">
        <v>277</v>
      </c>
      <c r="T18" s="12">
        <v>284</v>
      </c>
      <c r="U18" s="12">
        <v>158</v>
      </c>
      <c r="V18" s="12">
        <v>297</v>
      </c>
      <c r="W18" s="12">
        <v>244</v>
      </c>
      <c r="X18" s="12">
        <v>489</v>
      </c>
      <c r="Y18" s="12">
        <v>405</v>
      </c>
      <c r="Z18" s="12">
        <v>65</v>
      </c>
      <c r="AA18" s="12">
        <v>393</v>
      </c>
      <c r="AB18" s="12">
        <v>333</v>
      </c>
      <c r="AC18" s="12">
        <v>501</v>
      </c>
      <c r="AD18" s="12">
        <v>253</v>
      </c>
      <c r="AE18" s="12">
        <v>306</v>
      </c>
      <c r="AF18" s="12">
        <v>206</v>
      </c>
    </row>
    <row r="19" spans="1:32" ht="23.25">
      <c r="A19" s="23"/>
      <c r="B19" s="13" t="s">
        <v>1176</v>
      </c>
      <c r="C19" s="14">
        <v>0.57000000000000006</v>
      </c>
      <c r="D19" s="14">
        <v>0.81</v>
      </c>
      <c r="E19" s="14">
        <v>0.57000000000000006</v>
      </c>
      <c r="F19" s="14">
        <v>0.64</v>
      </c>
      <c r="G19" s="14">
        <v>0.49</v>
      </c>
      <c r="H19" s="14">
        <v>0.54</v>
      </c>
      <c r="I19" s="14">
        <v>0.51</v>
      </c>
      <c r="J19" s="14">
        <v>0.41</v>
      </c>
      <c r="K19" s="14">
        <v>0.71</v>
      </c>
      <c r="L19" s="14">
        <v>0.35</v>
      </c>
      <c r="M19" s="14">
        <v>0.52</v>
      </c>
      <c r="N19" s="14">
        <v>0.82000000000000006</v>
      </c>
      <c r="O19" s="14">
        <v>0.59</v>
      </c>
      <c r="P19" s="14">
        <v>0.51</v>
      </c>
      <c r="Q19" s="14">
        <v>0.57000000000000006</v>
      </c>
      <c r="R19" s="14">
        <v>0.77</v>
      </c>
      <c r="S19" s="14">
        <v>0.49</v>
      </c>
      <c r="T19" s="14">
        <v>0.66</v>
      </c>
      <c r="U19" s="14">
        <v>0.59</v>
      </c>
      <c r="V19" s="14">
        <v>0.37</v>
      </c>
      <c r="W19" s="14">
        <v>0.6</v>
      </c>
      <c r="X19" s="14">
        <v>0.57999999999999996</v>
      </c>
      <c r="Y19" s="14">
        <v>0.73</v>
      </c>
      <c r="Z19" s="14">
        <v>0.19</v>
      </c>
      <c r="AA19" s="14">
        <v>0.44</v>
      </c>
      <c r="AB19" s="14">
        <v>0.53</v>
      </c>
      <c r="AC19" s="14">
        <v>0.76</v>
      </c>
      <c r="AD19" s="14">
        <v>0.62</v>
      </c>
      <c r="AE19" s="14">
        <v>0.67</v>
      </c>
      <c r="AF19" s="14">
        <v>0.37</v>
      </c>
    </row>
    <row r="20" spans="1:32" ht="23.25">
      <c r="A20" s="23"/>
      <c r="B20" s="11" t="s">
        <v>1177</v>
      </c>
      <c r="C20" s="12">
        <v>8745</v>
      </c>
      <c r="D20" s="12">
        <v>421</v>
      </c>
      <c r="E20" s="12">
        <v>611</v>
      </c>
      <c r="F20" s="12">
        <v>205</v>
      </c>
      <c r="G20" s="12">
        <v>339</v>
      </c>
      <c r="H20" s="12">
        <v>288</v>
      </c>
      <c r="I20" s="12">
        <v>356</v>
      </c>
      <c r="J20" s="12">
        <v>68</v>
      </c>
      <c r="K20" s="12">
        <v>485</v>
      </c>
      <c r="L20" s="12">
        <v>280</v>
      </c>
      <c r="M20" s="12">
        <v>159</v>
      </c>
      <c r="N20" s="12">
        <v>332</v>
      </c>
      <c r="O20" s="12">
        <v>422</v>
      </c>
      <c r="P20" s="12">
        <v>370</v>
      </c>
      <c r="Q20" s="12">
        <v>98</v>
      </c>
      <c r="R20" s="12">
        <v>142</v>
      </c>
      <c r="S20" s="12">
        <v>458</v>
      </c>
      <c r="T20" s="12">
        <v>305</v>
      </c>
      <c r="U20" s="12">
        <v>179</v>
      </c>
      <c r="V20" s="12">
        <v>754</v>
      </c>
      <c r="W20" s="12">
        <v>353</v>
      </c>
      <c r="X20" s="12">
        <v>710</v>
      </c>
      <c r="Y20" s="12">
        <v>316</v>
      </c>
      <c r="Z20" s="12">
        <v>225</v>
      </c>
      <c r="AA20" s="12">
        <v>873</v>
      </c>
      <c r="AB20" s="12">
        <v>586</v>
      </c>
      <c r="AC20" s="12">
        <v>587</v>
      </c>
      <c r="AD20" s="12">
        <v>318</v>
      </c>
      <c r="AE20" s="12">
        <v>224</v>
      </c>
      <c r="AF20" s="12">
        <v>430</v>
      </c>
    </row>
    <row r="21" spans="1:32">
      <c r="A21" s="23"/>
      <c r="B21" s="13" t="s">
        <v>1178</v>
      </c>
      <c r="C21" s="14">
        <v>0.64</v>
      </c>
      <c r="D21" s="14">
        <v>0.76</v>
      </c>
      <c r="E21" s="14">
        <v>0.89</v>
      </c>
      <c r="F21" s="14">
        <v>0.59</v>
      </c>
      <c r="G21" s="14">
        <v>0.66</v>
      </c>
      <c r="H21" s="14">
        <v>0.55000000000000004</v>
      </c>
      <c r="I21" s="14">
        <v>0.53</v>
      </c>
      <c r="J21" s="14">
        <v>0.48</v>
      </c>
      <c r="K21" s="14">
        <v>0.74</v>
      </c>
      <c r="L21" s="14">
        <v>0.64</v>
      </c>
      <c r="M21" s="14">
        <v>0.22</v>
      </c>
      <c r="N21" s="14">
        <v>0.47</v>
      </c>
      <c r="O21" s="14">
        <v>0.74</v>
      </c>
      <c r="P21" s="14">
        <v>0.73</v>
      </c>
      <c r="Q21" s="14">
        <v>0.34</v>
      </c>
      <c r="R21" s="14">
        <v>0.51</v>
      </c>
      <c r="S21" s="14">
        <v>0.81</v>
      </c>
      <c r="T21" s="14">
        <v>0.70000000000000007</v>
      </c>
      <c r="U21" s="14">
        <v>0.67</v>
      </c>
      <c r="V21" s="14">
        <v>0.94000000000000006</v>
      </c>
      <c r="W21" s="14">
        <v>0.87</v>
      </c>
      <c r="X21" s="14">
        <v>0.85</v>
      </c>
      <c r="Y21" s="14">
        <v>0.57000000000000006</v>
      </c>
      <c r="Z21" s="14">
        <v>0.68</v>
      </c>
      <c r="AA21" s="14">
        <v>0.97</v>
      </c>
      <c r="AB21" s="14">
        <v>0.92</v>
      </c>
      <c r="AC21" s="14">
        <v>0.89</v>
      </c>
      <c r="AD21" s="14">
        <v>0.78</v>
      </c>
      <c r="AE21" s="14">
        <v>0.49</v>
      </c>
      <c r="AF21" s="14">
        <v>0.77</v>
      </c>
    </row>
    <row r="22" spans="1:32" ht="34.5">
      <c r="A22" s="23"/>
      <c r="B22" s="11" t="s">
        <v>1179</v>
      </c>
      <c r="C22" s="12">
        <v>1648</v>
      </c>
      <c r="D22" s="12">
        <v>136</v>
      </c>
      <c r="E22" s="12">
        <v>24</v>
      </c>
      <c r="F22" s="12">
        <v>29</v>
      </c>
      <c r="G22" s="12">
        <v>242</v>
      </c>
      <c r="H22" s="12">
        <v>101</v>
      </c>
      <c r="I22" s="12">
        <v>127</v>
      </c>
      <c r="J22" s="12">
        <v>26</v>
      </c>
      <c r="K22" s="12">
        <v>113</v>
      </c>
      <c r="L22" s="12">
        <v>36</v>
      </c>
      <c r="M22" s="12">
        <v>8</v>
      </c>
      <c r="N22" s="12">
        <v>57</v>
      </c>
      <c r="O22" s="12">
        <v>53</v>
      </c>
      <c r="P22" s="12">
        <v>29</v>
      </c>
      <c r="Q22" s="12">
        <v>25</v>
      </c>
      <c r="R22" s="12">
        <v>31</v>
      </c>
      <c r="S22" s="12">
        <v>39</v>
      </c>
      <c r="T22" s="12">
        <v>13</v>
      </c>
      <c r="U22" s="12">
        <v>43</v>
      </c>
      <c r="V22" s="12">
        <v>35</v>
      </c>
      <c r="W22" s="12">
        <v>72</v>
      </c>
      <c r="X22" s="12">
        <v>241</v>
      </c>
      <c r="Y22" s="12">
        <v>146</v>
      </c>
      <c r="Z22" s="12">
        <v>2</v>
      </c>
      <c r="AA22" s="12">
        <v>14</v>
      </c>
      <c r="AB22" s="12">
        <v>22</v>
      </c>
      <c r="AC22" s="12">
        <v>89</v>
      </c>
      <c r="AD22" s="12">
        <v>66</v>
      </c>
      <c r="AE22" s="12">
        <v>118</v>
      </c>
      <c r="AF22" s="12">
        <v>126</v>
      </c>
    </row>
    <row r="23" spans="1:32" ht="23.25">
      <c r="A23" s="23"/>
      <c r="B23" s="13" t="s">
        <v>1180</v>
      </c>
      <c r="C23" s="14">
        <v>0.12</v>
      </c>
      <c r="D23" s="14">
        <v>0.25</v>
      </c>
      <c r="E23" s="14">
        <v>0.04</v>
      </c>
      <c r="F23" s="14">
        <v>0.08</v>
      </c>
      <c r="G23" s="14">
        <v>0.47</v>
      </c>
      <c r="H23" s="14">
        <v>0.19</v>
      </c>
      <c r="I23" s="14">
        <v>0.19</v>
      </c>
      <c r="J23" s="14">
        <v>0.18</v>
      </c>
      <c r="K23" s="14">
        <v>0.17</v>
      </c>
      <c r="L23" s="14">
        <v>0.08</v>
      </c>
      <c r="M23" s="14">
        <v>0.01</v>
      </c>
      <c r="N23" s="14">
        <v>0.08</v>
      </c>
      <c r="O23" s="14">
        <v>0.09</v>
      </c>
      <c r="P23" s="14">
        <v>0.06</v>
      </c>
      <c r="Q23" s="14">
        <v>0.09</v>
      </c>
      <c r="R23" s="14">
        <v>0.11</v>
      </c>
      <c r="S23" s="14">
        <v>7.0000000000000007E-2</v>
      </c>
      <c r="T23" s="14">
        <v>0.03</v>
      </c>
      <c r="U23" s="14">
        <v>0.16</v>
      </c>
      <c r="V23" s="14">
        <v>0.04</v>
      </c>
      <c r="W23" s="14">
        <v>0.18</v>
      </c>
      <c r="X23" s="14">
        <v>0.28999999999999998</v>
      </c>
      <c r="Y23" s="14">
        <v>0.26</v>
      </c>
      <c r="Z23" s="14">
        <v>0.01</v>
      </c>
      <c r="AA23" s="14">
        <v>0.02</v>
      </c>
      <c r="AB23" s="14">
        <v>0.04</v>
      </c>
      <c r="AC23" s="14">
        <v>0.13</v>
      </c>
      <c r="AD23" s="14">
        <v>0.16</v>
      </c>
      <c r="AE23" s="14">
        <v>0.26</v>
      </c>
      <c r="AF23" s="14">
        <v>0.23</v>
      </c>
    </row>
    <row r="24" spans="1:32" ht="34.5">
      <c r="A24" s="23"/>
      <c r="B24" s="11" t="s">
        <v>1181</v>
      </c>
      <c r="C24" s="12">
        <v>1811</v>
      </c>
      <c r="D24" s="12">
        <v>139</v>
      </c>
      <c r="E24" s="12">
        <v>12</v>
      </c>
      <c r="F24" s="12">
        <v>18</v>
      </c>
      <c r="G24" s="12">
        <v>185</v>
      </c>
      <c r="H24" s="12">
        <v>107</v>
      </c>
      <c r="I24" s="12">
        <v>142</v>
      </c>
      <c r="J24" s="12">
        <v>35</v>
      </c>
      <c r="K24" s="12">
        <v>132</v>
      </c>
      <c r="L24" s="12">
        <v>57</v>
      </c>
      <c r="M24" s="12">
        <v>13</v>
      </c>
      <c r="N24" s="12">
        <v>53</v>
      </c>
      <c r="O24" s="12">
        <v>71</v>
      </c>
      <c r="P24" s="12">
        <v>38</v>
      </c>
      <c r="Q24" s="12">
        <v>36</v>
      </c>
      <c r="R24" s="12">
        <v>30</v>
      </c>
      <c r="S24" s="12">
        <v>40</v>
      </c>
      <c r="T24" s="12">
        <v>25</v>
      </c>
      <c r="U24" s="12">
        <v>42</v>
      </c>
      <c r="V24" s="12">
        <v>25</v>
      </c>
      <c r="W24" s="12">
        <v>66</v>
      </c>
      <c r="X24" s="12">
        <v>259</v>
      </c>
      <c r="Y24" s="12">
        <v>157</v>
      </c>
      <c r="Z24" s="12">
        <v>4</v>
      </c>
      <c r="AA24" s="12">
        <v>9</v>
      </c>
      <c r="AB24" s="12">
        <v>32</v>
      </c>
      <c r="AC24" s="12">
        <v>79</v>
      </c>
      <c r="AD24" s="12">
        <v>32</v>
      </c>
      <c r="AE24" s="12">
        <v>146</v>
      </c>
      <c r="AF24" s="12">
        <v>135</v>
      </c>
    </row>
    <row r="25" spans="1:32" ht="23.25">
      <c r="A25" s="23"/>
      <c r="B25" s="13" t="s">
        <v>1182</v>
      </c>
      <c r="C25" s="14">
        <v>0.13</v>
      </c>
      <c r="D25" s="14">
        <v>0.25</v>
      </c>
      <c r="E25" s="14">
        <v>0.02</v>
      </c>
      <c r="F25" s="14">
        <v>0.05</v>
      </c>
      <c r="G25" s="14">
        <v>0.36</v>
      </c>
      <c r="H25" s="14">
        <v>0.2</v>
      </c>
      <c r="I25" s="14">
        <v>0.21</v>
      </c>
      <c r="J25" s="14">
        <v>0.24</v>
      </c>
      <c r="K25" s="14">
        <v>0.2</v>
      </c>
      <c r="L25" s="14">
        <v>0.13</v>
      </c>
      <c r="M25" s="14">
        <v>0.02</v>
      </c>
      <c r="N25" s="14">
        <v>7.0000000000000007E-2</v>
      </c>
      <c r="O25" s="14">
        <v>0.12</v>
      </c>
      <c r="P25" s="14">
        <v>7.0000000000000007E-2</v>
      </c>
      <c r="Q25" s="14">
        <v>0.12</v>
      </c>
      <c r="R25" s="14">
        <v>0.11</v>
      </c>
      <c r="S25" s="14">
        <v>7.0000000000000007E-2</v>
      </c>
      <c r="T25" s="14">
        <v>0.06</v>
      </c>
      <c r="U25" s="14">
        <v>0.16</v>
      </c>
      <c r="V25" s="14">
        <v>0.03</v>
      </c>
      <c r="W25" s="14">
        <v>0.16</v>
      </c>
      <c r="X25" s="14">
        <v>0.31</v>
      </c>
      <c r="Y25" s="14">
        <v>0.28000000000000003</v>
      </c>
      <c r="Z25" s="14">
        <v>0.01</v>
      </c>
      <c r="AA25" s="14">
        <v>0.01</v>
      </c>
      <c r="AB25" s="14">
        <v>0.05</v>
      </c>
      <c r="AC25" s="14">
        <v>0.12</v>
      </c>
      <c r="AD25" s="14">
        <v>0.08</v>
      </c>
      <c r="AE25" s="14">
        <v>0.32</v>
      </c>
      <c r="AF25" s="14">
        <v>0.24</v>
      </c>
    </row>
    <row r="26" spans="1:32">
      <c r="A26" s="23"/>
      <c r="B26" s="11" t="s">
        <v>518</v>
      </c>
      <c r="C26" s="12">
        <v>13609</v>
      </c>
      <c r="D26" s="12">
        <v>552</v>
      </c>
      <c r="E26" s="12">
        <v>685</v>
      </c>
      <c r="F26" s="12">
        <v>350</v>
      </c>
      <c r="G26" s="12">
        <v>514</v>
      </c>
      <c r="H26" s="12">
        <v>524</v>
      </c>
      <c r="I26" s="12">
        <v>667</v>
      </c>
      <c r="J26" s="12">
        <v>143</v>
      </c>
      <c r="K26" s="12">
        <v>654</v>
      </c>
      <c r="L26" s="12">
        <v>435</v>
      </c>
      <c r="M26" s="12">
        <v>713</v>
      </c>
      <c r="N26" s="12">
        <v>703</v>
      </c>
      <c r="O26" s="12">
        <v>574</v>
      </c>
      <c r="P26" s="12">
        <v>505</v>
      </c>
      <c r="Q26" s="12">
        <v>289</v>
      </c>
      <c r="R26" s="12">
        <v>279</v>
      </c>
      <c r="S26" s="12">
        <v>568</v>
      </c>
      <c r="T26" s="12">
        <v>433</v>
      </c>
      <c r="U26" s="12">
        <v>269</v>
      </c>
      <c r="V26" s="12">
        <v>799</v>
      </c>
      <c r="W26" s="12">
        <v>407</v>
      </c>
      <c r="X26" s="12">
        <v>839</v>
      </c>
      <c r="Y26" s="12">
        <v>554</v>
      </c>
      <c r="Z26" s="12">
        <v>333</v>
      </c>
      <c r="AA26" s="12">
        <v>901</v>
      </c>
      <c r="AB26" s="12">
        <v>634</v>
      </c>
      <c r="AC26" s="12">
        <v>662</v>
      </c>
      <c r="AD26" s="12">
        <v>406</v>
      </c>
      <c r="AE26" s="12">
        <v>459</v>
      </c>
      <c r="AF26" s="12">
        <v>557</v>
      </c>
    </row>
    <row r="27" spans="1:32">
      <c r="A27" s="23"/>
      <c r="B27" s="13" t="s">
        <v>519</v>
      </c>
      <c r="C27" s="14">
        <v>1</v>
      </c>
      <c r="D27" s="14">
        <v>1</v>
      </c>
      <c r="E27" s="14">
        <v>1</v>
      </c>
      <c r="F27" s="14">
        <v>1</v>
      </c>
      <c r="G27" s="14">
        <v>1</v>
      </c>
      <c r="H27" s="14">
        <v>1</v>
      </c>
      <c r="I27" s="14">
        <v>1</v>
      </c>
      <c r="J27" s="14">
        <v>1</v>
      </c>
      <c r="K27" s="14">
        <v>1</v>
      </c>
      <c r="L27" s="14">
        <v>1</v>
      </c>
      <c r="M27" s="14">
        <v>1</v>
      </c>
      <c r="N27" s="14">
        <v>1</v>
      </c>
      <c r="O27" s="14">
        <v>1</v>
      </c>
      <c r="P27" s="14">
        <v>1</v>
      </c>
      <c r="Q27" s="14">
        <v>1</v>
      </c>
      <c r="R27" s="14">
        <v>1</v>
      </c>
      <c r="S27" s="14">
        <v>1</v>
      </c>
      <c r="T27" s="14">
        <v>1</v>
      </c>
      <c r="U27" s="14">
        <v>1</v>
      </c>
      <c r="V27" s="14">
        <v>1</v>
      </c>
      <c r="W27" s="14">
        <v>1</v>
      </c>
      <c r="X27" s="14">
        <v>1</v>
      </c>
      <c r="Y27" s="14">
        <v>1</v>
      </c>
      <c r="Z27" s="14">
        <v>1</v>
      </c>
      <c r="AA27" s="14">
        <v>1</v>
      </c>
      <c r="AB27" s="14">
        <v>1</v>
      </c>
      <c r="AC27" s="14">
        <v>1</v>
      </c>
      <c r="AD27" s="14">
        <v>1</v>
      </c>
      <c r="AE27" s="14">
        <v>1</v>
      </c>
      <c r="AF27" s="14">
        <v>1</v>
      </c>
    </row>
  </sheetData>
  <mergeCells count="10">
    <mergeCell ref="B4:F4"/>
    <mergeCell ref="H3:L3"/>
    <mergeCell ref="C8:AF8"/>
    <mergeCell ref="A26:A27"/>
    <mergeCell ref="B3:F3"/>
    <mergeCell ref="B5:F5"/>
    <mergeCell ref="A10:A25"/>
    <mergeCell ref="H5:L5"/>
    <mergeCell ref="B10:B11"/>
    <mergeCell ref="H4:L4"/>
  </mergeCells>
  <pageMargins left="0.75" right="0.75" top="1" bottom="1" header="0.5" footer="0.5"/>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A1:AF31"/>
  <sheetViews>
    <sheetView workbookViewId="0">
      <pane xSplit="3" ySplit="9" topLeftCell="D26" activePane="bottomRight" state="frozen"/>
      <selection pane="bottomRight" activeCell="F35" sqref="F35"/>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12" customHeight="1">
      <c r="B3" s="19" t="s">
        <v>203</v>
      </c>
      <c r="C3" s="19"/>
      <c r="D3" s="19"/>
      <c r="E3" s="19"/>
      <c r="F3" s="19"/>
      <c r="H3" s="19" t="s">
        <v>204</v>
      </c>
      <c r="I3" s="19"/>
      <c r="J3" s="19"/>
      <c r="K3" s="19"/>
      <c r="L3" s="19"/>
    </row>
    <row r="4" spans="1:32" ht="27" customHeight="1">
      <c r="B4" s="19"/>
      <c r="C4" s="19"/>
      <c r="D4" s="19"/>
      <c r="E4" s="19"/>
      <c r="F4" s="19"/>
      <c r="H4" s="19"/>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HYPERLINK("#Content!A103","&lt;&lt;Back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1185</v>
      </c>
      <c r="C12" s="12">
        <v>3228</v>
      </c>
      <c r="D12" s="12">
        <v>248</v>
      </c>
      <c r="E12" s="12">
        <v>71</v>
      </c>
      <c r="F12" s="12">
        <v>142</v>
      </c>
      <c r="G12" s="12">
        <v>66</v>
      </c>
      <c r="H12" s="12">
        <v>215</v>
      </c>
      <c r="I12" s="12">
        <v>257</v>
      </c>
      <c r="J12" s="12">
        <v>42</v>
      </c>
      <c r="K12" s="12">
        <v>192</v>
      </c>
      <c r="L12" s="12">
        <v>105</v>
      </c>
      <c r="M12" s="12">
        <v>139</v>
      </c>
      <c r="N12" s="12">
        <v>99</v>
      </c>
      <c r="O12" s="12">
        <v>76</v>
      </c>
      <c r="P12" s="12">
        <v>190</v>
      </c>
      <c r="Q12" s="12">
        <v>194</v>
      </c>
      <c r="R12" s="12">
        <v>122</v>
      </c>
      <c r="S12" s="12">
        <v>95</v>
      </c>
      <c r="T12" s="12">
        <v>84</v>
      </c>
      <c r="U12" s="12">
        <v>53</v>
      </c>
      <c r="V12" s="12">
        <v>29</v>
      </c>
      <c r="W12" s="12">
        <v>41</v>
      </c>
      <c r="X12" s="12">
        <v>49</v>
      </c>
      <c r="Y12" s="12">
        <v>65</v>
      </c>
      <c r="Z12" s="12">
        <v>135</v>
      </c>
      <c r="AA12" s="12">
        <v>26</v>
      </c>
      <c r="AB12" s="12">
        <v>71</v>
      </c>
      <c r="AC12" s="12">
        <v>88</v>
      </c>
      <c r="AD12" s="12">
        <v>158</v>
      </c>
      <c r="AE12" s="12">
        <v>93</v>
      </c>
      <c r="AF12" s="12">
        <v>56</v>
      </c>
    </row>
    <row r="13" spans="1:32">
      <c r="A13" s="23"/>
      <c r="B13" s="13" t="s">
        <v>1186</v>
      </c>
      <c r="C13" s="14">
        <v>0.12</v>
      </c>
      <c r="D13" s="14">
        <v>0.25</v>
      </c>
      <c r="E13" s="14">
        <v>7.0000000000000007E-2</v>
      </c>
      <c r="F13" s="14">
        <v>0.14000000000000001</v>
      </c>
      <c r="G13" s="14">
        <v>7.0000000000000007E-2</v>
      </c>
      <c r="H13" s="14">
        <v>0.18</v>
      </c>
      <c r="I13" s="14">
        <v>0.17</v>
      </c>
      <c r="J13" s="14">
        <v>0.14000000000000001</v>
      </c>
      <c r="K13" s="14">
        <v>0.19</v>
      </c>
      <c r="L13" s="14">
        <v>0.1</v>
      </c>
      <c r="M13" s="14">
        <v>0.14000000000000001</v>
      </c>
      <c r="N13" s="14">
        <v>0.1</v>
      </c>
      <c r="O13" s="14">
        <v>7.0000000000000007E-2</v>
      </c>
      <c r="P13" s="14">
        <v>0.19</v>
      </c>
      <c r="Q13" s="14">
        <v>0.19</v>
      </c>
      <c r="R13" s="14">
        <v>0.24</v>
      </c>
      <c r="S13" s="14">
        <v>0.09</v>
      </c>
      <c r="T13" s="14">
        <v>0.09</v>
      </c>
      <c r="U13" s="14">
        <v>0.11</v>
      </c>
      <c r="V13" s="14">
        <v>0.03</v>
      </c>
      <c r="W13" s="14">
        <v>0.08</v>
      </c>
      <c r="X13" s="14">
        <v>0.05</v>
      </c>
      <c r="Y13" s="14">
        <v>7.0000000000000007E-2</v>
      </c>
      <c r="Z13" s="14">
        <v>0.13</v>
      </c>
      <c r="AA13" s="14">
        <v>0.03</v>
      </c>
      <c r="AB13" s="14">
        <v>7.0000000000000007E-2</v>
      </c>
      <c r="AC13" s="14">
        <v>0.09</v>
      </c>
      <c r="AD13" s="14">
        <v>0.16</v>
      </c>
      <c r="AE13" s="14">
        <v>0.09</v>
      </c>
      <c r="AF13" s="14">
        <v>0.05</v>
      </c>
    </row>
    <row r="14" spans="1:32">
      <c r="A14" s="23"/>
      <c r="B14" s="11" t="s">
        <v>1187</v>
      </c>
      <c r="C14" s="12">
        <v>4200</v>
      </c>
      <c r="D14" s="12">
        <v>131</v>
      </c>
      <c r="E14" s="12">
        <v>305</v>
      </c>
      <c r="F14" s="12">
        <v>155</v>
      </c>
      <c r="G14" s="12">
        <v>152</v>
      </c>
      <c r="H14" s="12">
        <v>175</v>
      </c>
      <c r="I14" s="12">
        <v>242</v>
      </c>
      <c r="J14" s="12">
        <v>68</v>
      </c>
      <c r="K14" s="12">
        <v>194</v>
      </c>
      <c r="L14" s="12">
        <v>211</v>
      </c>
      <c r="M14" s="12">
        <v>356</v>
      </c>
      <c r="N14" s="12">
        <v>122</v>
      </c>
      <c r="O14" s="12">
        <v>90</v>
      </c>
      <c r="P14" s="12">
        <v>145</v>
      </c>
      <c r="Q14" s="12">
        <v>127</v>
      </c>
      <c r="R14" s="12">
        <v>123</v>
      </c>
      <c r="S14" s="12">
        <v>366</v>
      </c>
      <c r="T14" s="12">
        <v>258</v>
      </c>
      <c r="U14" s="12">
        <v>83</v>
      </c>
      <c r="V14" s="12">
        <v>315</v>
      </c>
      <c r="W14" s="12">
        <v>66</v>
      </c>
      <c r="X14" s="12">
        <v>150</v>
      </c>
      <c r="Y14" s="12">
        <v>195</v>
      </c>
      <c r="Z14" s="12">
        <v>209</v>
      </c>
      <c r="AA14" s="12">
        <v>78</v>
      </c>
      <c r="AB14" s="12">
        <v>269</v>
      </c>
      <c r="AC14" s="12">
        <v>85</v>
      </c>
      <c r="AD14" s="12">
        <v>215</v>
      </c>
      <c r="AE14" s="12">
        <v>176</v>
      </c>
      <c r="AF14" s="12">
        <v>221</v>
      </c>
    </row>
    <row r="15" spans="1:32">
      <c r="A15" s="23"/>
      <c r="B15" s="13" t="s">
        <v>1188</v>
      </c>
      <c r="C15" s="14">
        <v>0.16</v>
      </c>
      <c r="D15" s="14">
        <v>0.13</v>
      </c>
      <c r="E15" s="14">
        <v>0.28999999999999998</v>
      </c>
      <c r="F15" s="14">
        <v>0.15</v>
      </c>
      <c r="G15" s="14">
        <v>0.15</v>
      </c>
      <c r="H15" s="14">
        <v>0.14000000000000001</v>
      </c>
      <c r="I15" s="14">
        <v>0.16</v>
      </c>
      <c r="J15" s="14">
        <v>0.23</v>
      </c>
      <c r="K15" s="14">
        <v>0.19</v>
      </c>
      <c r="L15" s="14">
        <v>0.21</v>
      </c>
      <c r="M15" s="14">
        <v>0.35</v>
      </c>
      <c r="N15" s="14">
        <v>0.12</v>
      </c>
      <c r="O15" s="14">
        <v>0.09</v>
      </c>
      <c r="P15" s="14">
        <v>0.14000000000000001</v>
      </c>
      <c r="Q15" s="14">
        <v>0.12</v>
      </c>
      <c r="R15" s="14">
        <v>0.25</v>
      </c>
      <c r="S15" s="14">
        <v>0.37</v>
      </c>
      <c r="T15" s="14">
        <v>0.26</v>
      </c>
      <c r="U15" s="14">
        <v>0.17</v>
      </c>
      <c r="V15" s="14">
        <v>0.31</v>
      </c>
      <c r="W15" s="14">
        <v>0.13</v>
      </c>
      <c r="X15" s="14">
        <v>0.15</v>
      </c>
      <c r="Y15" s="14">
        <v>0.19</v>
      </c>
      <c r="Z15" s="14">
        <v>0.21</v>
      </c>
      <c r="AA15" s="14">
        <v>0.08</v>
      </c>
      <c r="AB15" s="14">
        <v>0.26</v>
      </c>
      <c r="AC15" s="14">
        <v>0.08</v>
      </c>
      <c r="AD15" s="14">
        <v>0.21</v>
      </c>
      <c r="AE15" s="14">
        <v>0.17</v>
      </c>
      <c r="AF15" s="14">
        <v>0.21</v>
      </c>
    </row>
    <row r="16" spans="1:32">
      <c r="A16" s="23"/>
      <c r="B16" s="11" t="s">
        <v>1189</v>
      </c>
      <c r="C16" s="12">
        <v>3687</v>
      </c>
      <c r="D16" s="12">
        <v>132</v>
      </c>
      <c r="E16" s="12">
        <v>102</v>
      </c>
      <c r="F16" s="12">
        <v>102</v>
      </c>
      <c r="G16" s="12">
        <v>154</v>
      </c>
      <c r="H16" s="12">
        <v>99</v>
      </c>
      <c r="I16" s="12">
        <v>132</v>
      </c>
      <c r="J16" s="12">
        <v>32</v>
      </c>
      <c r="K16" s="12">
        <v>209</v>
      </c>
      <c r="L16" s="12">
        <v>129</v>
      </c>
      <c r="M16" s="12">
        <v>155</v>
      </c>
      <c r="N16" s="12">
        <v>195</v>
      </c>
      <c r="O16" s="12">
        <v>178</v>
      </c>
      <c r="P16" s="12">
        <v>190</v>
      </c>
      <c r="Q16" s="12">
        <v>83</v>
      </c>
      <c r="R16" s="12">
        <v>69</v>
      </c>
      <c r="S16" s="12">
        <v>94</v>
      </c>
      <c r="T16" s="12">
        <v>131</v>
      </c>
      <c r="U16" s="12">
        <v>83</v>
      </c>
      <c r="V16" s="12">
        <v>245</v>
      </c>
      <c r="W16" s="12">
        <v>85</v>
      </c>
      <c r="X16" s="12">
        <v>203</v>
      </c>
      <c r="Y16" s="12">
        <v>183</v>
      </c>
      <c r="Z16" s="12">
        <v>110</v>
      </c>
      <c r="AA16" s="12">
        <v>345</v>
      </c>
      <c r="AB16" s="12">
        <v>133</v>
      </c>
      <c r="AC16" s="12">
        <v>196</v>
      </c>
      <c r="AD16" s="12">
        <v>133</v>
      </c>
      <c r="AE16" s="12">
        <v>139</v>
      </c>
      <c r="AF16" s="12">
        <v>165</v>
      </c>
    </row>
    <row r="17" spans="1:32">
      <c r="A17" s="23"/>
      <c r="B17" s="13" t="s">
        <v>1190</v>
      </c>
      <c r="C17" s="14">
        <v>0.14000000000000001</v>
      </c>
      <c r="D17" s="14">
        <v>0.13</v>
      </c>
      <c r="E17" s="14">
        <v>0.1</v>
      </c>
      <c r="F17" s="14">
        <v>0.1</v>
      </c>
      <c r="G17" s="14">
        <v>0.15</v>
      </c>
      <c r="H17" s="14">
        <v>0.08</v>
      </c>
      <c r="I17" s="14">
        <v>0.09</v>
      </c>
      <c r="J17" s="14">
        <v>0.11</v>
      </c>
      <c r="K17" s="14">
        <v>0.21</v>
      </c>
      <c r="L17" s="14">
        <v>0.13</v>
      </c>
      <c r="M17" s="14">
        <v>0.15</v>
      </c>
      <c r="N17" s="14">
        <v>0.2</v>
      </c>
      <c r="O17" s="14">
        <v>0.18</v>
      </c>
      <c r="P17" s="14">
        <v>0.19</v>
      </c>
      <c r="Q17" s="14">
        <v>0.08</v>
      </c>
      <c r="R17" s="14">
        <v>0.14000000000000001</v>
      </c>
      <c r="S17" s="14">
        <v>0.09</v>
      </c>
      <c r="T17" s="14">
        <v>0.13</v>
      </c>
      <c r="U17" s="14">
        <v>0.16</v>
      </c>
      <c r="V17" s="14">
        <v>0.24</v>
      </c>
      <c r="W17" s="14">
        <v>0.17</v>
      </c>
      <c r="X17" s="14">
        <v>0.2</v>
      </c>
      <c r="Y17" s="14">
        <v>0.18</v>
      </c>
      <c r="Z17" s="14">
        <v>0.11</v>
      </c>
      <c r="AA17" s="14">
        <v>0.33</v>
      </c>
      <c r="AB17" s="14">
        <v>0.13</v>
      </c>
      <c r="AC17" s="14">
        <v>0.2</v>
      </c>
      <c r="AD17" s="14">
        <v>0.13</v>
      </c>
      <c r="AE17" s="14">
        <v>0.14000000000000001</v>
      </c>
      <c r="AF17" s="14">
        <v>0.15</v>
      </c>
    </row>
    <row r="18" spans="1:32">
      <c r="A18" s="23"/>
      <c r="B18" s="11" t="s">
        <v>1191</v>
      </c>
      <c r="C18" s="12">
        <v>2999</v>
      </c>
      <c r="D18" s="12">
        <v>137</v>
      </c>
      <c r="E18" s="12">
        <v>240</v>
      </c>
      <c r="F18" s="12">
        <v>69</v>
      </c>
      <c r="G18" s="12">
        <v>115</v>
      </c>
      <c r="H18" s="12">
        <v>127</v>
      </c>
      <c r="I18" s="12">
        <v>142</v>
      </c>
      <c r="J18" s="12">
        <v>14</v>
      </c>
      <c r="K18" s="12">
        <v>152</v>
      </c>
      <c r="L18" s="12">
        <v>60</v>
      </c>
      <c r="M18" s="12">
        <v>148</v>
      </c>
      <c r="N18" s="12">
        <v>202</v>
      </c>
      <c r="O18" s="12">
        <v>137</v>
      </c>
      <c r="P18" s="12">
        <v>100</v>
      </c>
      <c r="Q18" s="12">
        <v>53</v>
      </c>
      <c r="R18" s="12">
        <v>41</v>
      </c>
      <c r="S18" s="12">
        <v>85</v>
      </c>
      <c r="T18" s="12">
        <v>40</v>
      </c>
      <c r="U18" s="12">
        <v>47</v>
      </c>
      <c r="V18" s="12">
        <v>143</v>
      </c>
      <c r="W18" s="12">
        <v>73</v>
      </c>
      <c r="X18" s="12">
        <v>162</v>
      </c>
      <c r="Y18" s="12">
        <v>82</v>
      </c>
      <c r="Z18" s="12">
        <v>12</v>
      </c>
      <c r="AA18" s="12">
        <v>295</v>
      </c>
      <c r="AB18" s="12">
        <v>185</v>
      </c>
      <c r="AC18" s="12">
        <v>200</v>
      </c>
      <c r="AD18" s="12">
        <v>41</v>
      </c>
      <c r="AE18" s="12">
        <v>85</v>
      </c>
      <c r="AF18" s="12">
        <v>85</v>
      </c>
    </row>
    <row r="19" spans="1:32">
      <c r="A19" s="23"/>
      <c r="B19" s="13" t="s">
        <v>1192</v>
      </c>
      <c r="C19" s="14">
        <v>0.12</v>
      </c>
      <c r="D19" s="14">
        <v>0.14000000000000001</v>
      </c>
      <c r="E19" s="14">
        <v>0.23</v>
      </c>
      <c r="F19" s="14">
        <v>7.0000000000000007E-2</v>
      </c>
      <c r="G19" s="14">
        <v>0.12</v>
      </c>
      <c r="H19" s="14">
        <v>0.11</v>
      </c>
      <c r="I19" s="14">
        <v>0.09</v>
      </c>
      <c r="J19" s="14">
        <v>0.05</v>
      </c>
      <c r="K19" s="14">
        <v>0.15</v>
      </c>
      <c r="L19" s="14">
        <v>0.06</v>
      </c>
      <c r="M19" s="14">
        <v>0.15</v>
      </c>
      <c r="N19" s="14">
        <v>0.2</v>
      </c>
      <c r="O19" s="14">
        <v>0.14000000000000001</v>
      </c>
      <c r="P19" s="14">
        <v>0.1</v>
      </c>
      <c r="Q19" s="14">
        <v>0.05</v>
      </c>
      <c r="R19" s="14">
        <v>0.08</v>
      </c>
      <c r="S19" s="14">
        <v>0.09</v>
      </c>
      <c r="T19" s="14">
        <v>0.04</v>
      </c>
      <c r="U19" s="14">
        <v>0.09</v>
      </c>
      <c r="V19" s="14">
        <v>0.14000000000000001</v>
      </c>
      <c r="W19" s="14">
        <v>0.15</v>
      </c>
      <c r="X19" s="14">
        <v>0.16</v>
      </c>
      <c r="Y19" s="14">
        <v>0.08</v>
      </c>
      <c r="Z19" s="14">
        <v>0.01</v>
      </c>
      <c r="AA19" s="14">
        <v>0.28000000000000003</v>
      </c>
      <c r="AB19" s="14">
        <v>0.18</v>
      </c>
      <c r="AC19" s="14">
        <v>0.2</v>
      </c>
      <c r="AD19" s="14">
        <v>0.04</v>
      </c>
      <c r="AE19" s="14">
        <v>0.08</v>
      </c>
      <c r="AF19" s="14">
        <v>0.08</v>
      </c>
    </row>
    <row r="20" spans="1:32">
      <c r="A20" s="23"/>
      <c r="B20" s="11" t="s">
        <v>1193</v>
      </c>
      <c r="C20" s="12">
        <v>1923</v>
      </c>
      <c r="D20" s="12">
        <v>77</v>
      </c>
      <c r="E20" s="12">
        <v>29</v>
      </c>
      <c r="F20" s="12">
        <v>20</v>
      </c>
      <c r="G20" s="12">
        <v>65</v>
      </c>
      <c r="H20" s="12">
        <v>76</v>
      </c>
      <c r="I20" s="12">
        <v>93</v>
      </c>
      <c r="J20" s="12">
        <v>16</v>
      </c>
      <c r="K20" s="12">
        <v>61</v>
      </c>
      <c r="L20" s="12">
        <v>23</v>
      </c>
      <c r="M20" s="12">
        <v>46</v>
      </c>
      <c r="N20" s="12">
        <v>147</v>
      </c>
      <c r="O20" s="12">
        <v>132</v>
      </c>
      <c r="P20" s="12">
        <v>59</v>
      </c>
      <c r="Q20" s="12">
        <v>15</v>
      </c>
      <c r="R20" s="12">
        <v>33</v>
      </c>
      <c r="S20" s="12">
        <v>13</v>
      </c>
      <c r="T20" s="12">
        <v>2</v>
      </c>
      <c r="U20" s="12">
        <v>40</v>
      </c>
      <c r="V20" s="12">
        <v>80</v>
      </c>
      <c r="W20" s="12">
        <v>113</v>
      </c>
      <c r="X20" s="12">
        <v>154</v>
      </c>
      <c r="Y20" s="12">
        <v>83</v>
      </c>
      <c r="Z20" s="12">
        <v>2</v>
      </c>
      <c r="AA20" s="12">
        <v>170</v>
      </c>
      <c r="AB20" s="12">
        <v>38</v>
      </c>
      <c r="AC20" s="12">
        <v>123</v>
      </c>
      <c r="AD20" s="12">
        <v>17</v>
      </c>
      <c r="AE20" s="12">
        <v>40</v>
      </c>
      <c r="AF20" s="12">
        <v>62</v>
      </c>
    </row>
    <row r="21" spans="1:32">
      <c r="A21" s="23"/>
      <c r="B21" s="13" t="s">
        <v>1194</v>
      </c>
      <c r="C21" s="14">
        <v>7.0000000000000007E-2</v>
      </c>
      <c r="D21" s="14">
        <v>0.08</v>
      </c>
      <c r="E21" s="14">
        <v>0.03</v>
      </c>
      <c r="F21" s="14">
        <v>0.02</v>
      </c>
      <c r="G21" s="14">
        <v>0.06</v>
      </c>
      <c r="H21" s="14">
        <v>0.06</v>
      </c>
      <c r="I21" s="14">
        <v>0.06</v>
      </c>
      <c r="J21" s="14">
        <v>0.06</v>
      </c>
      <c r="K21" s="14">
        <v>0.06</v>
      </c>
      <c r="L21" s="14">
        <v>0.02</v>
      </c>
      <c r="M21" s="14">
        <v>0.05</v>
      </c>
      <c r="N21" s="14">
        <v>0.15</v>
      </c>
      <c r="O21" s="14">
        <v>0.13</v>
      </c>
      <c r="P21" s="14">
        <v>0.06</v>
      </c>
      <c r="Q21" s="14">
        <v>0.01</v>
      </c>
      <c r="R21" s="14">
        <v>7.0000000000000007E-2</v>
      </c>
      <c r="S21" s="14">
        <v>0.01</v>
      </c>
      <c r="T21" s="15" t="s">
        <v>485</v>
      </c>
      <c r="U21" s="14">
        <v>0.08</v>
      </c>
      <c r="V21" s="14">
        <v>0.08</v>
      </c>
      <c r="W21" s="14">
        <v>0.23</v>
      </c>
      <c r="X21" s="14">
        <v>0.15</v>
      </c>
      <c r="Y21" s="14">
        <v>0.08</v>
      </c>
      <c r="Z21" s="15" t="s">
        <v>485</v>
      </c>
      <c r="AA21" s="14">
        <v>0.16</v>
      </c>
      <c r="AB21" s="14">
        <v>0.04</v>
      </c>
      <c r="AC21" s="14">
        <v>0.12</v>
      </c>
      <c r="AD21" s="14">
        <v>0.02</v>
      </c>
      <c r="AE21" s="14">
        <v>0.04</v>
      </c>
      <c r="AF21" s="14">
        <v>0.06</v>
      </c>
    </row>
    <row r="22" spans="1:32">
      <c r="A22" s="23"/>
      <c r="B22" s="11" t="s">
        <v>1195</v>
      </c>
      <c r="C22" s="12">
        <v>496</v>
      </c>
      <c r="D22" s="12">
        <v>38</v>
      </c>
      <c r="E22" s="12">
        <v>7</v>
      </c>
      <c r="F22" s="12">
        <v>4</v>
      </c>
      <c r="G22" s="12">
        <v>27</v>
      </c>
      <c r="H22" s="12">
        <v>24</v>
      </c>
      <c r="I22" s="12">
        <v>34</v>
      </c>
      <c r="J22" s="12">
        <v>10</v>
      </c>
      <c r="K22" s="12">
        <v>31</v>
      </c>
      <c r="L22" s="12">
        <v>11</v>
      </c>
      <c r="M22" s="12">
        <v>2</v>
      </c>
      <c r="N22" s="12">
        <v>24</v>
      </c>
      <c r="O22" s="12">
        <v>22</v>
      </c>
      <c r="P22" s="12">
        <v>6</v>
      </c>
      <c r="Q22" s="12">
        <v>6</v>
      </c>
      <c r="R22" s="12">
        <v>7</v>
      </c>
      <c r="S22" s="12">
        <v>10</v>
      </c>
      <c r="T22" s="12">
        <v>2</v>
      </c>
      <c r="U22" s="12">
        <v>9</v>
      </c>
      <c r="V22" s="12">
        <v>13</v>
      </c>
      <c r="W22" s="12">
        <v>41</v>
      </c>
      <c r="X22" s="12">
        <v>105</v>
      </c>
      <c r="Y22" s="12">
        <v>4</v>
      </c>
      <c r="Z22" s="12">
        <v>0</v>
      </c>
      <c r="AA22" s="12">
        <v>8</v>
      </c>
      <c r="AB22" s="12">
        <v>8</v>
      </c>
      <c r="AC22" s="12">
        <v>36</v>
      </c>
      <c r="AD22" s="12">
        <v>0</v>
      </c>
      <c r="AE22" s="12">
        <v>19</v>
      </c>
      <c r="AF22" s="12">
        <v>22</v>
      </c>
    </row>
    <row r="23" spans="1:32">
      <c r="A23" s="23"/>
      <c r="B23" s="13" t="s">
        <v>1195</v>
      </c>
      <c r="C23" s="14">
        <v>0.02</v>
      </c>
      <c r="D23" s="14">
        <v>0.04</v>
      </c>
      <c r="E23" s="14">
        <v>0.01</v>
      </c>
      <c r="F23" s="14">
        <v>0.01</v>
      </c>
      <c r="G23" s="14">
        <v>0.03</v>
      </c>
      <c r="H23" s="14">
        <v>0.02</v>
      </c>
      <c r="I23" s="14">
        <v>0.02</v>
      </c>
      <c r="J23" s="14">
        <v>0.04</v>
      </c>
      <c r="K23" s="14">
        <v>0.03</v>
      </c>
      <c r="L23" s="14">
        <v>0.01</v>
      </c>
      <c r="M23" s="15" t="s">
        <v>485</v>
      </c>
      <c r="N23" s="14">
        <v>0.02</v>
      </c>
      <c r="O23" s="14">
        <v>0.02</v>
      </c>
      <c r="P23" s="14">
        <v>0.01</v>
      </c>
      <c r="Q23" s="14">
        <v>0.01</v>
      </c>
      <c r="R23" s="14">
        <v>0.01</v>
      </c>
      <c r="S23" s="14">
        <v>0.01</v>
      </c>
      <c r="T23" s="15" t="s">
        <v>485</v>
      </c>
      <c r="U23" s="14">
        <v>0.02</v>
      </c>
      <c r="V23" s="14">
        <v>0.01</v>
      </c>
      <c r="W23" s="14">
        <v>0.08</v>
      </c>
      <c r="X23" s="14">
        <v>0.1</v>
      </c>
      <c r="Y23" s="14">
        <v>0.01</v>
      </c>
      <c r="Z23" s="15" t="s">
        <v>485</v>
      </c>
      <c r="AA23" s="14">
        <v>0.01</v>
      </c>
      <c r="AB23" s="14">
        <v>0.01</v>
      </c>
      <c r="AC23" s="14">
        <v>0.04</v>
      </c>
      <c r="AD23" s="15" t="s">
        <v>485</v>
      </c>
      <c r="AE23" s="14">
        <v>0.02</v>
      </c>
      <c r="AF23" s="14">
        <v>0.02</v>
      </c>
    </row>
    <row r="24" spans="1:32">
      <c r="A24" s="23"/>
      <c r="B24" s="11" t="s">
        <v>1196</v>
      </c>
      <c r="C24" s="12">
        <v>305</v>
      </c>
      <c r="D24" s="12">
        <v>36</v>
      </c>
      <c r="E24" s="12">
        <v>1</v>
      </c>
      <c r="F24" s="12">
        <v>0</v>
      </c>
      <c r="G24" s="12">
        <v>1</v>
      </c>
      <c r="H24" s="12">
        <v>22</v>
      </c>
      <c r="I24" s="12">
        <v>24</v>
      </c>
      <c r="J24" s="12">
        <v>2</v>
      </c>
      <c r="K24" s="12">
        <v>7</v>
      </c>
      <c r="L24" s="12">
        <v>1</v>
      </c>
      <c r="M24" s="12">
        <v>6</v>
      </c>
      <c r="N24" s="12">
        <v>13</v>
      </c>
      <c r="O24" s="12">
        <v>14</v>
      </c>
      <c r="P24" s="12">
        <v>6</v>
      </c>
      <c r="Q24" s="12">
        <v>5</v>
      </c>
      <c r="R24" s="12">
        <v>6</v>
      </c>
      <c r="S24" s="12">
        <v>0</v>
      </c>
      <c r="T24" s="12">
        <v>0</v>
      </c>
      <c r="U24" s="12">
        <v>7</v>
      </c>
      <c r="V24" s="12">
        <v>1</v>
      </c>
      <c r="W24" s="12">
        <v>27</v>
      </c>
      <c r="X24" s="12">
        <v>65</v>
      </c>
      <c r="Y24" s="12">
        <v>8</v>
      </c>
      <c r="Z24" s="12">
        <v>0</v>
      </c>
      <c r="AA24" s="12">
        <v>4</v>
      </c>
      <c r="AB24" s="12">
        <v>1</v>
      </c>
      <c r="AC24" s="12">
        <v>21</v>
      </c>
      <c r="AD24" s="12">
        <v>0</v>
      </c>
      <c r="AE24" s="12">
        <v>0</v>
      </c>
      <c r="AF24" s="12">
        <v>1</v>
      </c>
    </row>
    <row r="25" spans="1:32">
      <c r="A25" s="23"/>
      <c r="B25" s="13" t="s">
        <v>1197</v>
      </c>
      <c r="C25" s="14">
        <v>0.01</v>
      </c>
      <c r="D25" s="14">
        <v>0.03</v>
      </c>
      <c r="E25" s="15" t="s">
        <v>485</v>
      </c>
      <c r="F25" s="15" t="s">
        <v>485</v>
      </c>
      <c r="G25" s="15" t="s">
        <v>485</v>
      </c>
      <c r="H25" s="14">
        <v>0.02</v>
      </c>
      <c r="I25" s="14">
        <v>0.02</v>
      </c>
      <c r="J25" s="14">
        <v>0.01</v>
      </c>
      <c r="K25" s="14">
        <v>0.01</v>
      </c>
      <c r="L25" s="15" t="s">
        <v>485</v>
      </c>
      <c r="M25" s="14">
        <v>0.01</v>
      </c>
      <c r="N25" s="14">
        <v>0.01</v>
      </c>
      <c r="O25" s="14">
        <v>0.01</v>
      </c>
      <c r="P25" s="15" t="s">
        <v>485</v>
      </c>
      <c r="Q25" s="14">
        <v>0.01</v>
      </c>
      <c r="R25" s="14">
        <v>0.01</v>
      </c>
      <c r="S25" s="15" t="s">
        <v>485</v>
      </c>
      <c r="T25" s="15" t="s">
        <v>485</v>
      </c>
      <c r="U25" s="14">
        <v>0.01</v>
      </c>
      <c r="V25" s="15" t="s">
        <v>485</v>
      </c>
      <c r="W25" s="14">
        <v>0.05</v>
      </c>
      <c r="X25" s="14">
        <v>0.06</v>
      </c>
      <c r="Y25" s="14">
        <v>0.01</v>
      </c>
      <c r="Z25" s="15" t="s">
        <v>485</v>
      </c>
      <c r="AA25" s="15" t="s">
        <v>485</v>
      </c>
      <c r="AB25" s="15" t="s">
        <v>485</v>
      </c>
      <c r="AC25" s="14">
        <v>0.02</v>
      </c>
      <c r="AD25" s="15" t="s">
        <v>485</v>
      </c>
      <c r="AE25" s="15" t="s">
        <v>485</v>
      </c>
      <c r="AF25" s="15" t="s">
        <v>485</v>
      </c>
    </row>
    <row r="26" spans="1:32" ht="45.75">
      <c r="A26" s="23"/>
      <c r="B26" s="11" t="s">
        <v>1167</v>
      </c>
      <c r="C26" s="12">
        <v>9022</v>
      </c>
      <c r="D26" s="12">
        <v>111</v>
      </c>
      <c r="E26" s="12">
        <v>284</v>
      </c>
      <c r="F26" s="12">
        <v>487</v>
      </c>
      <c r="G26" s="12">
        <v>389</v>
      </c>
      <c r="H26" s="12">
        <v>449</v>
      </c>
      <c r="I26" s="12">
        <v>554</v>
      </c>
      <c r="J26" s="12">
        <v>104</v>
      </c>
      <c r="K26" s="12">
        <v>121</v>
      </c>
      <c r="L26" s="12">
        <v>440</v>
      </c>
      <c r="M26" s="12">
        <v>156</v>
      </c>
      <c r="N26" s="12">
        <v>181</v>
      </c>
      <c r="O26" s="12">
        <v>328</v>
      </c>
      <c r="P26" s="12">
        <v>306</v>
      </c>
      <c r="Q26" s="12">
        <v>529</v>
      </c>
      <c r="R26" s="12">
        <v>82</v>
      </c>
      <c r="S26" s="12">
        <v>324</v>
      </c>
      <c r="T26" s="12">
        <v>465</v>
      </c>
      <c r="U26" s="12">
        <v>167</v>
      </c>
      <c r="V26" s="12">
        <v>176</v>
      </c>
      <c r="W26" s="12">
        <v>40</v>
      </c>
      <c r="X26" s="12">
        <v>121</v>
      </c>
      <c r="Y26" s="12">
        <v>367</v>
      </c>
      <c r="Z26" s="12">
        <v>541</v>
      </c>
      <c r="AA26" s="12">
        <v>100</v>
      </c>
      <c r="AB26" s="12">
        <v>324</v>
      </c>
      <c r="AC26" s="12">
        <v>240</v>
      </c>
      <c r="AD26" s="12">
        <v>416</v>
      </c>
      <c r="AE26" s="12">
        <v>410</v>
      </c>
      <c r="AF26" s="12">
        <v>433</v>
      </c>
    </row>
    <row r="27" spans="1:32" ht="34.5">
      <c r="A27" s="23"/>
      <c r="B27" s="13" t="s">
        <v>1168</v>
      </c>
      <c r="C27" s="14">
        <v>0.34</v>
      </c>
      <c r="D27" s="14">
        <v>0.11</v>
      </c>
      <c r="E27" s="14">
        <v>0.27</v>
      </c>
      <c r="F27" s="14">
        <v>0.48</v>
      </c>
      <c r="G27" s="14">
        <v>0.39</v>
      </c>
      <c r="H27" s="14">
        <v>0.37</v>
      </c>
      <c r="I27" s="14">
        <v>0.37</v>
      </c>
      <c r="J27" s="14">
        <v>0.35</v>
      </c>
      <c r="K27" s="14">
        <v>0.12</v>
      </c>
      <c r="L27" s="14">
        <v>0.44</v>
      </c>
      <c r="M27" s="14">
        <v>0.15</v>
      </c>
      <c r="N27" s="14">
        <v>0.18</v>
      </c>
      <c r="O27" s="14">
        <v>0.33</v>
      </c>
      <c r="P27" s="14">
        <v>0.3</v>
      </c>
      <c r="Q27" s="14">
        <v>0.52</v>
      </c>
      <c r="R27" s="14">
        <v>0.16</v>
      </c>
      <c r="S27" s="14">
        <v>0.32</v>
      </c>
      <c r="T27" s="14">
        <v>0.46</v>
      </c>
      <c r="U27" s="14">
        <v>0.33</v>
      </c>
      <c r="V27" s="14">
        <v>0.18</v>
      </c>
      <c r="W27" s="14">
        <v>0.08</v>
      </c>
      <c r="X27" s="14">
        <v>0.12</v>
      </c>
      <c r="Y27" s="14">
        <v>0.36</v>
      </c>
      <c r="Z27" s="14">
        <v>0.53</v>
      </c>
      <c r="AA27" s="14">
        <v>0.1</v>
      </c>
      <c r="AB27" s="14">
        <v>0.31</v>
      </c>
      <c r="AC27" s="14">
        <v>0.24</v>
      </c>
      <c r="AD27" s="14">
        <v>0.42</v>
      </c>
      <c r="AE27" s="14">
        <v>0.41</v>
      </c>
      <c r="AF27" s="14">
        <v>0.4</v>
      </c>
    </row>
    <row r="28" spans="1:32">
      <c r="A28" s="23"/>
      <c r="B28" s="11" t="s">
        <v>497</v>
      </c>
      <c r="C28" s="12">
        <v>495</v>
      </c>
      <c r="D28" s="12">
        <v>95</v>
      </c>
      <c r="E28" s="12">
        <v>4</v>
      </c>
      <c r="F28" s="12">
        <v>28</v>
      </c>
      <c r="G28" s="12">
        <v>34</v>
      </c>
      <c r="H28" s="12">
        <v>22</v>
      </c>
      <c r="I28" s="12">
        <v>26</v>
      </c>
      <c r="J28" s="12">
        <v>4</v>
      </c>
      <c r="K28" s="12">
        <v>37</v>
      </c>
      <c r="L28" s="12">
        <v>27</v>
      </c>
      <c r="M28" s="12">
        <v>3</v>
      </c>
      <c r="N28" s="12">
        <v>17</v>
      </c>
      <c r="O28" s="12">
        <v>28</v>
      </c>
      <c r="P28" s="12">
        <v>10</v>
      </c>
      <c r="Q28" s="12">
        <v>12</v>
      </c>
      <c r="R28" s="12">
        <v>18</v>
      </c>
      <c r="S28" s="12">
        <v>18</v>
      </c>
      <c r="T28" s="12">
        <v>23</v>
      </c>
      <c r="U28" s="12">
        <v>15</v>
      </c>
      <c r="V28" s="12">
        <v>7</v>
      </c>
      <c r="W28" s="12">
        <v>15</v>
      </c>
      <c r="X28" s="12">
        <v>8</v>
      </c>
      <c r="Y28" s="12">
        <v>21</v>
      </c>
      <c r="Z28" s="12">
        <v>8</v>
      </c>
      <c r="AA28" s="12">
        <v>13</v>
      </c>
      <c r="AB28" s="12">
        <v>3</v>
      </c>
      <c r="AC28" s="12">
        <v>15</v>
      </c>
      <c r="AD28" s="12">
        <v>22</v>
      </c>
      <c r="AE28" s="12">
        <v>46</v>
      </c>
      <c r="AF28" s="12">
        <v>28</v>
      </c>
    </row>
    <row r="29" spans="1:32">
      <c r="A29" s="23"/>
      <c r="B29" s="13" t="s">
        <v>498</v>
      </c>
      <c r="C29" s="14">
        <v>0.02</v>
      </c>
      <c r="D29" s="14">
        <v>0.09</v>
      </c>
      <c r="E29" s="15" t="s">
        <v>485</v>
      </c>
      <c r="F29" s="14">
        <v>0.03</v>
      </c>
      <c r="G29" s="14">
        <v>0.03</v>
      </c>
      <c r="H29" s="14">
        <v>0.02</v>
      </c>
      <c r="I29" s="14">
        <v>0.02</v>
      </c>
      <c r="J29" s="14">
        <v>0.01</v>
      </c>
      <c r="K29" s="14">
        <v>0.04</v>
      </c>
      <c r="L29" s="14">
        <v>0.03</v>
      </c>
      <c r="M29" s="15" t="s">
        <v>485</v>
      </c>
      <c r="N29" s="14">
        <v>0.02</v>
      </c>
      <c r="O29" s="14">
        <v>0.03</v>
      </c>
      <c r="P29" s="14">
        <v>0.01</v>
      </c>
      <c r="Q29" s="14">
        <v>0.01</v>
      </c>
      <c r="R29" s="14">
        <v>0.04</v>
      </c>
      <c r="S29" s="14">
        <v>0.02</v>
      </c>
      <c r="T29" s="14">
        <v>0.02</v>
      </c>
      <c r="U29" s="14">
        <v>0.03</v>
      </c>
      <c r="V29" s="14">
        <v>0.01</v>
      </c>
      <c r="W29" s="14">
        <v>0.03</v>
      </c>
      <c r="X29" s="14">
        <v>0.01</v>
      </c>
      <c r="Y29" s="14">
        <v>0.02</v>
      </c>
      <c r="Z29" s="14">
        <v>0.01</v>
      </c>
      <c r="AA29" s="14">
        <v>0.01</v>
      </c>
      <c r="AB29" s="15" t="s">
        <v>485</v>
      </c>
      <c r="AC29" s="14">
        <v>0.01</v>
      </c>
      <c r="AD29" s="14">
        <v>0.02</v>
      </c>
      <c r="AE29" s="14">
        <v>0.05</v>
      </c>
      <c r="AF29" s="14">
        <v>0.03</v>
      </c>
    </row>
    <row r="30" spans="1:32" ht="23.25">
      <c r="A30" s="23"/>
      <c r="B30" s="11" t="s">
        <v>1198</v>
      </c>
      <c r="C30" s="12">
        <v>2724</v>
      </c>
      <c r="D30" s="12">
        <v>151</v>
      </c>
      <c r="E30" s="12">
        <v>37</v>
      </c>
      <c r="F30" s="12">
        <v>24</v>
      </c>
      <c r="G30" s="12">
        <v>93</v>
      </c>
      <c r="H30" s="12">
        <v>122</v>
      </c>
      <c r="I30" s="12">
        <v>151</v>
      </c>
      <c r="J30" s="12">
        <v>28</v>
      </c>
      <c r="K30" s="12">
        <v>99</v>
      </c>
      <c r="L30" s="12">
        <v>35</v>
      </c>
      <c r="M30" s="12">
        <v>54</v>
      </c>
      <c r="N30" s="12">
        <v>184</v>
      </c>
      <c r="O30" s="12">
        <v>168</v>
      </c>
      <c r="P30" s="12">
        <v>71</v>
      </c>
      <c r="Q30" s="12">
        <v>26</v>
      </c>
      <c r="R30" s="12">
        <v>46</v>
      </c>
      <c r="S30" s="12">
        <v>23</v>
      </c>
      <c r="T30" s="12">
        <v>4</v>
      </c>
      <c r="U30" s="12">
        <v>56</v>
      </c>
      <c r="V30" s="12">
        <v>94</v>
      </c>
      <c r="W30" s="12">
        <v>181</v>
      </c>
      <c r="X30" s="12">
        <v>324</v>
      </c>
      <c r="Y30" s="12">
        <v>95</v>
      </c>
      <c r="Z30" s="12">
        <v>2</v>
      </c>
      <c r="AA30" s="12">
        <v>182</v>
      </c>
      <c r="AB30" s="12">
        <v>47</v>
      </c>
      <c r="AC30" s="12">
        <v>180</v>
      </c>
      <c r="AD30" s="12">
        <v>17</v>
      </c>
      <c r="AE30" s="12">
        <v>59</v>
      </c>
      <c r="AF30" s="12">
        <v>85</v>
      </c>
    </row>
    <row r="31" spans="1:32" ht="23.25">
      <c r="A31" s="23"/>
      <c r="B31" s="13" t="s">
        <v>1199</v>
      </c>
      <c r="C31" s="14">
        <v>0.1</v>
      </c>
      <c r="D31" s="14">
        <v>0.15</v>
      </c>
      <c r="E31" s="14">
        <v>0.04</v>
      </c>
      <c r="F31" s="14">
        <v>0.03</v>
      </c>
      <c r="G31" s="14">
        <v>0.09</v>
      </c>
      <c r="H31" s="14">
        <v>0.1</v>
      </c>
      <c r="I31" s="14">
        <v>0.1</v>
      </c>
      <c r="J31" s="14">
        <v>0.11</v>
      </c>
      <c r="K31" s="14">
        <v>0.1</v>
      </c>
      <c r="L31" s="14">
        <v>0.03</v>
      </c>
      <c r="M31" s="14">
        <v>0.06</v>
      </c>
      <c r="N31" s="14">
        <v>0.18</v>
      </c>
      <c r="O31" s="14">
        <v>0.16</v>
      </c>
      <c r="P31" s="14">
        <v>7.0000000000000007E-2</v>
      </c>
      <c r="Q31" s="14">
        <v>0.03</v>
      </c>
      <c r="R31" s="14">
        <v>0.09</v>
      </c>
      <c r="S31" s="14">
        <v>0.02</v>
      </c>
      <c r="T31" s="15" t="s">
        <v>485</v>
      </c>
      <c r="U31" s="14">
        <v>0.11</v>
      </c>
      <c r="V31" s="14">
        <v>0.09</v>
      </c>
      <c r="W31" s="14">
        <v>0.36</v>
      </c>
      <c r="X31" s="14">
        <v>0.31</v>
      </c>
      <c r="Y31" s="14">
        <v>0.1</v>
      </c>
      <c r="Z31" s="15" t="s">
        <v>485</v>
      </c>
      <c r="AA31" s="14">
        <v>0.17</v>
      </c>
      <c r="AB31" s="14">
        <v>0.05</v>
      </c>
      <c r="AC31" s="14">
        <v>0.18</v>
      </c>
      <c r="AD31" s="14">
        <v>0.02</v>
      </c>
      <c r="AE31" s="14">
        <v>0.06</v>
      </c>
      <c r="AF31" s="14">
        <v>0.08</v>
      </c>
    </row>
  </sheetData>
  <mergeCells count="10">
    <mergeCell ref="A30:A31"/>
    <mergeCell ref="H5:L5"/>
    <mergeCell ref="B10:B11"/>
    <mergeCell ref="H4:L4"/>
    <mergeCell ref="B4:F4"/>
    <mergeCell ref="H3:L3"/>
    <mergeCell ref="C8:AF8"/>
    <mergeCell ref="A10:A29"/>
    <mergeCell ref="B5:F5"/>
    <mergeCell ref="B3:F3"/>
  </mergeCells>
  <pageMargins left="0.75" right="0.75" top="1" bottom="1" header="0.5" footer="0.5"/>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A1:AF3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12" customHeight="1">
      <c r="B3" s="19" t="s">
        <v>205</v>
      </c>
      <c r="C3" s="19"/>
      <c r="D3" s="19"/>
      <c r="E3" s="19"/>
      <c r="F3" s="19"/>
      <c r="H3" s="19" t="s">
        <v>206</v>
      </c>
      <c r="I3" s="19"/>
      <c r="J3" s="19"/>
      <c r="K3" s="19"/>
      <c r="L3" s="19"/>
    </row>
    <row r="4" spans="1:32" ht="27" customHeight="1">
      <c r="B4" s="19"/>
      <c r="C4" s="19"/>
      <c r="D4" s="19"/>
      <c r="E4" s="19"/>
      <c r="F4" s="19"/>
      <c r="H4" s="19"/>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HYPERLINK("#Content!A104","&lt;&lt;Back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34.5">
      <c r="A12" s="23"/>
      <c r="B12" s="11" t="s">
        <v>1200</v>
      </c>
      <c r="C12" s="12">
        <v>2479</v>
      </c>
      <c r="D12" s="12">
        <v>116</v>
      </c>
      <c r="E12" s="12">
        <v>22</v>
      </c>
      <c r="F12" s="12">
        <v>6</v>
      </c>
      <c r="G12" s="12">
        <v>18</v>
      </c>
      <c r="H12" s="12">
        <v>115</v>
      </c>
      <c r="I12" s="12">
        <v>140</v>
      </c>
      <c r="J12" s="12">
        <v>25</v>
      </c>
      <c r="K12" s="12">
        <v>40</v>
      </c>
      <c r="L12" s="12">
        <v>20</v>
      </c>
      <c r="M12" s="12">
        <v>70</v>
      </c>
      <c r="N12" s="12">
        <v>162</v>
      </c>
      <c r="O12" s="12">
        <v>181</v>
      </c>
      <c r="P12" s="12">
        <v>101</v>
      </c>
      <c r="Q12" s="12">
        <v>24</v>
      </c>
      <c r="R12" s="12">
        <v>37</v>
      </c>
      <c r="S12" s="12">
        <v>1</v>
      </c>
      <c r="T12" s="12">
        <v>4</v>
      </c>
      <c r="U12" s="12">
        <v>52</v>
      </c>
      <c r="V12" s="12">
        <v>81</v>
      </c>
      <c r="W12" s="12">
        <v>200</v>
      </c>
      <c r="X12" s="12">
        <v>208</v>
      </c>
      <c r="Y12" s="12">
        <v>35</v>
      </c>
      <c r="Z12" s="12">
        <v>9</v>
      </c>
      <c r="AA12" s="12">
        <v>362</v>
      </c>
      <c r="AB12" s="12">
        <v>19</v>
      </c>
      <c r="AC12" s="12">
        <v>146</v>
      </c>
      <c r="AD12" s="12">
        <v>13</v>
      </c>
      <c r="AE12" s="12">
        <v>1</v>
      </c>
      <c r="AF12" s="12">
        <v>25</v>
      </c>
    </row>
    <row r="13" spans="1:32" ht="34.5">
      <c r="A13" s="23"/>
      <c r="B13" s="13" t="s">
        <v>1201</v>
      </c>
      <c r="C13" s="14">
        <v>0.09</v>
      </c>
      <c r="D13" s="14">
        <v>0.12</v>
      </c>
      <c r="E13" s="14">
        <v>0.02</v>
      </c>
      <c r="F13" s="14">
        <v>0.01</v>
      </c>
      <c r="G13" s="14">
        <v>0.02</v>
      </c>
      <c r="H13" s="14">
        <v>0.09</v>
      </c>
      <c r="I13" s="14">
        <v>0.09</v>
      </c>
      <c r="J13" s="14">
        <v>0.09</v>
      </c>
      <c r="K13" s="14">
        <v>0.04</v>
      </c>
      <c r="L13" s="14">
        <v>0.02</v>
      </c>
      <c r="M13" s="14">
        <v>7.0000000000000007E-2</v>
      </c>
      <c r="N13" s="14">
        <v>0.16</v>
      </c>
      <c r="O13" s="14">
        <v>0.18</v>
      </c>
      <c r="P13" s="14">
        <v>0.1</v>
      </c>
      <c r="Q13" s="14">
        <v>0.02</v>
      </c>
      <c r="R13" s="14">
        <v>7.0000000000000007E-2</v>
      </c>
      <c r="S13" s="15" t="s">
        <v>485</v>
      </c>
      <c r="T13" s="15" t="s">
        <v>485</v>
      </c>
      <c r="U13" s="14">
        <v>0.1</v>
      </c>
      <c r="V13" s="14">
        <v>0.08</v>
      </c>
      <c r="W13" s="14">
        <v>0.4</v>
      </c>
      <c r="X13" s="14">
        <v>0.2</v>
      </c>
      <c r="Y13" s="14">
        <v>0.03</v>
      </c>
      <c r="Z13" s="14">
        <v>0.01</v>
      </c>
      <c r="AA13" s="14">
        <v>0.35</v>
      </c>
      <c r="AB13" s="14">
        <v>0.02</v>
      </c>
      <c r="AC13" s="14">
        <v>0.15</v>
      </c>
      <c r="AD13" s="14">
        <v>0.01</v>
      </c>
      <c r="AE13" s="15" t="s">
        <v>485</v>
      </c>
      <c r="AF13" s="14">
        <v>0.02</v>
      </c>
    </row>
    <row r="14" spans="1:32" ht="34.5">
      <c r="A14" s="23"/>
      <c r="B14" s="11" t="s">
        <v>1202</v>
      </c>
      <c r="C14" s="12">
        <v>3866</v>
      </c>
      <c r="D14" s="12">
        <v>146</v>
      </c>
      <c r="E14" s="12">
        <v>38</v>
      </c>
      <c r="F14" s="12">
        <v>12</v>
      </c>
      <c r="G14" s="12">
        <v>19</v>
      </c>
      <c r="H14" s="12">
        <v>196</v>
      </c>
      <c r="I14" s="12">
        <v>235</v>
      </c>
      <c r="J14" s="12">
        <v>39</v>
      </c>
      <c r="K14" s="12">
        <v>54</v>
      </c>
      <c r="L14" s="12">
        <v>42</v>
      </c>
      <c r="M14" s="12">
        <v>274</v>
      </c>
      <c r="N14" s="12">
        <v>309</v>
      </c>
      <c r="O14" s="12">
        <v>242</v>
      </c>
      <c r="P14" s="12">
        <v>130</v>
      </c>
      <c r="Q14" s="12">
        <v>75</v>
      </c>
      <c r="R14" s="12">
        <v>54</v>
      </c>
      <c r="S14" s="12">
        <v>2</v>
      </c>
      <c r="T14" s="12">
        <v>12</v>
      </c>
      <c r="U14" s="12">
        <v>74</v>
      </c>
      <c r="V14" s="12">
        <v>90</v>
      </c>
      <c r="W14" s="12">
        <v>211</v>
      </c>
      <c r="X14" s="12">
        <v>226</v>
      </c>
      <c r="Y14" s="12">
        <v>64</v>
      </c>
      <c r="Z14" s="12">
        <v>16</v>
      </c>
      <c r="AA14" s="12">
        <v>373</v>
      </c>
      <c r="AB14" s="12">
        <v>20</v>
      </c>
      <c r="AC14" s="12">
        <v>167</v>
      </c>
      <c r="AD14" s="12">
        <v>13</v>
      </c>
      <c r="AE14" s="12">
        <v>1</v>
      </c>
      <c r="AF14" s="12">
        <v>25</v>
      </c>
    </row>
    <row r="15" spans="1:32" ht="23.25">
      <c r="A15" s="23"/>
      <c r="B15" s="13" t="s">
        <v>1203</v>
      </c>
      <c r="C15" s="14">
        <v>0.15</v>
      </c>
      <c r="D15" s="14">
        <v>0.14000000000000001</v>
      </c>
      <c r="E15" s="14">
        <v>0.04</v>
      </c>
      <c r="F15" s="14">
        <v>0.01</v>
      </c>
      <c r="G15" s="14">
        <v>0.02</v>
      </c>
      <c r="H15" s="14">
        <v>0.16</v>
      </c>
      <c r="I15" s="14">
        <v>0.16</v>
      </c>
      <c r="J15" s="14">
        <v>0.13</v>
      </c>
      <c r="K15" s="14">
        <v>0.05</v>
      </c>
      <c r="L15" s="14">
        <v>0.04</v>
      </c>
      <c r="M15" s="14">
        <v>0.27</v>
      </c>
      <c r="N15" s="14">
        <v>0.31</v>
      </c>
      <c r="O15" s="14">
        <v>0.24</v>
      </c>
      <c r="P15" s="14">
        <v>0.13</v>
      </c>
      <c r="Q15" s="14">
        <v>7.0000000000000007E-2</v>
      </c>
      <c r="R15" s="14">
        <v>0.11</v>
      </c>
      <c r="S15" s="15" t="s">
        <v>485</v>
      </c>
      <c r="T15" s="14">
        <v>0.01</v>
      </c>
      <c r="U15" s="14">
        <v>0.15</v>
      </c>
      <c r="V15" s="14">
        <v>0.09</v>
      </c>
      <c r="W15" s="14">
        <v>0.42</v>
      </c>
      <c r="X15" s="14">
        <v>0.22</v>
      </c>
      <c r="Y15" s="14">
        <v>0.06</v>
      </c>
      <c r="Z15" s="14">
        <v>0.02</v>
      </c>
      <c r="AA15" s="14">
        <v>0.36</v>
      </c>
      <c r="AB15" s="14">
        <v>0.02</v>
      </c>
      <c r="AC15" s="14">
        <v>0.17</v>
      </c>
      <c r="AD15" s="14">
        <v>0.01</v>
      </c>
      <c r="AE15" s="15" t="s">
        <v>485</v>
      </c>
      <c r="AF15" s="14">
        <v>0.02</v>
      </c>
    </row>
    <row r="16" spans="1:32" ht="34.5">
      <c r="A16" s="23"/>
      <c r="B16" s="11" t="s">
        <v>1204</v>
      </c>
      <c r="C16" s="12">
        <v>2588</v>
      </c>
      <c r="D16" s="12">
        <v>116</v>
      </c>
      <c r="E16" s="12">
        <v>26</v>
      </c>
      <c r="F16" s="12">
        <v>6</v>
      </c>
      <c r="G16" s="12">
        <v>20</v>
      </c>
      <c r="H16" s="12">
        <v>123</v>
      </c>
      <c r="I16" s="12">
        <v>150</v>
      </c>
      <c r="J16" s="12">
        <v>27</v>
      </c>
      <c r="K16" s="12">
        <v>47</v>
      </c>
      <c r="L16" s="12">
        <v>26</v>
      </c>
      <c r="M16" s="12">
        <v>72</v>
      </c>
      <c r="N16" s="12">
        <v>166</v>
      </c>
      <c r="O16" s="12">
        <v>188</v>
      </c>
      <c r="P16" s="12">
        <v>109</v>
      </c>
      <c r="Q16" s="12">
        <v>25</v>
      </c>
      <c r="R16" s="12">
        <v>38</v>
      </c>
      <c r="S16" s="12">
        <v>1</v>
      </c>
      <c r="T16" s="12">
        <v>5</v>
      </c>
      <c r="U16" s="12">
        <v>57</v>
      </c>
      <c r="V16" s="12">
        <v>84</v>
      </c>
      <c r="W16" s="12">
        <v>219</v>
      </c>
      <c r="X16" s="12">
        <v>211</v>
      </c>
      <c r="Y16" s="12">
        <v>38</v>
      </c>
      <c r="Z16" s="12">
        <v>11</v>
      </c>
      <c r="AA16" s="12">
        <v>382</v>
      </c>
      <c r="AB16" s="12">
        <v>22</v>
      </c>
      <c r="AC16" s="12">
        <v>163</v>
      </c>
      <c r="AD16" s="12">
        <v>17</v>
      </c>
      <c r="AE16" s="12">
        <v>1</v>
      </c>
      <c r="AF16" s="12">
        <v>27</v>
      </c>
    </row>
    <row r="17" spans="1:32" ht="23.25">
      <c r="A17" s="23"/>
      <c r="B17" s="13" t="s">
        <v>1205</v>
      </c>
      <c r="C17" s="14">
        <v>0.1</v>
      </c>
      <c r="D17" s="14">
        <v>0.12</v>
      </c>
      <c r="E17" s="14">
        <v>0.03</v>
      </c>
      <c r="F17" s="14">
        <v>0.01</v>
      </c>
      <c r="G17" s="14">
        <v>0.02</v>
      </c>
      <c r="H17" s="14">
        <v>0.1</v>
      </c>
      <c r="I17" s="14">
        <v>0.1</v>
      </c>
      <c r="J17" s="14">
        <v>0.09</v>
      </c>
      <c r="K17" s="14">
        <v>0.05</v>
      </c>
      <c r="L17" s="14">
        <v>0.03</v>
      </c>
      <c r="M17" s="14">
        <v>7.0000000000000007E-2</v>
      </c>
      <c r="N17" s="14">
        <v>0.17</v>
      </c>
      <c r="O17" s="14">
        <v>0.19</v>
      </c>
      <c r="P17" s="14">
        <v>0.11</v>
      </c>
      <c r="Q17" s="14">
        <v>0.02</v>
      </c>
      <c r="R17" s="14">
        <v>0.08</v>
      </c>
      <c r="S17" s="15" t="s">
        <v>485</v>
      </c>
      <c r="T17" s="15" t="s">
        <v>485</v>
      </c>
      <c r="U17" s="14">
        <v>0.11</v>
      </c>
      <c r="V17" s="14">
        <v>0.08</v>
      </c>
      <c r="W17" s="14">
        <v>0.44</v>
      </c>
      <c r="X17" s="14">
        <v>0.21</v>
      </c>
      <c r="Y17" s="14">
        <v>0.04</v>
      </c>
      <c r="Z17" s="14">
        <v>0.01</v>
      </c>
      <c r="AA17" s="14">
        <v>0.37</v>
      </c>
      <c r="AB17" s="14">
        <v>0.02</v>
      </c>
      <c r="AC17" s="14">
        <v>0.16</v>
      </c>
      <c r="AD17" s="14">
        <v>0.02</v>
      </c>
      <c r="AE17" s="15" t="s">
        <v>485</v>
      </c>
      <c r="AF17" s="14">
        <v>0.03</v>
      </c>
    </row>
    <row r="18" spans="1:32" ht="23.25">
      <c r="A18" s="23"/>
      <c r="B18" s="11" t="s">
        <v>1206</v>
      </c>
      <c r="C18" s="12">
        <v>3445</v>
      </c>
      <c r="D18" s="12">
        <v>149</v>
      </c>
      <c r="E18" s="12">
        <v>25</v>
      </c>
      <c r="F18" s="12">
        <v>6</v>
      </c>
      <c r="G18" s="12">
        <v>23</v>
      </c>
      <c r="H18" s="12">
        <v>152</v>
      </c>
      <c r="I18" s="12">
        <v>197</v>
      </c>
      <c r="J18" s="12">
        <v>45</v>
      </c>
      <c r="K18" s="12">
        <v>49</v>
      </c>
      <c r="L18" s="12">
        <v>74</v>
      </c>
      <c r="M18" s="12">
        <v>95</v>
      </c>
      <c r="N18" s="12">
        <v>164</v>
      </c>
      <c r="O18" s="12">
        <v>251</v>
      </c>
      <c r="P18" s="12">
        <v>168</v>
      </c>
      <c r="Q18" s="12">
        <v>32</v>
      </c>
      <c r="R18" s="12">
        <v>40</v>
      </c>
      <c r="S18" s="12">
        <v>4</v>
      </c>
      <c r="T18" s="12">
        <v>5</v>
      </c>
      <c r="U18" s="12">
        <v>71</v>
      </c>
      <c r="V18" s="12">
        <v>199</v>
      </c>
      <c r="W18" s="12">
        <v>244</v>
      </c>
      <c r="X18" s="12">
        <v>349</v>
      </c>
      <c r="Y18" s="12">
        <v>43</v>
      </c>
      <c r="Z18" s="12">
        <v>17</v>
      </c>
      <c r="AA18" s="12">
        <v>581</v>
      </c>
      <c r="AB18" s="12">
        <v>33</v>
      </c>
      <c r="AC18" s="12">
        <v>153</v>
      </c>
      <c r="AD18" s="12">
        <v>18</v>
      </c>
      <c r="AE18" s="12">
        <v>2</v>
      </c>
      <c r="AF18" s="12">
        <v>48</v>
      </c>
    </row>
    <row r="19" spans="1:32" ht="23.25">
      <c r="A19" s="23"/>
      <c r="B19" s="13" t="s">
        <v>1207</v>
      </c>
      <c r="C19" s="14">
        <v>0.13</v>
      </c>
      <c r="D19" s="14">
        <v>0.15</v>
      </c>
      <c r="E19" s="14">
        <v>0.02</v>
      </c>
      <c r="F19" s="14">
        <v>0.01</v>
      </c>
      <c r="G19" s="14">
        <v>0.02</v>
      </c>
      <c r="H19" s="14">
        <v>0.13</v>
      </c>
      <c r="I19" s="14">
        <v>0.13</v>
      </c>
      <c r="J19" s="14">
        <v>0.16</v>
      </c>
      <c r="K19" s="14">
        <v>0.05</v>
      </c>
      <c r="L19" s="14">
        <v>7.0000000000000007E-2</v>
      </c>
      <c r="M19" s="14">
        <v>0.09</v>
      </c>
      <c r="N19" s="14">
        <v>0.16</v>
      </c>
      <c r="O19" s="14">
        <v>0.25</v>
      </c>
      <c r="P19" s="14">
        <v>0.17</v>
      </c>
      <c r="Q19" s="14">
        <v>0.03</v>
      </c>
      <c r="R19" s="14">
        <v>0.08</v>
      </c>
      <c r="S19" s="15" t="s">
        <v>485</v>
      </c>
      <c r="T19" s="14">
        <v>0.01</v>
      </c>
      <c r="U19" s="14">
        <v>0.14000000000000001</v>
      </c>
      <c r="V19" s="14">
        <v>0.2</v>
      </c>
      <c r="W19" s="14">
        <v>0.48</v>
      </c>
      <c r="X19" s="14">
        <v>0.34</v>
      </c>
      <c r="Y19" s="14">
        <v>0.04</v>
      </c>
      <c r="Z19" s="14">
        <v>0.02</v>
      </c>
      <c r="AA19" s="14">
        <v>0.56000000000000005</v>
      </c>
      <c r="AB19" s="14">
        <v>0.03</v>
      </c>
      <c r="AC19" s="14">
        <v>0.15</v>
      </c>
      <c r="AD19" s="14">
        <v>0.02</v>
      </c>
      <c r="AE19" s="15" t="s">
        <v>485</v>
      </c>
      <c r="AF19" s="14">
        <v>0.05</v>
      </c>
    </row>
    <row r="20" spans="1:32" ht="23.25">
      <c r="A20" s="23"/>
      <c r="B20" s="11" t="s">
        <v>1208</v>
      </c>
      <c r="C20" s="12">
        <v>5432</v>
      </c>
      <c r="D20" s="12">
        <v>268</v>
      </c>
      <c r="E20" s="12">
        <v>311</v>
      </c>
      <c r="F20" s="12">
        <v>134</v>
      </c>
      <c r="G20" s="12">
        <v>210</v>
      </c>
      <c r="H20" s="12">
        <v>184</v>
      </c>
      <c r="I20" s="12">
        <v>218</v>
      </c>
      <c r="J20" s="12">
        <v>34</v>
      </c>
      <c r="K20" s="12">
        <v>300</v>
      </c>
      <c r="L20" s="12">
        <v>95</v>
      </c>
      <c r="M20" s="12">
        <v>71</v>
      </c>
      <c r="N20" s="12">
        <v>297</v>
      </c>
      <c r="O20" s="12">
        <v>284</v>
      </c>
      <c r="P20" s="12">
        <v>209</v>
      </c>
      <c r="Q20" s="12">
        <v>49</v>
      </c>
      <c r="R20" s="12">
        <v>118</v>
      </c>
      <c r="S20" s="12">
        <v>159</v>
      </c>
      <c r="T20" s="12">
        <v>131</v>
      </c>
      <c r="U20" s="12">
        <v>113</v>
      </c>
      <c r="V20" s="12">
        <v>325</v>
      </c>
      <c r="W20" s="12">
        <v>242</v>
      </c>
      <c r="X20" s="12">
        <v>433</v>
      </c>
      <c r="Y20" s="12">
        <v>242</v>
      </c>
      <c r="Z20" s="12">
        <v>101</v>
      </c>
      <c r="AA20" s="12">
        <v>563</v>
      </c>
      <c r="AB20" s="12">
        <v>320</v>
      </c>
      <c r="AC20" s="12">
        <v>476</v>
      </c>
      <c r="AD20" s="12">
        <v>148</v>
      </c>
      <c r="AE20" s="12">
        <v>168</v>
      </c>
      <c r="AF20" s="12">
        <v>201</v>
      </c>
    </row>
    <row r="21" spans="1:32" ht="23.25">
      <c r="A21" s="23"/>
      <c r="B21" s="13" t="s">
        <v>1209</v>
      </c>
      <c r="C21" s="14">
        <v>0.21</v>
      </c>
      <c r="D21" s="14">
        <v>0.27</v>
      </c>
      <c r="E21" s="14">
        <v>0.3</v>
      </c>
      <c r="F21" s="14">
        <v>0.13</v>
      </c>
      <c r="G21" s="14">
        <v>0.21</v>
      </c>
      <c r="H21" s="14">
        <v>0.15</v>
      </c>
      <c r="I21" s="14">
        <v>0.14000000000000001</v>
      </c>
      <c r="J21" s="14">
        <v>0.12</v>
      </c>
      <c r="K21" s="14">
        <v>0.3</v>
      </c>
      <c r="L21" s="14">
        <v>0.09</v>
      </c>
      <c r="M21" s="14">
        <v>7.0000000000000007E-2</v>
      </c>
      <c r="N21" s="14">
        <v>0.3</v>
      </c>
      <c r="O21" s="14">
        <v>0.28000000000000003</v>
      </c>
      <c r="P21" s="14">
        <v>0.21</v>
      </c>
      <c r="Q21" s="14">
        <v>0.05</v>
      </c>
      <c r="R21" s="14">
        <v>0.24</v>
      </c>
      <c r="S21" s="14">
        <v>0.16</v>
      </c>
      <c r="T21" s="14">
        <v>0.13</v>
      </c>
      <c r="U21" s="14">
        <v>0.23</v>
      </c>
      <c r="V21" s="14">
        <v>0.32</v>
      </c>
      <c r="W21" s="14">
        <v>0.48</v>
      </c>
      <c r="X21" s="14">
        <v>0.43</v>
      </c>
      <c r="Y21" s="14">
        <v>0.24</v>
      </c>
      <c r="Z21" s="14">
        <v>0.1</v>
      </c>
      <c r="AA21" s="14">
        <v>0.54</v>
      </c>
      <c r="AB21" s="14">
        <v>0.31</v>
      </c>
      <c r="AC21" s="14">
        <v>0.47</v>
      </c>
      <c r="AD21" s="14">
        <v>0.15</v>
      </c>
      <c r="AE21" s="14">
        <v>0.17</v>
      </c>
      <c r="AF21" s="14">
        <v>0.19</v>
      </c>
    </row>
    <row r="22" spans="1:32" ht="23.25">
      <c r="A22" s="23"/>
      <c r="B22" s="11" t="s">
        <v>1210</v>
      </c>
      <c r="C22" s="12">
        <v>4344</v>
      </c>
      <c r="D22" s="12">
        <v>150</v>
      </c>
      <c r="E22" s="12">
        <v>45</v>
      </c>
      <c r="F22" s="12">
        <v>15</v>
      </c>
      <c r="G22" s="12">
        <v>23</v>
      </c>
      <c r="H22" s="12">
        <v>241</v>
      </c>
      <c r="I22" s="12">
        <v>285</v>
      </c>
      <c r="J22" s="12">
        <v>45</v>
      </c>
      <c r="K22" s="12">
        <v>66</v>
      </c>
      <c r="L22" s="12">
        <v>51</v>
      </c>
      <c r="M22" s="12">
        <v>318</v>
      </c>
      <c r="N22" s="12">
        <v>344</v>
      </c>
      <c r="O22" s="12">
        <v>256</v>
      </c>
      <c r="P22" s="12">
        <v>148</v>
      </c>
      <c r="Q22" s="12">
        <v>92</v>
      </c>
      <c r="R22" s="12">
        <v>83</v>
      </c>
      <c r="S22" s="12">
        <v>2</v>
      </c>
      <c r="T22" s="12">
        <v>17</v>
      </c>
      <c r="U22" s="12">
        <v>84</v>
      </c>
      <c r="V22" s="12">
        <v>93</v>
      </c>
      <c r="W22" s="12">
        <v>232</v>
      </c>
      <c r="X22" s="12">
        <v>230</v>
      </c>
      <c r="Y22" s="12">
        <v>73</v>
      </c>
      <c r="Z22" s="12">
        <v>22</v>
      </c>
      <c r="AA22" s="12">
        <v>397</v>
      </c>
      <c r="AB22" s="12">
        <v>23</v>
      </c>
      <c r="AC22" s="12">
        <v>187</v>
      </c>
      <c r="AD22" s="12">
        <v>18</v>
      </c>
      <c r="AE22" s="12">
        <v>2</v>
      </c>
      <c r="AF22" s="12">
        <v>28</v>
      </c>
    </row>
    <row r="23" spans="1:32" ht="23.25">
      <c r="A23" s="23"/>
      <c r="B23" s="13" t="s">
        <v>1211</v>
      </c>
      <c r="C23" s="14">
        <v>0.16</v>
      </c>
      <c r="D23" s="14">
        <v>0.15</v>
      </c>
      <c r="E23" s="14">
        <v>0.04</v>
      </c>
      <c r="F23" s="14">
        <v>0.01</v>
      </c>
      <c r="G23" s="14">
        <v>0.02</v>
      </c>
      <c r="H23" s="14">
        <v>0.2</v>
      </c>
      <c r="I23" s="14">
        <v>0.19</v>
      </c>
      <c r="J23" s="14">
        <v>0.15</v>
      </c>
      <c r="K23" s="14">
        <v>7.0000000000000007E-2</v>
      </c>
      <c r="L23" s="14">
        <v>0.05</v>
      </c>
      <c r="M23" s="14">
        <v>0.31</v>
      </c>
      <c r="N23" s="14">
        <v>0.34</v>
      </c>
      <c r="O23" s="14">
        <v>0.25</v>
      </c>
      <c r="P23" s="14">
        <v>0.15</v>
      </c>
      <c r="Q23" s="14">
        <v>0.09</v>
      </c>
      <c r="R23" s="14">
        <v>0.17</v>
      </c>
      <c r="S23" s="15" t="s">
        <v>485</v>
      </c>
      <c r="T23" s="14">
        <v>0.02</v>
      </c>
      <c r="U23" s="14">
        <v>0.17</v>
      </c>
      <c r="V23" s="14">
        <v>0.09</v>
      </c>
      <c r="W23" s="14">
        <v>0.46</v>
      </c>
      <c r="X23" s="14">
        <v>0.23</v>
      </c>
      <c r="Y23" s="14">
        <v>7.0000000000000007E-2</v>
      </c>
      <c r="Z23" s="14">
        <v>0.02</v>
      </c>
      <c r="AA23" s="14">
        <v>0.38</v>
      </c>
      <c r="AB23" s="14">
        <v>0.02</v>
      </c>
      <c r="AC23" s="14">
        <v>0.19</v>
      </c>
      <c r="AD23" s="14">
        <v>0.02</v>
      </c>
      <c r="AE23" s="15" t="s">
        <v>485</v>
      </c>
      <c r="AF23" s="14">
        <v>0.03</v>
      </c>
    </row>
    <row r="24" spans="1:32">
      <c r="A24" s="23"/>
      <c r="B24" s="11" t="s">
        <v>1212</v>
      </c>
      <c r="C24" s="12">
        <v>5493</v>
      </c>
      <c r="D24" s="12">
        <v>184</v>
      </c>
      <c r="E24" s="12">
        <v>46</v>
      </c>
      <c r="F24" s="12">
        <v>13</v>
      </c>
      <c r="G24" s="12">
        <v>25</v>
      </c>
      <c r="H24" s="12">
        <v>286</v>
      </c>
      <c r="I24" s="12">
        <v>377</v>
      </c>
      <c r="J24" s="12">
        <v>90</v>
      </c>
      <c r="K24" s="12">
        <v>66</v>
      </c>
      <c r="L24" s="12">
        <v>137</v>
      </c>
      <c r="M24" s="12">
        <v>472</v>
      </c>
      <c r="N24" s="12">
        <v>315</v>
      </c>
      <c r="O24" s="12">
        <v>327</v>
      </c>
      <c r="P24" s="12">
        <v>221</v>
      </c>
      <c r="Q24" s="12">
        <v>122</v>
      </c>
      <c r="R24" s="12">
        <v>61</v>
      </c>
      <c r="S24" s="12">
        <v>6</v>
      </c>
      <c r="T24" s="12">
        <v>18</v>
      </c>
      <c r="U24" s="12">
        <v>110</v>
      </c>
      <c r="V24" s="12">
        <v>209</v>
      </c>
      <c r="W24" s="12">
        <v>267</v>
      </c>
      <c r="X24" s="12">
        <v>389</v>
      </c>
      <c r="Y24" s="12">
        <v>86</v>
      </c>
      <c r="Z24" s="12">
        <v>27</v>
      </c>
      <c r="AA24" s="12">
        <v>594</v>
      </c>
      <c r="AB24" s="12">
        <v>36</v>
      </c>
      <c r="AC24" s="12">
        <v>176</v>
      </c>
      <c r="AD24" s="12">
        <v>18</v>
      </c>
      <c r="AE24" s="12">
        <v>2</v>
      </c>
      <c r="AF24" s="12">
        <v>51</v>
      </c>
    </row>
    <row r="25" spans="1:32">
      <c r="A25" s="23"/>
      <c r="B25" s="13" t="s">
        <v>1213</v>
      </c>
      <c r="C25" s="14">
        <v>0.21</v>
      </c>
      <c r="D25" s="14">
        <v>0.18</v>
      </c>
      <c r="E25" s="14">
        <v>0.04</v>
      </c>
      <c r="F25" s="14">
        <v>0.01</v>
      </c>
      <c r="G25" s="14">
        <v>0.03</v>
      </c>
      <c r="H25" s="14">
        <v>0.24</v>
      </c>
      <c r="I25" s="14">
        <v>0.25</v>
      </c>
      <c r="J25" s="14">
        <v>0.31</v>
      </c>
      <c r="K25" s="14">
        <v>7.0000000000000007E-2</v>
      </c>
      <c r="L25" s="14">
        <v>0.14000000000000001</v>
      </c>
      <c r="M25" s="14">
        <v>0.47</v>
      </c>
      <c r="N25" s="14">
        <v>0.32</v>
      </c>
      <c r="O25" s="14">
        <v>0.32</v>
      </c>
      <c r="P25" s="14">
        <v>0.22</v>
      </c>
      <c r="Q25" s="14">
        <v>0.12</v>
      </c>
      <c r="R25" s="14">
        <v>0.12</v>
      </c>
      <c r="S25" s="14">
        <v>0.01</v>
      </c>
      <c r="T25" s="14">
        <v>0.02</v>
      </c>
      <c r="U25" s="14">
        <v>0.22</v>
      </c>
      <c r="V25" s="14">
        <v>0.21</v>
      </c>
      <c r="W25" s="14">
        <v>0.53</v>
      </c>
      <c r="X25" s="14">
        <v>0.38</v>
      </c>
      <c r="Y25" s="14">
        <v>0.09</v>
      </c>
      <c r="Z25" s="14">
        <v>0.03</v>
      </c>
      <c r="AA25" s="14">
        <v>0.57000000000000006</v>
      </c>
      <c r="AB25" s="14">
        <v>0.03</v>
      </c>
      <c r="AC25" s="14">
        <v>0.18</v>
      </c>
      <c r="AD25" s="14">
        <v>0.02</v>
      </c>
      <c r="AE25" s="15" t="s">
        <v>485</v>
      </c>
      <c r="AF25" s="14">
        <v>0.05</v>
      </c>
    </row>
    <row r="26" spans="1:32" ht="23.25">
      <c r="A26" s="23"/>
      <c r="B26" s="11" t="s">
        <v>1214</v>
      </c>
      <c r="C26" s="12">
        <v>3692</v>
      </c>
      <c r="D26" s="12">
        <v>152</v>
      </c>
      <c r="E26" s="12">
        <v>31</v>
      </c>
      <c r="F26" s="12">
        <v>6</v>
      </c>
      <c r="G26" s="12">
        <v>26</v>
      </c>
      <c r="H26" s="12">
        <v>173</v>
      </c>
      <c r="I26" s="12">
        <v>223</v>
      </c>
      <c r="J26" s="12">
        <v>50</v>
      </c>
      <c r="K26" s="12">
        <v>60</v>
      </c>
      <c r="L26" s="12">
        <v>84</v>
      </c>
      <c r="M26" s="12">
        <v>101</v>
      </c>
      <c r="N26" s="12">
        <v>169</v>
      </c>
      <c r="O26" s="12">
        <v>263</v>
      </c>
      <c r="P26" s="12">
        <v>184</v>
      </c>
      <c r="Q26" s="12">
        <v>33</v>
      </c>
      <c r="R26" s="12">
        <v>40</v>
      </c>
      <c r="S26" s="12">
        <v>5</v>
      </c>
      <c r="T26" s="12">
        <v>8</v>
      </c>
      <c r="U26" s="12">
        <v>78</v>
      </c>
      <c r="V26" s="12">
        <v>227</v>
      </c>
      <c r="W26" s="12">
        <v>276</v>
      </c>
      <c r="X26" s="12">
        <v>360</v>
      </c>
      <c r="Y26" s="12">
        <v>55</v>
      </c>
      <c r="Z26" s="12">
        <v>21</v>
      </c>
      <c r="AA26" s="12">
        <v>620</v>
      </c>
      <c r="AB26" s="12">
        <v>40</v>
      </c>
      <c r="AC26" s="12">
        <v>172</v>
      </c>
      <c r="AD26" s="12">
        <v>25</v>
      </c>
      <c r="AE26" s="12">
        <v>2</v>
      </c>
      <c r="AF26" s="12">
        <v>53</v>
      </c>
    </row>
    <row r="27" spans="1:32" ht="23.25">
      <c r="A27" s="23"/>
      <c r="B27" s="13" t="s">
        <v>1215</v>
      </c>
      <c r="C27" s="14">
        <v>0.14000000000000001</v>
      </c>
      <c r="D27" s="14">
        <v>0.15</v>
      </c>
      <c r="E27" s="14">
        <v>0.03</v>
      </c>
      <c r="F27" s="14">
        <v>0.01</v>
      </c>
      <c r="G27" s="14">
        <v>0.03</v>
      </c>
      <c r="H27" s="14">
        <v>0.14000000000000001</v>
      </c>
      <c r="I27" s="14">
        <v>0.15</v>
      </c>
      <c r="J27" s="14">
        <v>0.17</v>
      </c>
      <c r="K27" s="14">
        <v>0.06</v>
      </c>
      <c r="L27" s="14">
        <v>0.08</v>
      </c>
      <c r="M27" s="14">
        <v>0.1</v>
      </c>
      <c r="N27" s="14">
        <v>0.17</v>
      </c>
      <c r="O27" s="14">
        <v>0.26</v>
      </c>
      <c r="P27" s="14">
        <v>0.18</v>
      </c>
      <c r="Q27" s="14">
        <v>0.03</v>
      </c>
      <c r="R27" s="14">
        <v>0.08</v>
      </c>
      <c r="S27" s="15" t="s">
        <v>485</v>
      </c>
      <c r="T27" s="14">
        <v>0.01</v>
      </c>
      <c r="U27" s="14">
        <v>0.15</v>
      </c>
      <c r="V27" s="14">
        <v>0.22</v>
      </c>
      <c r="W27" s="14">
        <v>0.55000000000000004</v>
      </c>
      <c r="X27" s="14">
        <v>0.35</v>
      </c>
      <c r="Y27" s="14">
        <v>0.05</v>
      </c>
      <c r="Z27" s="14">
        <v>0.02</v>
      </c>
      <c r="AA27" s="14">
        <v>0.6</v>
      </c>
      <c r="AB27" s="14">
        <v>0.04</v>
      </c>
      <c r="AC27" s="14">
        <v>0.17</v>
      </c>
      <c r="AD27" s="14">
        <v>0.03</v>
      </c>
      <c r="AE27" s="15" t="s">
        <v>485</v>
      </c>
      <c r="AF27" s="14">
        <v>0.05</v>
      </c>
    </row>
    <row r="28" spans="1:32" ht="23.25">
      <c r="A28" s="23"/>
      <c r="B28" s="11" t="s">
        <v>1216</v>
      </c>
      <c r="C28" s="12">
        <v>8751</v>
      </c>
      <c r="D28" s="12">
        <v>367</v>
      </c>
      <c r="E28" s="12">
        <v>367</v>
      </c>
      <c r="F28" s="12">
        <v>257</v>
      </c>
      <c r="G28" s="12">
        <v>325</v>
      </c>
      <c r="H28" s="12">
        <v>295</v>
      </c>
      <c r="I28" s="12">
        <v>357</v>
      </c>
      <c r="J28" s="12">
        <v>62</v>
      </c>
      <c r="K28" s="12">
        <v>442</v>
      </c>
      <c r="L28" s="12">
        <v>188</v>
      </c>
      <c r="M28" s="12">
        <v>326</v>
      </c>
      <c r="N28" s="12">
        <v>619</v>
      </c>
      <c r="O28" s="12">
        <v>403</v>
      </c>
      <c r="P28" s="12">
        <v>301</v>
      </c>
      <c r="Q28" s="12">
        <v>158</v>
      </c>
      <c r="R28" s="12">
        <v>214</v>
      </c>
      <c r="S28" s="12">
        <v>260</v>
      </c>
      <c r="T28" s="12">
        <v>247</v>
      </c>
      <c r="U28" s="12">
        <v>171</v>
      </c>
      <c r="V28" s="12">
        <v>363</v>
      </c>
      <c r="W28" s="12">
        <v>273</v>
      </c>
      <c r="X28" s="12">
        <v>524</v>
      </c>
      <c r="Y28" s="12">
        <v>435</v>
      </c>
      <c r="Z28" s="12">
        <v>201</v>
      </c>
      <c r="AA28" s="12">
        <v>581</v>
      </c>
      <c r="AB28" s="12">
        <v>353</v>
      </c>
      <c r="AC28" s="12">
        <v>542</v>
      </c>
      <c r="AD28" s="12">
        <v>229</v>
      </c>
      <c r="AE28" s="12">
        <v>362</v>
      </c>
      <c r="AF28" s="12">
        <v>304</v>
      </c>
    </row>
    <row r="29" spans="1:32" ht="23.25">
      <c r="A29" s="23"/>
      <c r="B29" s="13" t="s">
        <v>1217</v>
      </c>
      <c r="C29" s="14">
        <v>0.33</v>
      </c>
      <c r="D29" s="14">
        <v>0.36</v>
      </c>
      <c r="E29" s="14">
        <v>0.35</v>
      </c>
      <c r="F29" s="14">
        <v>0.25</v>
      </c>
      <c r="G29" s="14">
        <v>0.32</v>
      </c>
      <c r="H29" s="14">
        <v>0.24</v>
      </c>
      <c r="I29" s="14">
        <v>0.24</v>
      </c>
      <c r="J29" s="14">
        <v>0.21</v>
      </c>
      <c r="K29" s="14">
        <v>0.44</v>
      </c>
      <c r="L29" s="14">
        <v>0.19</v>
      </c>
      <c r="M29" s="14">
        <v>0.32</v>
      </c>
      <c r="N29" s="14">
        <v>0.62</v>
      </c>
      <c r="O29" s="14">
        <v>0.4</v>
      </c>
      <c r="P29" s="14">
        <v>0.3</v>
      </c>
      <c r="Q29" s="14">
        <v>0.15</v>
      </c>
      <c r="R29" s="14">
        <v>0.43</v>
      </c>
      <c r="S29" s="14">
        <v>0.26</v>
      </c>
      <c r="T29" s="14">
        <v>0.25</v>
      </c>
      <c r="U29" s="14">
        <v>0.34</v>
      </c>
      <c r="V29" s="14">
        <v>0.36</v>
      </c>
      <c r="W29" s="14">
        <v>0.54</v>
      </c>
      <c r="X29" s="14">
        <v>0.52</v>
      </c>
      <c r="Y29" s="14">
        <v>0.43</v>
      </c>
      <c r="Z29" s="14">
        <v>0.2</v>
      </c>
      <c r="AA29" s="14">
        <v>0.56000000000000005</v>
      </c>
      <c r="AB29" s="14">
        <v>0.34</v>
      </c>
      <c r="AC29" s="14">
        <v>0.54</v>
      </c>
      <c r="AD29" s="14">
        <v>0.23</v>
      </c>
      <c r="AE29" s="14">
        <v>0.36</v>
      </c>
      <c r="AF29" s="14">
        <v>0.28000000000000003</v>
      </c>
    </row>
    <row r="30" spans="1:32" ht="23.25">
      <c r="A30" s="23"/>
      <c r="B30" s="11" t="s">
        <v>1218</v>
      </c>
      <c r="C30" s="12">
        <v>5842</v>
      </c>
      <c r="D30" s="12">
        <v>275</v>
      </c>
      <c r="E30" s="12">
        <v>340</v>
      </c>
      <c r="F30" s="12">
        <v>150</v>
      </c>
      <c r="G30" s="12">
        <v>253</v>
      </c>
      <c r="H30" s="12">
        <v>199</v>
      </c>
      <c r="I30" s="12">
        <v>236</v>
      </c>
      <c r="J30" s="12">
        <v>37</v>
      </c>
      <c r="K30" s="12">
        <v>346</v>
      </c>
      <c r="L30" s="12">
        <v>107</v>
      </c>
      <c r="M30" s="12">
        <v>76</v>
      </c>
      <c r="N30" s="12">
        <v>303</v>
      </c>
      <c r="O30" s="12">
        <v>297</v>
      </c>
      <c r="P30" s="12">
        <v>231</v>
      </c>
      <c r="Q30" s="12">
        <v>54</v>
      </c>
      <c r="R30" s="12">
        <v>127</v>
      </c>
      <c r="S30" s="12">
        <v>169</v>
      </c>
      <c r="T30" s="12">
        <v>168</v>
      </c>
      <c r="U30" s="12">
        <v>127</v>
      </c>
      <c r="V30" s="12">
        <v>342</v>
      </c>
      <c r="W30" s="12">
        <v>267</v>
      </c>
      <c r="X30" s="12">
        <v>442</v>
      </c>
      <c r="Y30" s="12">
        <v>266</v>
      </c>
      <c r="Z30" s="12">
        <v>124</v>
      </c>
      <c r="AA30" s="12">
        <v>594</v>
      </c>
      <c r="AB30" s="12">
        <v>367</v>
      </c>
      <c r="AC30" s="12">
        <v>522</v>
      </c>
      <c r="AD30" s="12">
        <v>231</v>
      </c>
      <c r="AE30" s="12">
        <v>173</v>
      </c>
      <c r="AF30" s="12">
        <v>226</v>
      </c>
    </row>
    <row r="31" spans="1:32" ht="23.25">
      <c r="A31" s="23"/>
      <c r="B31" s="13" t="s">
        <v>1219</v>
      </c>
      <c r="C31" s="14">
        <v>0.22</v>
      </c>
      <c r="D31" s="14">
        <v>0.27</v>
      </c>
      <c r="E31" s="14">
        <v>0.33</v>
      </c>
      <c r="F31" s="14">
        <v>0.15</v>
      </c>
      <c r="G31" s="14">
        <v>0.25</v>
      </c>
      <c r="H31" s="14">
        <v>0.16</v>
      </c>
      <c r="I31" s="14">
        <v>0.16</v>
      </c>
      <c r="J31" s="14">
        <v>0.13</v>
      </c>
      <c r="K31" s="14">
        <v>0.34</v>
      </c>
      <c r="L31" s="14">
        <v>0.11</v>
      </c>
      <c r="M31" s="14">
        <v>7.0000000000000007E-2</v>
      </c>
      <c r="N31" s="14">
        <v>0.3</v>
      </c>
      <c r="O31" s="14">
        <v>0.3</v>
      </c>
      <c r="P31" s="14">
        <v>0.23</v>
      </c>
      <c r="Q31" s="14">
        <v>0.05</v>
      </c>
      <c r="R31" s="14">
        <v>0.25</v>
      </c>
      <c r="S31" s="14">
        <v>0.17</v>
      </c>
      <c r="T31" s="14">
        <v>0.17</v>
      </c>
      <c r="U31" s="14">
        <v>0.25</v>
      </c>
      <c r="V31" s="14">
        <v>0.34</v>
      </c>
      <c r="W31" s="14">
        <v>0.53</v>
      </c>
      <c r="X31" s="14">
        <v>0.44</v>
      </c>
      <c r="Y31" s="14">
        <v>0.26</v>
      </c>
      <c r="Z31" s="14">
        <v>0.12</v>
      </c>
      <c r="AA31" s="14">
        <v>0.57000000000000006</v>
      </c>
      <c r="AB31" s="14">
        <v>0.36</v>
      </c>
      <c r="AC31" s="14">
        <v>0.52</v>
      </c>
      <c r="AD31" s="14">
        <v>0.23</v>
      </c>
      <c r="AE31" s="14">
        <v>0.17</v>
      </c>
      <c r="AF31" s="14">
        <v>0.21</v>
      </c>
    </row>
    <row r="32" spans="1:32">
      <c r="A32" s="23"/>
      <c r="B32" s="11" t="s">
        <v>1220</v>
      </c>
      <c r="C32" s="12">
        <v>8147</v>
      </c>
      <c r="D32" s="12">
        <v>409</v>
      </c>
      <c r="E32" s="12">
        <v>579</v>
      </c>
      <c r="F32" s="12">
        <v>189</v>
      </c>
      <c r="G32" s="12">
        <v>288</v>
      </c>
      <c r="H32" s="12">
        <v>259</v>
      </c>
      <c r="I32" s="12">
        <v>320</v>
      </c>
      <c r="J32" s="12">
        <v>61</v>
      </c>
      <c r="K32" s="12">
        <v>429</v>
      </c>
      <c r="L32" s="12">
        <v>262</v>
      </c>
      <c r="M32" s="12">
        <v>152</v>
      </c>
      <c r="N32" s="12">
        <v>325</v>
      </c>
      <c r="O32" s="12">
        <v>401</v>
      </c>
      <c r="P32" s="12">
        <v>339</v>
      </c>
      <c r="Q32" s="12">
        <v>89</v>
      </c>
      <c r="R32" s="12">
        <v>133</v>
      </c>
      <c r="S32" s="12">
        <v>437</v>
      </c>
      <c r="T32" s="12">
        <v>261</v>
      </c>
      <c r="U32" s="12">
        <v>164</v>
      </c>
      <c r="V32" s="12">
        <v>712</v>
      </c>
      <c r="W32" s="12">
        <v>315</v>
      </c>
      <c r="X32" s="12">
        <v>692</v>
      </c>
      <c r="Y32" s="12">
        <v>282</v>
      </c>
      <c r="Z32" s="12">
        <v>200</v>
      </c>
      <c r="AA32" s="12">
        <v>823</v>
      </c>
      <c r="AB32" s="12">
        <v>535</v>
      </c>
      <c r="AC32" s="12">
        <v>538</v>
      </c>
      <c r="AD32" s="12">
        <v>219</v>
      </c>
      <c r="AE32" s="12">
        <v>208</v>
      </c>
      <c r="AF32" s="12">
        <v>391</v>
      </c>
    </row>
    <row r="33" spans="1:32">
      <c r="A33" s="23"/>
      <c r="B33" s="13" t="s">
        <v>1221</v>
      </c>
      <c r="C33" s="14">
        <v>0.31</v>
      </c>
      <c r="D33" s="14">
        <v>0.41</v>
      </c>
      <c r="E33" s="14">
        <v>0.55000000000000004</v>
      </c>
      <c r="F33" s="14">
        <v>0.19</v>
      </c>
      <c r="G33" s="14">
        <v>0.28999999999999998</v>
      </c>
      <c r="H33" s="14">
        <v>0.21</v>
      </c>
      <c r="I33" s="14">
        <v>0.21</v>
      </c>
      <c r="J33" s="14">
        <v>0.21</v>
      </c>
      <c r="K33" s="14">
        <v>0.43</v>
      </c>
      <c r="L33" s="14">
        <v>0.26</v>
      </c>
      <c r="M33" s="14">
        <v>0.15</v>
      </c>
      <c r="N33" s="14">
        <v>0.33</v>
      </c>
      <c r="O33" s="14">
        <v>0.4</v>
      </c>
      <c r="P33" s="14">
        <v>0.34</v>
      </c>
      <c r="Q33" s="14">
        <v>0.09</v>
      </c>
      <c r="R33" s="14">
        <v>0.27</v>
      </c>
      <c r="S33" s="14">
        <v>0.43</v>
      </c>
      <c r="T33" s="14">
        <v>0.26</v>
      </c>
      <c r="U33" s="14">
        <v>0.33</v>
      </c>
      <c r="V33" s="14">
        <v>0.70000000000000007</v>
      </c>
      <c r="W33" s="14">
        <v>0.63</v>
      </c>
      <c r="X33" s="14">
        <v>0.68</v>
      </c>
      <c r="Y33" s="14">
        <v>0.28000000000000003</v>
      </c>
      <c r="Z33" s="14">
        <v>0.2</v>
      </c>
      <c r="AA33" s="14">
        <v>0.79</v>
      </c>
      <c r="AB33" s="14">
        <v>0.52</v>
      </c>
      <c r="AC33" s="14">
        <v>0.54</v>
      </c>
      <c r="AD33" s="14">
        <v>0.22</v>
      </c>
      <c r="AE33" s="14">
        <v>0.21</v>
      </c>
      <c r="AF33" s="14">
        <v>0.36</v>
      </c>
    </row>
    <row r="34" spans="1:32" ht="45.75">
      <c r="A34" s="23"/>
      <c r="B34" s="11" t="s">
        <v>1222</v>
      </c>
      <c r="C34" s="12">
        <v>9022</v>
      </c>
      <c r="D34" s="12">
        <v>111</v>
      </c>
      <c r="E34" s="12">
        <v>284</v>
      </c>
      <c r="F34" s="12">
        <v>487</v>
      </c>
      <c r="G34" s="12">
        <v>389</v>
      </c>
      <c r="H34" s="12">
        <v>449</v>
      </c>
      <c r="I34" s="12">
        <v>554</v>
      </c>
      <c r="J34" s="12">
        <v>104</v>
      </c>
      <c r="K34" s="12">
        <v>121</v>
      </c>
      <c r="L34" s="12">
        <v>440</v>
      </c>
      <c r="M34" s="12">
        <v>156</v>
      </c>
      <c r="N34" s="12">
        <v>181</v>
      </c>
      <c r="O34" s="12">
        <v>328</v>
      </c>
      <c r="P34" s="12">
        <v>306</v>
      </c>
      <c r="Q34" s="12">
        <v>529</v>
      </c>
      <c r="R34" s="12">
        <v>82</v>
      </c>
      <c r="S34" s="12">
        <v>324</v>
      </c>
      <c r="T34" s="12">
        <v>465</v>
      </c>
      <c r="U34" s="12">
        <v>167</v>
      </c>
      <c r="V34" s="12">
        <v>176</v>
      </c>
      <c r="W34" s="12">
        <v>40</v>
      </c>
      <c r="X34" s="12">
        <v>121</v>
      </c>
      <c r="Y34" s="12">
        <v>367</v>
      </c>
      <c r="Z34" s="12">
        <v>541</v>
      </c>
      <c r="AA34" s="12">
        <v>100</v>
      </c>
      <c r="AB34" s="12">
        <v>324</v>
      </c>
      <c r="AC34" s="12">
        <v>240</v>
      </c>
      <c r="AD34" s="12">
        <v>416</v>
      </c>
      <c r="AE34" s="12">
        <v>410</v>
      </c>
      <c r="AF34" s="12">
        <v>433</v>
      </c>
    </row>
    <row r="35" spans="1:32" ht="34.5">
      <c r="A35" s="23"/>
      <c r="B35" s="13" t="s">
        <v>1168</v>
      </c>
      <c r="C35" s="14">
        <v>0.34</v>
      </c>
      <c r="D35" s="14">
        <v>0.11</v>
      </c>
      <c r="E35" s="14">
        <v>0.27</v>
      </c>
      <c r="F35" s="14">
        <v>0.48</v>
      </c>
      <c r="G35" s="14">
        <v>0.39</v>
      </c>
      <c r="H35" s="14">
        <v>0.37</v>
      </c>
      <c r="I35" s="14">
        <v>0.37</v>
      </c>
      <c r="J35" s="14">
        <v>0.36</v>
      </c>
      <c r="K35" s="14">
        <v>0.12</v>
      </c>
      <c r="L35" s="14">
        <v>0.44</v>
      </c>
      <c r="M35" s="14">
        <v>0.15</v>
      </c>
      <c r="N35" s="14">
        <v>0.18</v>
      </c>
      <c r="O35" s="14">
        <v>0.33</v>
      </c>
      <c r="P35" s="14">
        <v>0.3</v>
      </c>
      <c r="Q35" s="14">
        <v>0.52</v>
      </c>
      <c r="R35" s="14">
        <v>0.16</v>
      </c>
      <c r="S35" s="14">
        <v>0.32</v>
      </c>
      <c r="T35" s="14">
        <v>0.46</v>
      </c>
      <c r="U35" s="14">
        <v>0.33</v>
      </c>
      <c r="V35" s="14">
        <v>0.17</v>
      </c>
      <c r="W35" s="14">
        <v>0.08</v>
      </c>
      <c r="X35" s="14">
        <v>0.12</v>
      </c>
      <c r="Y35" s="14">
        <v>0.36</v>
      </c>
      <c r="Z35" s="14">
        <v>0.53</v>
      </c>
      <c r="AA35" s="14">
        <v>0.1</v>
      </c>
      <c r="AB35" s="14">
        <v>0.31</v>
      </c>
      <c r="AC35" s="14">
        <v>0.24</v>
      </c>
      <c r="AD35" s="14">
        <v>0.41</v>
      </c>
      <c r="AE35" s="14">
        <v>0.41</v>
      </c>
      <c r="AF35" s="14">
        <v>0.4</v>
      </c>
    </row>
    <row r="36" spans="1:32">
      <c r="A36" s="23"/>
      <c r="B36" s="11" t="s">
        <v>1223</v>
      </c>
      <c r="C36" s="12">
        <v>134</v>
      </c>
      <c r="D36" s="12">
        <v>63</v>
      </c>
      <c r="E36" s="12">
        <v>0</v>
      </c>
      <c r="F36" s="12">
        <v>6</v>
      </c>
      <c r="G36" s="12">
        <v>4</v>
      </c>
      <c r="H36" s="12">
        <v>13</v>
      </c>
      <c r="I36" s="12">
        <v>13</v>
      </c>
      <c r="J36" s="12">
        <v>0</v>
      </c>
      <c r="K36" s="12">
        <v>9</v>
      </c>
      <c r="L36" s="12">
        <v>1</v>
      </c>
      <c r="M36" s="12">
        <v>0</v>
      </c>
      <c r="N36" s="12">
        <v>2</v>
      </c>
      <c r="O36" s="12">
        <v>0</v>
      </c>
      <c r="P36" s="12">
        <v>2</v>
      </c>
      <c r="Q36" s="12">
        <v>5</v>
      </c>
      <c r="R36" s="12">
        <v>5</v>
      </c>
      <c r="S36" s="12">
        <v>6</v>
      </c>
      <c r="T36" s="12">
        <v>3</v>
      </c>
      <c r="U36" s="12">
        <v>6</v>
      </c>
      <c r="V36" s="12">
        <v>0</v>
      </c>
      <c r="W36" s="12">
        <v>4</v>
      </c>
      <c r="X36" s="12">
        <v>3</v>
      </c>
      <c r="Y36" s="12">
        <v>5</v>
      </c>
      <c r="Z36" s="12">
        <v>1</v>
      </c>
      <c r="AA36" s="12">
        <v>2</v>
      </c>
      <c r="AB36" s="12">
        <v>0</v>
      </c>
      <c r="AC36" s="12">
        <v>3</v>
      </c>
      <c r="AD36" s="12">
        <v>3</v>
      </c>
      <c r="AE36" s="12">
        <v>7</v>
      </c>
      <c r="AF36" s="12">
        <v>3</v>
      </c>
    </row>
    <row r="37" spans="1:32">
      <c r="A37" s="23"/>
      <c r="B37" s="13" t="s">
        <v>1224</v>
      </c>
      <c r="C37" s="14">
        <v>0.01</v>
      </c>
      <c r="D37" s="14">
        <v>0.06</v>
      </c>
      <c r="E37" s="15" t="s">
        <v>485</v>
      </c>
      <c r="F37" s="14">
        <v>0.01</v>
      </c>
      <c r="G37" s="15" t="s">
        <v>485</v>
      </c>
      <c r="H37" s="14">
        <v>0.01</v>
      </c>
      <c r="I37" s="14">
        <v>0.01</v>
      </c>
      <c r="J37" s="15" t="s">
        <v>485</v>
      </c>
      <c r="K37" s="14">
        <v>0.01</v>
      </c>
      <c r="L37" s="15" t="s">
        <v>485</v>
      </c>
      <c r="M37" s="15" t="s">
        <v>485</v>
      </c>
      <c r="N37" s="15" t="s">
        <v>485</v>
      </c>
      <c r="O37" s="15" t="s">
        <v>485</v>
      </c>
      <c r="P37" s="15" t="s">
        <v>485</v>
      </c>
      <c r="Q37" s="14">
        <v>0.01</v>
      </c>
      <c r="R37" s="14">
        <v>0.01</v>
      </c>
      <c r="S37" s="14">
        <v>0.01</v>
      </c>
      <c r="T37" s="15" t="s">
        <v>485</v>
      </c>
      <c r="U37" s="14">
        <v>0.01</v>
      </c>
      <c r="V37" s="15" t="s">
        <v>485</v>
      </c>
      <c r="W37" s="14">
        <v>0.01</v>
      </c>
      <c r="X37" s="15" t="s">
        <v>485</v>
      </c>
      <c r="Y37" s="14">
        <v>0.01</v>
      </c>
      <c r="Z37" s="15" t="s">
        <v>485</v>
      </c>
      <c r="AA37" s="15" t="s">
        <v>485</v>
      </c>
      <c r="AB37" s="15" t="s">
        <v>485</v>
      </c>
      <c r="AC37" s="15" t="s">
        <v>485</v>
      </c>
      <c r="AD37" s="15" t="s">
        <v>485</v>
      </c>
      <c r="AE37" s="14">
        <v>0.01</v>
      </c>
      <c r="AF37" s="15" t="s">
        <v>485</v>
      </c>
    </row>
    <row r="38" spans="1:32">
      <c r="A38" s="23"/>
      <c r="B38" s="11" t="s">
        <v>497</v>
      </c>
      <c r="C38" s="12">
        <v>364</v>
      </c>
      <c r="D38" s="12">
        <v>34</v>
      </c>
      <c r="E38" s="12">
        <v>4</v>
      </c>
      <c r="F38" s="12">
        <v>21</v>
      </c>
      <c r="G38" s="12">
        <v>30</v>
      </c>
      <c r="H38" s="12">
        <v>10</v>
      </c>
      <c r="I38" s="12">
        <v>13</v>
      </c>
      <c r="J38" s="12">
        <v>3</v>
      </c>
      <c r="K38" s="12">
        <v>28</v>
      </c>
      <c r="L38" s="12">
        <v>27</v>
      </c>
      <c r="M38" s="12">
        <v>3</v>
      </c>
      <c r="N38" s="12">
        <v>15</v>
      </c>
      <c r="O38" s="12">
        <v>27</v>
      </c>
      <c r="P38" s="12">
        <v>8</v>
      </c>
      <c r="Q38" s="12">
        <v>6</v>
      </c>
      <c r="R38" s="12">
        <v>14</v>
      </c>
      <c r="S38" s="12">
        <v>12</v>
      </c>
      <c r="T38" s="12">
        <v>20</v>
      </c>
      <c r="U38" s="12">
        <v>8</v>
      </c>
      <c r="V38" s="12">
        <v>7</v>
      </c>
      <c r="W38" s="12">
        <v>11</v>
      </c>
      <c r="X38" s="12">
        <v>4</v>
      </c>
      <c r="Y38" s="12">
        <v>21</v>
      </c>
      <c r="Z38" s="12">
        <v>7</v>
      </c>
      <c r="AA38" s="12">
        <v>11</v>
      </c>
      <c r="AB38" s="12">
        <v>3</v>
      </c>
      <c r="AC38" s="12">
        <v>13</v>
      </c>
      <c r="AD38" s="12">
        <v>19</v>
      </c>
      <c r="AE38" s="12">
        <v>40</v>
      </c>
      <c r="AF38" s="12">
        <v>25</v>
      </c>
    </row>
    <row r="39" spans="1:32">
      <c r="A39" s="23"/>
      <c r="B39" s="13" t="s">
        <v>498</v>
      </c>
      <c r="C39" s="14">
        <v>0.01</v>
      </c>
      <c r="D39" s="14">
        <v>0.03</v>
      </c>
      <c r="E39" s="15" t="s">
        <v>485</v>
      </c>
      <c r="F39" s="14">
        <v>0.02</v>
      </c>
      <c r="G39" s="14">
        <v>0.03</v>
      </c>
      <c r="H39" s="14">
        <v>0.01</v>
      </c>
      <c r="I39" s="14">
        <v>0.01</v>
      </c>
      <c r="J39" s="14">
        <v>0.01</v>
      </c>
      <c r="K39" s="14">
        <v>0.03</v>
      </c>
      <c r="L39" s="14">
        <v>0.03</v>
      </c>
      <c r="M39" s="15" t="s">
        <v>485</v>
      </c>
      <c r="N39" s="14">
        <v>0.02</v>
      </c>
      <c r="O39" s="14">
        <v>0.03</v>
      </c>
      <c r="P39" s="14">
        <v>0.01</v>
      </c>
      <c r="Q39" s="14">
        <v>0.01</v>
      </c>
      <c r="R39" s="14">
        <v>0.03</v>
      </c>
      <c r="S39" s="14">
        <v>0.01</v>
      </c>
      <c r="T39" s="14">
        <v>0.02</v>
      </c>
      <c r="U39" s="14">
        <v>0.02</v>
      </c>
      <c r="V39" s="14">
        <v>0.01</v>
      </c>
      <c r="W39" s="14">
        <v>0.02</v>
      </c>
      <c r="X39" s="15" t="s">
        <v>485</v>
      </c>
      <c r="Y39" s="14">
        <v>0.02</v>
      </c>
      <c r="Z39" s="14">
        <v>0.01</v>
      </c>
      <c r="AA39" s="14">
        <v>0.01</v>
      </c>
      <c r="AB39" s="15" t="s">
        <v>485</v>
      </c>
      <c r="AC39" s="14">
        <v>0.01</v>
      </c>
      <c r="AD39" s="14">
        <v>0.02</v>
      </c>
      <c r="AE39" s="14">
        <v>0.04</v>
      </c>
      <c r="AF39" s="14">
        <v>0.02</v>
      </c>
    </row>
  </sheetData>
  <mergeCells count="9">
    <mergeCell ref="B10:B11"/>
    <mergeCell ref="A10:A39"/>
    <mergeCell ref="H4:L4"/>
    <mergeCell ref="B4:F4"/>
    <mergeCell ref="H3:L3"/>
    <mergeCell ref="C8:AF8"/>
    <mergeCell ref="B3:F3"/>
    <mergeCell ref="B5:F5"/>
    <mergeCell ref="H5:L5"/>
  </mergeCells>
  <pageMargins left="0.75" right="0.75" top="1" bottom="1" header="0.5" footer="0.5"/>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dimension ref="A1:AF31"/>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207</v>
      </c>
      <c r="C3" s="19"/>
      <c r="D3" s="19"/>
      <c r="E3" s="19"/>
      <c r="F3" s="19"/>
      <c r="H3" s="19" t="s">
        <v>208</v>
      </c>
      <c r="I3" s="19"/>
      <c r="J3" s="19"/>
      <c r="K3" s="19"/>
      <c r="L3" s="19"/>
    </row>
    <row r="4" spans="1:32" ht="27" customHeight="1">
      <c r="B4" s="19"/>
      <c r="C4" s="19"/>
      <c r="D4" s="19"/>
      <c r="E4" s="19"/>
      <c r="F4" s="19"/>
      <c r="H4" s="19"/>
      <c r="I4" s="19"/>
      <c r="J4" s="19"/>
      <c r="K4" s="19"/>
      <c r="L4" s="19"/>
    </row>
    <row r="5" spans="1:32" ht="12" customHeight="1">
      <c r="B5" s="19" t="s">
        <v>1225</v>
      </c>
      <c r="C5" s="19"/>
      <c r="D5" s="19"/>
      <c r="E5" s="19"/>
      <c r="F5" s="19"/>
      <c r="H5" s="19" t="s">
        <v>1226</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HYPERLINK("#Content!A105","&lt;&lt;Back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10802</v>
      </c>
      <c r="D10" s="10">
        <v>320</v>
      </c>
      <c r="E10" s="10">
        <v>84</v>
      </c>
      <c r="F10" s="10">
        <v>46</v>
      </c>
      <c r="G10" s="10">
        <v>62</v>
      </c>
      <c r="H10" s="10">
        <v>773</v>
      </c>
      <c r="I10" s="10">
        <v>970</v>
      </c>
      <c r="J10" s="10">
        <v>198</v>
      </c>
      <c r="K10" s="10">
        <v>141</v>
      </c>
      <c r="L10" s="10">
        <v>228</v>
      </c>
      <c r="M10" s="10">
        <v>826</v>
      </c>
      <c r="N10" s="10">
        <v>482</v>
      </c>
      <c r="O10" s="10">
        <v>545</v>
      </c>
      <c r="P10" s="10">
        <v>507</v>
      </c>
      <c r="Q10" s="10">
        <v>427</v>
      </c>
      <c r="R10" s="10">
        <v>169</v>
      </c>
      <c r="S10" s="10">
        <v>27</v>
      </c>
      <c r="T10" s="10">
        <v>69</v>
      </c>
      <c r="U10" s="10">
        <v>236</v>
      </c>
      <c r="V10" s="10">
        <v>267</v>
      </c>
      <c r="W10" s="10">
        <v>351</v>
      </c>
      <c r="X10" s="10">
        <v>440</v>
      </c>
      <c r="Y10" s="10">
        <v>239</v>
      </c>
      <c r="Z10" s="10">
        <v>79</v>
      </c>
      <c r="AA10" s="10">
        <v>684</v>
      </c>
      <c r="AB10" s="10">
        <v>74</v>
      </c>
      <c r="AC10" s="10">
        <v>312</v>
      </c>
      <c r="AD10" s="10">
        <v>119</v>
      </c>
      <c r="AE10" s="10">
        <v>37</v>
      </c>
      <c r="AF10" s="10">
        <v>113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45.75">
      <c r="A12" s="23"/>
      <c r="B12" s="11" t="s">
        <v>1167</v>
      </c>
      <c r="C12" s="12">
        <v>2572</v>
      </c>
      <c r="D12" s="12">
        <v>25</v>
      </c>
      <c r="E12" s="12">
        <v>32</v>
      </c>
      <c r="F12" s="12">
        <v>13</v>
      </c>
      <c r="G12" s="12">
        <v>17</v>
      </c>
      <c r="H12" s="12">
        <v>202</v>
      </c>
      <c r="I12" s="12">
        <v>257</v>
      </c>
      <c r="J12" s="12">
        <v>56</v>
      </c>
      <c r="K12" s="12">
        <v>17</v>
      </c>
      <c r="L12" s="12">
        <v>47</v>
      </c>
      <c r="M12" s="12">
        <v>64</v>
      </c>
      <c r="N12" s="12">
        <v>73</v>
      </c>
      <c r="O12" s="12">
        <v>139</v>
      </c>
      <c r="P12" s="12">
        <v>118</v>
      </c>
      <c r="Q12" s="12">
        <v>177</v>
      </c>
      <c r="R12" s="12">
        <v>24</v>
      </c>
      <c r="S12" s="12">
        <v>5</v>
      </c>
      <c r="T12" s="12">
        <v>23</v>
      </c>
      <c r="U12" s="12">
        <v>62</v>
      </c>
      <c r="V12" s="12">
        <v>19</v>
      </c>
      <c r="W12" s="12">
        <v>20</v>
      </c>
      <c r="X12" s="12">
        <v>12</v>
      </c>
      <c r="Y12" s="12">
        <v>91</v>
      </c>
      <c r="Z12" s="12">
        <v>25</v>
      </c>
      <c r="AA12" s="12">
        <v>33</v>
      </c>
      <c r="AB12" s="12">
        <v>24</v>
      </c>
      <c r="AC12" s="12">
        <v>65</v>
      </c>
      <c r="AD12" s="12">
        <v>50</v>
      </c>
      <c r="AE12" s="12">
        <v>14</v>
      </c>
      <c r="AF12" s="12">
        <v>38</v>
      </c>
    </row>
    <row r="13" spans="1:32" ht="34.5">
      <c r="A13" s="23"/>
      <c r="B13" s="13" t="s">
        <v>1168</v>
      </c>
      <c r="C13" s="14">
        <v>0.24</v>
      </c>
      <c r="D13" s="14">
        <v>0.08</v>
      </c>
      <c r="E13" s="14">
        <v>0.38</v>
      </c>
      <c r="F13" s="14">
        <v>0.28000000000000003</v>
      </c>
      <c r="G13" s="14">
        <v>0.27</v>
      </c>
      <c r="H13" s="14">
        <v>0.26</v>
      </c>
      <c r="I13" s="14">
        <v>0.27</v>
      </c>
      <c r="J13" s="14">
        <v>0.28000000000000003</v>
      </c>
      <c r="K13" s="14">
        <v>0.12</v>
      </c>
      <c r="L13" s="14">
        <v>0.2</v>
      </c>
      <c r="M13" s="14">
        <v>0.08</v>
      </c>
      <c r="N13" s="14">
        <v>0.15</v>
      </c>
      <c r="O13" s="14">
        <v>0.26</v>
      </c>
      <c r="P13" s="14">
        <v>0.23</v>
      </c>
      <c r="Q13" s="14">
        <v>0.41</v>
      </c>
      <c r="R13" s="14">
        <v>0.15</v>
      </c>
      <c r="S13" s="14">
        <v>0.18</v>
      </c>
      <c r="T13" s="14">
        <v>0.34</v>
      </c>
      <c r="U13" s="14">
        <v>0.26</v>
      </c>
      <c r="V13" s="14">
        <v>7.0000000000000007E-2</v>
      </c>
      <c r="W13" s="14">
        <v>0.06</v>
      </c>
      <c r="X13" s="14">
        <v>0.03</v>
      </c>
      <c r="Y13" s="14">
        <v>0.38</v>
      </c>
      <c r="Z13" s="14">
        <v>0.31</v>
      </c>
      <c r="AA13" s="14">
        <v>0.05</v>
      </c>
      <c r="AB13" s="14">
        <v>0.32</v>
      </c>
      <c r="AC13" s="14">
        <v>0.21</v>
      </c>
      <c r="AD13" s="14">
        <v>0.42</v>
      </c>
      <c r="AE13" s="14">
        <v>0.38</v>
      </c>
      <c r="AF13" s="14">
        <v>0.34</v>
      </c>
    </row>
    <row r="14" spans="1:32">
      <c r="A14" s="23"/>
      <c r="B14" s="11" t="s">
        <v>1169</v>
      </c>
      <c r="C14" s="12">
        <v>5958</v>
      </c>
      <c r="D14" s="12">
        <v>169</v>
      </c>
      <c r="E14" s="12">
        <v>31</v>
      </c>
      <c r="F14" s="12">
        <v>16</v>
      </c>
      <c r="G14" s="12">
        <v>29</v>
      </c>
      <c r="H14" s="12">
        <v>367</v>
      </c>
      <c r="I14" s="12">
        <v>468</v>
      </c>
      <c r="J14" s="12">
        <v>102</v>
      </c>
      <c r="K14" s="12">
        <v>70</v>
      </c>
      <c r="L14" s="12">
        <v>146</v>
      </c>
      <c r="M14" s="12">
        <v>522</v>
      </c>
      <c r="N14" s="12">
        <v>333</v>
      </c>
      <c r="O14" s="12">
        <v>307</v>
      </c>
      <c r="P14" s="12">
        <v>271</v>
      </c>
      <c r="Q14" s="12">
        <v>152</v>
      </c>
      <c r="R14" s="12">
        <v>89</v>
      </c>
      <c r="S14" s="12">
        <v>7</v>
      </c>
      <c r="T14" s="12">
        <v>25</v>
      </c>
      <c r="U14" s="12">
        <v>118</v>
      </c>
      <c r="V14" s="12">
        <v>224</v>
      </c>
      <c r="W14" s="12">
        <v>287</v>
      </c>
      <c r="X14" s="12">
        <v>395</v>
      </c>
      <c r="Y14" s="12">
        <v>105</v>
      </c>
      <c r="Z14" s="12">
        <v>32</v>
      </c>
      <c r="AA14" s="12">
        <v>618</v>
      </c>
      <c r="AB14" s="12">
        <v>30</v>
      </c>
      <c r="AC14" s="12">
        <v>156</v>
      </c>
      <c r="AD14" s="12">
        <v>30</v>
      </c>
      <c r="AE14" s="12">
        <v>3</v>
      </c>
      <c r="AF14" s="12">
        <v>46</v>
      </c>
    </row>
    <row r="15" spans="1:32">
      <c r="A15" s="23"/>
      <c r="B15" s="13" t="s">
        <v>1170</v>
      </c>
      <c r="C15" s="14">
        <v>0.55000000000000004</v>
      </c>
      <c r="D15" s="14">
        <v>0.53</v>
      </c>
      <c r="E15" s="14">
        <v>0.37</v>
      </c>
      <c r="F15" s="14">
        <v>0.35</v>
      </c>
      <c r="G15" s="14">
        <v>0.47</v>
      </c>
      <c r="H15" s="14">
        <v>0.47</v>
      </c>
      <c r="I15" s="14">
        <v>0.48</v>
      </c>
      <c r="J15" s="14">
        <v>0.52</v>
      </c>
      <c r="K15" s="14">
        <v>0.49</v>
      </c>
      <c r="L15" s="14">
        <v>0.64</v>
      </c>
      <c r="M15" s="14">
        <v>0.63</v>
      </c>
      <c r="N15" s="14">
        <v>0.69000000000000006</v>
      </c>
      <c r="O15" s="14">
        <v>0.56000000000000005</v>
      </c>
      <c r="P15" s="14">
        <v>0.53</v>
      </c>
      <c r="Q15" s="14">
        <v>0.36</v>
      </c>
      <c r="R15" s="14">
        <v>0.53</v>
      </c>
      <c r="S15" s="14">
        <v>0.25</v>
      </c>
      <c r="T15" s="14">
        <v>0.36</v>
      </c>
      <c r="U15" s="14">
        <v>0.5</v>
      </c>
      <c r="V15" s="14">
        <v>0.84</v>
      </c>
      <c r="W15" s="14">
        <v>0.82000000000000006</v>
      </c>
      <c r="X15" s="14">
        <v>0.9</v>
      </c>
      <c r="Y15" s="14">
        <v>0.44</v>
      </c>
      <c r="Z15" s="14">
        <v>0.41</v>
      </c>
      <c r="AA15" s="14">
        <v>0.9</v>
      </c>
      <c r="AB15" s="14">
        <v>0.4</v>
      </c>
      <c r="AC15" s="14">
        <v>0.5</v>
      </c>
      <c r="AD15" s="14">
        <v>0.25</v>
      </c>
      <c r="AE15" s="14">
        <v>7.0000000000000007E-2</v>
      </c>
      <c r="AF15" s="14">
        <v>0.41</v>
      </c>
    </row>
    <row r="16" spans="1:32" ht="23.25">
      <c r="A16" s="23"/>
      <c r="B16" s="11" t="s">
        <v>1171</v>
      </c>
      <c r="C16" s="12">
        <v>4653</v>
      </c>
      <c r="D16" s="12">
        <v>166</v>
      </c>
      <c r="E16" s="12">
        <v>35</v>
      </c>
      <c r="F16" s="12">
        <v>21</v>
      </c>
      <c r="G16" s="12">
        <v>30</v>
      </c>
      <c r="H16" s="12">
        <v>281</v>
      </c>
      <c r="I16" s="12">
        <v>332</v>
      </c>
      <c r="J16" s="12">
        <v>51</v>
      </c>
      <c r="K16" s="12">
        <v>72</v>
      </c>
      <c r="L16" s="12">
        <v>59</v>
      </c>
      <c r="M16" s="12">
        <v>325</v>
      </c>
      <c r="N16" s="12">
        <v>344</v>
      </c>
      <c r="O16" s="12">
        <v>261</v>
      </c>
      <c r="P16" s="12">
        <v>196</v>
      </c>
      <c r="Q16" s="12">
        <v>100</v>
      </c>
      <c r="R16" s="12">
        <v>112</v>
      </c>
      <c r="S16" s="12">
        <v>8</v>
      </c>
      <c r="T16" s="12">
        <v>19</v>
      </c>
      <c r="U16" s="12">
        <v>108</v>
      </c>
      <c r="V16" s="12">
        <v>101</v>
      </c>
      <c r="W16" s="12">
        <v>243</v>
      </c>
      <c r="X16" s="12">
        <v>236</v>
      </c>
      <c r="Y16" s="12">
        <v>86</v>
      </c>
      <c r="Z16" s="12">
        <v>34</v>
      </c>
      <c r="AA16" s="12">
        <v>398</v>
      </c>
      <c r="AB16" s="12">
        <v>34</v>
      </c>
      <c r="AC16" s="12">
        <v>200</v>
      </c>
      <c r="AD16" s="12">
        <v>32</v>
      </c>
      <c r="AE16" s="12">
        <v>15</v>
      </c>
      <c r="AF16" s="12">
        <v>38</v>
      </c>
    </row>
    <row r="17" spans="1:32">
      <c r="A17" s="23"/>
      <c r="B17" s="13" t="s">
        <v>1172</v>
      </c>
      <c r="C17" s="14">
        <v>0.43</v>
      </c>
      <c r="D17" s="14">
        <v>0.52</v>
      </c>
      <c r="E17" s="14">
        <v>0.42</v>
      </c>
      <c r="F17" s="14">
        <v>0.45</v>
      </c>
      <c r="G17" s="14">
        <v>0.48</v>
      </c>
      <c r="H17" s="14">
        <v>0.36</v>
      </c>
      <c r="I17" s="14">
        <v>0.34</v>
      </c>
      <c r="J17" s="14">
        <v>0.26</v>
      </c>
      <c r="K17" s="14">
        <v>0.51</v>
      </c>
      <c r="L17" s="14">
        <v>0.26</v>
      </c>
      <c r="M17" s="14">
        <v>0.39</v>
      </c>
      <c r="N17" s="14">
        <v>0.71</v>
      </c>
      <c r="O17" s="14">
        <v>0.48</v>
      </c>
      <c r="P17" s="14">
        <v>0.39</v>
      </c>
      <c r="Q17" s="14">
        <v>0.24</v>
      </c>
      <c r="R17" s="14">
        <v>0.66</v>
      </c>
      <c r="S17" s="14">
        <v>0.3</v>
      </c>
      <c r="T17" s="14">
        <v>0.28000000000000003</v>
      </c>
      <c r="U17" s="14">
        <v>0.46</v>
      </c>
      <c r="V17" s="14">
        <v>0.38</v>
      </c>
      <c r="W17" s="14">
        <v>0.69000000000000006</v>
      </c>
      <c r="X17" s="14">
        <v>0.54</v>
      </c>
      <c r="Y17" s="14">
        <v>0.36</v>
      </c>
      <c r="Z17" s="14">
        <v>0.43</v>
      </c>
      <c r="AA17" s="14">
        <v>0.57999999999999996</v>
      </c>
      <c r="AB17" s="14">
        <v>0.46</v>
      </c>
      <c r="AC17" s="14">
        <v>0.64</v>
      </c>
      <c r="AD17" s="14">
        <v>0.27</v>
      </c>
      <c r="AE17" s="14">
        <v>0.41</v>
      </c>
      <c r="AF17" s="14">
        <v>0.34</v>
      </c>
    </row>
    <row r="18" spans="1:32" ht="23.25">
      <c r="A18" s="23"/>
      <c r="B18" s="11" t="s">
        <v>1173</v>
      </c>
      <c r="C18" s="12">
        <v>6357</v>
      </c>
      <c r="D18" s="12">
        <v>175</v>
      </c>
      <c r="E18" s="12">
        <v>38</v>
      </c>
      <c r="F18" s="12">
        <v>18</v>
      </c>
      <c r="G18" s="12">
        <v>25</v>
      </c>
      <c r="H18" s="12">
        <v>425</v>
      </c>
      <c r="I18" s="12">
        <v>528</v>
      </c>
      <c r="J18" s="12">
        <v>103</v>
      </c>
      <c r="K18" s="12">
        <v>67</v>
      </c>
      <c r="L18" s="12">
        <v>137</v>
      </c>
      <c r="M18" s="12">
        <v>684</v>
      </c>
      <c r="N18" s="12">
        <v>328</v>
      </c>
      <c r="O18" s="12">
        <v>329</v>
      </c>
      <c r="P18" s="12">
        <v>265</v>
      </c>
      <c r="Q18" s="12">
        <v>178</v>
      </c>
      <c r="R18" s="12">
        <v>67</v>
      </c>
      <c r="S18" s="12">
        <v>15</v>
      </c>
      <c r="T18" s="12">
        <v>22</v>
      </c>
      <c r="U18" s="12">
        <v>116</v>
      </c>
      <c r="V18" s="12">
        <v>207</v>
      </c>
      <c r="W18" s="12">
        <v>272</v>
      </c>
      <c r="X18" s="12">
        <v>396</v>
      </c>
      <c r="Y18" s="12">
        <v>82</v>
      </c>
      <c r="Z18" s="12">
        <v>30</v>
      </c>
      <c r="AA18" s="12">
        <v>535</v>
      </c>
      <c r="AB18" s="12">
        <v>34</v>
      </c>
      <c r="AC18" s="12">
        <v>163</v>
      </c>
      <c r="AD18" s="12">
        <v>26</v>
      </c>
      <c r="AE18" s="12">
        <v>10</v>
      </c>
      <c r="AF18" s="12">
        <v>61</v>
      </c>
    </row>
    <row r="19" spans="1:32" ht="23.25">
      <c r="A19" s="23"/>
      <c r="B19" s="13" t="s">
        <v>1174</v>
      </c>
      <c r="C19" s="14">
        <v>0.59</v>
      </c>
      <c r="D19" s="14">
        <v>0.55000000000000004</v>
      </c>
      <c r="E19" s="14">
        <v>0.46</v>
      </c>
      <c r="F19" s="14">
        <v>0.4</v>
      </c>
      <c r="G19" s="14">
        <v>0.41</v>
      </c>
      <c r="H19" s="14">
        <v>0.55000000000000004</v>
      </c>
      <c r="I19" s="14">
        <v>0.54</v>
      </c>
      <c r="J19" s="14">
        <v>0.52</v>
      </c>
      <c r="K19" s="14">
        <v>0.47</v>
      </c>
      <c r="L19" s="14">
        <v>0.6</v>
      </c>
      <c r="M19" s="14">
        <v>0.83000000000000007</v>
      </c>
      <c r="N19" s="14">
        <v>0.68</v>
      </c>
      <c r="O19" s="14">
        <v>0.6</v>
      </c>
      <c r="P19" s="14">
        <v>0.52</v>
      </c>
      <c r="Q19" s="14">
        <v>0.42</v>
      </c>
      <c r="R19" s="14">
        <v>0.4</v>
      </c>
      <c r="S19" s="14">
        <v>0.55000000000000004</v>
      </c>
      <c r="T19" s="14">
        <v>0.33</v>
      </c>
      <c r="U19" s="14">
        <v>0.49</v>
      </c>
      <c r="V19" s="14">
        <v>0.78</v>
      </c>
      <c r="W19" s="14">
        <v>0.77</v>
      </c>
      <c r="X19" s="14">
        <v>0.9</v>
      </c>
      <c r="Y19" s="14">
        <v>0.34</v>
      </c>
      <c r="Z19" s="14">
        <v>0.39</v>
      </c>
      <c r="AA19" s="14">
        <v>0.78</v>
      </c>
      <c r="AB19" s="14">
        <v>0.46</v>
      </c>
      <c r="AC19" s="14">
        <v>0.52</v>
      </c>
      <c r="AD19" s="14">
        <v>0.22</v>
      </c>
      <c r="AE19" s="14">
        <v>0.27</v>
      </c>
      <c r="AF19" s="14">
        <v>0.54</v>
      </c>
    </row>
    <row r="20" spans="1:32" ht="23.25">
      <c r="A20" s="23"/>
      <c r="B20" s="11" t="s">
        <v>1175</v>
      </c>
      <c r="C20" s="12">
        <v>3716</v>
      </c>
      <c r="D20" s="12">
        <v>183</v>
      </c>
      <c r="E20" s="12">
        <v>27</v>
      </c>
      <c r="F20" s="12">
        <v>12</v>
      </c>
      <c r="G20" s="12">
        <v>13</v>
      </c>
      <c r="H20" s="12">
        <v>206</v>
      </c>
      <c r="I20" s="12">
        <v>246</v>
      </c>
      <c r="J20" s="12">
        <v>40</v>
      </c>
      <c r="K20" s="12">
        <v>52</v>
      </c>
      <c r="L20" s="12">
        <v>41</v>
      </c>
      <c r="M20" s="12">
        <v>321</v>
      </c>
      <c r="N20" s="12">
        <v>288</v>
      </c>
      <c r="O20" s="12">
        <v>200</v>
      </c>
      <c r="P20" s="12">
        <v>136</v>
      </c>
      <c r="Q20" s="12">
        <v>102</v>
      </c>
      <c r="R20" s="12">
        <v>66</v>
      </c>
      <c r="S20" s="12">
        <v>7</v>
      </c>
      <c r="T20" s="12">
        <v>15</v>
      </c>
      <c r="U20" s="12">
        <v>78</v>
      </c>
      <c r="V20" s="12">
        <v>81</v>
      </c>
      <c r="W20" s="12">
        <v>186</v>
      </c>
      <c r="X20" s="12">
        <v>227</v>
      </c>
      <c r="Y20" s="12">
        <v>53</v>
      </c>
      <c r="Z20" s="12">
        <v>2</v>
      </c>
      <c r="AA20" s="12">
        <v>249</v>
      </c>
      <c r="AB20" s="12">
        <v>23</v>
      </c>
      <c r="AC20" s="12">
        <v>151</v>
      </c>
      <c r="AD20" s="12">
        <v>23</v>
      </c>
      <c r="AE20" s="12">
        <v>8</v>
      </c>
      <c r="AF20" s="12">
        <v>26</v>
      </c>
    </row>
    <row r="21" spans="1:32" ht="23.25">
      <c r="A21" s="23"/>
      <c r="B21" s="13" t="s">
        <v>1176</v>
      </c>
      <c r="C21" s="14">
        <v>0.34</v>
      </c>
      <c r="D21" s="14">
        <v>0.57000000000000006</v>
      </c>
      <c r="E21" s="14">
        <v>0.32</v>
      </c>
      <c r="F21" s="14">
        <v>0.27</v>
      </c>
      <c r="G21" s="14">
        <v>0.21</v>
      </c>
      <c r="H21" s="14">
        <v>0.27</v>
      </c>
      <c r="I21" s="14">
        <v>0.25</v>
      </c>
      <c r="J21" s="14">
        <v>0.2</v>
      </c>
      <c r="K21" s="14">
        <v>0.37</v>
      </c>
      <c r="L21" s="14">
        <v>0.18</v>
      </c>
      <c r="M21" s="14">
        <v>0.39</v>
      </c>
      <c r="N21" s="14">
        <v>0.6</v>
      </c>
      <c r="O21" s="14">
        <v>0.37</v>
      </c>
      <c r="P21" s="14">
        <v>0.27</v>
      </c>
      <c r="Q21" s="14">
        <v>0.24</v>
      </c>
      <c r="R21" s="14">
        <v>0.39</v>
      </c>
      <c r="S21" s="14">
        <v>0.26</v>
      </c>
      <c r="T21" s="14">
        <v>0.22</v>
      </c>
      <c r="U21" s="14">
        <v>0.33</v>
      </c>
      <c r="V21" s="14">
        <v>0.3</v>
      </c>
      <c r="W21" s="14">
        <v>0.53</v>
      </c>
      <c r="X21" s="14">
        <v>0.52</v>
      </c>
      <c r="Y21" s="14">
        <v>0.22</v>
      </c>
      <c r="Z21" s="14">
        <v>0.03</v>
      </c>
      <c r="AA21" s="14">
        <v>0.36</v>
      </c>
      <c r="AB21" s="14">
        <v>0.32</v>
      </c>
      <c r="AC21" s="14">
        <v>0.48</v>
      </c>
      <c r="AD21" s="14">
        <v>0.19</v>
      </c>
      <c r="AE21" s="14">
        <v>0.23</v>
      </c>
      <c r="AF21" s="14">
        <v>0.23</v>
      </c>
    </row>
    <row r="22" spans="1:32" ht="23.25">
      <c r="A22" s="23"/>
      <c r="B22" s="11" t="s">
        <v>1177</v>
      </c>
      <c r="C22" s="12">
        <v>4216</v>
      </c>
      <c r="D22" s="12">
        <v>176</v>
      </c>
      <c r="E22" s="12">
        <v>40</v>
      </c>
      <c r="F22" s="12">
        <v>7</v>
      </c>
      <c r="G22" s="12">
        <v>38</v>
      </c>
      <c r="H22" s="12">
        <v>218</v>
      </c>
      <c r="I22" s="12">
        <v>274</v>
      </c>
      <c r="J22" s="12">
        <v>56</v>
      </c>
      <c r="K22" s="12">
        <v>83</v>
      </c>
      <c r="L22" s="12">
        <v>93</v>
      </c>
      <c r="M22" s="12">
        <v>157</v>
      </c>
      <c r="N22" s="12">
        <v>190</v>
      </c>
      <c r="O22" s="12">
        <v>286</v>
      </c>
      <c r="P22" s="12">
        <v>224</v>
      </c>
      <c r="Q22" s="12">
        <v>54</v>
      </c>
      <c r="R22" s="12">
        <v>52</v>
      </c>
      <c r="S22" s="12">
        <v>11</v>
      </c>
      <c r="T22" s="12">
        <v>17</v>
      </c>
      <c r="U22" s="12">
        <v>88</v>
      </c>
      <c r="V22" s="12">
        <v>231</v>
      </c>
      <c r="W22" s="12">
        <v>277</v>
      </c>
      <c r="X22" s="12">
        <v>374</v>
      </c>
      <c r="Y22" s="12">
        <v>65</v>
      </c>
      <c r="Z22" s="12">
        <v>28</v>
      </c>
      <c r="AA22" s="12">
        <v>617</v>
      </c>
      <c r="AB22" s="12">
        <v>43</v>
      </c>
      <c r="AC22" s="12">
        <v>187</v>
      </c>
      <c r="AD22" s="12">
        <v>48</v>
      </c>
      <c r="AE22" s="12">
        <v>8</v>
      </c>
      <c r="AF22" s="12">
        <v>66</v>
      </c>
    </row>
    <row r="23" spans="1:32">
      <c r="A23" s="23"/>
      <c r="B23" s="13" t="s">
        <v>1178</v>
      </c>
      <c r="C23" s="14">
        <v>0.39</v>
      </c>
      <c r="D23" s="14">
        <v>0.55000000000000004</v>
      </c>
      <c r="E23" s="14">
        <v>0.47</v>
      </c>
      <c r="F23" s="14">
        <v>0.16</v>
      </c>
      <c r="G23" s="14">
        <v>0.61</v>
      </c>
      <c r="H23" s="14">
        <v>0.28000000000000003</v>
      </c>
      <c r="I23" s="14">
        <v>0.28000000000000003</v>
      </c>
      <c r="J23" s="14">
        <v>0.28000000000000003</v>
      </c>
      <c r="K23" s="14">
        <v>0.59</v>
      </c>
      <c r="L23" s="14">
        <v>0.41</v>
      </c>
      <c r="M23" s="14">
        <v>0.19</v>
      </c>
      <c r="N23" s="14">
        <v>0.39</v>
      </c>
      <c r="O23" s="14">
        <v>0.53</v>
      </c>
      <c r="P23" s="14">
        <v>0.44</v>
      </c>
      <c r="Q23" s="14">
        <v>0.13</v>
      </c>
      <c r="R23" s="14">
        <v>0.31</v>
      </c>
      <c r="S23" s="14">
        <v>0.39</v>
      </c>
      <c r="T23" s="14">
        <v>0.25</v>
      </c>
      <c r="U23" s="14">
        <v>0.37</v>
      </c>
      <c r="V23" s="14">
        <v>0.87</v>
      </c>
      <c r="W23" s="14">
        <v>0.79</v>
      </c>
      <c r="X23" s="14">
        <v>0.85</v>
      </c>
      <c r="Y23" s="14">
        <v>0.27</v>
      </c>
      <c r="Z23" s="14">
        <v>0.35</v>
      </c>
      <c r="AA23" s="14">
        <v>0.9</v>
      </c>
      <c r="AB23" s="14">
        <v>0.57999999999999996</v>
      </c>
      <c r="AC23" s="14">
        <v>0.6</v>
      </c>
      <c r="AD23" s="14">
        <v>0.4</v>
      </c>
      <c r="AE23" s="14">
        <v>0.22</v>
      </c>
      <c r="AF23" s="14">
        <v>0.57999999999999996</v>
      </c>
    </row>
    <row r="24" spans="1:32" ht="34.5">
      <c r="A24" s="23"/>
      <c r="B24" s="11" t="s">
        <v>1179</v>
      </c>
      <c r="C24" s="12">
        <v>707</v>
      </c>
      <c r="D24" s="12">
        <v>61</v>
      </c>
      <c r="E24" s="12">
        <v>4</v>
      </c>
      <c r="F24" s="12">
        <v>2</v>
      </c>
      <c r="G24" s="12">
        <v>13</v>
      </c>
      <c r="H24" s="12">
        <v>64</v>
      </c>
      <c r="I24" s="12">
        <v>84</v>
      </c>
      <c r="J24" s="12">
        <v>20</v>
      </c>
      <c r="K24" s="12">
        <v>10</v>
      </c>
      <c r="L24" s="12">
        <v>6</v>
      </c>
      <c r="M24" s="12">
        <v>7</v>
      </c>
      <c r="N24" s="12">
        <v>25</v>
      </c>
      <c r="O24" s="12">
        <v>28</v>
      </c>
      <c r="P24" s="12">
        <v>15</v>
      </c>
      <c r="Q24" s="12">
        <v>14</v>
      </c>
      <c r="R24" s="12">
        <v>11</v>
      </c>
      <c r="S24" s="12">
        <v>1</v>
      </c>
      <c r="T24" s="12">
        <v>0</v>
      </c>
      <c r="U24" s="12">
        <v>13</v>
      </c>
      <c r="V24" s="12">
        <v>7</v>
      </c>
      <c r="W24" s="12">
        <v>51</v>
      </c>
      <c r="X24" s="12">
        <v>102</v>
      </c>
      <c r="Y24" s="12">
        <v>8</v>
      </c>
      <c r="Z24" s="12">
        <v>0</v>
      </c>
      <c r="AA24" s="12">
        <v>10</v>
      </c>
      <c r="AB24" s="12">
        <v>3</v>
      </c>
      <c r="AC24" s="12">
        <v>25</v>
      </c>
      <c r="AD24" s="12">
        <v>8</v>
      </c>
      <c r="AE24" s="12">
        <v>5</v>
      </c>
      <c r="AF24" s="12">
        <v>10</v>
      </c>
    </row>
    <row r="25" spans="1:32" ht="23.25">
      <c r="A25" s="23"/>
      <c r="B25" s="13" t="s">
        <v>1180</v>
      </c>
      <c r="C25" s="14">
        <v>7.0000000000000007E-2</v>
      </c>
      <c r="D25" s="14">
        <v>0.19</v>
      </c>
      <c r="E25" s="14">
        <v>0.05</v>
      </c>
      <c r="F25" s="14">
        <v>0.04</v>
      </c>
      <c r="G25" s="14">
        <v>0.21</v>
      </c>
      <c r="H25" s="14">
        <v>0.08</v>
      </c>
      <c r="I25" s="14">
        <v>0.09</v>
      </c>
      <c r="J25" s="14">
        <v>0.1</v>
      </c>
      <c r="K25" s="14">
        <v>7.0000000000000007E-2</v>
      </c>
      <c r="L25" s="14">
        <v>0.03</v>
      </c>
      <c r="M25" s="14">
        <v>0.01</v>
      </c>
      <c r="N25" s="14">
        <v>0.05</v>
      </c>
      <c r="O25" s="14">
        <v>0.05</v>
      </c>
      <c r="P25" s="14">
        <v>0.03</v>
      </c>
      <c r="Q25" s="14">
        <v>0.03</v>
      </c>
      <c r="R25" s="14">
        <v>7.0000000000000007E-2</v>
      </c>
      <c r="S25" s="14">
        <v>0.04</v>
      </c>
      <c r="T25" s="15" t="s">
        <v>485</v>
      </c>
      <c r="U25" s="14">
        <v>0.06</v>
      </c>
      <c r="V25" s="14">
        <v>0.03</v>
      </c>
      <c r="W25" s="14">
        <v>0.15</v>
      </c>
      <c r="X25" s="14">
        <v>0.23</v>
      </c>
      <c r="Y25" s="14">
        <v>0.04</v>
      </c>
      <c r="Z25" s="15" t="s">
        <v>485</v>
      </c>
      <c r="AA25" s="14">
        <v>0.01</v>
      </c>
      <c r="AB25" s="14">
        <v>0.04</v>
      </c>
      <c r="AC25" s="14">
        <v>0.08</v>
      </c>
      <c r="AD25" s="14">
        <v>7.0000000000000007E-2</v>
      </c>
      <c r="AE25" s="14">
        <v>0.12</v>
      </c>
      <c r="AF25" s="14">
        <v>0.09</v>
      </c>
    </row>
    <row r="26" spans="1:32" ht="34.5">
      <c r="A26" s="23"/>
      <c r="B26" s="11" t="s">
        <v>1181</v>
      </c>
      <c r="C26" s="12">
        <v>847</v>
      </c>
      <c r="D26" s="12">
        <v>62</v>
      </c>
      <c r="E26" s="12">
        <v>1</v>
      </c>
      <c r="F26" s="12">
        <v>2</v>
      </c>
      <c r="G26" s="12">
        <v>8</v>
      </c>
      <c r="H26" s="12">
        <v>73</v>
      </c>
      <c r="I26" s="12">
        <v>98</v>
      </c>
      <c r="J26" s="12">
        <v>24</v>
      </c>
      <c r="K26" s="12">
        <v>13</v>
      </c>
      <c r="L26" s="12">
        <v>14</v>
      </c>
      <c r="M26" s="12">
        <v>12</v>
      </c>
      <c r="N26" s="12">
        <v>28</v>
      </c>
      <c r="O26" s="12">
        <v>29</v>
      </c>
      <c r="P26" s="12">
        <v>17</v>
      </c>
      <c r="Q26" s="12">
        <v>34</v>
      </c>
      <c r="R26" s="12">
        <v>9</v>
      </c>
      <c r="S26" s="12">
        <v>1</v>
      </c>
      <c r="T26" s="12">
        <v>2</v>
      </c>
      <c r="U26" s="12">
        <v>20</v>
      </c>
      <c r="V26" s="12">
        <v>1</v>
      </c>
      <c r="W26" s="12">
        <v>52</v>
      </c>
      <c r="X26" s="12">
        <v>102</v>
      </c>
      <c r="Y26" s="12">
        <v>18</v>
      </c>
      <c r="Z26" s="12">
        <v>2</v>
      </c>
      <c r="AA26" s="12">
        <v>9</v>
      </c>
      <c r="AB26" s="12">
        <v>4</v>
      </c>
      <c r="AC26" s="12">
        <v>27</v>
      </c>
      <c r="AD26" s="12">
        <v>5</v>
      </c>
      <c r="AE26" s="12">
        <v>6</v>
      </c>
      <c r="AF26" s="12">
        <v>7</v>
      </c>
    </row>
    <row r="27" spans="1:32" ht="23.25">
      <c r="A27" s="23"/>
      <c r="B27" s="13" t="s">
        <v>1182</v>
      </c>
      <c r="C27" s="14">
        <v>0.08</v>
      </c>
      <c r="D27" s="14">
        <v>0.19</v>
      </c>
      <c r="E27" s="14">
        <v>0.01</v>
      </c>
      <c r="F27" s="14">
        <v>0.04</v>
      </c>
      <c r="G27" s="14">
        <v>0.13</v>
      </c>
      <c r="H27" s="14">
        <v>0.1</v>
      </c>
      <c r="I27" s="14">
        <v>0.1</v>
      </c>
      <c r="J27" s="14">
        <v>0.12</v>
      </c>
      <c r="K27" s="14">
        <v>0.09</v>
      </c>
      <c r="L27" s="14">
        <v>0.06</v>
      </c>
      <c r="M27" s="14">
        <v>0.01</v>
      </c>
      <c r="N27" s="14">
        <v>0.06</v>
      </c>
      <c r="O27" s="14">
        <v>0.05</v>
      </c>
      <c r="P27" s="14">
        <v>0.03</v>
      </c>
      <c r="Q27" s="14">
        <v>0.08</v>
      </c>
      <c r="R27" s="14">
        <v>0.05</v>
      </c>
      <c r="S27" s="14">
        <v>0.02</v>
      </c>
      <c r="T27" s="14">
        <v>0.03</v>
      </c>
      <c r="U27" s="14">
        <v>0.08</v>
      </c>
      <c r="V27" s="14">
        <v>0.01</v>
      </c>
      <c r="W27" s="14">
        <v>0.15</v>
      </c>
      <c r="X27" s="14">
        <v>0.23</v>
      </c>
      <c r="Y27" s="14">
        <v>7.0000000000000007E-2</v>
      </c>
      <c r="Z27" s="14">
        <v>0.03</v>
      </c>
      <c r="AA27" s="14">
        <v>0.01</v>
      </c>
      <c r="AB27" s="14">
        <v>0.06</v>
      </c>
      <c r="AC27" s="14">
        <v>0.09</v>
      </c>
      <c r="AD27" s="14">
        <v>0.04</v>
      </c>
      <c r="AE27" s="14">
        <v>0.15</v>
      </c>
      <c r="AF27" s="14">
        <v>7.0000000000000007E-2</v>
      </c>
    </row>
    <row r="28" spans="1:32">
      <c r="A28" s="23"/>
      <c r="B28" s="11" t="s">
        <v>550</v>
      </c>
      <c r="C28" s="12">
        <v>43</v>
      </c>
      <c r="D28" s="12">
        <v>17</v>
      </c>
      <c r="E28" s="12">
        <v>0</v>
      </c>
      <c r="F28" s="12">
        <v>0</v>
      </c>
      <c r="G28" s="12">
        <v>0</v>
      </c>
      <c r="H28" s="12">
        <v>4</v>
      </c>
      <c r="I28" s="12">
        <v>4</v>
      </c>
      <c r="J28" s="12">
        <v>0</v>
      </c>
      <c r="K28" s="12">
        <v>2</v>
      </c>
      <c r="L28" s="12">
        <v>0</v>
      </c>
      <c r="M28" s="12">
        <v>0</v>
      </c>
      <c r="N28" s="12">
        <v>2</v>
      </c>
      <c r="O28" s="12">
        <v>0</v>
      </c>
      <c r="P28" s="12">
        <v>0</v>
      </c>
      <c r="Q28" s="12">
        <v>2</v>
      </c>
      <c r="R28" s="12">
        <v>1</v>
      </c>
      <c r="S28" s="12">
        <v>0</v>
      </c>
      <c r="T28" s="12">
        <v>1</v>
      </c>
      <c r="U28" s="12">
        <v>3</v>
      </c>
      <c r="V28" s="12">
        <v>0</v>
      </c>
      <c r="W28" s="12">
        <v>2</v>
      </c>
      <c r="X28" s="12">
        <v>2</v>
      </c>
      <c r="Y28" s="12">
        <v>1</v>
      </c>
      <c r="Z28" s="12">
        <v>0</v>
      </c>
      <c r="AA28" s="12">
        <v>1</v>
      </c>
      <c r="AB28" s="12">
        <v>0</v>
      </c>
      <c r="AC28" s="12">
        <v>1</v>
      </c>
      <c r="AD28" s="12">
        <v>2</v>
      </c>
      <c r="AE28" s="12">
        <v>1</v>
      </c>
      <c r="AF28" s="12">
        <v>0</v>
      </c>
    </row>
    <row r="29" spans="1:32">
      <c r="A29" s="23"/>
      <c r="B29" s="13" t="s">
        <v>551</v>
      </c>
      <c r="C29" s="15" t="s">
        <v>485</v>
      </c>
      <c r="D29" s="14">
        <v>0.05</v>
      </c>
      <c r="E29" s="15" t="s">
        <v>485</v>
      </c>
      <c r="F29" s="15" t="s">
        <v>485</v>
      </c>
      <c r="G29" s="15" t="s">
        <v>485</v>
      </c>
      <c r="H29" s="14">
        <v>0.01</v>
      </c>
      <c r="I29" s="15" t="s">
        <v>485</v>
      </c>
      <c r="J29" s="15" t="s">
        <v>485</v>
      </c>
      <c r="K29" s="14">
        <v>0.01</v>
      </c>
      <c r="L29" s="15" t="s">
        <v>485</v>
      </c>
      <c r="M29" s="15" t="s">
        <v>485</v>
      </c>
      <c r="N29" s="15" t="s">
        <v>485</v>
      </c>
      <c r="O29" s="15" t="s">
        <v>485</v>
      </c>
      <c r="P29" s="15" t="s">
        <v>485</v>
      </c>
      <c r="Q29" s="15" t="s">
        <v>485</v>
      </c>
      <c r="R29" s="14">
        <v>0.01</v>
      </c>
      <c r="S29" s="15" t="s">
        <v>485</v>
      </c>
      <c r="T29" s="14">
        <v>0.01</v>
      </c>
      <c r="U29" s="14">
        <v>0.01</v>
      </c>
      <c r="V29" s="15" t="s">
        <v>485</v>
      </c>
      <c r="W29" s="14">
        <v>0.01</v>
      </c>
      <c r="X29" s="15" t="s">
        <v>485</v>
      </c>
      <c r="Y29" s="15" t="s">
        <v>485</v>
      </c>
      <c r="Z29" s="15" t="s">
        <v>485</v>
      </c>
      <c r="AA29" s="15" t="s">
        <v>485</v>
      </c>
      <c r="AB29" s="15" t="s">
        <v>485</v>
      </c>
      <c r="AC29" s="15" t="s">
        <v>485</v>
      </c>
      <c r="AD29" s="14">
        <v>0.02</v>
      </c>
      <c r="AE29" s="14">
        <v>0.02</v>
      </c>
      <c r="AF29" s="15" t="s">
        <v>485</v>
      </c>
    </row>
    <row r="30" spans="1:32">
      <c r="A30" s="23"/>
      <c r="B30" s="11" t="s">
        <v>497</v>
      </c>
      <c r="C30" s="12">
        <v>166</v>
      </c>
      <c r="D30" s="12">
        <v>14</v>
      </c>
      <c r="E30" s="12">
        <v>0</v>
      </c>
      <c r="F30" s="12">
        <v>3</v>
      </c>
      <c r="G30" s="12">
        <v>3</v>
      </c>
      <c r="H30" s="12">
        <v>3</v>
      </c>
      <c r="I30" s="12">
        <v>5</v>
      </c>
      <c r="J30" s="12">
        <v>2</v>
      </c>
      <c r="K30" s="12">
        <v>6</v>
      </c>
      <c r="L30" s="12">
        <v>5</v>
      </c>
      <c r="M30" s="12">
        <v>2</v>
      </c>
      <c r="N30" s="12">
        <v>11</v>
      </c>
      <c r="O30" s="12">
        <v>19</v>
      </c>
      <c r="P30" s="12">
        <v>3</v>
      </c>
      <c r="Q30" s="12">
        <v>4</v>
      </c>
      <c r="R30" s="12">
        <v>6</v>
      </c>
      <c r="S30" s="12">
        <v>0</v>
      </c>
      <c r="T30" s="12">
        <v>4</v>
      </c>
      <c r="U30" s="12">
        <v>3</v>
      </c>
      <c r="V30" s="12">
        <v>0</v>
      </c>
      <c r="W30" s="12">
        <v>8</v>
      </c>
      <c r="X30" s="12">
        <v>1</v>
      </c>
      <c r="Y30" s="12">
        <v>8</v>
      </c>
      <c r="Z30" s="12">
        <v>0</v>
      </c>
      <c r="AA30" s="12">
        <v>6</v>
      </c>
      <c r="AB30" s="12">
        <v>1</v>
      </c>
      <c r="AC30" s="12">
        <v>7</v>
      </c>
      <c r="AD30" s="12">
        <v>2</v>
      </c>
      <c r="AE30" s="12">
        <v>1</v>
      </c>
      <c r="AF30" s="12">
        <v>1</v>
      </c>
    </row>
    <row r="31" spans="1:32">
      <c r="A31" s="23"/>
      <c r="B31" s="13" t="s">
        <v>498</v>
      </c>
      <c r="C31" s="14">
        <v>0.02</v>
      </c>
      <c r="D31" s="14">
        <v>0.04</v>
      </c>
      <c r="E31" s="15" t="s">
        <v>485</v>
      </c>
      <c r="F31" s="14">
        <v>7.0000000000000007E-2</v>
      </c>
      <c r="G31" s="14">
        <v>0.04</v>
      </c>
      <c r="H31" s="15" t="s">
        <v>485</v>
      </c>
      <c r="I31" s="14">
        <v>0.01</v>
      </c>
      <c r="J31" s="14">
        <v>0.01</v>
      </c>
      <c r="K31" s="14">
        <v>0.04</v>
      </c>
      <c r="L31" s="14">
        <v>0.02</v>
      </c>
      <c r="M31" s="15" t="s">
        <v>485</v>
      </c>
      <c r="N31" s="14">
        <v>0.02</v>
      </c>
      <c r="O31" s="14">
        <v>0.03</v>
      </c>
      <c r="P31" s="15" t="s">
        <v>485</v>
      </c>
      <c r="Q31" s="14">
        <v>0.01</v>
      </c>
      <c r="R31" s="14">
        <v>0.04</v>
      </c>
      <c r="S31" s="14">
        <v>0.01</v>
      </c>
      <c r="T31" s="14">
        <v>0.06</v>
      </c>
      <c r="U31" s="14">
        <v>0.01</v>
      </c>
      <c r="V31" s="15" t="s">
        <v>485</v>
      </c>
      <c r="W31" s="14">
        <v>0.02</v>
      </c>
      <c r="X31" s="15" t="s">
        <v>485</v>
      </c>
      <c r="Y31" s="14">
        <v>0.03</v>
      </c>
      <c r="Z31" s="15" t="s">
        <v>485</v>
      </c>
      <c r="AA31" s="14">
        <v>0.01</v>
      </c>
      <c r="AB31" s="14">
        <v>0.01</v>
      </c>
      <c r="AC31" s="14">
        <v>0.02</v>
      </c>
      <c r="AD31" s="14">
        <v>0.02</v>
      </c>
      <c r="AE31" s="14">
        <v>0.02</v>
      </c>
      <c r="AF31" s="14">
        <v>0.01</v>
      </c>
    </row>
  </sheetData>
  <mergeCells count="9">
    <mergeCell ref="H3:L3"/>
    <mergeCell ref="C8:AF8"/>
    <mergeCell ref="B3:F3"/>
    <mergeCell ref="B5:F5"/>
    <mergeCell ref="A10:A31"/>
    <mergeCell ref="H5:L5"/>
    <mergeCell ref="B10:B11"/>
    <mergeCell ref="H4:L4"/>
    <mergeCell ref="B4:F4"/>
  </mergeCells>
  <pageMargins left="0.75" right="0.75" top="1" bottom="1" header="0.5" footer="0.5"/>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dimension ref="A1:AF31"/>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209</v>
      </c>
      <c r="C3" s="19"/>
      <c r="D3" s="19"/>
      <c r="E3" s="19"/>
      <c r="F3" s="19"/>
      <c r="H3" s="19" t="s">
        <v>210</v>
      </c>
      <c r="I3" s="19"/>
      <c r="J3" s="19"/>
      <c r="K3" s="19"/>
      <c r="L3" s="19"/>
    </row>
    <row r="4" spans="1:32" ht="27" customHeight="1">
      <c r="B4" s="19"/>
      <c r="C4" s="19"/>
      <c r="D4" s="19"/>
      <c r="E4" s="19"/>
      <c r="F4" s="19"/>
      <c r="H4" s="19"/>
      <c r="I4" s="19"/>
      <c r="J4" s="19"/>
      <c r="K4" s="19"/>
      <c r="L4" s="19"/>
    </row>
    <row r="5" spans="1:32" ht="12" customHeight="1">
      <c r="B5" s="19" t="s">
        <v>1227</v>
      </c>
      <c r="C5" s="19"/>
      <c r="D5" s="19"/>
      <c r="E5" s="19"/>
      <c r="F5" s="19"/>
      <c r="H5" s="19" t="s">
        <v>1228</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HYPERLINK("#Content!A106","&lt;&lt;Back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22472</v>
      </c>
      <c r="D10" s="10">
        <v>939</v>
      </c>
      <c r="E10" s="10">
        <v>833</v>
      </c>
      <c r="F10" s="10">
        <v>833</v>
      </c>
      <c r="G10" s="10">
        <v>982</v>
      </c>
      <c r="H10" s="10">
        <v>1041</v>
      </c>
      <c r="I10" s="10">
        <v>1300</v>
      </c>
      <c r="J10" s="10">
        <v>260</v>
      </c>
      <c r="K10" s="10">
        <v>875</v>
      </c>
      <c r="L10" s="10">
        <v>917</v>
      </c>
      <c r="M10" s="10">
        <v>832</v>
      </c>
      <c r="N10" s="10">
        <v>878</v>
      </c>
      <c r="O10" s="10">
        <v>900</v>
      </c>
      <c r="P10" s="10">
        <v>812</v>
      </c>
      <c r="Q10" s="10">
        <v>727</v>
      </c>
      <c r="R10" s="10">
        <v>451</v>
      </c>
      <c r="S10" s="10">
        <v>868</v>
      </c>
      <c r="T10" s="10">
        <v>836</v>
      </c>
      <c r="U10" s="10">
        <v>487</v>
      </c>
      <c r="V10" s="10">
        <v>894</v>
      </c>
      <c r="W10" s="10">
        <v>463</v>
      </c>
      <c r="X10" s="10">
        <v>1009</v>
      </c>
      <c r="Y10" s="10">
        <v>837</v>
      </c>
      <c r="Z10" s="10">
        <v>844</v>
      </c>
      <c r="AA10" s="10">
        <v>912</v>
      </c>
      <c r="AB10" s="10">
        <v>796</v>
      </c>
      <c r="AC10" s="10">
        <v>901</v>
      </c>
      <c r="AD10" s="10">
        <v>888</v>
      </c>
      <c r="AE10" s="10">
        <v>957</v>
      </c>
      <c r="AF10" s="10">
        <v>1056</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45.75">
      <c r="A12" s="23"/>
      <c r="B12" s="11" t="s">
        <v>1167</v>
      </c>
      <c r="C12" s="12">
        <v>6208</v>
      </c>
      <c r="D12" s="12">
        <v>93</v>
      </c>
      <c r="E12" s="12">
        <v>127</v>
      </c>
      <c r="F12" s="12">
        <v>338</v>
      </c>
      <c r="G12" s="12">
        <v>376</v>
      </c>
      <c r="H12" s="12">
        <v>312</v>
      </c>
      <c r="I12" s="12">
        <v>392</v>
      </c>
      <c r="J12" s="12">
        <v>80</v>
      </c>
      <c r="K12" s="12">
        <v>86</v>
      </c>
      <c r="L12" s="12">
        <v>392</v>
      </c>
      <c r="M12" s="12">
        <v>44</v>
      </c>
      <c r="N12" s="12">
        <v>117</v>
      </c>
      <c r="O12" s="12">
        <v>244</v>
      </c>
      <c r="P12" s="12">
        <v>163</v>
      </c>
      <c r="Q12" s="12">
        <v>308</v>
      </c>
      <c r="R12" s="12">
        <v>58</v>
      </c>
      <c r="S12" s="12">
        <v>221</v>
      </c>
      <c r="T12" s="12">
        <v>314</v>
      </c>
      <c r="U12" s="12">
        <v>155</v>
      </c>
      <c r="V12" s="12">
        <v>101</v>
      </c>
      <c r="W12" s="12">
        <v>33</v>
      </c>
      <c r="X12" s="12">
        <v>117</v>
      </c>
      <c r="Y12" s="12">
        <v>244</v>
      </c>
      <c r="Z12" s="12">
        <v>403</v>
      </c>
      <c r="AA12" s="12">
        <v>33</v>
      </c>
      <c r="AB12" s="12">
        <v>157</v>
      </c>
      <c r="AC12" s="12">
        <v>164</v>
      </c>
      <c r="AD12" s="12">
        <v>313</v>
      </c>
      <c r="AE12" s="12">
        <v>379</v>
      </c>
      <c r="AF12" s="12">
        <v>420</v>
      </c>
    </row>
    <row r="13" spans="1:32" ht="34.5">
      <c r="A13" s="23"/>
      <c r="B13" s="13" t="s">
        <v>1168</v>
      </c>
      <c r="C13" s="14">
        <v>0.28000000000000003</v>
      </c>
      <c r="D13" s="14">
        <v>0.1</v>
      </c>
      <c r="E13" s="14">
        <v>0.15</v>
      </c>
      <c r="F13" s="14">
        <v>0.41</v>
      </c>
      <c r="G13" s="14">
        <v>0.38</v>
      </c>
      <c r="H13" s="14">
        <v>0.3</v>
      </c>
      <c r="I13" s="14">
        <v>0.3</v>
      </c>
      <c r="J13" s="14">
        <v>0.31</v>
      </c>
      <c r="K13" s="14">
        <v>0.1</v>
      </c>
      <c r="L13" s="14">
        <v>0.43</v>
      </c>
      <c r="M13" s="14">
        <v>0.05</v>
      </c>
      <c r="N13" s="14">
        <v>0.13</v>
      </c>
      <c r="O13" s="14">
        <v>0.27</v>
      </c>
      <c r="P13" s="14">
        <v>0.2</v>
      </c>
      <c r="Q13" s="14">
        <v>0.42</v>
      </c>
      <c r="R13" s="14">
        <v>0.13</v>
      </c>
      <c r="S13" s="14">
        <v>0.25</v>
      </c>
      <c r="T13" s="14">
        <v>0.38</v>
      </c>
      <c r="U13" s="14">
        <v>0.32</v>
      </c>
      <c r="V13" s="14">
        <v>0.11</v>
      </c>
      <c r="W13" s="14">
        <v>7.0000000000000007E-2</v>
      </c>
      <c r="X13" s="14">
        <v>0.12</v>
      </c>
      <c r="Y13" s="14">
        <v>0.28999999999999998</v>
      </c>
      <c r="Z13" s="14">
        <v>0.48</v>
      </c>
      <c r="AA13" s="14">
        <v>0.04</v>
      </c>
      <c r="AB13" s="14">
        <v>0.2</v>
      </c>
      <c r="AC13" s="14">
        <v>0.18</v>
      </c>
      <c r="AD13" s="14">
        <v>0.35</v>
      </c>
      <c r="AE13" s="14">
        <v>0.4</v>
      </c>
      <c r="AF13" s="14">
        <v>0.4</v>
      </c>
    </row>
    <row r="14" spans="1:32">
      <c r="A14" s="23"/>
      <c r="B14" s="11" t="s">
        <v>1169</v>
      </c>
      <c r="C14" s="12">
        <v>6162</v>
      </c>
      <c r="D14" s="12">
        <v>249</v>
      </c>
      <c r="E14" s="12">
        <v>46</v>
      </c>
      <c r="F14" s="12">
        <v>17</v>
      </c>
      <c r="G14" s="12">
        <v>29</v>
      </c>
      <c r="H14" s="12">
        <v>360</v>
      </c>
      <c r="I14" s="12">
        <v>460</v>
      </c>
      <c r="J14" s="12">
        <v>100</v>
      </c>
      <c r="K14" s="12">
        <v>79</v>
      </c>
      <c r="L14" s="12">
        <v>153</v>
      </c>
      <c r="M14" s="12">
        <v>499</v>
      </c>
      <c r="N14" s="12">
        <v>336</v>
      </c>
      <c r="O14" s="12">
        <v>352</v>
      </c>
      <c r="P14" s="12">
        <v>265</v>
      </c>
      <c r="Q14" s="12">
        <v>147</v>
      </c>
      <c r="R14" s="12">
        <v>95</v>
      </c>
      <c r="S14" s="12">
        <v>12</v>
      </c>
      <c r="T14" s="12">
        <v>28</v>
      </c>
      <c r="U14" s="12">
        <v>133</v>
      </c>
      <c r="V14" s="12">
        <v>211</v>
      </c>
      <c r="W14" s="12">
        <v>278</v>
      </c>
      <c r="X14" s="12">
        <v>406</v>
      </c>
      <c r="Y14" s="12">
        <v>98</v>
      </c>
      <c r="Z14" s="12">
        <v>37</v>
      </c>
      <c r="AA14" s="12">
        <v>598</v>
      </c>
      <c r="AB14" s="12">
        <v>40</v>
      </c>
      <c r="AC14" s="12">
        <v>189</v>
      </c>
      <c r="AD14" s="12">
        <v>25</v>
      </c>
      <c r="AE14" s="12">
        <v>4</v>
      </c>
      <c r="AF14" s="12">
        <v>56</v>
      </c>
    </row>
    <row r="15" spans="1:32">
      <c r="A15" s="23"/>
      <c r="B15" s="13" t="s">
        <v>1170</v>
      </c>
      <c r="C15" s="14">
        <v>0.27</v>
      </c>
      <c r="D15" s="14">
        <v>0.27</v>
      </c>
      <c r="E15" s="14">
        <v>0.05</v>
      </c>
      <c r="F15" s="14">
        <v>0.02</v>
      </c>
      <c r="G15" s="14">
        <v>0.03</v>
      </c>
      <c r="H15" s="14">
        <v>0.35</v>
      </c>
      <c r="I15" s="14">
        <v>0.35</v>
      </c>
      <c r="J15" s="14">
        <v>0.39</v>
      </c>
      <c r="K15" s="14">
        <v>0.09</v>
      </c>
      <c r="L15" s="14">
        <v>0.17</v>
      </c>
      <c r="M15" s="14">
        <v>0.6</v>
      </c>
      <c r="N15" s="14">
        <v>0.38</v>
      </c>
      <c r="O15" s="14">
        <v>0.39</v>
      </c>
      <c r="P15" s="14">
        <v>0.33</v>
      </c>
      <c r="Q15" s="14">
        <v>0.2</v>
      </c>
      <c r="R15" s="14">
        <v>0.21</v>
      </c>
      <c r="S15" s="14">
        <v>0.01</v>
      </c>
      <c r="T15" s="14">
        <v>0.03</v>
      </c>
      <c r="U15" s="14">
        <v>0.27</v>
      </c>
      <c r="V15" s="14">
        <v>0.24</v>
      </c>
      <c r="W15" s="14">
        <v>0.6</v>
      </c>
      <c r="X15" s="14">
        <v>0.4</v>
      </c>
      <c r="Y15" s="14">
        <v>0.12</v>
      </c>
      <c r="Z15" s="14">
        <v>0.04</v>
      </c>
      <c r="AA15" s="14">
        <v>0.66</v>
      </c>
      <c r="AB15" s="14">
        <v>0.05</v>
      </c>
      <c r="AC15" s="14">
        <v>0.21</v>
      </c>
      <c r="AD15" s="14">
        <v>0.03</v>
      </c>
      <c r="AE15" s="15" t="s">
        <v>485</v>
      </c>
      <c r="AF15" s="14">
        <v>0.05</v>
      </c>
    </row>
    <row r="16" spans="1:32" ht="23.25">
      <c r="A16" s="23"/>
      <c r="B16" s="11" t="s">
        <v>1171</v>
      </c>
      <c r="C16" s="12">
        <v>9914</v>
      </c>
      <c r="D16" s="12">
        <v>406</v>
      </c>
      <c r="E16" s="12">
        <v>371</v>
      </c>
      <c r="F16" s="12">
        <v>325</v>
      </c>
      <c r="G16" s="12">
        <v>417</v>
      </c>
      <c r="H16" s="12">
        <v>371</v>
      </c>
      <c r="I16" s="12">
        <v>442</v>
      </c>
      <c r="J16" s="12">
        <v>71</v>
      </c>
      <c r="K16" s="12">
        <v>494</v>
      </c>
      <c r="L16" s="12">
        <v>232</v>
      </c>
      <c r="M16" s="12">
        <v>325</v>
      </c>
      <c r="N16" s="12">
        <v>648</v>
      </c>
      <c r="O16" s="12">
        <v>441</v>
      </c>
      <c r="P16" s="12">
        <v>360</v>
      </c>
      <c r="Q16" s="12">
        <v>193</v>
      </c>
      <c r="R16" s="12">
        <v>308</v>
      </c>
      <c r="S16" s="12">
        <v>270</v>
      </c>
      <c r="T16" s="12">
        <v>298</v>
      </c>
      <c r="U16" s="12">
        <v>209</v>
      </c>
      <c r="V16" s="12">
        <v>374</v>
      </c>
      <c r="W16" s="12">
        <v>284</v>
      </c>
      <c r="X16" s="12">
        <v>552</v>
      </c>
      <c r="Y16" s="12">
        <v>463</v>
      </c>
      <c r="Z16" s="12">
        <v>299</v>
      </c>
      <c r="AA16" s="12">
        <v>597</v>
      </c>
      <c r="AB16" s="12">
        <v>376</v>
      </c>
      <c r="AC16" s="12">
        <v>609</v>
      </c>
      <c r="AD16" s="12">
        <v>343</v>
      </c>
      <c r="AE16" s="12">
        <v>395</v>
      </c>
      <c r="AF16" s="12">
        <v>355</v>
      </c>
    </row>
    <row r="17" spans="1:32">
      <c r="A17" s="23"/>
      <c r="B17" s="13" t="s">
        <v>1172</v>
      </c>
      <c r="C17" s="14">
        <v>0.44</v>
      </c>
      <c r="D17" s="14">
        <v>0.43</v>
      </c>
      <c r="E17" s="14">
        <v>0.45</v>
      </c>
      <c r="F17" s="14">
        <v>0.39</v>
      </c>
      <c r="G17" s="14">
        <v>0.42</v>
      </c>
      <c r="H17" s="14">
        <v>0.36</v>
      </c>
      <c r="I17" s="14">
        <v>0.34</v>
      </c>
      <c r="J17" s="14">
        <v>0.27</v>
      </c>
      <c r="K17" s="14">
        <v>0.56000000000000005</v>
      </c>
      <c r="L17" s="14">
        <v>0.25</v>
      </c>
      <c r="M17" s="14">
        <v>0.39</v>
      </c>
      <c r="N17" s="14">
        <v>0.74</v>
      </c>
      <c r="O17" s="14">
        <v>0.49</v>
      </c>
      <c r="P17" s="14">
        <v>0.44</v>
      </c>
      <c r="Q17" s="14">
        <v>0.26</v>
      </c>
      <c r="R17" s="14">
        <v>0.68</v>
      </c>
      <c r="S17" s="14">
        <v>0.31</v>
      </c>
      <c r="T17" s="14">
        <v>0.36</v>
      </c>
      <c r="U17" s="14">
        <v>0.43</v>
      </c>
      <c r="V17" s="14">
        <v>0.42</v>
      </c>
      <c r="W17" s="14">
        <v>0.61</v>
      </c>
      <c r="X17" s="14">
        <v>0.55000000000000004</v>
      </c>
      <c r="Y17" s="14">
        <v>0.55000000000000004</v>
      </c>
      <c r="Z17" s="14">
        <v>0.35</v>
      </c>
      <c r="AA17" s="14">
        <v>0.65</v>
      </c>
      <c r="AB17" s="14">
        <v>0.47</v>
      </c>
      <c r="AC17" s="14">
        <v>0.68</v>
      </c>
      <c r="AD17" s="14">
        <v>0.39</v>
      </c>
      <c r="AE17" s="14">
        <v>0.41</v>
      </c>
      <c r="AF17" s="14">
        <v>0.34</v>
      </c>
    </row>
    <row r="18" spans="1:32" ht="23.25">
      <c r="A18" s="23"/>
      <c r="B18" s="11" t="s">
        <v>1173</v>
      </c>
      <c r="C18" s="12">
        <v>11257</v>
      </c>
      <c r="D18" s="12">
        <v>398</v>
      </c>
      <c r="E18" s="12">
        <v>605</v>
      </c>
      <c r="F18" s="12">
        <v>274</v>
      </c>
      <c r="G18" s="12">
        <v>264</v>
      </c>
      <c r="H18" s="12">
        <v>464</v>
      </c>
      <c r="I18" s="12">
        <v>573</v>
      </c>
      <c r="J18" s="12">
        <v>109</v>
      </c>
      <c r="K18" s="12">
        <v>442</v>
      </c>
      <c r="L18" s="12">
        <v>371</v>
      </c>
      <c r="M18" s="12">
        <v>698</v>
      </c>
      <c r="N18" s="12">
        <v>592</v>
      </c>
      <c r="O18" s="12">
        <v>516</v>
      </c>
      <c r="P18" s="12">
        <v>387</v>
      </c>
      <c r="Q18" s="12">
        <v>251</v>
      </c>
      <c r="R18" s="12">
        <v>114</v>
      </c>
      <c r="S18" s="12">
        <v>419</v>
      </c>
      <c r="T18" s="12">
        <v>156</v>
      </c>
      <c r="U18" s="12">
        <v>182</v>
      </c>
      <c r="V18" s="12">
        <v>711</v>
      </c>
      <c r="W18" s="12">
        <v>367</v>
      </c>
      <c r="X18" s="12">
        <v>783</v>
      </c>
      <c r="Y18" s="12">
        <v>170</v>
      </c>
      <c r="Z18" s="12">
        <v>255</v>
      </c>
      <c r="AA18" s="12">
        <v>760</v>
      </c>
      <c r="AB18" s="12">
        <v>510</v>
      </c>
      <c r="AC18" s="12">
        <v>505</v>
      </c>
      <c r="AD18" s="12">
        <v>74</v>
      </c>
      <c r="AE18" s="12">
        <v>257</v>
      </c>
      <c r="AF18" s="12">
        <v>454</v>
      </c>
    </row>
    <row r="19" spans="1:32" ht="23.25">
      <c r="A19" s="23"/>
      <c r="B19" s="13" t="s">
        <v>1174</v>
      </c>
      <c r="C19" s="14">
        <v>0.5</v>
      </c>
      <c r="D19" s="14">
        <v>0.42</v>
      </c>
      <c r="E19" s="14">
        <v>0.73</v>
      </c>
      <c r="F19" s="14">
        <v>0.33</v>
      </c>
      <c r="G19" s="14">
        <v>0.27</v>
      </c>
      <c r="H19" s="14">
        <v>0.45</v>
      </c>
      <c r="I19" s="14">
        <v>0.44</v>
      </c>
      <c r="J19" s="14">
        <v>0.42</v>
      </c>
      <c r="K19" s="14">
        <v>0.51</v>
      </c>
      <c r="L19" s="14">
        <v>0.4</v>
      </c>
      <c r="M19" s="14">
        <v>0.84</v>
      </c>
      <c r="N19" s="14">
        <v>0.67</v>
      </c>
      <c r="O19" s="14">
        <v>0.57000000000000006</v>
      </c>
      <c r="P19" s="14">
        <v>0.48</v>
      </c>
      <c r="Q19" s="14">
        <v>0.34</v>
      </c>
      <c r="R19" s="14">
        <v>0.25</v>
      </c>
      <c r="S19" s="14">
        <v>0.48</v>
      </c>
      <c r="T19" s="14">
        <v>0.19</v>
      </c>
      <c r="U19" s="14">
        <v>0.37</v>
      </c>
      <c r="V19" s="14">
        <v>0.8</v>
      </c>
      <c r="W19" s="14">
        <v>0.79</v>
      </c>
      <c r="X19" s="14">
        <v>0.78</v>
      </c>
      <c r="Y19" s="14">
        <v>0.2</v>
      </c>
      <c r="Z19" s="14">
        <v>0.3</v>
      </c>
      <c r="AA19" s="14">
        <v>0.83000000000000007</v>
      </c>
      <c r="AB19" s="14">
        <v>0.64</v>
      </c>
      <c r="AC19" s="14">
        <v>0.56000000000000005</v>
      </c>
      <c r="AD19" s="14">
        <v>0.08</v>
      </c>
      <c r="AE19" s="14">
        <v>0.27</v>
      </c>
      <c r="AF19" s="14">
        <v>0.43</v>
      </c>
    </row>
    <row r="20" spans="1:32" ht="23.25">
      <c r="A20" s="23"/>
      <c r="B20" s="11" t="s">
        <v>1175</v>
      </c>
      <c r="C20" s="12">
        <v>8079</v>
      </c>
      <c r="D20" s="12">
        <v>489</v>
      </c>
      <c r="E20" s="12">
        <v>382</v>
      </c>
      <c r="F20" s="12">
        <v>242</v>
      </c>
      <c r="G20" s="12">
        <v>260</v>
      </c>
      <c r="H20" s="12">
        <v>315</v>
      </c>
      <c r="I20" s="12">
        <v>380</v>
      </c>
      <c r="J20" s="12">
        <v>65</v>
      </c>
      <c r="K20" s="12">
        <v>478</v>
      </c>
      <c r="L20" s="12">
        <v>144</v>
      </c>
      <c r="M20" s="12">
        <v>368</v>
      </c>
      <c r="N20" s="12">
        <v>588</v>
      </c>
      <c r="O20" s="12">
        <v>343</v>
      </c>
      <c r="P20" s="12">
        <v>278</v>
      </c>
      <c r="Q20" s="12">
        <v>175</v>
      </c>
      <c r="R20" s="12">
        <v>238</v>
      </c>
      <c r="S20" s="12">
        <v>271</v>
      </c>
      <c r="T20" s="12">
        <v>308</v>
      </c>
      <c r="U20" s="12">
        <v>160</v>
      </c>
      <c r="V20" s="12">
        <v>293</v>
      </c>
      <c r="W20" s="12">
        <v>247</v>
      </c>
      <c r="X20" s="12">
        <v>495</v>
      </c>
      <c r="Y20" s="12">
        <v>406</v>
      </c>
      <c r="Z20" s="12">
        <v>69</v>
      </c>
      <c r="AA20" s="12">
        <v>390</v>
      </c>
      <c r="AB20" s="12">
        <v>321</v>
      </c>
      <c r="AC20" s="12">
        <v>512</v>
      </c>
      <c r="AD20" s="12">
        <v>282</v>
      </c>
      <c r="AE20" s="12">
        <v>320</v>
      </c>
      <c r="AF20" s="12">
        <v>210</v>
      </c>
    </row>
    <row r="21" spans="1:32" ht="23.25">
      <c r="A21" s="23"/>
      <c r="B21" s="13" t="s">
        <v>1176</v>
      </c>
      <c r="C21" s="14">
        <v>0.36</v>
      </c>
      <c r="D21" s="14">
        <v>0.52</v>
      </c>
      <c r="E21" s="14">
        <v>0.46</v>
      </c>
      <c r="F21" s="14">
        <v>0.28999999999999998</v>
      </c>
      <c r="G21" s="14">
        <v>0.27</v>
      </c>
      <c r="H21" s="14">
        <v>0.3</v>
      </c>
      <c r="I21" s="14">
        <v>0.28999999999999998</v>
      </c>
      <c r="J21" s="14">
        <v>0.25</v>
      </c>
      <c r="K21" s="14">
        <v>0.55000000000000004</v>
      </c>
      <c r="L21" s="14">
        <v>0.16</v>
      </c>
      <c r="M21" s="14">
        <v>0.44</v>
      </c>
      <c r="N21" s="14">
        <v>0.67</v>
      </c>
      <c r="O21" s="14">
        <v>0.38</v>
      </c>
      <c r="P21" s="14">
        <v>0.34</v>
      </c>
      <c r="Q21" s="14">
        <v>0.24</v>
      </c>
      <c r="R21" s="14">
        <v>0.53</v>
      </c>
      <c r="S21" s="14">
        <v>0.31</v>
      </c>
      <c r="T21" s="14">
        <v>0.37</v>
      </c>
      <c r="U21" s="14">
        <v>0.33</v>
      </c>
      <c r="V21" s="14">
        <v>0.33</v>
      </c>
      <c r="W21" s="14">
        <v>0.53</v>
      </c>
      <c r="X21" s="14">
        <v>0.49</v>
      </c>
      <c r="Y21" s="14">
        <v>0.49</v>
      </c>
      <c r="Z21" s="14">
        <v>0.08</v>
      </c>
      <c r="AA21" s="14">
        <v>0.43</v>
      </c>
      <c r="AB21" s="14">
        <v>0.4</v>
      </c>
      <c r="AC21" s="14">
        <v>0.57000000000000006</v>
      </c>
      <c r="AD21" s="14">
        <v>0.32</v>
      </c>
      <c r="AE21" s="14">
        <v>0.33</v>
      </c>
      <c r="AF21" s="14">
        <v>0.2</v>
      </c>
    </row>
    <row r="22" spans="1:32" ht="23.25">
      <c r="A22" s="23"/>
      <c r="B22" s="11" t="s">
        <v>1177</v>
      </c>
      <c r="C22" s="12">
        <v>8869</v>
      </c>
      <c r="D22" s="12">
        <v>437</v>
      </c>
      <c r="E22" s="12">
        <v>604</v>
      </c>
      <c r="F22" s="12">
        <v>237</v>
      </c>
      <c r="G22" s="12">
        <v>353</v>
      </c>
      <c r="H22" s="12">
        <v>289</v>
      </c>
      <c r="I22" s="12">
        <v>358</v>
      </c>
      <c r="J22" s="12">
        <v>69</v>
      </c>
      <c r="K22" s="12">
        <v>468</v>
      </c>
      <c r="L22" s="12">
        <v>277</v>
      </c>
      <c r="M22" s="12">
        <v>162</v>
      </c>
      <c r="N22" s="12">
        <v>345</v>
      </c>
      <c r="O22" s="12">
        <v>426</v>
      </c>
      <c r="P22" s="12">
        <v>373</v>
      </c>
      <c r="Q22" s="12">
        <v>117</v>
      </c>
      <c r="R22" s="12">
        <v>143</v>
      </c>
      <c r="S22" s="12">
        <v>463</v>
      </c>
      <c r="T22" s="12">
        <v>326</v>
      </c>
      <c r="U22" s="12">
        <v>181</v>
      </c>
      <c r="V22" s="12">
        <v>724</v>
      </c>
      <c r="W22" s="12">
        <v>325</v>
      </c>
      <c r="X22" s="12">
        <v>713</v>
      </c>
      <c r="Y22" s="12">
        <v>306</v>
      </c>
      <c r="Z22" s="12">
        <v>228</v>
      </c>
      <c r="AA22" s="12">
        <v>823</v>
      </c>
      <c r="AB22" s="12">
        <v>565</v>
      </c>
      <c r="AC22" s="12">
        <v>589</v>
      </c>
      <c r="AD22" s="12">
        <v>388</v>
      </c>
      <c r="AE22" s="12">
        <v>232</v>
      </c>
      <c r="AF22" s="12">
        <v>439</v>
      </c>
    </row>
    <row r="23" spans="1:32">
      <c r="A23" s="23"/>
      <c r="B23" s="13" t="s">
        <v>1178</v>
      </c>
      <c r="C23" s="14">
        <v>0.39</v>
      </c>
      <c r="D23" s="14">
        <v>0.47</v>
      </c>
      <c r="E23" s="14">
        <v>0.73</v>
      </c>
      <c r="F23" s="14">
        <v>0.28000000000000003</v>
      </c>
      <c r="G23" s="14">
        <v>0.36</v>
      </c>
      <c r="H23" s="14">
        <v>0.28000000000000003</v>
      </c>
      <c r="I23" s="14">
        <v>0.28000000000000003</v>
      </c>
      <c r="J23" s="14">
        <v>0.27</v>
      </c>
      <c r="K23" s="14">
        <v>0.53</v>
      </c>
      <c r="L23" s="14">
        <v>0.3</v>
      </c>
      <c r="M23" s="14">
        <v>0.19</v>
      </c>
      <c r="N23" s="14">
        <v>0.39</v>
      </c>
      <c r="O23" s="14">
        <v>0.47</v>
      </c>
      <c r="P23" s="14">
        <v>0.46</v>
      </c>
      <c r="Q23" s="14">
        <v>0.16</v>
      </c>
      <c r="R23" s="14">
        <v>0.32</v>
      </c>
      <c r="S23" s="14">
        <v>0.53</v>
      </c>
      <c r="T23" s="14">
        <v>0.39</v>
      </c>
      <c r="U23" s="14">
        <v>0.37</v>
      </c>
      <c r="V23" s="14">
        <v>0.81</v>
      </c>
      <c r="W23" s="14">
        <v>0.70000000000000007</v>
      </c>
      <c r="X23" s="14">
        <v>0.71</v>
      </c>
      <c r="Y23" s="14">
        <v>0.37</v>
      </c>
      <c r="Z23" s="14">
        <v>0.27</v>
      </c>
      <c r="AA23" s="14">
        <v>0.9</v>
      </c>
      <c r="AB23" s="14">
        <v>0.71</v>
      </c>
      <c r="AC23" s="14">
        <v>0.65</v>
      </c>
      <c r="AD23" s="14">
        <v>0.44</v>
      </c>
      <c r="AE23" s="14">
        <v>0.24</v>
      </c>
      <c r="AF23" s="14">
        <v>0.42</v>
      </c>
    </row>
    <row r="24" spans="1:32" ht="34.5">
      <c r="A24" s="23"/>
      <c r="B24" s="11" t="s">
        <v>1179</v>
      </c>
      <c r="C24" s="12">
        <v>1671</v>
      </c>
      <c r="D24" s="12">
        <v>140</v>
      </c>
      <c r="E24" s="12">
        <v>23</v>
      </c>
      <c r="F24" s="12">
        <v>30</v>
      </c>
      <c r="G24" s="12">
        <v>255</v>
      </c>
      <c r="H24" s="12">
        <v>97</v>
      </c>
      <c r="I24" s="12">
        <v>123</v>
      </c>
      <c r="J24" s="12">
        <v>26</v>
      </c>
      <c r="K24" s="12">
        <v>109</v>
      </c>
      <c r="L24" s="12">
        <v>33</v>
      </c>
      <c r="M24" s="12">
        <v>8</v>
      </c>
      <c r="N24" s="12">
        <v>57</v>
      </c>
      <c r="O24" s="12">
        <v>57</v>
      </c>
      <c r="P24" s="12">
        <v>31</v>
      </c>
      <c r="Q24" s="12">
        <v>27</v>
      </c>
      <c r="R24" s="12">
        <v>31</v>
      </c>
      <c r="S24" s="12">
        <v>40</v>
      </c>
      <c r="T24" s="12">
        <v>13</v>
      </c>
      <c r="U24" s="12">
        <v>43</v>
      </c>
      <c r="V24" s="12">
        <v>35</v>
      </c>
      <c r="W24" s="12">
        <v>76</v>
      </c>
      <c r="X24" s="12">
        <v>241</v>
      </c>
      <c r="Y24" s="12">
        <v>144</v>
      </c>
      <c r="Z24" s="12">
        <v>2</v>
      </c>
      <c r="AA24" s="12">
        <v>14</v>
      </c>
      <c r="AB24" s="12">
        <v>23</v>
      </c>
      <c r="AC24" s="12">
        <v>90</v>
      </c>
      <c r="AD24" s="12">
        <v>67</v>
      </c>
      <c r="AE24" s="12">
        <v>118</v>
      </c>
      <c r="AF24" s="12">
        <v>130</v>
      </c>
    </row>
    <row r="25" spans="1:32" ht="23.25">
      <c r="A25" s="23"/>
      <c r="B25" s="13" t="s">
        <v>1180</v>
      </c>
      <c r="C25" s="14">
        <v>7.0000000000000007E-2</v>
      </c>
      <c r="D25" s="14">
        <v>0.15</v>
      </c>
      <c r="E25" s="14">
        <v>0.03</v>
      </c>
      <c r="F25" s="14">
        <v>0.04</v>
      </c>
      <c r="G25" s="14">
        <v>0.26</v>
      </c>
      <c r="H25" s="14">
        <v>0.09</v>
      </c>
      <c r="I25" s="14">
        <v>0.09</v>
      </c>
      <c r="J25" s="14">
        <v>0.1</v>
      </c>
      <c r="K25" s="14">
        <v>0.12</v>
      </c>
      <c r="L25" s="14">
        <v>0.04</v>
      </c>
      <c r="M25" s="14">
        <v>0.01</v>
      </c>
      <c r="N25" s="14">
        <v>7.0000000000000007E-2</v>
      </c>
      <c r="O25" s="14">
        <v>0.06</v>
      </c>
      <c r="P25" s="14">
        <v>0.04</v>
      </c>
      <c r="Q25" s="14">
        <v>0.04</v>
      </c>
      <c r="R25" s="14">
        <v>7.0000000000000007E-2</v>
      </c>
      <c r="S25" s="14">
        <v>0.05</v>
      </c>
      <c r="T25" s="14">
        <v>0.02</v>
      </c>
      <c r="U25" s="14">
        <v>0.09</v>
      </c>
      <c r="V25" s="14">
        <v>0.04</v>
      </c>
      <c r="W25" s="14">
        <v>0.16</v>
      </c>
      <c r="X25" s="14">
        <v>0.24</v>
      </c>
      <c r="Y25" s="14">
        <v>0.17</v>
      </c>
      <c r="Z25" s="15" t="s">
        <v>485</v>
      </c>
      <c r="AA25" s="14">
        <v>0.02</v>
      </c>
      <c r="AB25" s="14">
        <v>0.03</v>
      </c>
      <c r="AC25" s="14">
        <v>0.1</v>
      </c>
      <c r="AD25" s="14">
        <v>0.08</v>
      </c>
      <c r="AE25" s="14">
        <v>0.12</v>
      </c>
      <c r="AF25" s="14">
        <v>0.12</v>
      </c>
    </row>
    <row r="26" spans="1:32" ht="34.5">
      <c r="A26" s="23"/>
      <c r="B26" s="11" t="s">
        <v>1181</v>
      </c>
      <c r="C26" s="12">
        <v>1908</v>
      </c>
      <c r="D26" s="12">
        <v>142</v>
      </c>
      <c r="E26" s="12">
        <v>11</v>
      </c>
      <c r="F26" s="12">
        <v>19</v>
      </c>
      <c r="G26" s="12">
        <v>189</v>
      </c>
      <c r="H26" s="12">
        <v>112</v>
      </c>
      <c r="I26" s="12">
        <v>147</v>
      </c>
      <c r="J26" s="12">
        <v>35</v>
      </c>
      <c r="K26" s="12">
        <v>129</v>
      </c>
      <c r="L26" s="12">
        <v>50</v>
      </c>
      <c r="M26" s="12">
        <v>13</v>
      </c>
      <c r="N26" s="12">
        <v>54</v>
      </c>
      <c r="O26" s="12">
        <v>72</v>
      </c>
      <c r="P26" s="12">
        <v>39</v>
      </c>
      <c r="Q26" s="12">
        <v>48</v>
      </c>
      <c r="R26" s="12">
        <v>28</v>
      </c>
      <c r="S26" s="12">
        <v>43</v>
      </c>
      <c r="T26" s="12">
        <v>25</v>
      </c>
      <c r="U26" s="12">
        <v>43</v>
      </c>
      <c r="V26" s="12">
        <v>25</v>
      </c>
      <c r="W26" s="12">
        <v>66</v>
      </c>
      <c r="X26" s="12">
        <v>263</v>
      </c>
      <c r="Y26" s="12">
        <v>156</v>
      </c>
      <c r="Z26" s="12">
        <v>13</v>
      </c>
      <c r="AA26" s="12">
        <v>9</v>
      </c>
      <c r="AB26" s="12">
        <v>32</v>
      </c>
      <c r="AC26" s="12">
        <v>80</v>
      </c>
      <c r="AD26" s="12">
        <v>38</v>
      </c>
      <c r="AE26" s="12">
        <v>152</v>
      </c>
      <c r="AF26" s="12">
        <v>138</v>
      </c>
    </row>
    <row r="27" spans="1:32" ht="23.25">
      <c r="A27" s="23"/>
      <c r="B27" s="13" t="s">
        <v>1182</v>
      </c>
      <c r="C27" s="14">
        <v>0.08</v>
      </c>
      <c r="D27" s="14">
        <v>0.15</v>
      </c>
      <c r="E27" s="14">
        <v>0.01</v>
      </c>
      <c r="F27" s="14">
        <v>0.02</v>
      </c>
      <c r="G27" s="14">
        <v>0.19</v>
      </c>
      <c r="H27" s="14">
        <v>0.11</v>
      </c>
      <c r="I27" s="14">
        <v>0.11</v>
      </c>
      <c r="J27" s="14">
        <v>0.13</v>
      </c>
      <c r="K27" s="14">
        <v>0.15</v>
      </c>
      <c r="L27" s="14">
        <v>0.05</v>
      </c>
      <c r="M27" s="14">
        <v>0.01</v>
      </c>
      <c r="N27" s="14">
        <v>0.06</v>
      </c>
      <c r="O27" s="14">
        <v>0.08</v>
      </c>
      <c r="P27" s="14">
        <v>0.05</v>
      </c>
      <c r="Q27" s="14">
        <v>7.0000000000000007E-2</v>
      </c>
      <c r="R27" s="14">
        <v>0.06</v>
      </c>
      <c r="S27" s="14">
        <v>0.05</v>
      </c>
      <c r="T27" s="14">
        <v>0.03</v>
      </c>
      <c r="U27" s="14">
        <v>0.09</v>
      </c>
      <c r="V27" s="14">
        <v>0.03</v>
      </c>
      <c r="W27" s="14">
        <v>0.14000000000000001</v>
      </c>
      <c r="X27" s="14">
        <v>0.26</v>
      </c>
      <c r="Y27" s="14">
        <v>0.19</v>
      </c>
      <c r="Z27" s="14">
        <v>0.02</v>
      </c>
      <c r="AA27" s="14">
        <v>0.01</v>
      </c>
      <c r="AB27" s="14">
        <v>0.04</v>
      </c>
      <c r="AC27" s="14">
        <v>0.09</v>
      </c>
      <c r="AD27" s="14">
        <v>0.04</v>
      </c>
      <c r="AE27" s="14">
        <v>0.16</v>
      </c>
      <c r="AF27" s="14">
        <v>0.13</v>
      </c>
    </row>
    <row r="28" spans="1:32">
      <c r="A28" s="23"/>
      <c r="B28" s="11" t="s">
        <v>550</v>
      </c>
      <c r="C28" s="12">
        <v>102</v>
      </c>
      <c r="D28" s="12">
        <v>59</v>
      </c>
      <c r="E28" s="12">
        <v>0</v>
      </c>
      <c r="F28" s="12">
        <v>0</v>
      </c>
      <c r="G28" s="12">
        <v>4</v>
      </c>
      <c r="H28" s="12">
        <v>9</v>
      </c>
      <c r="I28" s="12">
        <v>9</v>
      </c>
      <c r="J28" s="12">
        <v>0</v>
      </c>
      <c r="K28" s="12">
        <v>5</v>
      </c>
      <c r="L28" s="12">
        <v>0</v>
      </c>
      <c r="M28" s="12">
        <v>0</v>
      </c>
      <c r="N28" s="12">
        <v>2</v>
      </c>
      <c r="O28" s="12">
        <v>0</v>
      </c>
      <c r="P28" s="12">
        <v>1</v>
      </c>
      <c r="Q28" s="12">
        <v>3</v>
      </c>
      <c r="R28" s="12">
        <v>4</v>
      </c>
      <c r="S28" s="12">
        <v>4</v>
      </c>
      <c r="T28" s="12">
        <v>3</v>
      </c>
      <c r="U28" s="12">
        <v>4</v>
      </c>
      <c r="V28" s="12">
        <v>0</v>
      </c>
      <c r="W28" s="12">
        <v>3</v>
      </c>
      <c r="X28" s="12">
        <v>3</v>
      </c>
      <c r="Y28" s="12">
        <v>5</v>
      </c>
      <c r="Z28" s="12">
        <v>0</v>
      </c>
      <c r="AA28" s="12">
        <v>1</v>
      </c>
      <c r="AB28" s="12">
        <v>0</v>
      </c>
      <c r="AC28" s="12">
        <v>2</v>
      </c>
      <c r="AD28" s="12">
        <v>1</v>
      </c>
      <c r="AE28" s="12">
        <v>6</v>
      </c>
      <c r="AF28" s="12">
        <v>3</v>
      </c>
    </row>
    <row r="29" spans="1:32">
      <c r="A29" s="23"/>
      <c r="B29" s="13" t="s">
        <v>551</v>
      </c>
      <c r="C29" s="15" t="s">
        <v>485</v>
      </c>
      <c r="D29" s="14">
        <v>0.06</v>
      </c>
      <c r="E29" s="15" t="s">
        <v>485</v>
      </c>
      <c r="F29" s="15" t="s">
        <v>485</v>
      </c>
      <c r="G29" s="15" t="s">
        <v>485</v>
      </c>
      <c r="H29" s="14">
        <v>0.01</v>
      </c>
      <c r="I29" s="14">
        <v>0.01</v>
      </c>
      <c r="J29" s="15" t="s">
        <v>485</v>
      </c>
      <c r="K29" s="14">
        <v>0.01</v>
      </c>
      <c r="L29" s="15" t="s">
        <v>485</v>
      </c>
      <c r="M29" s="15" t="s">
        <v>485</v>
      </c>
      <c r="N29" s="15" t="s">
        <v>485</v>
      </c>
      <c r="O29" s="15" t="s">
        <v>485</v>
      </c>
      <c r="P29" s="15" t="s">
        <v>485</v>
      </c>
      <c r="Q29" s="15" t="s">
        <v>485</v>
      </c>
      <c r="R29" s="14">
        <v>0.01</v>
      </c>
      <c r="S29" s="15" t="s">
        <v>485</v>
      </c>
      <c r="T29" s="15" t="s">
        <v>485</v>
      </c>
      <c r="U29" s="14">
        <v>0.01</v>
      </c>
      <c r="V29" s="15" t="s">
        <v>485</v>
      </c>
      <c r="W29" s="14">
        <v>0.01</v>
      </c>
      <c r="X29" s="15" t="s">
        <v>485</v>
      </c>
      <c r="Y29" s="14">
        <v>0.01</v>
      </c>
      <c r="Z29" s="15" t="s">
        <v>485</v>
      </c>
      <c r="AA29" s="15" t="s">
        <v>485</v>
      </c>
      <c r="AB29" s="15" t="s">
        <v>485</v>
      </c>
      <c r="AC29" s="15" t="s">
        <v>485</v>
      </c>
      <c r="AD29" s="15" t="s">
        <v>485</v>
      </c>
      <c r="AE29" s="14">
        <v>0.01</v>
      </c>
      <c r="AF29" s="15" t="s">
        <v>485</v>
      </c>
    </row>
    <row r="30" spans="1:32">
      <c r="A30" s="23"/>
      <c r="B30" s="11" t="s">
        <v>497</v>
      </c>
      <c r="C30" s="12">
        <v>296</v>
      </c>
      <c r="D30" s="12">
        <v>31</v>
      </c>
      <c r="E30" s="12">
        <v>1</v>
      </c>
      <c r="F30" s="12">
        <v>14</v>
      </c>
      <c r="G30" s="12">
        <v>30</v>
      </c>
      <c r="H30" s="12">
        <v>9</v>
      </c>
      <c r="I30" s="12">
        <v>11</v>
      </c>
      <c r="J30" s="12">
        <v>3</v>
      </c>
      <c r="K30" s="12">
        <v>25</v>
      </c>
      <c r="L30" s="12">
        <v>20</v>
      </c>
      <c r="M30" s="12">
        <v>3</v>
      </c>
      <c r="N30" s="12">
        <v>11</v>
      </c>
      <c r="O30" s="12">
        <v>22</v>
      </c>
      <c r="P30" s="12">
        <v>6</v>
      </c>
      <c r="Q30" s="12">
        <v>5</v>
      </c>
      <c r="R30" s="12">
        <v>9</v>
      </c>
      <c r="S30" s="12">
        <v>10</v>
      </c>
      <c r="T30" s="12">
        <v>17</v>
      </c>
      <c r="U30" s="12">
        <v>8</v>
      </c>
      <c r="V30" s="12">
        <v>7</v>
      </c>
      <c r="W30" s="12">
        <v>11</v>
      </c>
      <c r="X30" s="12">
        <v>4</v>
      </c>
      <c r="Y30" s="12">
        <v>18</v>
      </c>
      <c r="Z30" s="12">
        <v>3</v>
      </c>
      <c r="AA30" s="12">
        <v>9</v>
      </c>
      <c r="AB30" s="12">
        <v>2</v>
      </c>
      <c r="AC30" s="12">
        <v>10</v>
      </c>
      <c r="AD30" s="12">
        <v>19</v>
      </c>
      <c r="AE30" s="12">
        <v>37</v>
      </c>
      <c r="AF30" s="12">
        <v>24</v>
      </c>
    </row>
    <row r="31" spans="1:32">
      <c r="A31" s="23"/>
      <c r="B31" s="13" t="s">
        <v>498</v>
      </c>
      <c r="C31" s="14">
        <v>0.01</v>
      </c>
      <c r="D31" s="14">
        <v>0.03</v>
      </c>
      <c r="E31" s="15" t="s">
        <v>485</v>
      </c>
      <c r="F31" s="14">
        <v>0.02</v>
      </c>
      <c r="G31" s="14">
        <v>0.03</v>
      </c>
      <c r="H31" s="14">
        <v>0.01</v>
      </c>
      <c r="I31" s="14">
        <v>0.01</v>
      </c>
      <c r="J31" s="14">
        <v>0.01</v>
      </c>
      <c r="K31" s="14">
        <v>0.03</v>
      </c>
      <c r="L31" s="14">
        <v>0.02</v>
      </c>
      <c r="M31" s="15" t="s">
        <v>485</v>
      </c>
      <c r="N31" s="14">
        <v>0.01</v>
      </c>
      <c r="O31" s="14">
        <v>0.02</v>
      </c>
      <c r="P31" s="14">
        <v>0.01</v>
      </c>
      <c r="Q31" s="14">
        <v>0.01</v>
      </c>
      <c r="R31" s="14">
        <v>0.02</v>
      </c>
      <c r="S31" s="14">
        <v>0.01</v>
      </c>
      <c r="T31" s="14">
        <v>0.02</v>
      </c>
      <c r="U31" s="14">
        <v>0.02</v>
      </c>
      <c r="V31" s="14">
        <v>0.01</v>
      </c>
      <c r="W31" s="14">
        <v>0.02</v>
      </c>
      <c r="X31" s="15" t="s">
        <v>485</v>
      </c>
      <c r="Y31" s="14">
        <v>0.02</v>
      </c>
      <c r="Z31" s="15" t="s">
        <v>485</v>
      </c>
      <c r="AA31" s="14">
        <v>0.01</v>
      </c>
      <c r="AB31" s="15" t="s">
        <v>485</v>
      </c>
      <c r="AC31" s="14">
        <v>0.01</v>
      </c>
      <c r="AD31" s="14">
        <v>0.02</v>
      </c>
      <c r="AE31" s="14">
        <v>0.04</v>
      </c>
      <c r="AF31" s="14">
        <v>0.02</v>
      </c>
    </row>
  </sheetData>
  <mergeCells count="9">
    <mergeCell ref="H3:L3"/>
    <mergeCell ref="C8:AF8"/>
    <mergeCell ref="B3:F3"/>
    <mergeCell ref="B5:F5"/>
    <mergeCell ref="A10:A31"/>
    <mergeCell ref="H5:L5"/>
    <mergeCell ref="B10:B11"/>
    <mergeCell ref="H4:L4"/>
    <mergeCell ref="B4:F4"/>
  </mergeCells>
  <pageMargins left="0.75" right="0.75" top="1" bottom="1" header="0.5" footer="0.5"/>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dimension ref="A1:AF25"/>
  <sheetViews>
    <sheetView workbookViewId="0">
      <pane xSplit="3" ySplit="9" topLeftCell="D10" activePane="bottomRight" state="frozen"/>
      <selection pane="bottomRight" activeCell="C24" sqref="C24"/>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211</v>
      </c>
      <c r="C3" s="19"/>
      <c r="D3" s="19"/>
      <c r="E3" s="19"/>
      <c r="F3" s="19"/>
      <c r="H3" s="19" t="s">
        <v>212</v>
      </c>
      <c r="I3" s="19"/>
      <c r="J3" s="19"/>
      <c r="K3" s="19"/>
      <c r="L3" s="19"/>
    </row>
    <row r="4" spans="1:32" ht="27" customHeight="1">
      <c r="B4" s="19"/>
      <c r="C4" s="19"/>
      <c r="D4" s="19"/>
      <c r="E4" s="19"/>
      <c r="F4" s="19"/>
      <c r="H4" s="19"/>
      <c r="I4" s="19"/>
      <c r="J4" s="19"/>
      <c r="K4" s="19"/>
      <c r="L4" s="19"/>
    </row>
    <row r="5" spans="1:32" ht="24" customHeight="1">
      <c r="B5" s="19" t="s">
        <v>1229</v>
      </c>
      <c r="C5" s="19"/>
      <c r="D5" s="19"/>
      <c r="E5" s="19"/>
      <c r="F5" s="19"/>
      <c r="H5" s="19" t="s">
        <v>1230</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HYPERLINK("#Content!A107","&lt;&lt;Back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13610</v>
      </c>
      <c r="D10" s="10">
        <v>552</v>
      </c>
      <c r="E10" s="10">
        <v>685</v>
      </c>
      <c r="F10" s="10">
        <v>350</v>
      </c>
      <c r="G10" s="10">
        <v>514</v>
      </c>
      <c r="H10" s="10">
        <v>524</v>
      </c>
      <c r="I10" s="10">
        <v>667</v>
      </c>
      <c r="J10" s="10">
        <v>143</v>
      </c>
      <c r="K10" s="10">
        <v>654</v>
      </c>
      <c r="L10" s="10">
        <v>435</v>
      </c>
      <c r="M10" s="10">
        <v>713</v>
      </c>
      <c r="N10" s="10">
        <v>703</v>
      </c>
      <c r="O10" s="10">
        <v>574</v>
      </c>
      <c r="P10" s="10">
        <v>505</v>
      </c>
      <c r="Q10" s="10">
        <v>289</v>
      </c>
      <c r="R10" s="10">
        <v>279</v>
      </c>
      <c r="S10" s="10">
        <v>568</v>
      </c>
      <c r="T10" s="10">
        <v>433</v>
      </c>
      <c r="U10" s="10">
        <v>269</v>
      </c>
      <c r="V10" s="10">
        <v>799</v>
      </c>
      <c r="W10" s="10">
        <v>407</v>
      </c>
      <c r="X10" s="10">
        <v>839</v>
      </c>
      <c r="Y10" s="10">
        <v>556</v>
      </c>
      <c r="Z10" s="10">
        <v>333</v>
      </c>
      <c r="AA10" s="10">
        <v>901</v>
      </c>
      <c r="AB10" s="10">
        <v>634</v>
      </c>
      <c r="AC10" s="10">
        <v>662</v>
      </c>
      <c r="AD10" s="10">
        <v>406</v>
      </c>
      <c r="AE10" s="10">
        <v>459</v>
      </c>
      <c r="AF10" s="10">
        <v>557</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1231</v>
      </c>
      <c r="C12" s="12">
        <v>1194</v>
      </c>
      <c r="D12" s="12">
        <v>58</v>
      </c>
      <c r="E12" s="12">
        <v>29</v>
      </c>
      <c r="F12" s="12">
        <v>42</v>
      </c>
      <c r="G12" s="12">
        <v>101</v>
      </c>
      <c r="H12" s="12">
        <v>54</v>
      </c>
      <c r="I12" s="12">
        <v>62</v>
      </c>
      <c r="J12" s="12">
        <v>8</v>
      </c>
      <c r="K12" s="12">
        <v>55</v>
      </c>
      <c r="L12" s="12">
        <v>62</v>
      </c>
      <c r="M12" s="12">
        <v>58</v>
      </c>
      <c r="N12" s="12">
        <v>63</v>
      </c>
      <c r="O12" s="12">
        <v>59</v>
      </c>
      <c r="P12" s="12">
        <v>36</v>
      </c>
      <c r="Q12" s="12">
        <v>23</v>
      </c>
      <c r="R12" s="12">
        <v>30</v>
      </c>
      <c r="S12" s="12">
        <v>45</v>
      </c>
      <c r="T12" s="12">
        <v>22</v>
      </c>
      <c r="U12" s="12">
        <v>12</v>
      </c>
      <c r="V12" s="12">
        <v>15</v>
      </c>
      <c r="W12" s="12">
        <v>26</v>
      </c>
      <c r="X12" s="12">
        <v>123</v>
      </c>
      <c r="Y12" s="12">
        <v>61</v>
      </c>
      <c r="Z12" s="12">
        <v>9</v>
      </c>
      <c r="AA12" s="12">
        <v>17</v>
      </c>
      <c r="AB12" s="12">
        <v>14</v>
      </c>
      <c r="AC12" s="12">
        <v>79</v>
      </c>
      <c r="AD12" s="12">
        <v>22</v>
      </c>
      <c r="AE12" s="12">
        <v>92</v>
      </c>
      <c r="AF12" s="12">
        <v>96</v>
      </c>
    </row>
    <row r="13" spans="1:32">
      <c r="A13" s="23"/>
      <c r="B13" s="13" t="s">
        <v>1232</v>
      </c>
      <c r="C13" s="14">
        <v>0.09</v>
      </c>
      <c r="D13" s="14">
        <v>0.1</v>
      </c>
      <c r="E13" s="14">
        <v>0.04</v>
      </c>
      <c r="F13" s="14">
        <v>0.12</v>
      </c>
      <c r="G13" s="14">
        <v>0.19</v>
      </c>
      <c r="H13" s="14">
        <v>0.1</v>
      </c>
      <c r="I13" s="14">
        <v>0.09</v>
      </c>
      <c r="J13" s="14">
        <v>0.06</v>
      </c>
      <c r="K13" s="14">
        <v>0.08</v>
      </c>
      <c r="L13" s="14">
        <v>0.14000000000000001</v>
      </c>
      <c r="M13" s="14">
        <v>0.08</v>
      </c>
      <c r="N13" s="14">
        <v>0.09</v>
      </c>
      <c r="O13" s="14">
        <v>0.1</v>
      </c>
      <c r="P13" s="14">
        <v>7.0000000000000007E-2</v>
      </c>
      <c r="Q13" s="14">
        <v>0.08</v>
      </c>
      <c r="R13" s="14">
        <v>0.11</v>
      </c>
      <c r="S13" s="14">
        <v>0.08</v>
      </c>
      <c r="T13" s="14">
        <v>0.05</v>
      </c>
      <c r="U13" s="14">
        <v>0.05</v>
      </c>
      <c r="V13" s="14">
        <v>0.02</v>
      </c>
      <c r="W13" s="14">
        <v>0.06</v>
      </c>
      <c r="X13" s="14">
        <v>0.15</v>
      </c>
      <c r="Y13" s="14">
        <v>0.11</v>
      </c>
      <c r="Z13" s="14">
        <v>0.03</v>
      </c>
      <c r="AA13" s="14">
        <v>0.02</v>
      </c>
      <c r="AB13" s="14">
        <v>0.02</v>
      </c>
      <c r="AC13" s="14">
        <v>0.12</v>
      </c>
      <c r="AD13" s="14">
        <v>0.05</v>
      </c>
      <c r="AE13" s="14">
        <v>0.2</v>
      </c>
      <c r="AF13" s="14">
        <v>0.17</v>
      </c>
    </row>
    <row r="14" spans="1:32" ht="23.25">
      <c r="A14" s="23"/>
      <c r="B14" s="11" t="s">
        <v>1233</v>
      </c>
      <c r="C14" s="12">
        <v>1496</v>
      </c>
      <c r="D14" s="12">
        <v>64</v>
      </c>
      <c r="E14" s="12">
        <v>69</v>
      </c>
      <c r="F14" s="12">
        <v>49</v>
      </c>
      <c r="G14" s="12">
        <v>50</v>
      </c>
      <c r="H14" s="12">
        <v>58</v>
      </c>
      <c r="I14" s="12">
        <v>77</v>
      </c>
      <c r="J14" s="12">
        <v>18</v>
      </c>
      <c r="K14" s="12">
        <v>99</v>
      </c>
      <c r="L14" s="12">
        <v>69</v>
      </c>
      <c r="M14" s="12">
        <v>146</v>
      </c>
      <c r="N14" s="12">
        <v>77</v>
      </c>
      <c r="O14" s="12">
        <v>60</v>
      </c>
      <c r="P14" s="12">
        <v>69</v>
      </c>
      <c r="Q14" s="12">
        <v>36</v>
      </c>
      <c r="R14" s="12">
        <v>17</v>
      </c>
      <c r="S14" s="12">
        <v>54</v>
      </c>
      <c r="T14" s="12">
        <v>52</v>
      </c>
      <c r="U14" s="12">
        <v>19</v>
      </c>
      <c r="V14" s="12">
        <v>52</v>
      </c>
      <c r="W14" s="12">
        <v>26</v>
      </c>
      <c r="X14" s="12">
        <v>87</v>
      </c>
      <c r="Y14" s="12">
        <v>92</v>
      </c>
      <c r="Z14" s="12">
        <v>26</v>
      </c>
      <c r="AA14" s="12">
        <v>73</v>
      </c>
      <c r="AB14" s="12">
        <v>39</v>
      </c>
      <c r="AC14" s="12">
        <v>95</v>
      </c>
      <c r="AD14" s="12">
        <v>61</v>
      </c>
      <c r="AE14" s="12">
        <v>59</v>
      </c>
      <c r="AF14" s="12">
        <v>66</v>
      </c>
    </row>
    <row r="15" spans="1:32" ht="23.25">
      <c r="A15" s="23"/>
      <c r="B15" s="13" t="s">
        <v>1234</v>
      </c>
      <c r="C15" s="14">
        <v>0.11</v>
      </c>
      <c r="D15" s="14">
        <v>0.12</v>
      </c>
      <c r="E15" s="14">
        <v>0.1</v>
      </c>
      <c r="F15" s="14">
        <v>0.14000000000000001</v>
      </c>
      <c r="G15" s="14">
        <v>0.1</v>
      </c>
      <c r="H15" s="14">
        <v>0.11</v>
      </c>
      <c r="I15" s="14">
        <v>0.12</v>
      </c>
      <c r="J15" s="14">
        <v>0.13</v>
      </c>
      <c r="K15" s="14">
        <v>0.15</v>
      </c>
      <c r="L15" s="14">
        <v>0.16</v>
      </c>
      <c r="M15" s="14">
        <v>0.21</v>
      </c>
      <c r="N15" s="14">
        <v>0.11</v>
      </c>
      <c r="O15" s="14">
        <v>0.1</v>
      </c>
      <c r="P15" s="14">
        <v>0.14000000000000001</v>
      </c>
      <c r="Q15" s="14">
        <v>0.12</v>
      </c>
      <c r="R15" s="14">
        <v>0.06</v>
      </c>
      <c r="S15" s="14">
        <v>0.1</v>
      </c>
      <c r="T15" s="14">
        <v>0.12</v>
      </c>
      <c r="U15" s="14">
        <v>7.0000000000000007E-2</v>
      </c>
      <c r="V15" s="14">
        <v>7.0000000000000007E-2</v>
      </c>
      <c r="W15" s="14">
        <v>0.06</v>
      </c>
      <c r="X15" s="14">
        <v>0.1</v>
      </c>
      <c r="Y15" s="14">
        <v>0.17</v>
      </c>
      <c r="Z15" s="14">
        <v>0.08</v>
      </c>
      <c r="AA15" s="14">
        <v>0.08</v>
      </c>
      <c r="AB15" s="14">
        <v>0.06</v>
      </c>
      <c r="AC15" s="14">
        <v>0.14000000000000001</v>
      </c>
      <c r="AD15" s="14">
        <v>0.15</v>
      </c>
      <c r="AE15" s="14">
        <v>0.13</v>
      </c>
      <c r="AF15" s="14">
        <v>0.12</v>
      </c>
    </row>
    <row r="16" spans="1:32" ht="23.25">
      <c r="A16" s="23"/>
      <c r="B16" s="11" t="s">
        <v>1235</v>
      </c>
      <c r="C16" s="12">
        <v>2269</v>
      </c>
      <c r="D16" s="12">
        <v>72</v>
      </c>
      <c r="E16" s="12">
        <v>116</v>
      </c>
      <c r="F16" s="12">
        <v>48</v>
      </c>
      <c r="G16" s="12">
        <v>81</v>
      </c>
      <c r="H16" s="12">
        <v>95</v>
      </c>
      <c r="I16" s="12">
        <v>113</v>
      </c>
      <c r="J16" s="12">
        <v>17</v>
      </c>
      <c r="K16" s="12">
        <v>124</v>
      </c>
      <c r="L16" s="12">
        <v>74</v>
      </c>
      <c r="M16" s="12">
        <v>164</v>
      </c>
      <c r="N16" s="12">
        <v>128</v>
      </c>
      <c r="O16" s="12">
        <v>71</v>
      </c>
      <c r="P16" s="12">
        <v>89</v>
      </c>
      <c r="Q16" s="12">
        <v>65</v>
      </c>
      <c r="R16" s="12">
        <v>15</v>
      </c>
      <c r="S16" s="12">
        <v>79</v>
      </c>
      <c r="T16" s="12">
        <v>53</v>
      </c>
      <c r="U16" s="12">
        <v>15</v>
      </c>
      <c r="V16" s="12">
        <v>100</v>
      </c>
      <c r="W16" s="12">
        <v>20</v>
      </c>
      <c r="X16" s="12">
        <v>117</v>
      </c>
      <c r="Y16" s="12">
        <v>97</v>
      </c>
      <c r="Z16" s="12">
        <v>67</v>
      </c>
      <c r="AA16" s="12">
        <v>122</v>
      </c>
      <c r="AB16" s="12">
        <v>133</v>
      </c>
      <c r="AC16" s="12">
        <v>99</v>
      </c>
      <c r="AD16" s="12">
        <v>106</v>
      </c>
      <c r="AE16" s="12">
        <v>66</v>
      </c>
      <c r="AF16" s="12">
        <v>95</v>
      </c>
    </row>
    <row r="17" spans="1:32" ht="23.25">
      <c r="A17" s="23"/>
      <c r="B17" s="13" t="s">
        <v>1236</v>
      </c>
      <c r="C17" s="14">
        <v>0.17</v>
      </c>
      <c r="D17" s="14">
        <v>0.13</v>
      </c>
      <c r="E17" s="14">
        <v>0.17</v>
      </c>
      <c r="F17" s="14">
        <v>0.14000000000000001</v>
      </c>
      <c r="G17" s="14">
        <v>0.16</v>
      </c>
      <c r="H17" s="14">
        <v>0.18</v>
      </c>
      <c r="I17" s="14">
        <v>0.17</v>
      </c>
      <c r="J17" s="14">
        <v>0.12</v>
      </c>
      <c r="K17" s="14">
        <v>0.19</v>
      </c>
      <c r="L17" s="14">
        <v>0.17</v>
      </c>
      <c r="M17" s="14">
        <v>0.23</v>
      </c>
      <c r="N17" s="14">
        <v>0.18</v>
      </c>
      <c r="O17" s="14">
        <v>0.12</v>
      </c>
      <c r="P17" s="14">
        <v>0.17</v>
      </c>
      <c r="Q17" s="14">
        <v>0.23</v>
      </c>
      <c r="R17" s="14">
        <v>0.06</v>
      </c>
      <c r="S17" s="14">
        <v>0.14000000000000001</v>
      </c>
      <c r="T17" s="14">
        <v>0.12</v>
      </c>
      <c r="U17" s="14">
        <v>0.06</v>
      </c>
      <c r="V17" s="14">
        <v>0.12</v>
      </c>
      <c r="W17" s="14">
        <v>0.05</v>
      </c>
      <c r="X17" s="14">
        <v>0.14000000000000001</v>
      </c>
      <c r="Y17" s="14">
        <v>0.17</v>
      </c>
      <c r="Z17" s="14">
        <v>0.2</v>
      </c>
      <c r="AA17" s="14">
        <v>0.14000000000000001</v>
      </c>
      <c r="AB17" s="14">
        <v>0.21</v>
      </c>
      <c r="AC17" s="14">
        <v>0.15</v>
      </c>
      <c r="AD17" s="14">
        <v>0.26</v>
      </c>
      <c r="AE17" s="14">
        <v>0.14000000000000001</v>
      </c>
      <c r="AF17" s="14">
        <v>0.17</v>
      </c>
    </row>
    <row r="18" spans="1:32">
      <c r="A18" s="23"/>
      <c r="B18" s="11" t="s">
        <v>1237</v>
      </c>
      <c r="C18" s="12">
        <v>2694</v>
      </c>
      <c r="D18" s="12">
        <v>105</v>
      </c>
      <c r="E18" s="12">
        <v>180</v>
      </c>
      <c r="F18" s="12">
        <v>49</v>
      </c>
      <c r="G18" s="12">
        <v>66</v>
      </c>
      <c r="H18" s="12">
        <v>107</v>
      </c>
      <c r="I18" s="12">
        <v>132</v>
      </c>
      <c r="J18" s="12">
        <v>25</v>
      </c>
      <c r="K18" s="12">
        <v>144</v>
      </c>
      <c r="L18" s="12">
        <v>67</v>
      </c>
      <c r="M18" s="12">
        <v>180</v>
      </c>
      <c r="N18" s="12">
        <v>150</v>
      </c>
      <c r="O18" s="12">
        <v>90</v>
      </c>
      <c r="P18" s="12">
        <v>107</v>
      </c>
      <c r="Q18" s="12">
        <v>49</v>
      </c>
      <c r="R18" s="12">
        <v>20</v>
      </c>
      <c r="S18" s="12">
        <v>63</v>
      </c>
      <c r="T18" s="12">
        <v>74</v>
      </c>
      <c r="U18" s="12">
        <v>22</v>
      </c>
      <c r="V18" s="12">
        <v>226</v>
      </c>
      <c r="W18" s="12">
        <v>44</v>
      </c>
      <c r="X18" s="12">
        <v>154</v>
      </c>
      <c r="Y18" s="12">
        <v>59</v>
      </c>
      <c r="Z18" s="12">
        <v>87</v>
      </c>
      <c r="AA18" s="12">
        <v>180</v>
      </c>
      <c r="AB18" s="12">
        <v>166</v>
      </c>
      <c r="AC18" s="12">
        <v>120</v>
      </c>
      <c r="AD18" s="12">
        <v>113</v>
      </c>
      <c r="AE18" s="12">
        <v>97</v>
      </c>
      <c r="AF18" s="12">
        <v>98</v>
      </c>
    </row>
    <row r="19" spans="1:32" ht="23.25">
      <c r="A19" s="23"/>
      <c r="B19" s="13" t="s">
        <v>1238</v>
      </c>
      <c r="C19" s="14">
        <v>0.2</v>
      </c>
      <c r="D19" s="14">
        <v>0.19</v>
      </c>
      <c r="E19" s="14">
        <v>0.26</v>
      </c>
      <c r="F19" s="14">
        <v>0.14000000000000001</v>
      </c>
      <c r="G19" s="14">
        <v>0.13</v>
      </c>
      <c r="H19" s="14">
        <v>0.21</v>
      </c>
      <c r="I19" s="14">
        <v>0.2</v>
      </c>
      <c r="J19" s="14">
        <v>0.17</v>
      </c>
      <c r="K19" s="14">
        <v>0.22</v>
      </c>
      <c r="L19" s="14">
        <v>0.15</v>
      </c>
      <c r="M19" s="14">
        <v>0.25</v>
      </c>
      <c r="N19" s="14">
        <v>0.21</v>
      </c>
      <c r="O19" s="14">
        <v>0.16</v>
      </c>
      <c r="P19" s="14">
        <v>0.21</v>
      </c>
      <c r="Q19" s="14">
        <v>0.17</v>
      </c>
      <c r="R19" s="14">
        <v>7.0000000000000007E-2</v>
      </c>
      <c r="S19" s="14">
        <v>0.11</v>
      </c>
      <c r="T19" s="14">
        <v>0.17</v>
      </c>
      <c r="U19" s="14">
        <v>0.08</v>
      </c>
      <c r="V19" s="14">
        <v>0.28000000000000003</v>
      </c>
      <c r="W19" s="14">
        <v>0.11</v>
      </c>
      <c r="X19" s="14">
        <v>0.18</v>
      </c>
      <c r="Y19" s="14">
        <v>0.11</v>
      </c>
      <c r="Z19" s="14">
        <v>0.26</v>
      </c>
      <c r="AA19" s="14">
        <v>0.2</v>
      </c>
      <c r="AB19" s="14">
        <v>0.26</v>
      </c>
      <c r="AC19" s="14">
        <v>0.18</v>
      </c>
      <c r="AD19" s="14">
        <v>0.28000000000000003</v>
      </c>
      <c r="AE19" s="14">
        <v>0.21</v>
      </c>
      <c r="AF19" s="14">
        <v>0.18</v>
      </c>
    </row>
    <row r="20" spans="1:32">
      <c r="A20" s="23"/>
      <c r="B20" s="11" t="s">
        <v>1239</v>
      </c>
      <c r="C20" s="12">
        <v>5796</v>
      </c>
      <c r="D20" s="12">
        <v>252</v>
      </c>
      <c r="E20" s="12">
        <v>287</v>
      </c>
      <c r="F20" s="12">
        <v>155</v>
      </c>
      <c r="G20" s="12">
        <v>214</v>
      </c>
      <c r="H20" s="12">
        <v>206</v>
      </c>
      <c r="I20" s="12">
        <v>281</v>
      </c>
      <c r="J20" s="12">
        <v>75</v>
      </c>
      <c r="K20" s="12">
        <v>216</v>
      </c>
      <c r="L20" s="12">
        <v>156</v>
      </c>
      <c r="M20" s="12">
        <v>160</v>
      </c>
      <c r="N20" s="12">
        <v>266</v>
      </c>
      <c r="O20" s="12">
        <v>291</v>
      </c>
      <c r="P20" s="12">
        <v>201</v>
      </c>
      <c r="Q20" s="12">
        <v>111</v>
      </c>
      <c r="R20" s="12">
        <v>196</v>
      </c>
      <c r="S20" s="12">
        <v>321</v>
      </c>
      <c r="T20" s="12">
        <v>212</v>
      </c>
      <c r="U20" s="12">
        <v>199</v>
      </c>
      <c r="V20" s="12">
        <v>393</v>
      </c>
      <c r="W20" s="12">
        <v>288</v>
      </c>
      <c r="X20" s="12">
        <v>357</v>
      </c>
      <c r="Y20" s="12">
        <v>230</v>
      </c>
      <c r="Z20" s="12">
        <v>144</v>
      </c>
      <c r="AA20" s="12">
        <v>482</v>
      </c>
      <c r="AB20" s="12">
        <v>273</v>
      </c>
      <c r="AC20" s="12">
        <v>256</v>
      </c>
      <c r="AD20" s="12">
        <v>99</v>
      </c>
      <c r="AE20" s="12">
        <v>140</v>
      </c>
      <c r="AF20" s="12">
        <v>201</v>
      </c>
    </row>
    <row r="21" spans="1:32">
      <c r="A21" s="23"/>
      <c r="B21" s="13" t="s">
        <v>1240</v>
      </c>
      <c r="C21" s="14">
        <v>0.42</v>
      </c>
      <c r="D21" s="14">
        <v>0.46</v>
      </c>
      <c r="E21" s="14">
        <v>0.42</v>
      </c>
      <c r="F21" s="14">
        <v>0.44</v>
      </c>
      <c r="G21" s="14">
        <v>0.41</v>
      </c>
      <c r="H21" s="14">
        <v>0.39</v>
      </c>
      <c r="I21" s="14">
        <v>0.42</v>
      </c>
      <c r="J21" s="14">
        <v>0.52</v>
      </c>
      <c r="K21" s="14">
        <v>0.33</v>
      </c>
      <c r="L21" s="14">
        <v>0.36</v>
      </c>
      <c r="M21" s="14">
        <v>0.22</v>
      </c>
      <c r="N21" s="14">
        <v>0.38</v>
      </c>
      <c r="O21" s="14">
        <v>0.51</v>
      </c>
      <c r="P21" s="14">
        <v>0.4</v>
      </c>
      <c r="Q21" s="14">
        <v>0.39</v>
      </c>
      <c r="R21" s="14">
        <v>0.70000000000000007</v>
      </c>
      <c r="S21" s="14">
        <v>0.56000000000000005</v>
      </c>
      <c r="T21" s="14">
        <v>0.49</v>
      </c>
      <c r="U21" s="14">
        <v>0.74</v>
      </c>
      <c r="V21" s="14">
        <v>0.49</v>
      </c>
      <c r="W21" s="14">
        <v>0.71</v>
      </c>
      <c r="X21" s="14">
        <v>0.43</v>
      </c>
      <c r="Y21" s="14">
        <v>0.41</v>
      </c>
      <c r="Z21" s="14">
        <v>0.43</v>
      </c>
      <c r="AA21" s="14">
        <v>0.53</v>
      </c>
      <c r="AB21" s="14">
        <v>0.43</v>
      </c>
      <c r="AC21" s="14">
        <v>0.39</v>
      </c>
      <c r="AD21" s="14">
        <v>0.25</v>
      </c>
      <c r="AE21" s="14">
        <v>0.31</v>
      </c>
      <c r="AF21" s="14">
        <v>0.36</v>
      </c>
    </row>
    <row r="22" spans="1:32">
      <c r="A22" s="23"/>
      <c r="B22" s="11" t="s">
        <v>497</v>
      </c>
      <c r="C22" s="12">
        <v>161</v>
      </c>
      <c r="D22" s="12">
        <v>0</v>
      </c>
      <c r="E22" s="12">
        <v>3</v>
      </c>
      <c r="F22" s="12">
        <v>6</v>
      </c>
      <c r="G22" s="12">
        <v>3</v>
      </c>
      <c r="H22" s="12">
        <v>3</v>
      </c>
      <c r="I22" s="12">
        <v>3</v>
      </c>
      <c r="J22" s="12">
        <v>0</v>
      </c>
      <c r="K22" s="12">
        <v>17</v>
      </c>
      <c r="L22" s="12">
        <v>7</v>
      </c>
      <c r="M22" s="12">
        <v>4</v>
      </c>
      <c r="N22" s="12">
        <v>20</v>
      </c>
      <c r="O22" s="12">
        <v>4</v>
      </c>
      <c r="P22" s="12">
        <v>4</v>
      </c>
      <c r="Q22" s="12">
        <v>4</v>
      </c>
      <c r="R22" s="12">
        <v>1</v>
      </c>
      <c r="S22" s="12">
        <v>6</v>
      </c>
      <c r="T22" s="12">
        <v>20</v>
      </c>
      <c r="U22" s="12">
        <v>1</v>
      </c>
      <c r="V22" s="12">
        <v>13</v>
      </c>
      <c r="W22" s="12">
        <v>2</v>
      </c>
      <c r="X22" s="12">
        <v>2</v>
      </c>
      <c r="Y22" s="12">
        <v>17</v>
      </c>
      <c r="Z22" s="12">
        <v>0</v>
      </c>
      <c r="AA22" s="12">
        <v>28</v>
      </c>
      <c r="AB22" s="12">
        <v>10</v>
      </c>
      <c r="AC22" s="12">
        <v>13</v>
      </c>
      <c r="AD22" s="12">
        <v>4</v>
      </c>
      <c r="AE22" s="12">
        <v>5</v>
      </c>
      <c r="AF22" s="12">
        <v>1</v>
      </c>
    </row>
    <row r="23" spans="1:32">
      <c r="A23" s="23"/>
      <c r="B23" s="13" t="s">
        <v>498</v>
      </c>
      <c r="C23" s="14">
        <v>0.01</v>
      </c>
      <c r="D23" s="15" t="s">
        <v>485</v>
      </c>
      <c r="E23" s="14">
        <v>0.01</v>
      </c>
      <c r="F23" s="14">
        <v>0.02</v>
      </c>
      <c r="G23" s="14">
        <v>0.01</v>
      </c>
      <c r="H23" s="14">
        <v>0.01</v>
      </c>
      <c r="I23" s="15" t="s">
        <v>485</v>
      </c>
      <c r="J23" s="15" t="s">
        <v>485</v>
      </c>
      <c r="K23" s="14">
        <v>0.03</v>
      </c>
      <c r="L23" s="14">
        <v>0.02</v>
      </c>
      <c r="M23" s="14">
        <v>0.01</v>
      </c>
      <c r="N23" s="14">
        <v>0.03</v>
      </c>
      <c r="O23" s="14">
        <v>0.01</v>
      </c>
      <c r="P23" s="14">
        <v>0.01</v>
      </c>
      <c r="Q23" s="14">
        <v>0.01</v>
      </c>
      <c r="R23" s="15" t="s">
        <v>485</v>
      </c>
      <c r="S23" s="14">
        <v>0.01</v>
      </c>
      <c r="T23" s="14">
        <v>0.05</v>
      </c>
      <c r="U23" s="15" t="s">
        <v>485</v>
      </c>
      <c r="V23" s="14">
        <v>0.02</v>
      </c>
      <c r="W23" s="14">
        <v>0.01</v>
      </c>
      <c r="X23" s="15" t="s">
        <v>485</v>
      </c>
      <c r="Y23" s="14">
        <v>0.03</v>
      </c>
      <c r="Z23" s="15" t="s">
        <v>485</v>
      </c>
      <c r="AA23" s="14">
        <v>0.03</v>
      </c>
      <c r="AB23" s="14">
        <v>0.02</v>
      </c>
      <c r="AC23" s="14">
        <v>0.02</v>
      </c>
      <c r="AD23" s="14">
        <v>0.01</v>
      </c>
      <c r="AE23" s="14">
        <v>0.01</v>
      </c>
      <c r="AF23" s="15" t="s">
        <v>485</v>
      </c>
    </row>
    <row r="24" spans="1:32">
      <c r="A24" s="23"/>
      <c r="B24" s="11" t="s">
        <v>518</v>
      </c>
      <c r="C24" s="12">
        <v>7653</v>
      </c>
      <c r="D24" s="12">
        <v>299</v>
      </c>
      <c r="E24" s="12">
        <v>394</v>
      </c>
      <c r="F24" s="12">
        <v>188</v>
      </c>
      <c r="G24" s="12">
        <v>298</v>
      </c>
      <c r="H24" s="12">
        <v>314</v>
      </c>
      <c r="I24" s="12">
        <v>384</v>
      </c>
      <c r="J24" s="12">
        <v>68</v>
      </c>
      <c r="K24" s="12">
        <v>422</v>
      </c>
      <c r="L24" s="12">
        <v>272</v>
      </c>
      <c r="M24" s="12">
        <v>548</v>
      </c>
      <c r="N24" s="12">
        <v>418</v>
      </c>
      <c r="O24" s="12">
        <v>280</v>
      </c>
      <c r="P24" s="12">
        <v>301</v>
      </c>
      <c r="Q24" s="12">
        <v>173</v>
      </c>
      <c r="R24" s="12">
        <v>82</v>
      </c>
      <c r="S24" s="12">
        <v>241</v>
      </c>
      <c r="T24" s="12">
        <v>201</v>
      </c>
      <c r="U24" s="12">
        <v>68</v>
      </c>
      <c r="V24" s="12">
        <v>393</v>
      </c>
      <c r="W24" s="12">
        <v>116</v>
      </c>
      <c r="X24" s="12">
        <v>481</v>
      </c>
      <c r="Y24" s="12">
        <v>309</v>
      </c>
      <c r="Z24" s="12">
        <v>189</v>
      </c>
      <c r="AA24" s="12">
        <v>392</v>
      </c>
      <c r="AB24" s="12">
        <v>352</v>
      </c>
      <c r="AC24" s="12">
        <v>393</v>
      </c>
      <c r="AD24" s="12">
        <v>302</v>
      </c>
      <c r="AE24" s="12">
        <v>314</v>
      </c>
      <c r="AF24" s="12">
        <v>355</v>
      </c>
    </row>
    <row r="25" spans="1:32">
      <c r="A25" s="23"/>
      <c r="B25" s="13" t="s">
        <v>519</v>
      </c>
      <c r="C25" s="14">
        <v>0.57000000000000006</v>
      </c>
      <c r="D25" s="14">
        <v>0.54</v>
      </c>
      <c r="E25" s="14">
        <v>0.57000000000000006</v>
      </c>
      <c r="F25" s="14">
        <v>0.54</v>
      </c>
      <c r="G25" s="14">
        <v>0.57999999999999996</v>
      </c>
      <c r="H25" s="14">
        <v>0.6</v>
      </c>
      <c r="I25" s="14">
        <v>0.57999999999999996</v>
      </c>
      <c r="J25" s="14">
        <v>0.48</v>
      </c>
      <c r="K25" s="14">
        <v>0.64</v>
      </c>
      <c r="L25" s="14">
        <v>0.62</v>
      </c>
      <c r="M25" s="14">
        <v>0.77</v>
      </c>
      <c r="N25" s="14">
        <v>0.59</v>
      </c>
      <c r="O25" s="14">
        <v>0.48</v>
      </c>
      <c r="P25" s="14">
        <v>0.59</v>
      </c>
      <c r="Q25" s="14">
        <v>0.6</v>
      </c>
      <c r="R25" s="14">
        <v>0.3</v>
      </c>
      <c r="S25" s="14">
        <v>0.43</v>
      </c>
      <c r="T25" s="14">
        <v>0.46</v>
      </c>
      <c r="U25" s="14">
        <v>0.26</v>
      </c>
      <c r="V25" s="14">
        <v>0.49</v>
      </c>
      <c r="W25" s="14">
        <v>0.28000000000000003</v>
      </c>
      <c r="X25" s="14">
        <v>0.57000000000000006</v>
      </c>
      <c r="Y25" s="14">
        <v>0.56000000000000005</v>
      </c>
      <c r="Z25" s="14">
        <v>0.57000000000000006</v>
      </c>
      <c r="AA25" s="14">
        <v>0.44</v>
      </c>
      <c r="AB25" s="14">
        <v>0.55000000000000004</v>
      </c>
      <c r="AC25" s="14">
        <v>0.59</v>
      </c>
      <c r="AD25" s="14">
        <v>0.74</v>
      </c>
      <c r="AE25" s="14">
        <v>0.68</v>
      </c>
      <c r="AF25" s="14">
        <v>0.64</v>
      </c>
    </row>
  </sheetData>
  <mergeCells count="10">
    <mergeCell ref="B4:F4"/>
    <mergeCell ref="H3:L3"/>
    <mergeCell ref="A24:A25"/>
    <mergeCell ref="C8:AF8"/>
    <mergeCell ref="B3:F3"/>
    <mergeCell ref="B5:F5"/>
    <mergeCell ref="H5:L5"/>
    <mergeCell ref="B10:B11"/>
    <mergeCell ref="H4:L4"/>
    <mergeCell ref="A10:A23"/>
  </mergeCells>
  <pageMargins left="0.75" right="0.75" top="1" bottom="1" header="0.5" footer="0.5"/>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dimension ref="A1:AF29"/>
  <sheetViews>
    <sheetView workbookViewId="0">
      <pane xSplit="3" ySplit="9" topLeftCell="W22" activePane="bottomRight" state="frozen"/>
      <selection pane="bottomRight" activeCell="B9" sqref="B9:AF30"/>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213</v>
      </c>
      <c r="C3" s="19"/>
      <c r="D3" s="19"/>
      <c r="E3" s="19"/>
      <c r="F3" s="19"/>
      <c r="H3" s="19" t="s">
        <v>214</v>
      </c>
      <c r="I3" s="19"/>
      <c r="J3" s="19"/>
      <c r="K3" s="19"/>
      <c r="L3" s="19"/>
    </row>
    <row r="4" spans="1:32" ht="27" customHeight="1">
      <c r="B4" s="19"/>
      <c r="C4" s="19"/>
      <c r="D4" s="19"/>
      <c r="E4" s="19"/>
      <c r="F4" s="19"/>
      <c r="H4" s="19"/>
      <c r="I4" s="19"/>
      <c r="J4" s="19"/>
      <c r="K4" s="19"/>
      <c r="L4" s="19"/>
    </row>
    <row r="5" spans="1:32" ht="12" customHeight="1">
      <c r="B5" s="19" t="s">
        <v>1241</v>
      </c>
      <c r="C5" s="19"/>
      <c r="D5" s="19"/>
      <c r="E5" s="19"/>
      <c r="F5" s="19"/>
      <c r="H5" s="19" t="s">
        <v>1242</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HYPERLINK("#Content!A108","&lt;&lt;Back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7653</v>
      </c>
      <c r="D10" s="10">
        <v>299</v>
      </c>
      <c r="E10" s="10">
        <v>394</v>
      </c>
      <c r="F10" s="10">
        <v>188</v>
      </c>
      <c r="G10" s="10">
        <v>298</v>
      </c>
      <c r="H10" s="10">
        <v>314</v>
      </c>
      <c r="I10" s="10">
        <v>384</v>
      </c>
      <c r="J10" s="10">
        <v>68</v>
      </c>
      <c r="K10" s="10">
        <v>422</v>
      </c>
      <c r="L10" s="10">
        <v>272</v>
      </c>
      <c r="M10" s="10">
        <v>548</v>
      </c>
      <c r="N10" s="10">
        <v>418</v>
      </c>
      <c r="O10" s="10">
        <v>280</v>
      </c>
      <c r="P10" s="10">
        <v>301</v>
      </c>
      <c r="Q10" s="10">
        <v>173</v>
      </c>
      <c r="R10" s="10">
        <v>82</v>
      </c>
      <c r="S10" s="10">
        <v>241</v>
      </c>
      <c r="T10" s="10">
        <v>201</v>
      </c>
      <c r="U10" s="10">
        <v>68</v>
      </c>
      <c r="V10" s="10">
        <v>393</v>
      </c>
      <c r="W10" s="10">
        <v>116</v>
      </c>
      <c r="X10" s="10">
        <v>481</v>
      </c>
      <c r="Y10" s="10">
        <v>309</v>
      </c>
      <c r="Z10" s="10">
        <v>189</v>
      </c>
      <c r="AA10" s="10">
        <v>392</v>
      </c>
      <c r="AB10" s="10">
        <v>352</v>
      </c>
      <c r="AC10" s="10">
        <v>393</v>
      </c>
      <c r="AD10" s="10">
        <v>302</v>
      </c>
      <c r="AE10" s="10">
        <v>314</v>
      </c>
      <c r="AF10" s="10">
        <v>355</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45.75">
      <c r="A12" s="23"/>
      <c r="B12" s="11" t="s">
        <v>1243</v>
      </c>
      <c r="C12" s="12">
        <v>1654</v>
      </c>
      <c r="D12" s="12">
        <v>62</v>
      </c>
      <c r="E12" s="12">
        <v>75</v>
      </c>
      <c r="F12" s="12">
        <v>23</v>
      </c>
      <c r="G12" s="12">
        <v>38</v>
      </c>
      <c r="H12" s="12">
        <v>104</v>
      </c>
      <c r="I12" s="12">
        <v>126</v>
      </c>
      <c r="J12" s="12">
        <v>22</v>
      </c>
      <c r="K12" s="12">
        <v>46</v>
      </c>
      <c r="L12" s="12">
        <v>75</v>
      </c>
      <c r="M12" s="12">
        <v>64</v>
      </c>
      <c r="N12" s="12">
        <v>73</v>
      </c>
      <c r="O12" s="12">
        <v>78</v>
      </c>
      <c r="P12" s="12">
        <v>79</v>
      </c>
      <c r="Q12" s="12">
        <v>40</v>
      </c>
      <c r="R12" s="12">
        <v>21</v>
      </c>
      <c r="S12" s="12">
        <v>44</v>
      </c>
      <c r="T12" s="12">
        <v>23</v>
      </c>
      <c r="U12" s="12">
        <v>19</v>
      </c>
      <c r="V12" s="12">
        <v>62</v>
      </c>
      <c r="W12" s="12">
        <v>30</v>
      </c>
      <c r="X12" s="12">
        <v>102</v>
      </c>
      <c r="Y12" s="12">
        <v>50</v>
      </c>
      <c r="Z12" s="12">
        <v>21</v>
      </c>
      <c r="AA12" s="12">
        <v>64</v>
      </c>
      <c r="AB12" s="12">
        <v>68</v>
      </c>
      <c r="AC12" s="12">
        <v>52</v>
      </c>
      <c r="AD12" s="12">
        <v>72</v>
      </c>
      <c r="AE12" s="12">
        <v>17</v>
      </c>
      <c r="AF12" s="12">
        <v>66</v>
      </c>
    </row>
    <row r="13" spans="1:32" ht="34.5">
      <c r="A13" s="23"/>
      <c r="B13" s="13" t="s">
        <v>1244</v>
      </c>
      <c r="C13" s="14">
        <v>0.22</v>
      </c>
      <c r="D13" s="14">
        <v>0.21</v>
      </c>
      <c r="E13" s="14">
        <v>0.19</v>
      </c>
      <c r="F13" s="14">
        <v>0.12</v>
      </c>
      <c r="G13" s="14">
        <v>0.13</v>
      </c>
      <c r="H13" s="14">
        <v>0.33</v>
      </c>
      <c r="I13" s="14">
        <v>0.33</v>
      </c>
      <c r="J13" s="14">
        <v>0.32</v>
      </c>
      <c r="K13" s="14">
        <v>0.11</v>
      </c>
      <c r="L13" s="14">
        <v>0.27</v>
      </c>
      <c r="M13" s="14">
        <v>0.12</v>
      </c>
      <c r="N13" s="14">
        <v>0.17</v>
      </c>
      <c r="O13" s="14">
        <v>0.28000000000000003</v>
      </c>
      <c r="P13" s="14">
        <v>0.26</v>
      </c>
      <c r="Q13" s="14">
        <v>0.23</v>
      </c>
      <c r="R13" s="14">
        <v>0.25</v>
      </c>
      <c r="S13" s="14">
        <v>0.18</v>
      </c>
      <c r="T13" s="14">
        <v>0.12</v>
      </c>
      <c r="U13" s="14">
        <v>0.28000000000000003</v>
      </c>
      <c r="V13" s="14">
        <v>0.16</v>
      </c>
      <c r="W13" s="14">
        <v>0.26</v>
      </c>
      <c r="X13" s="14">
        <v>0.21</v>
      </c>
      <c r="Y13" s="14">
        <v>0.16</v>
      </c>
      <c r="Z13" s="14">
        <v>0.11</v>
      </c>
      <c r="AA13" s="14">
        <v>0.16</v>
      </c>
      <c r="AB13" s="14">
        <v>0.19</v>
      </c>
      <c r="AC13" s="14">
        <v>0.13</v>
      </c>
      <c r="AD13" s="14">
        <v>0.24</v>
      </c>
      <c r="AE13" s="14">
        <v>0.06</v>
      </c>
      <c r="AF13" s="14">
        <v>0.19</v>
      </c>
    </row>
    <row r="14" spans="1:32" ht="34.5">
      <c r="A14" s="23"/>
      <c r="B14" s="11" t="s">
        <v>1245</v>
      </c>
      <c r="C14" s="12">
        <v>298</v>
      </c>
      <c r="D14" s="12">
        <v>30</v>
      </c>
      <c r="E14" s="12">
        <v>13</v>
      </c>
      <c r="F14" s="12">
        <v>6</v>
      </c>
      <c r="G14" s="12">
        <v>2</v>
      </c>
      <c r="H14" s="12">
        <v>15</v>
      </c>
      <c r="I14" s="12">
        <v>16</v>
      </c>
      <c r="J14" s="12">
        <v>2</v>
      </c>
      <c r="K14" s="12">
        <v>6</v>
      </c>
      <c r="L14" s="12">
        <v>5</v>
      </c>
      <c r="M14" s="12">
        <v>10</v>
      </c>
      <c r="N14" s="12">
        <v>6</v>
      </c>
      <c r="O14" s="12">
        <v>2</v>
      </c>
      <c r="P14" s="12">
        <v>25</v>
      </c>
      <c r="Q14" s="12">
        <v>16</v>
      </c>
      <c r="R14" s="12">
        <v>2</v>
      </c>
      <c r="S14" s="12">
        <v>0</v>
      </c>
      <c r="T14" s="12">
        <v>2</v>
      </c>
      <c r="U14" s="12">
        <v>2</v>
      </c>
      <c r="V14" s="12">
        <v>17</v>
      </c>
      <c r="W14" s="12">
        <v>4</v>
      </c>
      <c r="X14" s="12">
        <v>20</v>
      </c>
      <c r="Y14" s="12">
        <v>59</v>
      </c>
      <c r="Z14" s="12">
        <v>13</v>
      </c>
      <c r="AA14" s="12">
        <v>7</v>
      </c>
      <c r="AB14" s="12">
        <v>13</v>
      </c>
      <c r="AC14" s="12">
        <v>1</v>
      </c>
      <c r="AD14" s="12">
        <v>7</v>
      </c>
      <c r="AE14" s="12">
        <v>4</v>
      </c>
      <c r="AF14" s="12">
        <v>9</v>
      </c>
    </row>
    <row r="15" spans="1:32" ht="23.25">
      <c r="A15" s="23"/>
      <c r="B15" s="13" t="s">
        <v>1246</v>
      </c>
      <c r="C15" s="14">
        <v>0.04</v>
      </c>
      <c r="D15" s="14">
        <v>0.1</v>
      </c>
      <c r="E15" s="14">
        <v>0.03</v>
      </c>
      <c r="F15" s="14">
        <v>0.03</v>
      </c>
      <c r="G15" s="14">
        <v>0.01</v>
      </c>
      <c r="H15" s="14">
        <v>0.05</v>
      </c>
      <c r="I15" s="14">
        <v>0.04</v>
      </c>
      <c r="J15" s="14">
        <v>0.03</v>
      </c>
      <c r="K15" s="14">
        <v>0.01</v>
      </c>
      <c r="L15" s="14">
        <v>0.02</v>
      </c>
      <c r="M15" s="14">
        <v>0.02</v>
      </c>
      <c r="N15" s="14">
        <v>0.01</v>
      </c>
      <c r="O15" s="14">
        <v>0.01</v>
      </c>
      <c r="P15" s="14">
        <v>0.08</v>
      </c>
      <c r="Q15" s="14">
        <v>0.1</v>
      </c>
      <c r="R15" s="14">
        <v>0.03</v>
      </c>
      <c r="S15" s="15" t="s">
        <v>485</v>
      </c>
      <c r="T15" s="14">
        <v>0.01</v>
      </c>
      <c r="U15" s="14">
        <v>0.02</v>
      </c>
      <c r="V15" s="14">
        <v>0.04</v>
      </c>
      <c r="W15" s="14">
        <v>0.03</v>
      </c>
      <c r="X15" s="14">
        <v>0.04</v>
      </c>
      <c r="Y15" s="14">
        <v>0.19</v>
      </c>
      <c r="Z15" s="14">
        <v>7.0000000000000007E-2</v>
      </c>
      <c r="AA15" s="14">
        <v>0.02</v>
      </c>
      <c r="AB15" s="14">
        <v>0.04</v>
      </c>
      <c r="AC15" s="15" t="s">
        <v>485</v>
      </c>
      <c r="AD15" s="14">
        <v>0.02</v>
      </c>
      <c r="AE15" s="14">
        <v>0.01</v>
      </c>
      <c r="AF15" s="14">
        <v>0.03</v>
      </c>
    </row>
    <row r="16" spans="1:32" ht="57">
      <c r="A16" s="23"/>
      <c r="B16" s="11" t="s">
        <v>1247</v>
      </c>
      <c r="C16" s="12">
        <v>1358</v>
      </c>
      <c r="D16" s="12">
        <v>71</v>
      </c>
      <c r="E16" s="12">
        <v>60</v>
      </c>
      <c r="F16" s="12">
        <v>25</v>
      </c>
      <c r="G16" s="12">
        <v>39</v>
      </c>
      <c r="H16" s="12">
        <v>94</v>
      </c>
      <c r="I16" s="12">
        <v>116</v>
      </c>
      <c r="J16" s="12">
        <v>22</v>
      </c>
      <c r="K16" s="12">
        <v>46</v>
      </c>
      <c r="L16" s="12">
        <v>23</v>
      </c>
      <c r="M16" s="12">
        <v>69</v>
      </c>
      <c r="N16" s="12">
        <v>34</v>
      </c>
      <c r="O16" s="12">
        <v>31</v>
      </c>
      <c r="P16" s="12">
        <v>89</v>
      </c>
      <c r="Q16" s="12">
        <v>44</v>
      </c>
      <c r="R16" s="12">
        <v>18</v>
      </c>
      <c r="S16" s="12">
        <v>10</v>
      </c>
      <c r="T16" s="12">
        <v>14</v>
      </c>
      <c r="U16" s="12">
        <v>8</v>
      </c>
      <c r="V16" s="12">
        <v>88</v>
      </c>
      <c r="W16" s="12">
        <v>12</v>
      </c>
      <c r="X16" s="12">
        <v>73</v>
      </c>
      <c r="Y16" s="12">
        <v>85</v>
      </c>
      <c r="Z16" s="12">
        <v>40</v>
      </c>
      <c r="AA16" s="12">
        <v>26</v>
      </c>
      <c r="AB16" s="12">
        <v>72</v>
      </c>
      <c r="AC16" s="12">
        <v>55</v>
      </c>
      <c r="AD16" s="12">
        <v>46</v>
      </c>
      <c r="AE16" s="12">
        <v>29</v>
      </c>
      <c r="AF16" s="12">
        <v>77</v>
      </c>
    </row>
    <row r="17" spans="1:32" ht="34.5">
      <c r="A17" s="23"/>
      <c r="B17" s="13" t="s">
        <v>1248</v>
      </c>
      <c r="C17" s="14">
        <v>0.18</v>
      </c>
      <c r="D17" s="14">
        <v>0.24</v>
      </c>
      <c r="E17" s="14">
        <v>0.15</v>
      </c>
      <c r="F17" s="14">
        <v>0.14000000000000001</v>
      </c>
      <c r="G17" s="14">
        <v>0.13</v>
      </c>
      <c r="H17" s="14">
        <v>0.3</v>
      </c>
      <c r="I17" s="14">
        <v>0.3</v>
      </c>
      <c r="J17" s="14">
        <v>0.32</v>
      </c>
      <c r="K17" s="14">
        <v>0.11</v>
      </c>
      <c r="L17" s="14">
        <v>0.09</v>
      </c>
      <c r="M17" s="14">
        <v>0.13</v>
      </c>
      <c r="N17" s="14">
        <v>0.08</v>
      </c>
      <c r="O17" s="14">
        <v>0.11</v>
      </c>
      <c r="P17" s="14">
        <v>0.3</v>
      </c>
      <c r="Q17" s="14">
        <v>0.26</v>
      </c>
      <c r="R17" s="14">
        <v>0.22</v>
      </c>
      <c r="S17" s="14">
        <v>0.04</v>
      </c>
      <c r="T17" s="14">
        <v>7.0000000000000007E-2</v>
      </c>
      <c r="U17" s="14">
        <v>0.12</v>
      </c>
      <c r="V17" s="14">
        <v>0.22</v>
      </c>
      <c r="W17" s="14">
        <v>0.1</v>
      </c>
      <c r="X17" s="14">
        <v>0.15</v>
      </c>
      <c r="Y17" s="14">
        <v>0.27</v>
      </c>
      <c r="Z17" s="14">
        <v>0.21</v>
      </c>
      <c r="AA17" s="14">
        <v>7.0000000000000007E-2</v>
      </c>
      <c r="AB17" s="14">
        <v>0.21</v>
      </c>
      <c r="AC17" s="14">
        <v>0.14000000000000001</v>
      </c>
      <c r="AD17" s="14">
        <v>0.15</v>
      </c>
      <c r="AE17" s="14">
        <v>0.09</v>
      </c>
      <c r="AF17" s="14">
        <v>0.22</v>
      </c>
    </row>
    <row r="18" spans="1:32" ht="34.5">
      <c r="A18" s="23"/>
      <c r="B18" s="11" t="s">
        <v>1249</v>
      </c>
      <c r="C18" s="12">
        <v>956</v>
      </c>
      <c r="D18" s="12">
        <v>44</v>
      </c>
      <c r="E18" s="12">
        <v>75</v>
      </c>
      <c r="F18" s="12">
        <v>29</v>
      </c>
      <c r="G18" s="12">
        <v>18</v>
      </c>
      <c r="H18" s="12">
        <v>68</v>
      </c>
      <c r="I18" s="12">
        <v>82</v>
      </c>
      <c r="J18" s="12">
        <v>14</v>
      </c>
      <c r="K18" s="12">
        <v>54</v>
      </c>
      <c r="L18" s="12">
        <v>16</v>
      </c>
      <c r="M18" s="12">
        <v>61</v>
      </c>
      <c r="N18" s="12">
        <v>24</v>
      </c>
      <c r="O18" s="12">
        <v>24</v>
      </c>
      <c r="P18" s="12">
        <v>58</v>
      </c>
      <c r="Q18" s="12">
        <v>19</v>
      </c>
      <c r="R18" s="12">
        <v>12</v>
      </c>
      <c r="S18" s="12">
        <v>11</v>
      </c>
      <c r="T18" s="12">
        <v>28</v>
      </c>
      <c r="U18" s="12">
        <v>9</v>
      </c>
      <c r="V18" s="12">
        <v>82</v>
      </c>
      <c r="W18" s="12">
        <v>18</v>
      </c>
      <c r="X18" s="12">
        <v>33</v>
      </c>
      <c r="Y18" s="12">
        <v>66</v>
      </c>
      <c r="Z18" s="12">
        <v>16</v>
      </c>
      <c r="AA18" s="12">
        <v>18</v>
      </c>
      <c r="AB18" s="12">
        <v>83</v>
      </c>
      <c r="AC18" s="12">
        <v>42</v>
      </c>
      <c r="AD18" s="12">
        <v>40</v>
      </c>
      <c r="AE18" s="12">
        <v>21</v>
      </c>
      <c r="AF18" s="12">
        <v>61</v>
      </c>
    </row>
    <row r="19" spans="1:32" ht="34.5">
      <c r="A19" s="23"/>
      <c r="B19" s="13" t="s">
        <v>1250</v>
      </c>
      <c r="C19" s="14">
        <v>0.12</v>
      </c>
      <c r="D19" s="14">
        <v>0.15</v>
      </c>
      <c r="E19" s="14">
        <v>0.19</v>
      </c>
      <c r="F19" s="14">
        <v>0.16</v>
      </c>
      <c r="G19" s="14">
        <v>0.06</v>
      </c>
      <c r="H19" s="14">
        <v>0.22</v>
      </c>
      <c r="I19" s="14">
        <v>0.21</v>
      </c>
      <c r="J19" s="14">
        <v>0.21</v>
      </c>
      <c r="K19" s="14">
        <v>0.13</v>
      </c>
      <c r="L19" s="14">
        <v>0.06</v>
      </c>
      <c r="M19" s="14">
        <v>0.11</v>
      </c>
      <c r="N19" s="14">
        <v>0.06</v>
      </c>
      <c r="O19" s="14">
        <v>0.08</v>
      </c>
      <c r="P19" s="14">
        <v>0.19</v>
      </c>
      <c r="Q19" s="14">
        <v>0.11</v>
      </c>
      <c r="R19" s="14">
        <v>0.15</v>
      </c>
      <c r="S19" s="14">
        <v>0.04</v>
      </c>
      <c r="T19" s="14">
        <v>0.14000000000000001</v>
      </c>
      <c r="U19" s="14">
        <v>0.13</v>
      </c>
      <c r="V19" s="14">
        <v>0.21</v>
      </c>
      <c r="W19" s="14">
        <v>0.16</v>
      </c>
      <c r="X19" s="14">
        <v>7.0000000000000007E-2</v>
      </c>
      <c r="Y19" s="14">
        <v>0.21</v>
      </c>
      <c r="Z19" s="14">
        <v>0.09</v>
      </c>
      <c r="AA19" s="14">
        <v>0.05</v>
      </c>
      <c r="AB19" s="14">
        <v>0.24</v>
      </c>
      <c r="AC19" s="14">
        <v>0.11</v>
      </c>
      <c r="AD19" s="14">
        <v>0.13</v>
      </c>
      <c r="AE19" s="14">
        <v>7.0000000000000007E-2</v>
      </c>
      <c r="AF19" s="14">
        <v>0.17</v>
      </c>
    </row>
    <row r="20" spans="1:32" ht="68.25">
      <c r="A20" s="23"/>
      <c r="B20" s="11" t="s">
        <v>1251</v>
      </c>
      <c r="C20" s="12">
        <v>293</v>
      </c>
      <c r="D20" s="12">
        <v>15</v>
      </c>
      <c r="E20" s="12">
        <v>29</v>
      </c>
      <c r="F20" s="12">
        <v>12</v>
      </c>
      <c r="G20" s="12">
        <v>0</v>
      </c>
      <c r="H20" s="12">
        <v>2</v>
      </c>
      <c r="I20" s="12">
        <v>2</v>
      </c>
      <c r="J20" s="12">
        <v>0</v>
      </c>
      <c r="K20" s="12">
        <v>9</v>
      </c>
      <c r="L20" s="12">
        <v>5</v>
      </c>
      <c r="M20" s="12">
        <v>22</v>
      </c>
      <c r="N20" s="12">
        <v>11</v>
      </c>
      <c r="O20" s="12">
        <v>7</v>
      </c>
      <c r="P20" s="12">
        <v>40</v>
      </c>
      <c r="Q20" s="12">
        <v>15</v>
      </c>
      <c r="R20" s="12">
        <v>13</v>
      </c>
      <c r="S20" s="12">
        <v>23</v>
      </c>
      <c r="T20" s="12">
        <v>5</v>
      </c>
      <c r="U20" s="12">
        <v>6</v>
      </c>
      <c r="V20" s="12">
        <v>13</v>
      </c>
      <c r="W20" s="12">
        <v>10</v>
      </c>
      <c r="X20" s="12">
        <v>10</v>
      </c>
      <c r="Y20" s="12">
        <v>51</v>
      </c>
      <c r="Z20" s="12">
        <v>6</v>
      </c>
      <c r="AA20" s="12">
        <v>5</v>
      </c>
      <c r="AB20" s="12">
        <v>41</v>
      </c>
      <c r="AC20" s="12">
        <v>17</v>
      </c>
      <c r="AD20" s="12">
        <v>20</v>
      </c>
      <c r="AE20" s="12">
        <v>1</v>
      </c>
      <c r="AF20" s="12">
        <v>4</v>
      </c>
    </row>
    <row r="21" spans="1:32" ht="57">
      <c r="A21" s="23"/>
      <c r="B21" s="13" t="s">
        <v>1252</v>
      </c>
      <c r="C21" s="14">
        <v>0.04</v>
      </c>
      <c r="D21" s="14">
        <v>0.05</v>
      </c>
      <c r="E21" s="14">
        <v>7.0000000000000007E-2</v>
      </c>
      <c r="F21" s="14">
        <v>7.0000000000000007E-2</v>
      </c>
      <c r="G21" s="15" t="s">
        <v>485</v>
      </c>
      <c r="H21" s="14">
        <v>0.01</v>
      </c>
      <c r="I21" s="14">
        <v>0.01</v>
      </c>
      <c r="J21" s="15" t="s">
        <v>485</v>
      </c>
      <c r="K21" s="14">
        <v>0.02</v>
      </c>
      <c r="L21" s="14">
        <v>0.02</v>
      </c>
      <c r="M21" s="14">
        <v>0.04</v>
      </c>
      <c r="N21" s="14">
        <v>0.03</v>
      </c>
      <c r="O21" s="14">
        <v>0.03</v>
      </c>
      <c r="P21" s="14">
        <v>0.13</v>
      </c>
      <c r="Q21" s="14">
        <v>0.09</v>
      </c>
      <c r="R21" s="14">
        <v>0.16</v>
      </c>
      <c r="S21" s="14">
        <v>0.1</v>
      </c>
      <c r="T21" s="14">
        <v>0.02</v>
      </c>
      <c r="U21" s="14">
        <v>0.08</v>
      </c>
      <c r="V21" s="14">
        <v>0.03</v>
      </c>
      <c r="W21" s="14">
        <v>0.09</v>
      </c>
      <c r="X21" s="14">
        <v>0.02</v>
      </c>
      <c r="Y21" s="14">
        <v>0.16</v>
      </c>
      <c r="Z21" s="14">
        <v>0.03</v>
      </c>
      <c r="AA21" s="14">
        <v>0.01</v>
      </c>
      <c r="AB21" s="14">
        <v>0.12</v>
      </c>
      <c r="AC21" s="14">
        <v>0.04</v>
      </c>
      <c r="AD21" s="14">
        <v>0.06</v>
      </c>
      <c r="AE21" s="15" t="s">
        <v>485</v>
      </c>
      <c r="AF21" s="14">
        <v>0.01</v>
      </c>
    </row>
    <row r="22" spans="1:32" ht="45.75">
      <c r="A22" s="23"/>
      <c r="B22" s="11" t="s">
        <v>1253</v>
      </c>
      <c r="C22" s="12">
        <v>477</v>
      </c>
      <c r="D22" s="12">
        <v>29</v>
      </c>
      <c r="E22" s="12">
        <v>52</v>
      </c>
      <c r="F22" s="12">
        <v>19</v>
      </c>
      <c r="G22" s="12">
        <v>14</v>
      </c>
      <c r="H22" s="12">
        <v>19</v>
      </c>
      <c r="I22" s="12">
        <v>24</v>
      </c>
      <c r="J22" s="12">
        <v>5</v>
      </c>
      <c r="K22" s="12">
        <v>40</v>
      </c>
      <c r="L22" s="12">
        <v>18</v>
      </c>
      <c r="M22" s="12">
        <v>52</v>
      </c>
      <c r="N22" s="12">
        <v>15</v>
      </c>
      <c r="O22" s="12">
        <v>8</v>
      </c>
      <c r="P22" s="12">
        <v>23</v>
      </c>
      <c r="Q22" s="12">
        <v>7</v>
      </c>
      <c r="R22" s="12">
        <v>19</v>
      </c>
      <c r="S22" s="12">
        <v>17</v>
      </c>
      <c r="T22" s="12">
        <v>22</v>
      </c>
      <c r="U22" s="12">
        <v>4</v>
      </c>
      <c r="V22" s="12">
        <v>45</v>
      </c>
      <c r="W22" s="12">
        <v>11</v>
      </c>
      <c r="X22" s="12">
        <v>31</v>
      </c>
      <c r="Y22" s="12">
        <v>44</v>
      </c>
      <c r="Z22" s="12">
        <v>9</v>
      </c>
      <c r="AA22" s="12">
        <v>9</v>
      </c>
      <c r="AB22" s="12">
        <v>46</v>
      </c>
      <c r="AC22" s="12">
        <v>21</v>
      </c>
      <c r="AD22" s="12">
        <v>30</v>
      </c>
      <c r="AE22" s="12">
        <v>15</v>
      </c>
      <c r="AF22" s="12">
        <v>34</v>
      </c>
    </row>
    <row r="23" spans="1:32" ht="34.5">
      <c r="A23" s="23"/>
      <c r="B23" s="13" t="s">
        <v>1254</v>
      </c>
      <c r="C23" s="14">
        <v>0.06</v>
      </c>
      <c r="D23" s="14">
        <v>0.1</v>
      </c>
      <c r="E23" s="14">
        <v>0.13</v>
      </c>
      <c r="F23" s="14">
        <v>0.1</v>
      </c>
      <c r="G23" s="14">
        <v>0.05</v>
      </c>
      <c r="H23" s="14">
        <v>0.06</v>
      </c>
      <c r="I23" s="14">
        <v>0.06</v>
      </c>
      <c r="J23" s="14">
        <v>7.0000000000000007E-2</v>
      </c>
      <c r="K23" s="14">
        <v>0.1</v>
      </c>
      <c r="L23" s="14">
        <v>7.0000000000000007E-2</v>
      </c>
      <c r="M23" s="14">
        <v>0.09</v>
      </c>
      <c r="N23" s="14">
        <v>0.04</v>
      </c>
      <c r="O23" s="14">
        <v>0.03</v>
      </c>
      <c r="P23" s="14">
        <v>0.08</v>
      </c>
      <c r="Q23" s="14">
        <v>0.04</v>
      </c>
      <c r="R23" s="14">
        <v>0.23</v>
      </c>
      <c r="S23" s="14">
        <v>7.0000000000000007E-2</v>
      </c>
      <c r="T23" s="14">
        <v>0.11</v>
      </c>
      <c r="U23" s="14">
        <v>0.05</v>
      </c>
      <c r="V23" s="14">
        <v>0.11</v>
      </c>
      <c r="W23" s="14">
        <v>0.1</v>
      </c>
      <c r="X23" s="14">
        <v>0.06</v>
      </c>
      <c r="Y23" s="14">
        <v>0.14000000000000001</v>
      </c>
      <c r="Z23" s="14">
        <v>0.05</v>
      </c>
      <c r="AA23" s="14">
        <v>0.02</v>
      </c>
      <c r="AB23" s="14">
        <v>0.13</v>
      </c>
      <c r="AC23" s="14">
        <v>0.05</v>
      </c>
      <c r="AD23" s="14">
        <v>0.1</v>
      </c>
      <c r="AE23" s="14">
        <v>0.05</v>
      </c>
      <c r="AF23" s="14">
        <v>0.1</v>
      </c>
    </row>
    <row r="24" spans="1:32">
      <c r="A24" s="23"/>
      <c r="B24" s="11" t="s">
        <v>550</v>
      </c>
      <c r="C24" s="12">
        <v>99</v>
      </c>
      <c r="D24" s="12">
        <v>3</v>
      </c>
      <c r="E24" s="12">
        <v>3</v>
      </c>
      <c r="F24" s="12">
        <v>1</v>
      </c>
      <c r="G24" s="12">
        <v>3</v>
      </c>
      <c r="H24" s="12">
        <v>3</v>
      </c>
      <c r="I24" s="12">
        <v>3</v>
      </c>
      <c r="J24" s="12">
        <v>0</v>
      </c>
      <c r="K24" s="12">
        <v>11</v>
      </c>
      <c r="L24" s="12">
        <v>1</v>
      </c>
      <c r="M24" s="12">
        <v>4</v>
      </c>
      <c r="N24" s="12">
        <v>7</v>
      </c>
      <c r="O24" s="12">
        <v>7</v>
      </c>
      <c r="P24" s="12">
        <v>1</v>
      </c>
      <c r="Q24" s="12">
        <v>0</v>
      </c>
      <c r="R24" s="12">
        <v>0</v>
      </c>
      <c r="S24" s="12">
        <v>3</v>
      </c>
      <c r="T24" s="12">
        <v>1</v>
      </c>
      <c r="U24" s="12">
        <v>4</v>
      </c>
      <c r="V24" s="12">
        <v>2</v>
      </c>
      <c r="W24" s="12">
        <v>6</v>
      </c>
      <c r="X24" s="12">
        <v>5</v>
      </c>
      <c r="Y24" s="12">
        <v>9</v>
      </c>
      <c r="Z24" s="12">
        <v>2</v>
      </c>
      <c r="AA24" s="12">
        <v>4</v>
      </c>
      <c r="AB24" s="12">
        <v>7</v>
      </c>
      <c r="AC24" s="12">
        <v>5</v>
      </c>
      <c r="AD24" s="12">
        <v>3</v>
      </c>
      <c r="AE24" s="12">
        <v>4</v>
      </c>
      <c r="AF24" s="12">
        <v>4</v>
      </c>
    </row>
    <row r="25" spans="1:32">
      <c r="A25" s="23"/>
      <c r="B25" s="13" t="s">
        <v>551</v>
      </c>
      <c r="C25" s="14">
        <v>0.01</v>
      </c>
      <c r="D25" s="14">
        <v>0.01</v>
      </c>
      <c r="E25" s="14">
        <v>0.01</v>
      </c>
      <c r="F25" s="14">
        <v>0.01</v>
      </c>
      <c r="G25" s="14">
        <v>0.01</v>
      </c>
      <c r="H25" s="14">
        <v>0.01</v>
      </c>
      <c r="I25" s="14">
        <v>0.01</v>
      </c>
      <c r="J25" s="15" t="s">
        <v>485</v>
      </c>
      <c r="K25" s="14">
        <v>0.03</v>
      </c>
      <c r="L25" s="14">
        <v>0.01</v>
      </c>
      <c r="M25" s="14">
        <v>0.01</v>
      </c>
      <c r="N25" s="14">
        <v>0.02</v>
      </c>
      <c r="O25" s="14">
        <v>0.02</v>
      </c>
      <c r="P25" s="15" t="s">
        <v>485</v>
      </c>
      <c r="Q25" s="15" t="s">
        <v>485</v>
      </c>
      <c r="R25" s="15" t="s">
        <v>485</v>
      </c>
      <c r="S25" s="14">
        <v>0.01</v>
      </c>
      <c r="T25" s="14">
        <v>0.01</v>
      </c>
      <c r="U25" s="14">
        <v>0.06</v>
      </c>
      <c r="V25" s="15" t="s">
        <v>485</v>
      </c>
      <c r="W25" s="14">
        <v>0.05</v>
      </c>
      <c r="X25" s="14">
        <v>0.01</v>
      </c>
      <c r="Y25" s="14">
        <v>0.03</v>
      </c>
      <c r="Z25" s="14">
        <v>0.01</v>
      </c>
      <c r="AA25" s="14">
        <v>0.01</v>
      </c>
      <c r="AB25" s="14">
        <v>0.02</v>
      </c>
      <c r="AC25" s="14">
        <v>0.01</v>
      </c>
      <c r="AD25" s="14">
        <v>0.01</v>
      </c>
      <c r="AE25" s="14">
        <v>0.01</v>
      </c>
      <c r="AF25" s="14">
        <v>0.01</v>
      </c>
    </row>
    <row r="26" spans="1:32">
      <c r="A26" s="23"/>
      <c r="B26" s="11" t="s">
        <v>618</v>
      </c>
      <c r="C26" s="12">
        <v>3497</v>
      </c>
      <c r="D26" s="12">
        <v>99</v>
      </c>
      <c r="E26" s="12">
        <v>143</v>
      </c>
      <c r="F26" s="12">
        <v>79</v>
      </c>
      <c r="G26" s="12">
        <v>200</v>
      </c>
      <c r="H26" s="12">
        <v>89</v>
      </c>
      <c r="I26" s="12">
        <v>111</v>
      </c>
      <c r="J26" s="12">
        <v>21</v>
      </c>
      <c r="K26" s="12">
        <v>223</v>
      </c>
      <c r="L26" s="12">
        <v>127</v>
      </c>
      <c r="M26" s="12">
        <v>332</v>
      </c>
      <c r="N26" s="12">
        <v>260</v>
      </c>
      <c r="O26" s="12">
        <v>129</v>
      </c>
      <c r="P26" s="12">
        <v>62</v>
      </c>
      <c r="Q26" s="12">
        <v>66</v>
      </c>
      <c r="R26" s="12">
        <v>30</v>
      </c>
      <c r="S26" s="12">
        <v>133</v>
      </c>
      <c r="T26" s="12">
        <v>108</v>
      </c>
      <c r="U26" s="12">
        <v>32</v>
      </c>
      <c r="V26" s="12">
        <v>189</v>
      </c>
      <c r="W26" s="12">
        <v>49</v>
      </c>
      <c r="X26" s="12">
        <v>268</v>
      </c>
      <c r="Y26" s="12">
        <v>85</v>
      </c>
      <c r="Z26" s="12">
        <v>91</v>
      </c>
      <c r="AA26" s="12">
        <v>247</v>
      </c>
      <c r="AB26" s="12">
        <v>103</v>
      </c>
      <c r="AC26" s="12">
        <v>230</v>
      </c>
      <c r="AD26" s="12">
        <v>119</v>
      </c>
      <c r="AE26" s="12">
        <v>217</v>
      </c>
      <c r="AF26" s="12">
        <v>163</v>
      </c>
    </row>
    <row r="27" spans="1:32">
      <c r="A27" s="23"/>
      <c r="B27" s="13" t="s">
        <v>619</v>
      </c>
      <c r="C27" s="14">
        <v>0.46</v>
      </c>
      <c r="D27" s="14">
        <v>0.33</v>
      </c>
      <c r="E27" s="14">
        <v>0.36</v>
      </c>
      <c r="F27" s="14">
        <v>0.42</v>
      </c>
      <c r="G27" s="14">
        <v>0.67</v>
      </c>
      <c r="H27" s="14">
        <v>0.28000000000000003</v>
      </c>
      <c r="I27" s="14">
        <v>0.28999999999999998</v>
      </c>
      <c r="J27" s="14">
        <v>0.31</v>
      </c>
      <c r="K27" s="14">
        <v>0.53</v>
      </c>
      <c r="L27" s="14">
        <v>0.47</v>
      </c>
      <c r="M27" s="14">
        <v>0.6</v>
      </c>
      <c r="N27" s="14">
        <v>0.62</v>
      </c>
      <c r="O27" s="14">
        <v>0.46</v>
      </c>
      <c r="P27" s="14">
        <v>0.21</v>
      </c>
      <c r="Q27" s="14">
        <v>0.38</v>
      </c>
      <c r="R27" s="14">
        <v>0.37</v>
      </c>
      <c r="S27" s="14">
        <v>0.55000000000000004</v>
      </c>
      <c r="T27" s="14">
        <v>0.54</v>
      </c>
      <c r="U27" s="14">
        <v>0.47</v>
      </c>
      <c r="V27" s="14">
        <v>0.48</v>
      </c>
      <c r="W27" s="14">
        <v>0.42</v>
      </c>
      <c r="X27" s="14">
        <v>0.56000000000000005</v>
      </c>
      <c r="Y27" s="14">
        <v>0.27</v>
      </c>
      <c r="Z27" s="14">
        <v>0.48</v>
      </c>
      <c r="AA27" s="14">
        <v>0.63</v>
      </c>
      <c r="AB27" s="14">
        <v>0.28999999999999998</v>
      </c>
      <c r="AC27" s="14">
        <v>0.57999999999999996</v>
      </c>
      <c r="AD27" s="14">
        <v>0.39</v>
      </c>
      <c r="AE27" s="14">
        <v>0.69000000000000006</v>
      </c>
      <c r="AF27" s="14">
        <v>0.46</v>
      </c>
    </row>
    <row r="28" spans="1:32">
      <c r="A28" s="23"/>
      <c r="B28" s="11" t="s">
        <v>497</v>
      </c>
      <c r="C28" s="12">
        <v>273</v>
      </c>
      <c r="D28" s="12">
        <v>12</v>
      </c>
      <c r="E28" s="12">
        <v>18</v>
      </c>
      <c r="F28" s="12">
        <v>5</v>
      </c>
      <c r="G28" s="12">
        <v>3</v>
      </c>
      <c r="H28" s="12">
        <v>6</v>
      </c>
      <c r="I28" s="12">
        <v>8</v>
      </c>
      <c r="J28" s="12">
        <v>2</v>
      </c>
      <c r="K28" s="12">
        <v>25</v>
      </c>
      <c r="L28" s="12">
        <v>16</v>
      </c>
      <c r="M28" s="12">
        <v>14</v>
      </c>
      <c r="N28" s="12">
        <v>14</v>
      </c>
      <c r="O28" s="12">
        <v>19</v>
      </c>
      <c r="P28" s="12">
        <v>13</v>
      </c>
      <c r="Q28" s="12">
        <v>4</v>
      </c>
      <c r="R28" s="12">
        <v>1</v>
      </c>
      <c r="S28" s="12">
        <v>10</v>
      </c>
      <c r="T28" s="12">
        <v>5</v>
      </c>
      <c r="U28" s="12">
        <v>0</v>
      </c>
      <c r="V28" s="12">
        <v>8</v>
      </c>
      <c r="W28" s="12">
        <v>4</v>
      </c>
      <c r="X28" s="12">
        <v>11</v>
      </c>
      <c r="Y28" s="12">
        <v>17</v>
      </c>
      <c r="Z28" s="12">
        <v>5</v>
      </c>
      <c r="AA28" s="12">
        <v>25</v>
      </c>
      <c r="AB28" s="12">
        <v>10</v>
      </c>
      <c r="AC28" s="12">
        <v>9</v>
      </c>
      <c r="AD28" s="12">
        <v>16</v>
      </c>
      <c r="AE28" s="12">
        <v>15</v>
      </c>
      <c r="AF28" s="12">
        <v>17</v>
      </c>
    </row>
    <row r="29" spans="1:32">
      <c r="A29" s="23"/>
      <c r="B29" s="13" t="s">
        <v>498</v>
      </c>
      <c r="C29" s="14">
        <v>0.04</v>
      </c>
      <c r="D29" s="14">
        <v>0.04</v>
      </c>
      <c r="E29" s="14">
        <v>0.04</v>
      </c>
      <c r="F29" s="14">
        <v>0.03</v>
      </c>
      <c r="G29" s="14">
        <v>0.01</v>
      </c>
      <c r="H29" s="14">
        <v>0.02</v>
      </c>
      <c r="I29" s="14">
        <v>0.02</v>
      </c>
      <c r="J29" s="14">
        <v>0.03</v>
      </c>
      <c r="K29" s="14">
        <v>0.06</v>
      </c>
      <c r="L29" s="14">
        <v>0.06</v>
      </c>
      <c r="M29" s="14">
        <v>0.02</v>
      </c>
      <c r="N29" s="14">
        <v>0.03</v>
      </c>
      <c r="O29" s="14">
        <v>7.0000000000000007E-2</v>
      </c>
      <c r="P29" s="14">
        <v>0.04</v>
      </c>
      <c r="Q29" s="14">
        <v>0.02</v>
      </c>
      <c r="R29" s="14">
        <v>0.01</v>
      </c>
      <c r="S29" s="14">
        <v>0.04</v>
      </c>
      <c r="T29" s="14">
        <v>0.02</v>
      </c>
      <c r="U29" s="15" t="s">
        <v>485</v>
      </c>
      <c r="V29" s="14">
        <v>0.02</v>
      </c>
      <c r="W29" s="14">
        <v>0.04</v>
      </c>
      <c r="X29" s="14">
        <v>0.02</v>
      </c>
      <c r="Y29" s="14">
        <v>0.05</v>
      </c>
      <c r="Z29" s="14">
        <v>0.03</v>
      </c>
      <c r="AA29" s="14">
        <v>0.06</v>
      </c>
      <c r="AB29" s="14">
        <v>0.03</v>
      </c>
      <c r="AC29" s="14">
        <v>0.02</v>
      </c>
      <c r="AD29" s="14">
        <v>0.05</v>
      </c>
      <c r="AE29" s="14">
        <v>0.05</v>
      </c>
      <c r="AF29" s="14">
        <v>0.05</v>
      </c>
    </row>
  </sheetData>
  <mergeCells count="9">
    <mergeCell ref="B4:F4"/>
    <mergeCell ref="H3:L3"/>
    <mergeCell ref="C8:AF8"/>
    <mergeCell ref="A10:A29"/>
    <mergeCell ref="B5:F5"/>
    <mergeCell ref="B3:F3"/>
    <mergeCell ref="H5:L5"/>
    <mergeCell ref="B10:B11"/>
    <mergeCell ref="H4:L4"/>
  </mergeCells>
  <pageMargins left="0.75" right="0.75" top="1" bottom="1" header="0.5" footer="0.5"/>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1255</v>
      </c>
      <c r="C3" s="19"/>
      <c r="D3" s="19"/>
      <c r="E3" s="19"/>
      <c r="F3" s="19"/>
      <c r="H3" s="19" t="s">
        <v>1256</v>
      </c>
      <c r="I3" s="19"/>
      <c r="J3" s="19"/>
      <c r="K3" s="19"/>
      <c r="L3" s="19"/>
    </row>
    <row r="4" spans="1:32" ht="27" customHeight="1">
      <c r="B4" s="19" t="s">
        <v>1257</v>
      </c>
      <c r="C4" s="19"/>
      <c r="D4" s="19"/>
      <c r="E4" s="19"/>
      <c r="F4" s="19"/>
      <c r="H4" s="19" t="s">
        <v>1258</v>
      </c>
      <c r="I4" s="19"/>
      <c r="J4" s="19"/>
      <c r="K4" s="19"/>
      <c r="L4" s="19"/>
    </row>
    <row r="5" spans="1:32" ht="12" customHeight="1">
      <c r="B5" s="19" t="s">
        <v>1227</v>
      </c>
      <c r="C5" s="19"/>
      <c r="D5" s="19"/>
      <c r="E5" s="19"/>
      <c r="F5" s="19"/>
      <c r="H5" s="19" t="s">
        <v>1228</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HYPERLINK("#Content!A109","&lt;&lt;Back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22472</v>
      </c>
      <c r="D10" s="10">
        <v>939</v>
      </c>
      <c r="E10" s="10">
        <v>833</v>
      </c>
      <c r="F10" s="10">
        <v>833</v>
      </c>
      <c r="G10" s="10">
        <v>982</v>
      </c>
      <c r="H10" s="10">
        <v>1041</v>
      </c>
      <c r="I10" s="10">
        <v>1300</v>
      </c>
      <c r="J10" s="10">
        <v>260</v>
      </c>
      <c r="K10" s="10">
        <v>875</v>
      </c>
      <c r="L10" s="10">
        <v>917</v>
      </c>
      <c r="M10" s="10">
        <v>832</v>
      </c>
      <c r="N10" s="10">
        <v>878</v>
      </c>
      <c r="O10" s="10">
        <v>900</v>
      </c>
      <c r="P10" s="10">
        <v>812</v>
      </c>
      <c r="Q10" s="10">
        <v>727</v>
      </c>
      <c r="R10" s="10">
        <v>451</v>
      </c>
      <c r="S10" s="10">
        <v>868</v>
      </c>
      <c r="T10" s="10">
        <v>836</v>
      </c>
      <c r="U10" s="10">
        <v>487</v>
      </c>
      <c r="V10" s="10">
        <v>894</v>
      </c>
      <c r="W10" s="10">
        <v>463</v>
      </c>
      <c r="X10" s="10">
        <v>1009</v>
      </c>
      <c r="Y10" s="10">
        <v>837</v>
      </c>
      <c r="Z10" s="10">
        <v>844</v>
      </c>
      <c r="AA10" s="10">
        <v>912</v>
      </c>
      <c r="AB10" s="10">
        <v>796</v>
      </c>
      <c r="AC10" s="10">
        <v>901</v>
      </c>
      <c r="AD10" s="10">
        <v>888</v>
      </c>
      <c r="AE10" s="10">
        <v>957</v>
      </c>
      <c r="AF10" s="10">
        <v>1056</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921</v>
      </c>
      <c r="C12" s="12">
        <v>9128</v>
      </c>
      <c r="D12" s="12">
        <v>325</v>
      </c>
      <c r="E12" s="12">
        <v>336</v>
      </c>
      <c r="F12" s="12">
        <v>393</v>
      </c>
      <c r="G12" s="12">
        <v>674</v>
      </c>
      <c r="H12" s="12">
        <v>332</v>
      </c>
      <c r="I12" s="12">
        <v>408</v>
      </c>
      <c r="J12" s="12">
        <v>76</v>
      </c>
      <c r="K12" s="12">
        <v>282</v>
      </c>
      <c r="L12" s="12">
        <v>539</v>
      </c>
      <c r="M12" s="12">
        <v>258</v>
      </c>
      <c r="N12" s="12">
        <v>400</v>
      </c>
      <c r="O12" s="12">
        <v>378</v>
      </c>
      <c r="P12" s="12">
        <v>368</v>
      </c>
      <c r="Q12" s="12">
        <v>275</v>
      </c>
      <c r="R12" s="12">
        <v>232</v>
      </c>
      <c r="S12" s="12">
        <v>376</v>
      </c>
      <c r="T12" s="12">
        <v>372</v>
      </c>
      <c r="U12" s="12">
        <v>244</v>
      </c>
      <c r="V12" s="12">
        <v>400</v>
      </c>
      <c r="W12" s="12">
        <v>184</v>
      </c>
      <c r="X12" s="12">
        <v>604</v>
      </c>
      <c r="Y12" s="12">
        <v>439</v>
      </c>
      <c r="Z12" s="12">
        <v>268</v>
      </c>
      <c r="AA12" s="12">
        <v>250</v>
      </c>
      <c r="AB12" s="12">
        <v>263</v>
      </c>
      <c r="AC12" s="12">
        <v>391</v>
      </c>
      <c r="AD12" s="12">
        <v>470</v>
      </c>
      <c r="AE12" s="12">
        <v>509</v>
      </c>
      <c r="AF12" s="12">
        <v>668</v>
      </c>
    </row>
    <row r="13" spans="1:32">
      <c r="A13" s="23"/>
      <c r="B13" s="13" t="s">
        <v>922</v>
      </c>
      <c r="C13" s="14">
        <v>0.41</v>
      </c>
      <c r="D13" s="14">
        <v>0.35</v>
      </c>
      <c r="E13" s="14">
        <v>0.4</v>
      </c>
      <c r="F13" s="14">
        <v>0.47</v>
      </c>
      <c r="G13" s="14">
        <v>0.69000000000000006</v>
      </c>
      <c r="H13" s="14">
        <v>0.32</v>
      </c>
      <c r="I13" s="14">
        <v>0.31</v>
      </c>
      <c r="J13" s="14">
        <v>0.28999999999999998</v>
      </c>
      <c r="K13" s="14">
        <v>0.32</v>
      </c>
      <c r="L13" s="14">
        <v>0.59</v>
      </c>
      <c r="M13" s="14">
        <v>0.31</v>
      </c>
      <c r="N13" s="14">
        <v>0.46</v>
      </c>
      <c r="O13" s="14">
        <v>0.42</v>
      </c>
      <c r="P13" s="14">
        <v>0.45</v>
      </c>
      <c r="Q13" s="14">
        <v>0.38</v>
      </c>
      <c r="R13" s="14">
        <v>0.52</v>
      </c>
      <c r="S13" s="14">
        <v>0.43</v>
      </c>
      <c r="T13" s="14">
        <v>0.45</v>
      </c>
      <c r="U13" s="14">
        <v>0.5</v>
      </c>
      <c r="V13" s="14">
        <v>0.45</v>
      </c>
      <c r="W13" s="14">
        <v>0.4</v>
      </c>
      <c r="X13" s="14">
        <v>0.6</v>
      </c>
      <c r="Y13" s="14">
        <v>0.52</v>
      </c>
      <c r="Z13" s="14">
        <v>0.32</v>
      </c>
      <c r="AA13" s="14">
        <v>0.28000000000000003</v>
      </c>
      <c r="AB13" s="14">
        <v>0.33</v>
      </c>
      <c r="AC13" s="14">
        <v>0.43</v>
      </c>
      <c r="AD13" s="14">
        <v>0.53</v>
      </c>
      <c r="AE13" s="14">
        <v>0.53</v>
      </c>
      <c r="AF13" s="14">
        <v>0.63</v>
      </c>
    </row>
    <row r="14" spans="1:32">
      <c r="A14" s="23"/>
      <c r="B14" s="11" t="s">
        <v>1259</v>
      </c>
      <c r="C14" s="12">
        <v>10955</v>
      </c>
      <c r="D14" s="12">
        <v>534</v>
      </c>
      <c r="E14" s="12">
        <v>423</v>
      </c>
      <c r="F14" s="12">
        <v>371</v>
      </c>
      <c r="G14" s="12">
        <v>217</v>
      </c>
      <c r="H14" s="12">
        <v>572</v>
      </c>
      <c r="I14" s="12">
        <v>715</v>
      </c>
      <c r="J14" s="12">
        <v>143</v>
      </c>
      <c r="K14" s="12">
        <v>452</v>
      </c>
      <c r="L14" s="12">
        <v>307</v>
      </c>
      <c r="M14" s="12">
        <v>442</v>
      </c>
      <c r="N14" s="12">
        <v>376</v>
      </c>
      <c r="O14" s="12">
        <v>417</v>
      </c>
      <c r="P14" s="12">
        <v>368</v>
      </c>
      <c r="Q14" s="12">
        <v>401</v>
      </c>
      <c r="R14" s="12">
        <v>168</v>
      </c>
      <c r="S14" s="12">
        <v>335</v>
      </c>
      <c r="T14" s="12">
        <v>359</v>
      </c>
      <c r="U14" s="12">
        <v>178</v>
      </c>
      <c r="V14" s="12">
        <v>427</v>
      </c>
      <c r="W14" s="12">
        <v>197</v>
      </c>
      <c r="X14" s="12">
        <v>359</v>
      </c>
      <c r="Y14" s="12">
        <v>319</v>
      </c>
      <c r="Z14" s="12">
        <v>504</v>
      </c>
      <c r="AA14" s="12">
        <v>585</v>
      </c>
      <c r="AB14" s="12">
        <v>362</v>
      </c>
      <c r="AC14" s="12">
        <v>405</v>
      </c>
      <c r="AD14" s="12">
        <v>370</v>
      </c>
      <c r="AE14" s="12">
        <v>374</v>
      </c>
      <c r="AF14" s="12">
        <v>332</v>
      </c>
    </row>
    <row r="15" spans="1:32">
      <c r="A15" s="23"/>
      <c r="B15" s="13" t="s">
        <v>924</v>
      </c>
      <c r="C15" s="14">
        <v>0.49</v>
      </c>
      <c r="D15" s="14">
        <v>0.57000000000000006</v>
      </c>
      <c r="E15" s="14">
        <v>0.51</v>
      </c>
      <c r="F15" s="14">
        <v>0.45</v>
      </c>
      <c r="G15" s="14">
        <v>0.22</v>
      </c>
      <c r="H15" s="14">
        <v>0.55000000000000004</v>
      </c>
      <c r="I15" s="14">
        <v>0.55000000000000004</v>
      </c>
      <c r="J15" s="14">
        <v>0.55000000000000004</v>
      </c>
      <c r="K15" s="14">
        <v>0.52</v>
      </c>
      <c r="L15" s="14">
        <v>0.33</v>
      </c>
      <c r="M15" s="14">
        <v>0.53</v>
      </c>
      <c r="N15" s="14">
        <v>0.43</v>
      </c>
      <c r="O15" s="14">
        <v>0.46</v>
      </c>
      <c r="P15" s="14">
        <v>0.45</v>
      </c>
      <c r="Q15" s="14">
        <v>0.55000000000000004</v>
      </c>
      <c r="R15" s="14">
        <v>0.37</v>
      </c>
      <c r="S15" s="14">
        <v>0.39</v>
      </c>
      <c r="T15" s="14">
        <v>0.43</v>
      </c>
      <c r="U15" s="14">
        <v>0.37</v>
      </c>
      <c r="V15" s="14">
        <v>0.48</v>
      </c>
      <c r="W15" s="14">
        <v>0.42</v>
      </c>
      <c r="X15" s="14">
        <v>0.35</v>
      </c>
      <c r="Y15" s="14">
        <v>0.38</v>
      </c>
      <c r="Z15" s="14">
        <v>0.6</v>
      </c>
      <c r="AA15" s="14">
        <v>0.64</v>
      </c>
      <c r="AB15" s="14">
        <v>0.46</v>
      </c>
      <c r="AC15" s="14">
        <v>0.45</v>
      </c>
      <c r="AD15" s="14">
        <v>0.42</v>
      </c>
      <c r="AE15" s="14">
        <v>0.39</v>
      </c>
      <c r="AF15" s="14">
        <v>0.32</v>
      </c>
    </row>
    <row r="16" spans="1:32">
      <c r="A16" s="23"/>
      <c r="B16" s="11" t="s">
        <v>1260</v>
      </c>
      <c r="C16" s="12">
        <v>1678</v>
      </c>
      <c r="D16" s="12">
        <v>68</v>
      </c>
      <c r="E16" s="12">
        <v>45</v>
      </c>
      <c r="F16" s="12">
        <v>48</v>
      </c>
      <c r="G16" s="12">
        <v>58</v>
      </c>
      <c r="H16" s="12">
        <v>118</v>
      </c>
      <c r="I16" s="12">
        <v>152</v>
      </c>
      <c r="J16" s="12">
        <v>33</v>
      </c>
      <c r="K16" s="12">
        <v>88</v>
      </c>
      <c r="L16" s="12">
        <v>53</v>
      </c>
      <c r="M16" s="12">
        <v>74</v>
      </c>
      <c r="N16" s="12">
        <v>64</v>
      </c>
      <c r="O16" s="12">
        <v>54</v>
      </c>
      <c r="P16" s="12">
        <v>58</v>
      </c>
      <c r="Q16" s="12">
        <v>39</v>
      </c>
      <c r="R16" s="12">
        <v>28</v>
      </c>
      <c r="S16" s="12">
        <v>115</v>
      </c>
      <c r="T16" s="12">
        <v>71</v>
      </c>
      <c r="U16" s="12">
        <v>41</v>
      </c>
      <c r="V16" s="12">
        <v>51</v>
      </c>
      <c r="W16" s="12">
        <v>63</v>
      </c>
      <c r="X16" s="12">
        <v>30</v>
      </c>
      <c r="Y16" s="12">
        <v>58</v>
      </c>
      <c r="Z16" s="12">
        <v>60</v>
      </c>
      <c r="AA16" s="12">
        <v>27</v>
      </c>
      <c r="AB16" s="12">
        <v>127</v>
      </c>
      <c r="AC16" s="12">
        <v>72</v>
      </c>
      <c r="AD16" s="12">
        <v>21</v>
      </c>
      <c r="AE16" s="12">
        <v>48</v>
      </c>
      <c r="AF16" s="12">
        <v>34</v>
      </c>
    </row>
    <row r="17" spans="1:32">
      <c r="A17" s="23"/>
      <c r="B17" s="13" t="s">
        <v>926</v>
      </c>
      <c r="C17" s="14">
        <v>7.0000000000000007E-2</v>
      </c>
      <c r="D17" s="14">
        <v>7.0000000000000007E-2</v>
      </c>
      <c r="E17" s="14">
        <v>0.05</v>
      </c>
      <c r="F17" s="14">
        <v>0.06</v>
      </c>
      <c r="G17" s="14">
        <v>0.06</v>
      </c>
      <c r="H17" s="14">
        <v>0.11</v>
      </c>
      <c r="I17" s="14">
        <v>0.12</v>
      </c>
      <c r="J17" s="14">
        <v>0.13</v>
      </c>
      <c r="K17" s="14">
        <v>0.1</v>
      </c>
      <c r="L17" s="14">
        <v>0.06</v>
      </c>
      <c r="M17" s="14">
        <v>0.09</v>
      </c>
      <c r="N17" s="14">
        <v>7.0000000000000007E-2</v>
      </c>
      <c r="O17" s="14">
        <v>0.06</v>
      </c>
      <c r="P17" s="14">
        <v>7.0000000000000007E-2</v>
      </c>
      <c r="Q17" s="14">
        <v>0.05</v>
      </c>
      <c r="R17" s="14">
        <v>0.06</v>
      </c>
      <c r="S17" s="14">
        <v>0.13</v>
      </c>
      <c r="T17" s="14">
        <v>0.08</v>
      </c>
      <c r="U17" s="14">
        <v>0.08</v>
      </c>
      <c r="V17" s="14">
        <v>0.06</v>
      </c>
      <c r="W17" s="14">
        <v>0.14000000000000001</v>
      </c>
      <c r="X17" s="14">
        <v>0.03</v>
      </c>
      <c r="Y17" s="14">
        <v>7.0000000000000007E-2</v>
      </c>
      <c r="Z17" s="14">
        <v>7.0000000000000007E-2</v>
      </c>
      <c r="AA17" s="14">
        <v>0.03</v>
      </c>
      <c r="AB17" s="14">
        <v>0.16</v>
      </c>
      <c r="AC17" s="14">
        <v>0.08</v>
      </c>
      <c r="AD17" s="14">
        <v>0.02</v>
      </c>
      <c r="AE17" s="14">
        <v>0.05</v>
      </c>
      <c r="AF17" s="14">
        <v>0.03</v>
      </c>
    </row>
    <row r="18" spans="1:32">
      <c r="A18" s="23"/>
      <c r="B18" s="11" t="s">
        <v>927</v>
      </c>
      <c r="C18" s="12">
        <v>296</v>
      </c>
      <c r="D18" s="12">
        <v>10</v>
      </c>
      <c r="E18" s="12">
        <v>4</v>
      </c>
      <c r="F18" s="12">
        <v>3</v>
      </c>
      <c r="G18" s="12">
        <v>15</v>
      </c>
      <c r="H18" s="12">
        <v>14</v>
      </c>
      <c r="I18" s="12">
        <v>18</v>
      </c>
      <c r="J18" s="12">
        <v>4</v>
      </c>
      <c r="K18" s="12">
        <v>17</v>
      </c>
      <c r="L18" s="12">
        <v>10</v>
      </c>
      <c r="M18" s="12">
        <v>6</v>
      </c>
      <c r="N18" s="12">
        <v>15</v>
      </c>
      <c r="O18" s="12">
        <v>19</v>
      </c>
      <c r="P18" s="12">
        <v>12</v>
      </c>
      <c r="Q18" s="12">
        <v>5</v>
      </c>
      <c r="R18" s="12">
        <v>4</v>
      </c>
      <c r="S18" s="12">
        <v>17</v>
      </c>
      <c r="T18" s="12">
        <v>8</v>
      </c>
      <c r="U18" s="12">
        <v>19</v>
      </c>
      <c r="V18" s="12">
        <v>3</v>
      </c>
      <c r="W18" s="12">
        <v>5</v>
      </c>
      <c r="X18" s="12">
        <v>9</v>
      </c>
      <c r="Y18" s="12">
        <v>8</v>
      </c>
      <c r="Z18" s="12">
        <v>2</v>
      </c>
      <c r="AA18" s="12">
        <v>9</v>
      </c>
      <c r="AB18" s="12">
        <v>32</v>
      </c>
      <c r="AC18" s="12">
        <v>16</v>
      </c>
      <c r="AD18" s="12">
        <v>3</v>
      </c>
      <c r="AE18" s="12">
        <v>16</v>
      </c>
      <c r="AF18" s="12">
        <v>14</v>
      </c>
    </row>
    <row r="19" spans="1:32">
      <c r="A19" s="23"/>
      <c r="B19" s="13" t="s">
        <v>928</v>
      </c>
      <c r="C19" s="14">
        <v>0.01</v>
      </c>
      <c r="D19" s="14">
        <v>0.01</v>
      </c>
      <c r="E19" s="14">
        <v>0.01</v>
      </c>
      <c r="F19" s="15" t="s">
        <v>485</v>
      </c>
      <c r="G19" s="14">
        <v>0.01</v>
      </c>
      <c r="H19" s="14">
        <v>0.01</v>
      </c>
      <c r="I19" s="14">
        <v>0.01</v>
      </c>
      <c r="J19" s="14">
        <v>0.01</v>
      </c>
      <c r="K19" s="14">
        <v>0.02</v>
      </c>
      <c r="L19" s="14">
        <v>0.01</v>
      </c>
      <c r="M19" s="14">
        <v>0.01</v>
      </c>
      <c r="N19" s="14">
        <v>0.02</v>
      </c>
      <c r="O19" s="14">
        <v>0.02</v>
      </c>
      <c r="P19" s="14">
        <v>0.02</v>
      </c>
      <c r="Q19" s="14">
        <v>0.01</v>
      </c>
      <c r="R19" s="14">
        <v>0.01</v>
      </c>
      <c r="S19" s="14">
        <v>0.02</v>
      </c>
      <c r="T19" s="14">
        <v>0.01</v>
      </c>
      <c r="U19" s="14">
        <v>0.04</v>
      </c>
      <c r="V19" s="15" t="s">
        <v>485</v>
      </c>
      <c r="W19" s="14">
        <v>0.01</v>
      </c>
      <c r="X19" s="14">
        <v>0.01</v>
      </c>
      <c r="Y19" s="14">
        <v>0.01</v>
      </c>
      <c r="Z19" s="15" t="s">
        <v>485</v>
      </c>
      <c r="AA19" s="14">
        <v>0.01</v>
      </c>
      <c r="AB19" s="14">
        <v>0.04</v>
      </c>
      <c r="AC19" s="14">
        <v>0.02</v>
      </c>
      <c r="AD19" s="15" t="s">
        <v>485</v>
      </c>
      <c r="AE19" s="14">
        <v>0.02</v>
      </c>
      <c r="AF19" s="14">
        <v>0.01</v>
      </c>
    </row>
    <row r="20" spans="1:32">
      <c r="A20" s="23"/>
      <c r="B20" s="11" t="s">
        <v>497</v>
      </c>
      <c r="C20" s="12">
        <v>414</v>
      </c>
      <c r="D20" s="12">
        <v>2</v>
      </c>
      <c r="E20" s="12">
        <v>26</v>
      </c>
      <c r="F20" s="12">
        <v>18</v>
      </c>
      <c r="G20" s="12">
        <v>16</v>
      </c>
      <c r="H20" s="12">
        <v>4</v>
      </c>
      <c r="I20" s="12">
        <v>8</v>
      </c>
      <c r="J20" s="12">
        <v>4</v>
      </c>
      <c r="K20" s="12">
        <v>37</v>
      </c>
      <c r="L20" s="12">
        <v>8</v>
      </c>
      <c r="M20" s="12">
        <v>52</v>
      </c>
      <c r="N20" s="12">
        <v>22</v>
      </c>
      <c r="O20" s="12">
        <v>32</v>
      </c>
      <c r="P20" s="12">
        <v>5</v>
      </c>
      <c r="Q20" s="12">
        <v>7</v>
      </c>
      <c r="R20" s="12">
        <v>19</v>
      </c>
      <c r="S20" s="12">
        <v>26</v>
      </c>
      <c r="T20" s="12">
        <v>26</v>
      </c>
      <c r="U20" s="12">
        <v>5</v>
      </c>
      <c r="V20" s="12">
        <v>12</v>
      </c>
      <c r="W20" s="12">
        <v>14</v>
      </c>
      <c r="X20" s="12">
        <v>7</v>
      </c>
      <c r="Y20" s="12">
        <v>13</v>
      </c>
      <c r="Z20" s="12">
        <v>10</v>
      </c>
      <c r="AA20" s="12">
        <v>39</v>
      </c>
      <c r="AB20" s="12">
        <v>11</v>
      </c>
      <c r="AC20" s="12">
        <v>17</v>
      </c>
      <c r="AD20" s="12">
        <v>24</v>
      </c>
      <c r="AE20" s="12">
        <v>11</v>
      </c>
      <c r="AF20" s="12">
        <v>9</v>
      </c>
    </row>
    <row r="21" spans="1:32">
      <c r="A21" s="23"/>
      <c r="B21" s="13" t="s">
        <v>498</v>
      </c>
      <c r="C21" s="14">
        <v>0.02</v>
      </c>
      <c r="D21" s="15" t="s">
        <v>485</v>
      </c>
      <c r="E21" s="14">
        <v>0.03</v>
      </c>
      <c r="F21" s="14">
        <v>0.02</v>
      </c>
      <c r="G21" s="14">
        <v>0.02</v>
      </c>
      <c r="H21" s="14">
        <v>0.01</v>
      </c>
      <c r="I21" s="14">
        <v>0.01</v>
      </c>
      <c r="J21" s="14">
        <v>0.02</v>
      </c>
      <c r="K21" s="14">
        <v>0.04</v>
      </c>
      <c r="L21" s="14">
        <v>0.01</v>
      </c>
      <c r="M21" s="14">
        <v>0.06</v>
      </c>
      <c r="N21" s="14">
        <v>0.02</v>
      </c>
      <c r="O21" s="14">
        <v>0.04</v>
      </c>
      <c r="P21" s="14">
        <v>0.01</v>
      </c>
      <c r="Q21" s="14">
        <v>0.01</v>
      </c>
      <c r="R21" s="14">
        <v>0.04</v>
      </c>
      <c r="S21" s="14">
        <v>0.03</v>
      </c>
      <c r="T21" s="14">
        <v>0.03</v>
      </c>
      <c r="U21" s="14">
        <v>0.01</v>
      </c>
      <c r="V21" s="14">
        <v>0.01</v>
      </c>
      <c r="W21" s="14">
        <v>0.03</v>
      </c>
      <c r="X21" s="14">
        <v>0.01</v>
      </c>
      <c r="Y21" s="14">
        <v>0.02</v>
      </c>
      <c r="Z21" s="14">
        <v>0.01</v>
      </c>
      <c r="AA21" s="14">
        <v>0.04</v>
      </c>
      <c r="AB21" s="14">
        <v>0.01</v>
      </c>
      <c r="AC21" s="14">
        <v>0.02</v>
      </c>
      <c r="AD21" s="14">
        <v>0.03</v>
      </c>
      <c r="AE21" s="14">
        <v>0.01</v>
      </c>
      <c r="AF21" s="14">
        <v>0.01</v>
      </c>
    </row>
    <row r="22" spans="1:32">
      <c r="A22" s="23"/>
      <c r="B22" s="11" t="s">
        <v>929</v>
      </c>
      <c r="C22" s="12">
        <v>20083</v>
      </c>
      <c r="D22" s="12">
        <v>859</v>
      </c>
      <c r="E22" s="12">
        <v>759</v>
      </c>
      <c r="F22" s="12">
        <v>764</v>
      </c>
      <c r="G22" s="12">
        <v>891</v>
      </c>
      <c r="H22" s="12">
        <v>904</v>
      </c>
      <c r="I22" s="12">
        <v>1123</v>
      </c>
      <c r="J22" s="12">
        <v>219</v>
      </c>
      <c r="K22" s="12">
        <v>734</v>
      </c>
      <c r="L22" s="12">
        <v>846</v>
      </c>
      <c r="M22" s="12">
        <v>700</v>
      </c>
      <c r="N22" s="12">
        <v>776</v>
      </c>
      <c r="O22" s="12">
        <v>795</v>
      </c>
      <c r="P22" s="12">
        <v>736</v>
      </c>
      <c r="Q22" s="12">
        <v>676</v>
      </c>
      <c r="R22" s="12">
        <v>400</v>
      </c>
      <c r="S22" s="12">
        <v>711</v>
      </c>
      <c r="T22" s="12">
        <v>731</v>
      </c>
      <c r="U22" s="12">
        <v>422</v>
      </c>
      <c r="V22" s="12">
        <v>827</v>
      </c>
      <c r="W22" s="12">
        <v>381</v>
      </c>
      <c r="X22" s="12">
        <v>963</v>
      </c>
      <c r="Y22" s="12">
        <v>758</v>
      </c>
      <c r="Z22" s="12">
        <v>772</v>
      </c>
      <c r="AA22" s="12">
        <v>835</v>
      </c>
      <c r="AB22" s="12">
        <v>625</v>
      </c>
      <c r="AC22" s="12">
        <v>796</v>
      </c>
      <c r="AD22" s="12">
        <v>840</v>
      </c>
      <c r="AE22" s="12">
        <v>883</v>
      </c>
      <c r="AF22" s="12">
        <v>1000</v>
      </c>
    </row>
    <row r="23" spans="1:32">
      <c r="A23" s="23"/>
      <c r="B23" s="13" t="s">
        <v>930</v>
      </c>
      <c r="C23" s="14">
        <v>0.9</v>
      </c>
      <c r="D23" s="14">
        <v>0.92</v>
      </c>
      <c r="E23" s="14">
        <v>0.91</v>
      </c>
      <c r="F23" s="14">
        <v>0.92</v>
      </c>
      <c r="G23" s="14">
        <v>0.91</v>
      </c>
      <c r="H23" s="14">
        <v>0.87</v>
      </c>
      <c r="I23" s="14">
        <v>0.86</v>
      </c>
      <c r="J23" s="14">
        <v>0.84</v>
      </c>
      <c r="K23" s="14">
        <v>0.84</v>
      </c>
      <c r="L23" s="14">
        <v>0.92</v>
      </c>
      <c r="M23" s="14">
        <v>0.84</v>
      </c>
      <c r="N23" s="14">
        <v>0.89</v>
      </c>
      <c r="O23" s="14">
        <v>0.88</v>
      </c>
      <c r="P23" s="14">
        <v>0.9</v>
      </c>
      <c r="Q23" s="14">
        <v>0.93</v>
      </c>
      <c r="R23" s="14">
        <v>0.89</v>
      </c>
      <c r="S23" s="14">
        <v>0.82000000000000006</v>
      </c>
      <c r="T23" s="14">
        <v>0.88</v>
      </c>
      <c r="U23" s="14">
        <v>0.87</v>
      </c>
      <c r="V23" s="14">
        <v>0.93</v>
      </c>
      <c r="W23" s="14">
        <v>0.82000000000000006</v>
      </c>
      <c r="X23" s="14">
        <v>0.95000000000000007</v>
      </c>
      <c r="Y23" s="14">
        <v>0.9</v>
      </c>
      <c r="Z23" s="14">
        <v>0.92</v>
      </c>
      <c r="AA23" s="14">
        <v>0.92</v>
      </c>
      <c r="AB23" s="14">
        <v>0.79</v>
      </c>
      <c r="AC23" s="14">
        <v>0.88</v>
      </c>
      <c r="AD23" s="14">
        <v>0.95000000000000007</v>
      </c>
      <c r="AE23" s="14">
        <v>0.92</v>
      </c>
      <c r="AF23" s="14">
        <v>0.95000000000000007</v>
      </c>
    </row>
    <row r="24" spans="1:32">
      <c r="A24" s="23"/>
      <c r="B24" s="11" t="s">
        <v>931</v>
      </c>
      <c r="C24" s="12">
        <v>1974</v>
      </c>
      <c r="D24" s="12">
        <v>78</v>
      </c>
      <c r="E24" s="12">
        <v>49</v>
      </c>
      <c r="F24" s="12">
        <v>51</v>
      </c>
      <c r="G24" s="12">
        <v>73</v>
      </c>
      <c r="H24" s="12">
        <v>132</v>
      </c>
      <c r="I24" s="12">
        <v>170</v>
      </c>
      <c r="J24" s="12">
        <v>37</v>
      </c>
      <c r="K24" s="12">
        <v>105</v>
      </c>
      <c r="L24" s="12">
        <v>63</v>
      </c>
      <c r="M24" s="12">
        <v>80</v>
      </c>
      <c r="N24" s="12">
        <v>79</v>
      </c>
      <c r="O24" s="12">
        <v>73</v>
      </c>
      <c r="P24" s="12">
        <v>70</v>
      </c>
      <c r="Q24" s="12">
        <v>44</v>
      </c>
      <c r="R24" s="12">
        <v>32</v>
      </c>
      <c r="S24" s="12">
        <v>132</v>
      </c>
      <c r="T24" s="12">
        <v>79</v>
      </c>
      <c r="U24" s="12">
        <v>60</v>
      </c>
      <c r="V24" s="12">
        <v>54</v>
      </c>
      <c r="W24" s="12">
        <v>68</v>
      </c>
      <c r="X24" s="12">
        <v>39</v>
      </c>
      <c r="Y24" s="12">
        <v>66</v>
      </c>
      <c r="Z24" s="12">
        <v>62</v>
      </c>
      <c r="AA24" s="12">
        <v>36</v>
      </c>
      <c r="AB24" s="12">
        <v>159</v>
      </c>
      <c r="AC24" s="12">
        <v>88</v>
      </c>
      <c r="AD24" s="12">
        <v>24</v>
      </c>
      <c r="AE24" s="12">
        <v>64</v>
      </c>
      <c r="AF24" s="12">
        <v>48</v>
      </c>
    </row>
    <row r="25" spans="1:32">
      <c r="A25" s="23"/>
      <c r="B25" s="13" t="s">
        <v>932</v>
      </c>
      <c r="C25" s="14">
        <v>0.08</v>
      </c>
      <c r="D25" s="14">
        <v>0.08</v>
      </c>
      <c r="E25" s="14">
        <v>0.06</v>
      </c>
      <c r="F25" s="14">
        <v>0.06</v>
      </c>
      <c r="G25" s="14">
        <v>7.0000000000000007E-2</v>
      </c>
      <c r="H25" s="14">
        <v>0.12</v>
      </c>
      <c r="I25" s="14">
        <v>0.13</v>
      </c>
      <c r="J25" s="14">
        <v>0.14000000000000001</v>
      </c>
      <c r="K25" s="14">
        <v>0.12</v>
      </c>
      <c r="L25" s="14">
        <v>7.0000000000000007E-2</v>
      </c>
      <c r="M25" s="14">
        <v>0.1</v>
      </c>
      <c r="N25" s="14">
        <v>0.09</v>
      </c>
      <c r="O25" s="14">
        <v>0.08</v>
      </c>
      <c r="P25" s="14">
        <v>0.09</v>
      </c>
      <c r="Q25" s="14">
        <v>0.06</v>
      </c>
      <c r="R25" s="14">
        <v>7.0000000000000007E-2</v>
      </c>
      <c r="S25" s="14">
        <v>0.15</v>
      </c>
      <c r="T25" s="14">
        <v>0.09</v>
      </c>
      <c r="U25" s="14">
        <v>0.12</v>
      </c>
      <c r="V25" s="14">
        <v>0.06</v>
      </c>
      <c r="W25" s="14">
        <v>0.15</v>
      </c>
      <c r="X25" s="14">
        <v>0.04</v>
      </c>
      <c r="Y25" s="14">
        <v>0.08</v>
      </c>
      <c r="Z25" s="14">
        <v>7.0000000000000007E-2</v>
      </c>
      <c r="AA25" s="14">
        <v>0.04</v>
      </c>
      <c r="AB25" s="14">
        <v>0.2</v>
      </c>
      <c r="AC25" s="14">
        <v>0.1</v>
      </c>
      <c r="AD25" s="14">
        <v>0.02</v>
      </c>
      <c r="AE25" s="14">
        <v>7.0000000000000007E-2</v>
      </c>
      <c r="AF25" s="14">
        <v>0.04</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1261</v>
      </c>
      <c r="C3" s="19"/>
      <c r="D3" s="19"/>
      <c r="E3" s="19"/>
      <c r="F3" s="19"/>
      <c r="H3" s="19" t="s">
        <v>1262</v>
      </c>
      <c r="I3" s="19"/>
      <c r="J3" s="19"/>
      <c r="K3" s="19"/>
      <c r="L3" s="19"/>
    </row>
    <row r="4" spans="1:32" ht="27" customHeight="1">
      <c r="B4" s="19" t="s">
        <v>1263</v>
      </c>
      <c r="C4" s="19"/>
      <c r="D4" s="19"/>
      <c r="E4" s="19"/>
      <c r="F4" s="19"/>
      <c r="H4" s="19" t="s">
        <v>1264</v>
      </c>
      <c r="I4" s="19"/>
      <c r="J4" s="19"/>
      <c r="K4" s="19"/>
      <c r="L4" s="19"/>
    </row>
    <row r="5" spans="1:32" ht="12" customHeight="1">
      <c r="B5" s="19" t="s">
        <v>1227</v>
      </c>
      <c r="C5" s="19"/>
      <c r="D5" s="19"/>
      <c r="E5" s="19"/>
      <c r="F5" s="19"/>
      <c r="H5" s="19" t="s">
        <v>1228</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HYPERLINK("#Content!A110","&lt;&lt;Back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22472</v>
      </c>
      <c r="D10" s="10">
        <v>939</v>
      </c>
      <c r="E10" s="10">
        <v>833</v>
      </c>
      <c r="F10" s="10">
        <v>833</v>
      </c>
      <c r="G10" s="10">
        <v>982</v>
      </c>
      <c r="H10" s="10">
        <v>1041</v>
      </c>
      <c r="I10" s="10">
        <v>1300</v>
      </c>
      <c r="J10" s="10">
        <v>260</v>
      </c>
      <c r="K10" s="10">
        <v>875</v>
      </c>
      <c r="L10" s="10">
        <v>917</v>
      </c>
      <c r="M10" s="10">
        <v>832</v>
      </c>
      <c r="N10" s="10">
        <v>878</v>
      </c>
      <c r="O10" s="10">
        <v>900</v>
      </c>
      <c r="P10" s="10">
        <v>812</v>
      </c>
      <c r="Q10" s="10">
        <v>727</v>
      </c>
      <c r="R10" s="10">
        <v>451</v>
      </c>
      <c r="S10" s="10">
        <v>868</v>
      </c>
      <c r="T10" s="10">
        <v>836</v>
      </c>
      <c r="U10" s="10">
        <v>487</v>
      </c>
      <c r="V10" s="10">
        <v>894</v>
      </c>
      <c r="W10" s="10">
        <v>463</v>
      </c>
      <c r="X10" s="10">
        <v>1009</v>
      </c>
      <c r="Y10" s="10">
        <v>837</v>
      </c>
      <c r="Z10" s="10">
        <v>844</v>
      </c>
      <c r="AA10" s="10">
        <v>912</v>
      </c>
      <c r="AB10" s="10">
        <v>796</v>
      </c>
      <c r="AC10" s="10">
        <v>901</v>
      </c>
      <c r="AD10" s="10">
        <v>888</v>
      </c>
      <c r="AE10" s="10">
        <v>957</v>
      </c>
      <c r="AF10" s="10">
        <v>1056</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921</v>
      </c>
      <c r="C12" s="12">
        <v>9119</v>
      </c>
      <c r="D12" s="12">
        <v>315</v>
      </c>
      <c r="E12" s="12">
        <v>311</v>
      </c>
      <c r="F12" s="12">
        <v>370</v>
      </c>
      <c r="G12" s="12">
        <v>670</v>
      </c>
      <c r="H12" s="12">
        <v>307</v>
      </c>
      <c r="I12" s="12">
        <v>378</v>
      </c>
      <c r="J12" s="12">
        <v>70</v>
      </c>
      <c r="K12" s="12">
        <v>277</v>
      </c>
      <c r="L12" s="12">
        <v>498</v>
      </c>
      <c r="M12" s="12">
        <v>262</v>
      </c>
      <c r="N12" s="12">
        <v>401</v>
      </c>
      <c r="O12" s="12">
        <v>406</v>
      </c>
      <c r="P12" s="12">
        <v>371</v>
      </c>
      <c r="Q12" s="12">
        <v>295</v>
      </c>
      <c r="R12" s="12">
        <v>224</v>
      </c>
      <c r="S12" s="12">
        <v>363</v>
      </c>
      <c r="T12" s="12">
        <v>350</v>
      </c>
      <c r="U12" s="12">
        <v>246</v>
      </c>
      <c r="V12" s="12">
        <v>425</v>
      </c>
      <c r="W12" s="12">
        <v>168</v>
      </c>
      <c r="X12" s="12">
        <v>589</v>
      </c>
      <c r="Y12" s="12">
        <v>425</v>
      </c>
      <c r="Z12" s="12">
        <v>268</v>
      </c>
      <c r="AA12" s="12">
        <v>247</v>
      </c>
      <c r="AB12" s="12">
        <v>258</v>
      </c>
      <c r="AC12" s="12">
        <v>363</v>
      </c>
      <c r="AD12" s="12">
        <v>439</v>
      </c>
      <c r="AE12" s="12">
        <v>521</v>
      </c>
      <c r="AF12" s="12">
        <v>642</v>
      </c>
    </row>
    <row r="13" spans="1:32">
      <c r="A13" s="23"/>
      <c r="B13" s="13" t="s">
        <v>922</v>
      </c>
      <c r="C13" s="14">
        <v>0.41</v>
      </c>
      <c r="D13" s="14">
        <v>0.34</v>
      </c>
      <c r="E13" s="14">
        <v>0.37</v>
      </c>
      <c r="F13" s="14">
        <v>0.44</v>
      </c>
      <c r="G13" s="14">
        <v>0.68</v>
      </c>
      <c r="H13" s="14">
        <v>0.28999999999999998</v>
      </c>
      <c r="I13" s="14">
        <v>0.28999999999999998</v>
      </c>
      <c r="J13" s="14">
        <v>0.27</v>
      </c>
      <c r="K13" s="14">
        <v>0.32</v>
      </c>
      <c r="L13" s="14">
        <v>0.54</v>
      </c>
      <c r="M13" s="14">
        <v>0.31</v>
      </c>
      <c r="N13" s="14">
        <v>0.45</v>
      </c>
      <c r="O13" s="14">
        <v>0.45</v>
      </c>
      <c r="P13" s="14">
        <v>0.46</v>
      </c>
      <c r="Q13" s="14">
        <v>0.41</v>
      </c>
      <c r="R13" s="14">
        <v>0.5</v>
      </c>
      <c r="S13" s="14">
        <v>0.42</v>
      </c>
      <c r="T13" s="14">
        <v>0.42</v>
      </c>
      <c r="U13" s="14">
        <v>0.51</v>
      </c>
      <c r="V13" s="14">
        <v>0.48</v>
      </c>
      <c r="W13" s="14">
        <v>0.36</v>
      </c>
      <c r="X13" s="14">
        <v>0.59</v>
      </c>
      <c r="Y13" s="14">
        <v>0.51</v>
      </c>
      <c r="Z13" s="14">
        <v>0.32</v>
      </c>
      <c r="AA13" s="14">
        <v>0.27</v>
      </c>
      <c r="AB13" s="14">
        <v>0.33</v>
      </c>
      <c r="AC13" s="14">
        <v>0.4</v>
      </c>
      <c r="AD13" s="14">
        <v>0.49</v>
      </c>
      <c r="AE13" s="14">
        <v>0.54</v>
      </c>
      <c r="AF13" s="14">
        <v>0.61</v>
      </c>
    </row>
    <row r="14" spans="1:32">
      <c r="A14" s="23"/>
      <c r="B14" s="11" t="s">
        <v>1259</v>
      </c>
      <c r="C14" s="12">
        <v>10909</v>
      </c>
      <c r="D14" s="12">
        <v>555</v>
      </c>
      <c r="E14" s="12">
        <v>440</v>
      </c>
      <c r="F14" s="12">
        <v>366</v>
      </c>
      <c r="G14" s="12">
        <v>215</v>
      </c>
      <c r="H14" s="12">
        <v>562</v>
      </c>
      <c r="I14" s="12">
        <v>704</v>
      </c>
      <c r="J14" s="12">
        <v>143</v>
      </c>
      <c r="K14" s="12">
        <v>431</v>
      </c>
      <c r="L14" s="12">
        <v>345</v>
      </c>
      <c r="M14" s="12">
        <v>439</v>
      </c>
      <c r="N14" s="12">
        <v>383</v>
      </c>
      <c r="O14" s="12">
        <v>425</v>
      </c>
      <c r="P14" s="12">
        <v>354</v>
      </c>
      <c r="Q14" s="12">
        <v>382</v>
      </c>
      <c r="R14" s="12">
        <v>175</v>
      </c>
      <c r="S14" s="12">
        <v>338</v>
      </c>
      <c r="T14" s="12">
        <v>386</v>
      </c>
      <c r="U14" s="12">
        <v>182</v>
      </c>
      <c r="V14" s="12">
        <v>395</v>
      </c>
      <c r="W14" s="12">
        <v>210</v>
      </c>
      <c r="X14" s="12">
        <v>350</v>
      </c>
      <c r="Y14" s="12">
        <v>334</v>
      </c>
      <c r="Z14" s="12">
        <v>496</v>
      </c>
      <c r="AA14" s="12">
        <v>574</v>
      </c>
      <c r="AB14" s="12">
        <v>376</v>
      </c>
      <c r="AC14" s="12">
        <v>419</v>
      </c>
      <c r="AD14" s="12">
        <v>373</v>
      </c>
      <c r="AE14" s="12">
        <v>359</v>
      </c>
      <c r="AF14" s="12">
        <v>344</v>
      </c>
    </row>
    <row r="15" spans="1:32">
      <c r="A15" s="23"/>
      <c r="B15" s="13" t="s">
        <v>924</v>
      </c>
      <c r="C15" s="14">
        <v>0.49</v>
      </c>
      <c r="D15" s="14">
        <v>0.59</v>
      </c>
      <c r="E15" s="14">
        <v>0.53</v>
      </c>
      <c r="F15" s="14">
        <v>0.44</v>
      </c>
      <c r="G15" s="14">
        <v>0.22</v>
      </c>
      <c r="H15" s="14">
        <v>0.54</v>
      </c>
      <c r="I15" s="14">
        <v>0.54</v>
      </c>
      <c r="J15" s="14">
        <v>0.55000000000000004</v>
      </c>
      <c r="K15" s="14">
        <v>0.49</v>
      </c>
      <c r="L15" s="14">
        <v>0.38</v>
      </c>
      <c r="M15" s="14">
        <v>0.53</v>
      </c>
      <c r="N15" s="14">
        <v>0.44</v>
      </c>
      <c r="O15" s="14">
        <v>0.47</v>
      </c>
      <c r="P15" s="14">
        <v>0.43</v>
      </c>
      <c r="Q15" s="14">
        <v>0.52</v>
      </c>
      <c r="R15" s="14">
        <v>0.39</v>
      </c>
      <c r="S15" s="14">
        <v>0.39</v>
      </c>
      <c r="T15" s="14">
        <v>0.46</v>
      </c>
      <c r="U15" s="14">
        <v>0.37</v>
      </c>
      <c r="V15" s="14">
        <v>0.44</v>
      </c>
      <c r="W15" s="14">
        <v>0.45</v>
      </c>
      <c r="X15" s="14">
        <v>0.35</v>
      </c>
      <c r="Y15" s="14">
        <v>0.4</v>
      </c>
      <c r="Z15" s="14">
        <v>0.59</v>
      </c>
      <c r="AA15" s="14">
        <v>0.63</v>
      </c>
      <c r="AB15" s="14">
        <v>0.47</v>
      </c>
      <c r="AC15" s="14">
        <v>0.47</v>
      </c>
      <c r="AD15" s="14">
        <v>0.42</v>
      </c>
      <c r="AE15" s="14">
        <v>0.37</v>
      </c>
      <c r="AF15" s="14">
        <v>0.33</v>
      </c>
    </row>
    <row r="16" spans="1:32">
      <c r="A16" s="23"/>
      <c r="B16" s="11" t="s">
        <v>1260</v>
      </c>
      <c r="C16" s="12">
        <v>1616</v>
      </c>
      <c r="D16" s="12">
        <v>51</v>
      </c>
      <c r="E16" s="12">
        <v>39</v>
      </c>
      <c r="F16" s="12">
        <v>50</v>
      </c>
      <c r="G16" s="12">
        <v>51</v>
      </c>
      <c r="H16" s="12">
        <v>134</v>
      </c>
      <c r="I16" s="12">
        <v>168</v>
      </c>
      <c r="J16" s="12">
        <v>34</v>
      </c>
      <c r="K16" s="12">
        <v>106</v>
      </c>
      <c r="L16" s="12">
        <v>52</v>
      </c>
      <c r="M16" s="12">
        <v>64</v>
      </c>
      <c r="N16" s="12">
        <v>51</v>
      </c>
      <c r="O16" s="12">
        <v>35</v>
      </c>
      <c r="P16" s="12">
        <v>70</v>
      </c>
      <c r="Q16" s="12">
        <v>39</v>
      </c>
      <c r="R16" s="12">
        <v>28</v>
      </c>
      <c r="S16" s="12">
        <v>114</v>
      </c>
      <c r="T16" s="12">
        <v>62</v>
      </c>
      <c r="U16" s="12">
        <v>41</v>
      </c>
      <c r="V16" s="12">
        <v>53</v>
      </c>
      <c r="W16" s="12">
        <v>64</v>
      </c>
      <c r="X16" s="12">
        <v>34</v>
      </c>
      <c r="Y16" s="12">
        <v>56</v>
      </c>
      <c r="Z16" s="12">
        <v>63</v>
      </c>
      <c r="AA16" s="12">
        <v>32</v>
      </c>
      <c r="AB16" s="12">
        <v>122</v>
      </c>
      <c r="AC16" s="12">
        <v>85</v>
      </c>
      <c r="AD16" s="12">
        <v>33</v>
      </c>
      <c r="AE16" s="12">
        <v>47</v>
      </c>
      <c r="AF16" s="12">
        <v>38</v>
      </c>
    </row>
    <row r="17" spans="1:32">
      <c r="A17" s="23"/>
      <c r="B17" s="13" t="s">
        <v>926</v>
      </c>
      <c r="C17" s="14">
        <v>7.0000000000000007E-2</v>
      </c>
      <c r="D17" s="14">
        <v>0.05</v>
      </c>
      <c r="E17" s="14">
        <v>0.05</v>
      </c>
      <c r="F17" s="14">
        <v>0.06</v>
      </c>
      <c r="G17" s="14">
        <v>0.05</v>
      </c>
      <c r="H17" s="14">
        <v>0.13</v>
      </c>
      <c r="I17" s="14">
        <v>0.13</v>
      </c>
      <c r="J17" s="14">
        <v>0.13</v>
      </c>
      <c r="K17" s="14">
        <v>0.12</v>
      </c>
      <c r="L17" s="14">
        <v>0.06</v>
      </c>
      <c r="M17" s="14">
        <v>0.08</v>
      </c>
      <c r="N17" s="14">
        <v>0.06</v>
      </c>
      <c r="O17" s="14">
        <v>0.04</v>
      </c>
      <c r="P17" s="14">
        <v>0.09</v>
      </c>
      <c r="Q17" s="14">
        <v>0.05</v>
      </c>
      <c r="R17" s="14">
        <v>0.06</v>
      </c>
      <c r="S17" s="14">
        <v>0.13</v>
      </c>
      <c r="T17" s="14">
        <v>7.0000000000000007E-2</v>
      </c>
      <c r="U17" s="14">
        <v>0.09</v>
      </c>
      <c r="V17" s="14">
        <v>0.06</v>
      </c>
      <c r="W17" s="14">
        <v>0.14000000000000001</v>
      </c>
      <c r="X17" s="14">
        <v>0.03</v>
      </c>
      <c r="Y17" s="14">
        <v>0.06</v>
      </c>
      <c r="Z17" s="14">
        <v>7.0000000000000007E-2</v>
      </c>
      <c r="AA17" s="14">
        <v>0.04</v>
      </c>
      <c r="AB17" s="14">
        <v>0.15</v>
      </c>
      <c r="AC17" s="14">
        <v>0.09</v>
      </c>
      <c r="AD17" s="14">
        <v>0.04</v>
      </c>
      <c r="AE17" s="14">
        <v>0.05</v>
      </c>
      <c r="AF17" s="14">
        <v>0.03</v>
      </c>
    </row>
    <row r="18" spans="1:32">
      <c r="A18" s="23"/>
      <c r="B18" s="11" t="s">
        <v>927</v>
      </c>
      <c r="C18" s="12">
        <v>289</v>
      </c>
      <c r="D18" s="12">
        <v>12</v>
      </c>
      <c r="E18" s="12">
        <v>3</v>
      </c>
      <c r="F18" s="12">
        <v>4</v>
      </c>
      <c r="G18" s="12">
        <v>10</v>
      </c>
      <c r="H18" s="12">
        <v>17</v>
      </c>
      <c r="I18" s="12">
        <v>23</v>
      </c>
      <c r="J18" s="12">
        <v>6</v>
      </c>
      <c r="K18" s="12">
        <v>17</v>
      </c>
      <c r="L18" s="12">
        <v>8</v>
      </c>
      <c r="M18" s="12">
        <v>6</v>
      </c>
      <c r="N18" s="12">
        <v>17</v>
      </c>
      <c r="O18" s="12">
        <v>12</v>
      </c>
      <c r="P18" s="12">
        <v>11</v>
      </c>
      <c r="Q18" s="12">
        <v>5</v>
      </c>
      <c r="R18" s="12">
        <v>4</v>
      </c>
      <c r="S18" s="12">
        <v>17</v>
      </c>
      <c r="T18" s="12">
        <v>8</v>
      </c>
      <c r="U18" s="12">
        <v>12</v>
      </c>
      <c r="V18" s="12">
        <v>3</v>
      </c>
      <c r="W18" s="12">
        <v>4</v>
      </c>
      <c r="X18" s="12">
        <v>13</v>
      </c>
      <c r="Y18" s="12">
        <v>8</v>
      </c>
      <c r="Z18" s="12">
        <v>6</v>
      </c>
      <c r="AA18" s="12">
        <v>8</v>
      </c>
      <c r="AB18" s="12">
        <v>23</v>
      </c>
      <c r="AC18" s="12">
        <v>13</v>
      </c>
      <c r="AD18" s="12">
        <v>2</v>
      </c>
      <c r="AE18" s="12">
        <v>15</v>
      </c>
      <c r="AF18" s="12">
        <v>10</v>
      </c>
    </row>
    <row r="19" spans="1:32">
      <c r="A19" s="23"/>
      <c r="B19" s="13" t="s">
        <v>928</v>
      </c>
      <c r="C19" s="14">
        <v>0.01</v>
      </c>
      <c r="D19" s="14">
        <v>0.01</v>
      </c>
      <c r="E19" s="15" t="s">
        <v>485</v>
      </c>
      <c r="F19" s="14">
        <v>0.01</v>
      </c>
      <c r="G19" s="14">
        <v>0.01</v>
      </c>
      <c r="H19" s="14">
        <v>0.02</v>
      </c>
      <c r="I19" s="14">
        <v>0.02</v>
      </c>
      <c r="J19" s="14">
        <v>0.02</v>
      </c>
      <c r="K19" s="14">
        <v>0.02</v>
      </c>
      <c r="L19" s="14">
        <v>0.01</v>
      </c>
      <c r="M19" s="14">
        <v>0.01</v>
      </c>
      <c r="N19" s="14">
        <v>0.02</v>
      </c>
      <c r="O19" s="14">
        <v>0.01</v>
      </c>
      <c r="P19" s="14">
        <v>0.01</v>
      </c>
      <c r="Q19" s="14">
        <v>0.01</v>
      </c>
      <c r="R19" s="14">
        <v>0.01</v>
      </c>
      <c r="S19" s="14">
        <v>0.02</v>
      </c>
      <c r="T19" s="14">
        <v>0.01</v>
      </c>
      <c r="U19" s="14">
        <v>0.02</v>
      </c>
      <c r="V19" s="15" t="s">
        <v>485</v>
      </c>
      <c r="W19" s="14">
        <v>0.01</v>
      </c>
      <c r="X19" s="14">
        <v>0.01</v>
      </c>
      <c r="Y19" s="14">
        <v>0.01</v>
      </c>
      <c r="Z19" s="14">
        <v>0.01</v>
      </c>
      <c r="AA19" s="14">
        <v>0.01</v>
      </c>
      <c r="AB19" s="14">
        <v>0.03</v>
      </c>
      <c r="AC19" s="14">
        <v>0.02</v>
      </c>
      <c r="AD19" s="15" t="s">
        <v>485</v>
      </c>
      <c r="AE19" s="14">
        <v>0.02</v>
      </c>
      <c r="AF19" s="14">
        <v>0.01</v>
      </c>
    </row>
    <row r="20" spans="1:32">
      <c r="A20" s="23"/>
      <c r="B20" s="11" t="s">
        <v>497</v>
      </c>
      <c r="C20" s="12">
        <v>539</v>
      </c>
      <c r="D20" s="12">
        <v>6</v>
      </c>
      <c r="E20" s="12">
        <v>40</v>
      </c>
      <c r="F20" s="12">
        <v>44</v>
      </c>
      <c r="G20" s="12">
        <v>35</v>
      </c>
      <c r="H20" s="12">
        <v>20</v>
      </c>
      <c r="I20" s="12">
        <v>28</v>
      </c>
      <c r="J20" s="12">
        <v>8</v>
      </c>
      <c r="K20" s="12">
        <v>43</v>
      </c>
      <c r="L20" s="12">
        <v>13</v>
      </c>
      <c r="M20" s="12">
        <v>62</v>
      </c>
      <c r="N20" s="12">
        <v>25</v>
      </c>
      <c r="O20" s="12">
        <v>23</v>
      </c>
      <c r="P20" s="12">
        <v>6</v>
      </c>
      <c r="Q20" s="12">
        <v>7</v>
      </c>
      <c r="R20" s="12">
        <v>20</v>
      </c>
      <c r="S20" s="12">
        <v>36</v>
      </c>
      <c r="T20" s="12">
        <v>30</v>
      </c>
      <c r="U20" s="12">
        <v>6</v>
      </c>
      <c r="V20" s="12">
        <v>18</v>
      </c>
      <c r="W20" s="12">
        <v>17</v>
      </c>
      <c r="X20" s="12">
        <v>23</v>
      </c>
      <c r="Y20" s="12">
        <v>14</v>
      </c>
      <c r="Z20" s="12">
        <v>11</v>
      </c>
      <c r="AA20" s="12">
        <v>49</v>
      </c>
      <c r="AB20" s="12">
        <v>16</v>
      </c>
      <c r="AC20" s="12">
        <v>20</v>
      </c>
      <c r="AD20" s="12">
        <v>41</v>
      </c>
      <c r="AE20" s="12">
        <v>15</v>
      </c>
      <c r="AF20" s="12">
        <v>22</v>
      </c>
    </row>
    <row r="21" spans="1:32">
      <c r="A21" s="23"/>
      <c r="B21" s="13" t="s">
        <v>498</v>
      </c>
      <c r="C21" s="14">
        <v>0.02</v>
      </c>
      <c r="D21" s="14">
        <v>0.01</v>
      </c>
      <c r="E21" s="14">
        <v>0.05</v>
      </c>
      <c r="F21" s="14">
        <v>0.05</v>
      </c>
      <c r="G21" s="14">
        <v>0.04</v>
      </c>
      <c r="H21" s="14">
        <v>0.02</v>
      </c>
      <c r="I21" s="14">
        <v>0.02</v>
      </c>
      <c r="J21" s="14">
        <v>0.03</v>
      </c>
      <c r="K21" s="14">
        <v>0.05</v>
      </c>
      <c r="L21" s="14">
        <v>0.01</v>
      </c>
      <c r="M21" s="14">
        <v>7.0000000000000007E-2</v>
      </c>
      <c r="N21" s="14">
        <v>0.03</v>
      </c>
      <c r="O21" s="14">
        <v>0.03</v>
      </c>
      <c r="P21" s="14">
        <v>0.01</v>
      </c>
      <c r="Q21" s="14">
        <v>0.01</v>
      </c>
      <c r="R21" s="14">
        <v>0.04</v>
      </c>
      <c r="S21" s="14">
        <v>0.04</v>
      </c>
      <c r="T21" s="14">
        <v>0.04</v>
      </c>
      <c r="U21" s="14">
        <v>0.01</v>
      </c>
      <c r="V21" s="14">
        <v>0.02</v>
      </c>
      <c r="W21" s="14">
        <v>0.04</v>
      </c>
      <c r="X21" s="14">
        <v>0.02</v>
      </c>
      <c r="Y21" s="14">
        <v>0.02</v>
      </c>
      <c r="Z21" s="14">
        <v>0.01</v>
      </c>
      <c r="AA21" s="14">
        <v>0.05</v>
      </c>
      <c r="AB21" s="14">
        <v>0.02</v>
      </c>
      <c r="AC21" s="14">
        <v>0.02</v>
      </c>
      <c r="AD21" s="14">
        <v>0.05</v>
      </c>
      <c r="AE21" s="14">
        <v>0.02</v>
      </c>
      <c r="AF21" s="14">
        <v>0.02</v>
      </c>
    </row>
    <row r="22" spans="1:32">
      <c r="A22" s="23"/>
      <c r="B22" s="11" t="s">
        <v>929</v>
      </c>
      <c r="C22" s="12">
        <v>20028</v>
      </c>
      <c r="D22" s="12">
        <v>870</v>
      </c>
      <c r="E22" s="12">
        <v>751</v>
      </c>
      <c r="F22" s="12">
        <v>736</v>
      </c>
      <c r="G22" s="12">
        <v>885</v>
      </c>
      <c r="H22" s="12">
        <v>869</v>
      </c>
      <c r="I22" s="12">
        <v>1082</v>
      </c>
      <c r="J22" s="12">
        <v>213</v>
      </c>
      <c r="K22" s="12">
        <v>708</v>
      </c>
      <c r="L22" s="12">
        <v>843</v>
      </c>
      <c r="M22" s="12">
        <v>701</v>
      </c>
      <c r="N22" s="12">
        <v>784</v>
      </c>
      <c r="O22" s="12">
        <v>831</v>
      </c>
      <c r="P22" s="12">
        <v>725</v>
      </c>
      <c r="Q22" s="12">
        <v>677</v>
      </c>
      <c r="R22" s="12">
        <v>399</v>
      </c>
      <c r="S22" s="12">
        <v>701</v>
      </c>
      <c r="T22" s="12">
        <v>736</v>
      </c>
      <c r="U22" s="12">
        <v>428</v>
      </c>
      <c r="V22" s="12">
        <v>820</v>
      </c>
      <c r="W22" s="12">
        <v>378</v>
      </c>
      <c r="X22" s="12">
        <v>939</v>
      </c>
      <c r="Y22" s="12">
        <v>759</v>
      </c>
      <c r="Z22" s="12">
        <v>764</v>
      </c>
      <c r="AA22" s="12">
        <v>821</v>
      </c>
      <c r="AB22" s="12">
        <v>634</v>
      </c>
      <c r="AC22" s="12">
        <v>782</v>
      </c>
      <c r="AD22" s="12">
        <v>812</v>
      </c>
      <c r="AE22" s="12">
        <v>880</v>
      </c>
      <c r="AF22" s="12">
        <v>986</v>
      </c>
    </row>
    <row r="23" spans="1:32">
      <c r="A23" s="23"/>
      <c r="B23" s="13" t="s">
        <v>930</v>
      </c>
      <c r="C23" s="14">
        <v>0.9</v>
      </c>
      <c r="D23" s="14">
        <v>0.93</v>
      </c>
      <c r="E23" s="14">
        <v>0.9</v>
      </c>
      <c r="F23" s="14">
        <v>0.88</v>
      </c>
      <c r="G23" s="14">
        <v>0.9</v>
      </c>
      <c r="H23" s="14">
        <v>0.83000000000000007</v>
      </c>
      <c r="I23" s="14">
        <v>0.83000000000000007</v>
      </c>
      <c r="J23" s="14">
        <v>0.82000000000000006</v>
      </c>
      <c r="K23" s="14">
        <v>0.81</v>
      </c>
      <c r="L23" s="14">
        <v>0.92</v>
      </c>
      <c r="M23" s="14">
        <v>0.84</v>
      </c>
      <c r="N23" s="14">
        <v>0.89</v>
      </c>
      <c r="O23" s="14">
        <v>0.92</v>
      </c>
      <c r="P23" s="14">
        <v>0.89</v>
      </c>
      <c r="Q23" s="14">
        <v>0.93</v>
      </c>
      <c r="R23" s="14">
        <v>0.89</v>
      </c>
      <c r="S23" s="14">
        <v>0.81</v>
      </c>
      <c r="T23" s="14">
        <v>0.88</v>
      </c>
      <c r="U23" s="14">
        <v>0.88</v>
      </c>
      <c r="V23" s="14">
        <v>0.92</v>
      </c>
      <c r="W23" s="14">
        <v>0.81</v>
      </c>
      <c r="X23" s="14">
        <v>0.94000000000000006</v>
      </c>
      <c r="Y23" s="14">
        <v>0.91</v>
      </c>
      <c r="Z23" s="14">
        <v>0.91</v>
      </c>
      <c r="AA23" s="14">
        <v>0.9</v>
      </c>
      <c r="AB23" s="14">
        <v>0.8</v>
      </c>
      <c r="AC23" s="14">
        <v>0.87</v>
      </c>
      <c r="AD23" s="14">
        <v>0.91</v>
      </c>
      <c r="AE23" s="14">
        <v>0.91</v>
      </c>
      <c r="AF23" s="14">
        <v>0.94000000000000006</v>
      </c>
    </row>
    <row r="24" spans="1:32">
      <c r="A24" s="23"/>
      <c r="B24" s="11" t="s">
        <v>931</v>
      </c>
      <c r="C24" s="12">
        <v>1905</v>
      </c>
      <c r="D24" s="12">
        <v>63</v>
      </c>
      <c r="E24" s="12">
        <v>42</v>
      </c>
      <c r="F24" s="12">
        <v>54</v>
      </c>
      <c r="G24" s="12">
        <v>61</v>
      </c>
      <c r="H24" s="12">
        <v>151</v>
      </c>
      <c r="I24" s="12">
        <v>191</v>
      </c>
      <c r="J24" s="12">
        <v>40</v>
      </c>
      <c r="K24" s="12">
        <v>123</v>
      </c>
      <c r="L24" s="12">
        <v>60</v>
      </c>
      <c r="M24" s="12">
        <v>70</v>
      </c>
      <c r="N24" s="12">
        <v>68</v>
      </c>
      <c r="O24" s="12">
        <v>47</v>
      </c>
      <c r="P24" s="12">
        <v>81</v>
      </c>
      <c r="Q24" s="12">
        <v>44</v>
      </c>
      <c r="R24" s="12">
        <v>32</v>
      </c>
      <c r="S24" s="12">
        <v>131</v>
      </c>
      <c r="T24" s="12">
        <v>70</v>
      </c>
      <c r="U24" s="12">
        <v>53</v>
      </c>
      <c r="V24" s="12">
        <v>56</v>
      </c>
      <c r="W24" s="12">
        <v>68</v>
      </c>
      <c r="X24" s="12">
        <v>47</v>
      </c>
      <c r="Y24" s="12">
        <v>64</v>
      </c>
      <c r="Z24" s="12">
        <v>69</v>
      </c>
      <c r="AA24" s="12">
        <v>40</v>
      </c>
      <c r="AB24" s="12">
        <v>145</v>
      </c>
      <c r="AC24" s="12">
        <v>98</v>
      </c>
      <c r="AD24" s="12">
        <v>35</v>
      </c>
      <c r="AE24" s="12">
        <v>62</v>
      </c>
      <c r="AF24" s="12">
        <v>48</v>
      </c>
    </row>
    <row r="25" spans="1:32">
      <c r="A25" s="23"/>
      <c r="B25" s="13" t="s">
        <v>932</v>
      </c>
      <c r="C25" s="14">
        <v>0.08</v>
      </c>
      <c r="D25" s="14">
        <v>0.06</v>
      </c>
      <c r="E25" s="14">
        <v>0.05</v>
      </c>
      <c r="F25" s="14">
        <v>7.0000000000000007E-2</v>
      </c>
      <c r="G25" s="14">
        <v>0.06</v>
      </c>
      <c r="H25" s="14">
        <v>0.15</v>
      </c>
      <c r="I25" s="14">
        <v>0.15</v>
      </c>
      <c r="J25" s="14">
        <v>0.15</v>
      </c>
      <c r="K25" s="14">
        <v>0.14000000000000001</v>
      </c>
      <c r="L25" s="14">
        <v>7.0000000000000007E-2</v>
      </c>
      <c r="M25" s="14">
        <v>0.09</v>
      </c>
      <c r="N25" s="14">
        <v>0.08</v>
      </c>
      <c r="O25" s="14">
        <v>0.05</v>
      </c>
      <c r="P25" s="14">
        <v>0.1</v>
      </c>
      <c r="Q25" s="14">
        <v>0.06</v>
      </c>
      <c r="R25" s="14">
        <v>7.0000000000000007E-2</v>
      </c>
      <c r="S25" s="14">
        <v>0.15</v>
      </c>
      <c r="T25" s="14">
        <v>0.08</v>
      </c>
      <c r="U25" s="14">
        <v>0.11</v>
      </c>
      <c r="V25" s="14">
        <v>0.06</v>
      </c>
      <c r="W25" s="14">
        <v>0.15</v>
      </c>
      <c r="X25" s="14">
        <v>0.04</v>
      </c>
      <c r="Y25" s="14">
        <v>7.0000000000000007E-2</v>
      </c>
      <c r="Z25" s="14">
        <v>0.08</v>
      </c>
      <c r="AA25" s="14">
        <v>0.05</v>
      </c>
      <c r="AB25" s="14">
        <v>0.18</v>
      </c>
      <c r="AC25" s="14">
        <v>0.11</v>
      </c>
      <c r="AD25" s="14">
        <v>0.04</v>
      </c>
      <c r="AE25" s="14">
        <v>7.0000000000000007E-2</v>
      </c>
      <c r="AF25" s="14">
        <v>0.04</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36" customHeight="1">
      <c r="B3" s="19" t="s">
        <v>219</v>
      </c>
      <c r="C3" s="19"/>
      <c r="D3" s="19"/>
      <c r="E3" s="19"/>
      <c r="F3" s="19"/>
      <c r="H3" s="19" t="s">
        <v>220</v>
      </c>
      <c r="I3" s="19"/>
      <c r="J3" s="19"/>
      <c r="K3" s="19"/>
      <c r="L3" s="19"/>
    </row>
    <row r="4" spans="1:32" ht="27" customHeight="1">
      <c r="B4" s="19"/>
      <c r="C4" s="19"/>
      <c r="D4" s="19"/>
      <c r="E4" s="19"/>
      <c r="F4" s="19"/>
      <c r="H4" s="19"/>
      <c r="I4" s="19"/>
      <c r="J4" s="19"/>
      <c r="K4" s="19"/>
      <c r="L4" s="19"/>
    </row>
    <row r="5" spans="1:32" ht="12" customHeight="1">
      <c r="B5" s="19" t="s">
        <v>1227</v>
      </c>
      <c r="C5" s="19"/>
      <c r="D5" s="19"/>
      <c r="E5" s="19"/>
      <c r="F5" s="19"/>
      <c r="H5" s="19" t="s">
        <v>1228</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HYPERLINK("#Content!A111","&lt;&lt;Back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22472</v>
      </c>
      <c r="D10" s="10">
        <v>939</v>
      </c>
      <c r="E10" s="10">
        <v>833</v>
      </c>
      <c r="F10" s="10">
        <v>833</v>
      </c>
      <c r="G10" s="10">
        <v>982</v>
      </c>
      <c r="H10" s="10">
        <v>1041</v>
      </c>
      <c r="I10" s="10">
        <v>1300</v>
      </c>
      <c r="J10" s="10">
        <v>260</v>
      </c>
      <c r="K10" s="10">
        <v>875</v>
      </c>
      <c r="L10" s="10">
        <v>917</v>
      </c>
      <c r="M10" s="10">
        <v>832</v>
      </c>
      <c r="N10" s="10">
        <v>878</v>
      </c>
      <c r="O10" s="10">
        <v>900</v>
      </c>
      <c r="P10" s="10">
        <v>812</v>
      </c>
      <c r="Q10" s="10">
        <v>727</v>
      </c>
      <c r="R10" s="10">
        <v>451</v>
      </c>
      <c r="S10" s="10">
        <v>868</v>
      </c>
      <c r="T10" s="10">
        <v>836</v>
      </c>
      <c r="U10" s="10">
        <v>487</v>
      </c>
      <c r="V10" s="10">
        <v>894</v>
      </c>
      <c r="W10" s="10">
        <v>463</v>
      </c>
      <c r="X10" s="10">
        <v>1009</v>
      </c>
      <c r="Y10" s="10">
        <v>837</v>
      </c>
      <c r="Z10" s="10">
        <v>844</v>
      </c>
      <c r="AA10" s="10">
        <v>912</v>
      </c>
      <c r="AB10" s="10">
        <v>796</v>
      </c>
      <c r="AC10" s="10">
        <v>901</v>
      </c>
      <c r="AD10" s="10">
        <v>888</v>
      </c>
      <c r="AE10" s="10">
        <v>957</v>
      </c>
      <c r="AF10" s="10">
        <v>1056</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34.5">
      <c r="A12" s="23"/>
      <c r="B12" s="11" t="s">
        <v>1265</v>
      </c>
      <c r="C12" s="12">
        <v>8914</v>
      </c>
      <c r="D12" s="12">
        <v>228</v>
      </c>
      <c r="E12" s="12">
        <v>189</v>
      </c>
      <c r="F12" s="12">
        <v>282</v>
      </c>
      <c r="G12" s="12">
        <v>527</v>
      </c>
      <c r="H12" s="12">
        <v>374</v>
      </c>
      <c r="I12" s="12">
        <v>453</v>
      </c>
      <c r="J12" s="12">
        <v>79</v>
      </c>
      <c r="K12" s="12">
        <v>269</v>
      </c>
      <c r="L12" s="12">
        <v>432</v>
      </c>
      <c r="M12" s="12">
        <v>116</v>
      </c>
      <c r="N12" s="12">
        <v>421</v>
      </c>
      <c r="O12" s="12">
        <v>490</v>
      </c>
      <c r="P12" s="12">
        <v>216</v>
      </c>
      <c r="Q12" s="12">
        <v>349</v>
      </c>
      <c r="R12" s="12">
        <v>195</v>
      </c>
      <c r="S12" s="12">
        <v>325</v>
      </c>
      <c r="T12" s="12">
        <v>255</v>
      </c>
      <c r="U12" s="12">
        <v>292</v>
      </c>
      <c r="V12" s="12">
        <v>317</v>
      </c>
      <c r="W12" s="12">
        <v>309</v>
      </c>
      <c r="X12" s="12">
        <v>431</v>
      </c>
      <c r="Y12" s="12">
        <v>249</v>
      </c>
      <c r="Z12" s="12">
        <v>240</v>
      </c>
      <c r="AA12" s="12">
        <v>138</v>
      </c>
      <c r="AB12" s="12">
        <v>170</v>
      </c>
      <c r="AC12" s="12">
        <v>467</v>
      </c>
      <c r="AD12" s="12">
        <v>339</v>
      </c>
      <c r="AE12" s="12">
        <v>246</v>
      </c>
      <c r="AF12" s="12">
        <v>612</v>
      </c>
    </row>
    <row r="13" spans="1:32" ht="34.5">
      <c r="A13" s="23"/>
      <c r="B13" s="13" t="s">
        <v>1266</v>
      </c>
      <c r="C13" s="14">
        <v>0.4</v>
      </c>
      <c r="D13" s="14">
        <v>0.24</v>
      </c>
      <c r="E13" s="14">
        <v>0.23</v>
      </c>
      <c r="F13" s="14">
        <v>0.34</v>
      </c>
      <c r="G13" s="14">
        <v>0.54</v>
      </c>
      <c r="H13" s="14">
        <v>0.36</v>
      </c>
      <c r="I13" s="14">
        <v>0.35</v>
      </c>
      <c r="J13" s="14">
        <v>0.3</v>
      </c>
      <c r="K13" s="14">
        <v>0.31</v>
      </c>
      <c r="L13" s="14">
        <v>0.47</v>
      </c>
      <c r="M13" s="14">
        <v>0.14000000000000001</v>
      </c>
      <c r="N13" s="14">
        <v>0.48</v>
      </c>
      <c r="O13" s="14">
        <v>0.54</v>
      </c>
      <c r="P13" s="14">
        <v>0.27</v>
      </c>
      <c r="Q13" s="14">
        <v>0.48</v>
      </c>
      <c r="R13" s="14">
        <v>0.43</v>
      </c>
      <c r="S13" s="14">
        <v>0.37</v>
      </c>
      <c r="T13" s="14">
        <v>0.3</v>
      </c>
      <c r="U13" s="14">
        <v>0.6</v>
      </c>
      <c r="V13" s="14">
        <v>0.35</v>
      </c>
      <c r="W13" s="14">
        <v>0.67</v>
      </c>
      <c r="X13" s="14">
        <v>0.43</v>
      </c>
      <c r="Y13" s="14">
        <v>0.3</v>
      </c>
      <c r="Z13" s="14">
        <v>0.28000000000000003</v>
      </c>
      <c r="AA13" s="14">
        <v>0.15</v>
      </c>
      <c r="AB13" s="14">
        <v>0.21</v>
      </c>
      <c r="AC13" s="14">
        <v>0.52</v>
      </c>
      <c r="AD13" s="14">
        <v>0.38</v>
      </c>
      <c r="AE13" s="14">
        <v>0.26</v>
      </c>
      <c r="AF13" s="14">
        <v>0.57999999999999996</v>
      </c>
    </row>
    <row r="14" spans="1:32" ht="23.25">
      <c r="A14" s="23"/>
      <c r="B14" s="11" t="s">
        <v>1267</v>
      </c>
      <c r="C14" s="12">
        <v>3155</v>
      </c>
      <c r="D14" s="12">
        <v>174</v>
      </c>
      <c r="E14" s="12">
        <v>126</v>
      </c>
      <c r="F14" s="12">
        <v>141</v>
      </c>
      <c r="G14" s="12">
        <v>68</v>
      </c>
      <c r="H14" s="12">
        <v>184</v>
      </c>
      <c r="I14" s="12">
        <v>226</v>
      </c>
      <c r="J14" s="12">
        <v>42</v>
      </c>
      <c r="K14" s="12">
        <v>133</v>
      </c>
      <c r="L14" s="12">
        <v>114</v>
      </c>
      <c r="M14" s="12">
        <v>257</v>
      </c>
      <c r="N14" s="12">
        <v>74</v>
      </c>
      <c r="O14" s="12">
        <v>76</v>
      </c>
      <c r="P14" s="12">
        <v>177</v>
      </c>
      <c r="Q14" s="12">
        <v>84</v>
      </c>
      <c r="R14" s="12">
        <v>70</v>
      </c>
      <c r="S14" s="12">
        <v>51</v>
      </c>
      <c r="T14" s="12">
        <v>105</v>
      </c>
      <c r="U14" s="12">
        <v>39</v>
      </c>
      <c r="V14" s="12">
        <v>150</v>
      </c>
      <c r="W14" s="12">
        <v>38</v>
      </c>
      <c r="X14" s="12">
        <v>61</v>
      </c>
      <c r="Y14" s="12">
        <v>225</v>
      </c>
      <c r="Z14" s="12">
        <v>194</v>
      </c>
      <c r="AA14" s="12">
        <v>92</v>
      </c>
      <c r="AB14" s="12">
        <v>205</v>
      </c>
      <c r="AC14" s="12">
        <v>71</v>
      </c>
      <c r="AD14" s="12">
        <v>126</v>
      </c>
      <c r="AE14" s="12">
        <v>70</v>
      </c>
      <c r="AF14" s="12">
        <v>51</v>
      </c>
    </row>
    <row r="15" spans="1:32" ht="23.25">
      <c r="A15" s="23"/>
      <c r="B15" s="13" t="s">
        <v>1268</v>
      </c>
      <c r="C15" s="14">
        <v>0.14000000000000001</v>
      </c>
      <c r="D15" s="14">
        <v>0.19</v>
      </c>
      <c r="E15" s="14">
        <v>0.15</v>
      </c>
      <c r="F15" s="14">
        <v>0.17</v>
      </c>
      <c r="G15" s="14">
        <v>7.0000000000000007E-2</v>
      </c>
      <c r="H15" s="14">
        <v>0.18</v>
      </c>
      <c r="I15" s="14">
        <v>0.17</v>
      </c>
      <c r="J15" s="14">
        <v>0.16</v>
      </c>
      <c r="K15" s="14">
        <v>0.15</v>
      </c>
      <c r="L15" s="14">
        <v>0.12</v>
      </c>
      <c r="M15" s="14">
        <v>0.31</v>
      </c>
      <c r="N15" s="14">
        <v>0.08</v>
      </c>
      <c r="O15" s="14">
        <v>0.08</v>
      </c>
      <c r="P15" s="14">
        <v>0.22</v>
      </c>
      <c r="Q15" s="14">
        <v>0.12</v>
      </c>
      <c r="R15" s="14">
        <v>0.16</v>
      </c>
      <c r="S15" s="14">
        <v>0.06</v>
      </c>
      <c r="T15" s="14">
        <v>0.13</v>
      </c>
      <c r="U15" s="14">
        <v>0.08</v>
      </c>
      <c r="V15" s="14">
        <v>0.17</v>
      </c>
      <c r="W15" s="14">
        <v>0.08</v>
      </c>
      <c r="X15" s="14">
        <v>0.06</v>
      </c>
      <c r="Y15" s="14">
        <v>0.27</v>
      </c>
      <c r="Z15" s="14">
        <v>0.23</v>
      </c>
      <c r="AA15" s="14">
        <v>0.1</v>
      </c>
      <c r="AB15" s="14">
        <v>0.26</v>
      </c>
      <c r="AC15" s="14">
        <v>0.08</v>
      </c>
      <c r="AD15" s="14">
        <v>0.14000000000000001</v>
      </c>
      <c r="AE15" s="14">
        <v>7.0000000000000007E-2</v>
      </c>
      <c r="AF15" s="14">
        <v>0.05</v>
      </c>
    </row>
    <row r="16" spans="1:32" ht="45.75">
      <c r="A16" s="23"/>
      <c r="B16" s="11" t="s">
        <v>1269</v>
      </c>
      <c r="C16" s="12">
        <v>2469</v>
      </c>
      <c r="D16" s="12">
        <v>125</v>
      </c>
      <c r="E16" s="12">
        <v>64</v>
      </c>
      <c r="F16" s="12">
        <v>83</v>
      </c>
      <c r="G16" s="12">
        <v>58</v>
      </c>
      <c r="H16" s="12">
        <v>175</v>
      </c>
      <c r="I16" s="12">
        <v>251</v>
      </c>
      <c r="J16" s="12">
        <v>76</v>
      </c>
      <c r="K16" s="12">
        <v>115</v>
      </c>
      <c r="L16" s="12">
        <v>36</v>
      </c>
      <c r="M16" s="12">
        <v>179</v>
      </c>
      <c r="N16" s="12">
        <v>28</v>
      </c>
      <c r="O16" s="12">
        <v>35</v>
      </c>
      <c r="P16" s="12">
        <v>74</v>
      </c>
      <c r="Q16" s="12">
        <v>81</v>
      </c>
      <c r="R16" s="12">
        <v>13</v>
      </c>
      <c r="S16" s="12">
        <v>178</v>
      </c>
      <c r="T16" s="12">
        <v>60</v>
      </c>
      <c r="U16" s="12">
        <v>65</v>
      </c>
      <c r="V16" s="12">
        <v>86</v>
      </c>
      <c r="W16" s="12">
        <v>12</v>
      </c>
      <c r="X16" s="12">
        <v>79</v>
      </c>
      <c r="Y16" s="12">
        <v>148</v>
      </c>
      <c r="Z16" s="12">
        <v>129</v>
      </c>
      <c r="AA16" s="12">
        <v>23</v>
      </c>
      <c r="AB16" s="12">
        <v>151</v>
      </c>
      <c r="AC16" s="12">
        <v>80</v>
      </c>
      <c r="AD16" s="12">
        <v>58</v>
      </c>
      <c r="AE16" s="12">
        <v>168</v>
      </c>
      <c r="AF16" s="12">
        <v>72</v>
      </c>
    </row>
    <row r="17" spans="1:32" ht="34.5">
      <c r="A17" s="23"/>
      <c r="B17" s="13" t="s">
        <v>1270</v>
      </c>
      <c r="C17" s="14">
        <v>0.11</v>
      </c>
      <c r="D17" s="14">
        <v>0.13</v>
      </c>
      <c r="E17" s="14">
        <v>0.08</v>
      </c>
      <c r="F17" s="14">
        <v>0.1</v>
      </c>
      <c r="G17" s="14">
        <v>0.06</v>
      </c>
      <c r="H17" s="14">
        <v>0.17</v>
      </c>
      <c r="I17" s="14">
        <v>0.19</v>
      </c>
      <c r="J17" s="14">
        <v>0.28999999999999998</v>
      </c>
      <c r="K17" s="14">
        <v>0.13</v>
      </c>
      <c r="L17" s="14">
        <v>0.04</v>
      </c>
      <c r="M17" s="14">
        <v>0.22</v>
      </c>
      <c r="N17" s="14">
        <v>0.03</v>
      </c>
      <c r="O17" s="14">
        <v>0.04</v>
      </c>
      <c r="P17" s="14">
        <v>0.09</v>
      </c>
      <c r="Q17" s="14">
        <v>0.11</v>
      </c>
      <c r="R17" s="14">
        <v>0.03</v>
      </c>
      <c r="S17" s="14">
        <v>0.21</v>
      </c>
      <c r="T17" s="14">
        <v>7.0000000000000007E-2</v>
      </c>
      <c r="U17" s="14">
        <v>0.13</v>
      </c>
      <c r="V17" s="14">
        <v>0.1</v>
      </c>
      <c r="W17" s="14">
        <v>0.03</v>
      </c>
      <c r="X17" s="14">
        <v>0.08</v>
      </c>
      <c r="Y17" s="14">
        <v>0.18</v>
      </c>
      <c r="Z17" s="14">
        <v>0.15</v>
      </c>
      <c r="AA17" s="14">
        <v>0.03</v>
      </c>
      <c r="AB17" s="14">
        <v>0.19</v>
      </c>
      <c r="AC17" s="14">
        <v>0.09</v>
      </c>
      <c r="AD17" s="14">
        <v>7.0000000000000007E-2</v>
      </c>
      <c r="AE17" s="14">
        <v>0.18</v>
      </c>
      <c r="AF17" s="14">
        <v>7.0000000000000007E-2</v>
      </c>
    </row>
    <row r="18" spans="1:32" ht="34.5">
      <c r="A18" s="23"/>
      <c r="B18" s="11" t="s">
        <v>1271</v>
      </c>
      <c r="C18" s="12">
        <v>6575</v>
      </c>
      <c r="D18" s="12">
        <v>370</v>
      </c>
      <c r="E18" s="12">
        <v>357</v>
      </c>
      <c r="F18" s="12">
        <v>276</v>
      </c>
      <c r="G18" s="12">
        <v>198</v>
      </c>
      <c r="H18" s="12">
        <v>300</v>
      </c>
      <c r="I18" s="12">
        <v>350</v>
      </c>
      <c r="J18" s="12">
        <v>50</v>
      </c>
      <c r="K18" s="12">
        <v>260</v>
      </c>
      <c r="L18" s="12">
        <v>250</v>
      </c>
      <c r="M18" s="12">
        <v>302</v>
      </c>
      <c r="N18" s="12">
        <v>206</v>
      </c>
      <c r="O18" s="12">
        <v>222</v>
      </c>
      <c r="P18" s="12">
        <v>333</v>
      </c>
      <c r="Q18" s="12">
        <v>205</v>
      </c>
      <c r="R18" s="12">
        <v>125</v>
      </c>
      <c r="S18" s="12">
        <v>182</v>
      </c>
      <c r="T18" s="12">
        <v>352</v>
      </c>
      <c r="U18" s="12">
        <v>69</v>
      </c>
      <c r="V18" s="12">
        <v>326</v>
      </c>
      <c r="W18" s="12">
        <v>33</v>
      </c>
      <c r="X18" s="12">
        <v>344</v>
      </c>
      <c r="Y18" s="12">
        <v>240</v>
      </c>
      <c r="Z18" s="12">
        <v>278</v>
      </c>
      <c r="AA18" s="12">
        <v>493</v>
      </c>
      <c r="AB18" s="12">
        <v>251</v>
      </c>
      <c r="AC18" s="12">
        <v>177</v>
      </c>
      <c r="AD18" s="12">
        <v>283</v>
      </c>
      <c r="AE18" s="12">
        <v>427</v>
      </c>
      <c r="AF18" s="12">
        <v>207</v>
      </c>
    </row>
    <row r="19" spans="1:32" ht="34.5">
      <c r="A19" s="23"/>
      <c r="B19" s="13" t="s">
        <v>1272</v>
      </c>
      <c r="C19" s="14">
        <v>0.28999999999999998</v>
      </c>
      <c r="D19" s="14">
        <v>0.39</v>
      </c>
      <c r="E19" s="14">
        <v>0.43</v>
      </c>
      <c r="F19" s="14">
        <v>0.33</v>
      </c>
      <c r="G19" s="14">
        <v>0.2</v>
      </c>
      <c r="H19" s="14">
        <v>0.28999999999999998</v>
      </c>
      <c r="I19" s="14">
        <v>0.27</v>
      </c>
      <c r="J19" s="14">
        <v>0.19</v>
      </c>
      <c r="K19" s="14">
        <v>0.3</v>
      </c>
      <c r="L19" s="14">
        <v>0.27</v>
      </c>
      <c r="M19" s="14">
        <v>0.36</v>
      </c>
      <c r="N19" s="14">
        <v>0.23</v>
      </c>
      <c r="O19" s="14">
        <v>0.25</v>
      </c>
      <c r="P19" s="14">
        <v>0.41</v>
      </c>
      <c r="Q19" s="14">
        <v>0.28000000000000003</v>
      </c>
      <c r="R19" s="14">
        <v>0.28000000000000003</v>
      </c>
      <c r="S19" s="14">
        <v>0.21</v>
      </c>
      <c r="T19" s="14">
        <v>0.42</v>
      </c>
      <c r="U19" s="14">
        <v>0.14000000000000001</v>
      </c>
      <c r="V19" s="14">
        <v>0.37</v>
      </c>
      <c r="W19" s="14">
        <v>7.0000000000000007E-2</v>
      </c>
      <c r="X19" s="14">
        <v>0.34</v>
      </c>
      <c r="Y19" s="14">
        <v>0.28999999999999998</v>
      </c>
      <c r="Z19" s="14">
        <v>0.33</v>
      </c>
      <c r="AA19" s="14">
        <v>0.54</v>
      </c>
      <c r="AB19" s="14">
        <v>0.32</v>
      </c>
      <c r="AC19" s="14">
        <v>0.2</v>
      </c>
      <c r="AD19" s="14">
        <v>0.32</v>
      </c>
      <c r="AE19" s="14">
        <v>0.45</v>
      </c>
      <c r="AF19" s="14">
        <v>0.2</v>
      </c>
    </row>
    <row r="20" spans="1:32" ht="90.75">
      <c r="A20" s="23"/>
      <c r="B20" s="11" t="s">
        <v>1273</v>
      </c>
      <c r="C20" s="12">
        <v>369</v>
      </c>
      <c r="D20" s="12">
        <v>30</v>
      </c>
      <c r="E20" s="12">
        <v>30</v>
      </c>
      <c r="F20" s="12">
        <v>4</v>
      </c>
      <c r="G20" s="12">
        <v>15</v>
      </c>
      <c r="H20" s="12">
        <v>9</v>
      </c>
      <c r="I20" s="12">
        <v>10</v>
      </c>
      <c r="J20" s="12">
        <v>1</v>
      </c>
      <c r="K20" s="12">
        <v>50</v>
      </c>
      <c r="L20" s="12">
        <v>5</v>
      </c>
      <c r="M20" s="12">
        <v>12</v>
      </c>
      <c r="N20" s="12">
        <v>44</v>
      </c>
      <c r="O20" s="12">
        <v>2</v>
      </c>
      <c r="P20" s="12">
        <v>12</v>
      </c>
      <c r="Q20" s="12">
        <v>2</v>
      </c>
      <c r="R20" s="12">
        <v>5</v>
      </c>
      <c r="S20" s="12">
        <v>11</v>
      </c>
      <c r="T20" s="12">
        <v>14</v>
      </c>
      <c r="U20" s="12">
        <v>7</v>
      </c>
      <c r="V20" s="12">
        <v>27</v>
      </c>
      <c r="W20" s="12">
        <v>6</v>
      </c>
      <c r="X20" s="12">
        <v>19</v>
      </c>
      <c r="Y20" s="12">
        <v>14</v>
      </c>
      <c r="Z20" s="12">
        <v>7</v>
      </c>
      <c r="AA20" s="12">
        <v>38</v>
      </c>
      <c r="AB20" s="12">
        <v>30</v>
      </c>
      <c r="AC20" s="12">
        <v>12</v>
      </c>
      <c r="AD20" s="12">
        <v>49</v>
      </c>
      <c r="AE20" s="12">
        <v>4</v>
      </c>
      <c r="AF20" s="12">
        <v>11</v>
      </c>
    </row>
    <row r="21" spans="1:32" ht="79.5">
      <c r="A21" s="23"/>
      <c r="B21" s="13" t="s">
        <v>1274</v>
      </c>
      <c r="C21" s="14">
        <v>0.02</v>
      </c>
      <c r="D21" s="14">
        <v>0.03</v>
      </c>
      <c r="E21" s="14">
        <v>0.04</v>
      </c>
      <c r="F21" s="15" t="s">
        <v>485</v>
      </c>
      <c r="G21" s="14">
        <v>0.02</v>
      </c>
      <c r="H21" s="14">
        <v>0.01</v>
      </c>
      <c r="I21" s="14">
        <v>0.01</v>
      </c>
      <c r="J21" s="15" t="s">
        <v>485</v>
      </c>
      <c r="K21" s="14">
        <v>0.06</v>
      </c>
      <c r="L21" s="14">
        <v>0.01</v>
      </c>
      <c r="M21" s="14">
        <v>0.01</v>
      </c>
      <c r="N21" s="14">
        <v>0.05</v>
      </c>
      <c r="O21" s="15" t="s">
        <v>485</v>
      </c>
      <c r="P21" s="14">
        <v>0.01</v>
      </c>
      <c r="Q21" s="15" t="s">
        <v>485</v>
      </c>
      <c r="R21" s="14">
        <v>0.01</v>
      </c>
      <c r="S21" s="14">
        <v>0.01</v>
      </c>
      <c r="T21" s="14">
        <v>0.02</v>
      </c>
      <c r="U21" s="14">
        <v>0.01</v>
      </c>
      <c r="V21" s="14">
        <v>0.03</v>
      </c>
      <c r="W21" s="14">
        <v>0.01</v>
      </c>
      <c r="X21" s="14">
        <v>0.02</v>
      </c>
      <c r="Y21" s="14">
        <v>0.02</v>
      </c>
      <c r="Z21" s="14">
        <v>0.01</v>
      </c>
      <c r="AA21" s="14">
        <v>0.04</v>
      </c>
      <c r="AB21" s="14">
        <v>0.04</v>
      </c>
      <c r="AC21" s="14">
        <v>0.01</v>
      </c>
      <c r="AD21" s="14">
        <v>0.06</v>
      </c>
      <c r="AE21" s="15" t="s">
        <v>485</v>
      </c>
      <c r="AF21" s="14">
        <v>0.01</v>
      </c>
    </row>
    <row r="22" spans="1:32">
      <c r="A22" s="23"/>
      <c r="B22" s="11" t="s">
        <v>497</v>
      </c>
      <c r="C22" s="12">
        <v>1600</v>
      </c>
      <c r="D22" s="12">
        <v>45</v>
      </c>
      <c r="E22" s="12">
        <v>85</v>
      </c>
      <c r="F22" s="12">
        <v>69</v>
      </c>
      <c r="G22" s="12">
        <v>135</v>
      </c>
      <c r="H22" s="12">
        <v>49</v>
      </c>
      <c r="I22" s="12">
        <v>64</v>
      </c>
      <c r="J22" s="12">
        <v>15</v>
      </c>
      <c r="K22" s="12">
        <v>71</v>
      </c>
      <c r="L22" s="12">
        <v>86</v>
      </c>
      <c r="M22" s="12">
        <v>44</v>
      </c>
      <c r="N22" s="12">
        <v>110</v>
      </c>
      <c r="O22" s="12">
        <v>87</v>
      </c>
      <c r="P22" s="12">
        <v>31</v>
      </c>
      <c r="Q22" s="12">
        <v>20</v>
      </c>
      <c r="R22" s="12">
        <v>60</v>
      </c>
      <c r="S22" s="12">
        <v>138</v>
      </c>
      <c r="T22" s="12">
        <v>74</v>
      </c>
      <c r="U22" s="12">
        <v>23</v>
      </c>
      <c r="V22" s="12">
        <v>29</v>
      </c>
      <c r="W22" s="12">
        <v>68</v>
      </c>
      <c r="X22" s="12">
        <v>86</v>
      </c>
      <c r="Y22" s="12">
        <v>38</v>
      </c>
      <c r="Z22" s="12">
        <v>12</v>
      </c>
      <c r="AA22" s="12">
        <v>143</v>
      </c>
      <c r="AB22" s="12">
        <v>40</v>
      </c>
      <c r="AC22" s="12">
        <v>110</v>
      </c>
      <c r="AD22" s="12">
        <v>56</v>
      </c>
      <c r="AE22" s="12">
        <v>77</v>
      </c>
      <c r="AF22" s="12">
        <v>126</v>
      </c>
    </row>
    <row r="23" spans="1:32">
      <c r="A23" s="23"/>
      <c r="B23" s="13" t="s">
        <v>498</v>
      </c>
      <c r="C23" s="14">
        <v>7.0000000000000007E-2</v>
      </c>
      <c r="D23" s="14">
        <v>0.05</v>
      </c>
      <c r="E23" s="14">
        <v>0.1</v>
      </c>
      <c r="F23" s="14">
        <v>0.08</v>
      </c>
      <c r="G23" s="14">
        <v>0.14000000000000001</v>
      </c>
      <c r="H23" s="14">
        <v>0.05</v>
      </c>
      <c r="I23" s="14">
        <v>0.05</v>
      </c>
      <c r="J23" s="14">
        <v>0.06</v>
      </c>
      <c r="K23" s="14">
        <v>0.08</v>
      </c>
      <c r="L23" s="14">
        <v>0.09</v>
      </c>
      <c r="M23" s="14">
        <v>0.05</v>
      </c>
      <c r="N23" s="14">
        <v>0.13</v>
      </c>
      <c r="O23" s="14">
        <v>0.1</v>
      </c>
      <c r="P23" s="14">
        <v>0.04</v>
      </c>
      <c r="Q23" s="14">
        <v>0.03</v>
      </c>
      <c r="R23" s="14">
        <v>0.13</v>
      </c>
      <c r="S23" s="14">
        <v>0.16</v>
      </c>
      <c r="T23" s="14">
        <v>0.09</v>
      </c>
      <c r="U23" s="14">
        <v>0.05</v>
      </c>
      <c r="V23" s="14">
        <v>0.03</v>
      </c>
      <c r="W23" s="14">
        <v>0.15</v>
      </c>
      <c r="X23" s="14">
        <v>0.08</v>
      </c>
      <c r="Y23" s="14">
        <v>0.05</v>
      </c>
      <c r="Z23" s="14">
        <v>0.01</v>
      </c>
      <c r="AA23" s="14">
        <v>0.16</v>
      </c>
      <c r="AB23" s="14">
        <v>0.05</v>
      </c>
      <c r="AC23" s="14">
        <v>0.12</v>
      </c>
      <c r="AD23" s="14">
        <v>0.06</v>
      </c>
      <c r="AE23" s="14">
        <v>0.08</v>
      </c>
      <c r="AF23" s="14">
        <v>0.12</v>
      </c>
    </row>
    <row r="24" spans="1:32">
      <c r="A24" s="23"/>
      <c r="B24" s="11" t="s">
        <v>520</v>
      </c>
      <c r="C24" s="12">
        <v>11603</v>
      </c>
      <c r="D24" s="12">
        <v>636</v>
      </c>
      <c r="E24" s="12">
        <v>530</v>
      </c>
      <c r="F24" s="12">
        <v>478</v>
      </c>
      <c r="G24" s="12">
        <v>306</v>
      </c>
      <c r="H24" s="12">
        <v>611</v>
      </c>
      <c r="I24" s="12">
        <v>776</v>
      </c>
      <c r="J24" s="12">
        <v>164</v>
      </c>
      <c r="K24" s="12">
        <v>485</v>
      </c>
      <c r="L24" s="12">
        <v>395</v>
      </c>
      <c r="M24" s="12">
        <v>660</v>
      </c>
      <c r="N24" s="12">
        <v>302</v>
      </c>
      <c r="O24" s="12">
        <v>322</v>
      </c>
      <c r="P24" s="12">
        <v>554</v>
      </c>
      <c r="Q24" s="12">
        <v>355</v>
      </c>
      <c r="R24" s="12">
        <v>193</v>
      </c>
      <c r="S24" s="12">
        <v>395</v>
      </c>
      <c r="T24" s="12">
        <v>494</v>
      </c>
      <c r="U24" s="12">
        <v>166</v>
      </c>
      <c r="V24" s="12">
        <v>521</v>
      </c>
      <c r="W24" s="12">
        <v>81</v>
      </c>
      <c r="X24" s="12">
        <v>473</v>
      </c>
      <c r="Y24" s="12">
        <v>536</v>
      </c>
      <c r="Z24" s="12">
        <v>585</v>
      </c>
      <c r="AA24" s="12">
        <v>594</v>
      </c>
      <c r="AB24" s="12">
        <v>557</v>
      </c>
      <c r="AC24" s="12">
        <v>312</v>
      </c>
      <c r="AD24" s="12">
        <v>444</v>
      </c>
      <c r="AE24" s="12">
        <v>630</v>
      </c>
      <c r="AF24" s="12">
        <v>307</v>
      </c>
    </row>
    <row r="25" spans="1:32">
      <c r="A25" s="23"/>
      <c r="B25" s="13" t="s">
        <v>521</v>
      </c>
      <c r="C25" s="14">
        <v>0.52</v>
      </c>
      <c r="D25" s="14">
        <v>0.68</v>
      </c>
      <c r="E25" s="14">
        <v>0.64</v>
      </c>
      <c r="F25" s="14">
        <v>0.56999999999999995</v>
      </c>
      <c r="G25" s="14">
        <v>0.31</v>
      </c>
      <c r="H25" s="14">
        <v>0.59</v>
      </c>
      <c r="I25" s="14">
        <v>0.6</v>
      </c>
      <c r="J25" s="14">
        <v>0.63</v>
      </c>
      <c r="K25" s="14">
        <v>0.55000000000000004</v>
      </c>
      <c r="L25" s="14">
        <v>0.43</v>
      </c>
      <c r="M25" s="14">
        <v>0.79</v>
      </c>
      <c r="N25" s="14">
        <v>0.34</v>
      </c>
      <c r="O25" s="14">
        <v>0.36</v>
      </c>
      <c r="P25" s="14">
        <v>0.68</v>
      </c>
      <c r="Q25" s="14">
        <v>0.49</v>
      </c>
      <c r="R25" s="14">
        <v>0.43</v>
      </c>
      <c r="S25" s="14">
        <v>0.46</v>
      </c>
      <c r="T25" s="14">
        <v>0.59</v>
      </c>
      <c r="U25" s="14">
        <v>0.34</v>
      </c>
      <c r="V25" s="14">
        <v>0.57999999999999996</v>
      </c>
      <c r="W25" s="14">
        <v>0.17</v>
      </c>
      <c r="X25" s="14">
        <v>0.47</v>
      </c>
      <c r="Y25" s="14">
        <v>0.64</v>
      </c>
      <c r="Z25" s="14">
        <v>0.69000000000000006</v>
      </c>
      <c r="AA25" s="14">
        <v>0.65</v>
      </c>
      <c r="AB25" s="14">
        <v>0.70000000000000007</v>
      </c>
      <c r="AC25" s="14">
        <v>0.35</v>
      </c>
      <c r="AD25" s="14">
        <v>0.5</v>
      </c>
      <c r="AE25" s="14">
        <v>0.66</v>
      </c>
      <c r="AF25" s="14">
        <v>0.28999999999999998</v>
      </c>
    </row>
  </sheetData>
  <mergeCells count="10">
    <mergeCell ref="B4:F4"/>
    <mergeCell ref="H3:L3"/>
    <mergeCell ref="A24:A25"/>
    <mergeCell ref="C8:AF8"/>
    <mergeCell ref="B3:F3"/>
    <mergeCell ref="B5:F5"/>
    <mergeCell ref="H5:L5"/>
    <mergeCell ref="B10:B11"/>
    <mergeCell ref="H4:L4"/>
    <mergeCell ref="A10:A23"/>
  </mergeCells>
  <pageMargins left="0.75" right="0.75" top="1" bottom="1" header="0.5" footer="0.5"/>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dimension ref="A1:AF17"/>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221</v>
      </c>
      <c r="C3" s="19"/>
      <c r="D3" s="19"/>
      <c r="E3" s="19"/>
      <c r="F3" s="19"/>
      <c r="H3" s="19" t="s">
        <v>222</v>
      </c>
      <c r="I3" s="19"/>
      <c r="J3" s="19"/>
      <c r="K3" s="19"/>
      <c r="L3" s="19"/>
    </row>
    <row r="4" spans="1:32" ht="27" customHeight="1">
      <c r="B4" s="19"/>
      <c r="C4" s="19"/>
      <c r="D4" s="19"/>
      <c r="E4" s="19"/>
      <c r="F4" s="19"/>
      <c r="H4" s="19"/>
      <c r="I4" s="19"/>
      <c r="J4" s="19"/>
      <c r="K4" s="19"/>
      <c r="L4" s="19"/>
    </row>
    <row r="5" spans="1:32" ht="24" customHeight="1">
      <c r="B5" s="19" t="s">
        <v>1275</v>
      </c>
      <c r="C5" s="19"/>
      <c r="D5" s="19"/>
      <c r="E5" s="19"/>
      <c r="F5" s="19"/>
      <c r="H5" s="19" t="s">
        <v>1276</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HYPERLINK("#Content!A112","&lt;&lt;Back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25760</v>
      </c>
      <c r="D10" s="10">
        <v>984</v>
      </c>
      <c r="E10" s="10">
        <v>1013</v>
      </c>
      <c r="F10" s="10">
        <v>988</v>
      </c>
      <c r="G10" s="10">
        <v>1002</v>
      </c>
      <c r="H10" s="10">
        <v>1171</v>
      </c>
      <c r="I10" s="10">
        <v>1458</v>
      </c>
      <c r="J10" s="10">
        <v>288</v>
      </c>
      <c r="K10" s="10">
        <v>993</v>
      </c>
      <c r="L10" s="10">
        <v>997</v>
      </c>
      <c r="M10" s="10">
        <v>983</v>
      </c>
      <c r="N10" s="10">
        <v>980</v>
      </c>
      <c r="O10" s="10">
        <v>985</v>
      </c>
      <c r="P10" s="10">
        <v>983</v>
      </c>
      <c r="Q10" s="10">
        <v>993</v>
      </c>
      <c r="R10" s="10">
        <v>496</v>
      </c>
      <c r="S10" s="10">
        <v>1002</v>
      </c>
      <c r="T10" s="10">
        <v>987</v>
      </c>
      <c r="U10" s="10">
        <v>501</v>
      </c>
      <c r="V10" s="10">
        <v>976</v>
      </c>
      <c r="W10" s="10">
        <v>499</v>
      </c>
      <c r="X10" s="10">
        <v>1016</v>
      </c>
      <c r="Y10" s="10">
        <v>985</v>
      </c>
      <c r="Z10" s="10">
        <v>990</v>
      </c>
      <c r="AA10" s="10">
        <v>1014</v>
      </c>
      <c r="AB10" s="10">
        <v>1015</v>
      </c>
      <c r="AC10" s="10">
        <v>996</v>
      </c>
      <c r="AD10" s="10">
        <v>994</v>
      </c>
      <c r="AE10" s="10">
        <v>1006</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1109</v>
      </c>
      <c r="C12" s="12">
        <v>6693</v>
      </c>
      <c r="D12" s="12">
        <v>438</v>
      </c>
      <c r="E12" s="12">
        <v>495</v>
      </c>
      <c r="F12" s="12">
        <v>187</v>
      </c>
      <c r="G12" s="12">
        <v>346</v>
      </c>
      <c r="H12" s="12">
        <v>371</v>
      </c>
      <c r="I12" s="12">
        <v>473</v>
      </c>
      <c r="J12" s="12">
        <v>102</v>
      </c>
      <c r="K12" s="12">
        <v>536</v>
      </c>
      <c r="L12" s="12">
        <v>414</v>
      </c>
      <c r="M12" s="12">
        <v>158</v>
      </c>
      <c r="N12" s="12">
        <v>129</v>
      </c>
      <c r="O12" s="12">
        <v>174</v>
      </c>
      <c r="P12" s="12">
        <v>559</v>
      </c>
      <c r="Q12" s="12">
        <v>152</v>
      </c>
      <c r="R12" s="12">
        <v>55</v>
      </c>
      <c r="S12" s="12">
        <v>471</v>
      </c>
      <c r="T12" s="12">
        <v>302</v>
      </c>
      <c r="U12" s="12">
        <v>108</v>
      </c>
      <c r="V12" s="12">
        <v>502</v>
      </c>
      <c r="W12" s="12">
        <v>256</v>
      </c>
      <c r="X12" s="12">
        <v>588</v>
      </c>
      <c r="Y12" s="12">
        <v>427</v>
      </c>
      <c r="Z12" s="12">
        <v>134</v>
      </c>
      <c r="AA12" s="12">
        <v>372</v>
      </c>
      <c r="AB12" s="12">
        <v>183</v>
      </c>
      <c r="AC12" s="12">
        <v>371</v>
      </c>
      <c r="AD12" s="12">
        <v>526</v>
      </c>
      <c r="AE12" s="12">
        <v>265</v>
      </c>
      <c r="AF12" s="12">
        <v>369</v>
      </c>
    </row>
    <row r="13" spans="1:32">
      <c r="A13" s="23"/>
      <c r="B13" s="13" t="s">
        <v>1110</v>
      </c>
      <c r="C13" s="14">
        <v>0.26</v>
      </c>
      <c r="D13" s="14">
        <v>0.45</v>
      </c>
      <c r="E13" s="14">
        <v>0.49</v>
      </c>
      <c r="F13" s="14">
        <v>0.19</v>
      </c>
      <c r="G13" s="14">
        <v>0.34</v>
      </c>
      <c r="H13" s="14">
        <v>0.32</v>
      </c>
      <c r="I13" s="14">
        <v>0.32</v>
      </c>
      <c r="J13" s="14">
        <v>0.35</v>
      </c>
      <c r="K13" s="14">
        <v>0.54</v>
      </c>
      <c r="L13" s="14">
        <v>0.42</v>
      </c>
      <c r="M13" s="14">
        <v>0.16</v>
      </c>
      <c r="N13" s="14">
        <v>0.13</v>
      </c>
      <c r="O13" s="14">
        <v>0.18</v>
      </c>
      <c r="P13" s="14">
        <v>0.57000000000000006</v>
      </c>
      <c r="Q13" s="14">
        <v>0.15</v>
      </c>
      <c r="R13" s="14">
        <v>0.11</v>
      </c>
      <c r="S13" s="14">
        <v>0.47</v>
      </c>
      <c r="T13" s="14">
        <v>0.31</v>
      </c>
      <c r="U13" s="14">
        <v>0.21</v>
      </c>
      <c r="V13" s="14">
        <v>0.52</v>
      </c>
      <c r="W13" s="14">
        <v>0.51</v>
      </c>
      <c r="X13" s="14">
        <v>0.57999999999999996</v>
      </c>
      <c r="Y13" s="14">
        <v>0.43</v>
      </c>
      <c r="Z13" s="14">
        <v>0.13</v>
      </c>
      <c r="AA13" s="14">
        <v>0.37</v>
      </c>
      <c r="AB13" s="14">
        <v>0.18</v>
      </c>
      <c r="AC13" s="14">
        <v>0.37</v>
      </c>
      <c r="AD13" s="14">
        <v>0.53</v>
      </c>
      <c r="AE13" s="14">
        <v>0.26</v>
      </c>
      <c r="AF13" s="14">
        <v>0.34</v>
      </c>
    </row>
    <row r="14" spans="1:32">
      <c r="A14" s="23"/>
      <c r="B14" s="11" t="s">
        <v>1111</v>
      </c>
      <c r="C14" s="12">
        <v>18030</v>
      </c>
      <c r="D14" s="12">
        <v>514</v>
      </c>
      <c r="E14" s="12">
        <v>457</v>
      </c>
      <c r="F14" s="12">
        <v>762</v>
      </c>
      <c r="G14" s="12">
        <v>559</v>
      </c>
      <c r="H14" s="12">
        <v>762</v>
      </c>
      <c r="I14" s="12">
        <v>942</v>
      </c>
      <c r="J14" s="12">
        <v>180</v>
      </c>
      <c r="K14" s="12">
        <v>389</v>
      </c>
      <c r="L14" s="12">
        <v>530</v>
      </c>
      <c r="M14" s="12">
        <v>809</v>
      </c>
      <c r="N14" s="12">
        <v>814</v>
      </c>
      <c r="O14" s="12">
        <v>771</v>
      </c>
      <c r="P14" s="12">
        <v>382</v>
      </c>
      <c r="Q14" s="12">
        <v>822</v>
      </c>
      <c r="R14" s="12">
        <v>425</v>
      </c>
      <c r="S14" s="12">
        <v>490</v>
      </c>
      <c r="T14" s="12">
        <v>603</v>
      </c>
      <c r="U14" s="12">
        <v>354</v>
      </c>
      <c r="V14" s="12">
        <v>443</v>
      </c>
      <c r="W14" s="12">
        <v>217</v>
      </c>
      <c r="X14" s="12">
        <v>352</v>
      </c>
      <c r="Y14" s="12">
        <v>468</v>
      </c>
      <c r="Z14" s="12">
        <v>828</v>
      </c>
      <c r="AA14" s="12">
        <v>565</v>
      </c>
      <c r="AB14" s="12">
        <v>793</v>
      </c>
      <c r="AC14" s="12">
        <v>571</v>
      </c>
      <c r="AD14" s="12">
        <v>388</v>
      </c>
      <c r="AE14" s="12">
        <v>680</v>
      </c>
      <c r="AF14" s="12">
        <v>591</v>
      </c>
    </row>
    <row r="15" spans="1:32">
      <c r="A15" s="23"/>
      <c r="B15" s="13" t="s">
        <v>1112</v>
      </c>
      <c r="C15" s="14">
        <v>0.70000000000000007</v>
      </c>
      <c r="D15" s="14">
        <v>0.52</v>
      </c>
      <c r="E15" s="14">
        <v>0.45</v>
      </c>
      <c r="F15" s="14">
        <v>0.77</v>
      </c>
      <c r="G15" s="14">
        <v>0.56000000000000005</v>
      </c>
      <c r="H15" s="14">
        <v>0.65</v>
      </c>
      <c r="I15" s="14">
        <v>0.65</v>
      </c>
      <c r="J15" s="14">
        <v>0.63</v>
      </c>
      <c r="K15" s="14">
        <v>0.39</v>
      </c>
      <c r="L15" s="14">
        <v>0.53</v>
      </c>
      <c r="M15" s="14">
        <v>0.82000000000000006</v>
      </c>
      <c r="N15" s="14">
        <v>0.83000000000000007</v>
      </c>
      <c r="O15" s="14">
        <v>0.78</v>
      </c>
      <c r="P15" s="14">
        <v>0.39</v>
      </c>
      <c r="Q15" s="14">
        <v>0.83000000000000007</v>
      </c>
      <c r="R15" s="14">
        <v>0.86</v>
      </c>
      <c r="S15" s="14">
        <v>0.49</v>
      </c>
      <c r="T15" s="14">
        <v>0.61</v>
      </c>
      <c r="U15" s="14">
        <v>0.71</v>
      </c>
      <c r="V15" s="14">
        <v>0.45</v>
      </c>
      <c r="W15" s="14">
        <v>0.44</v>
      </c>
      <c r="X15" s="14">
        <v>0.35</v>
      </c>
      <c r="Y15" s="14">
        <v>0.48</v>
      </c>
      <c r="Z15" s="14">
        <v>0.84</v>
      </c>
      <c r="AA15" s="14">
        <v>0.56000000000000005</v>
      </c>
      <c r="AB15" s="14">
        <v>0.78</v>
      </c>
      <c r="AC15" s="14">
        <v>0.57000000000000006</v>
      </c>
      <c r="AD15" s="14">
        <v>0.39</v>
      </c>
      <c r="AE15" s="14">
        <v>0.68</v>
      </c>
      <c r="AF15" s="14">
        <v>0.55000000000000004</v>
      </c>
    </row>
    <row r="16" spans="1:32">
      <c r="A16" s="23"/>
      <c r="B16" s="11" t="s">
        <v>497</v>
      </c>
      <c r="C16" s="12">
        <v>1037</v>
      </c>
      <c r="D16" s="12">
        <v>31</v>
      </c>
      <c r="E16" s="12">
        <v>61</v>
      </c>
      <c r="F16" s="12">
        <v>39</v>
      </c>
      <c r="G16" s="12">
        <v>97</v>
      </c>
      <c r="H16" s="12">
        <v>37</v>
      </c>
      <c r="I16" s="12">
        <v>43</v>
      </c>
      <c r="J16" s="12">
        <v>6</v>
      </c>
      <c r="K16" s="12">
        <v>68</v>
      </c>
      <c r="L16" s="12">
        <v>53</v>
      </c>
      <c r="M16" s="12">
        <v>17</v>
      </c>
      <c r="N16" s="12">
        <v>36</v>
      </c>
      <c r="O16" s="12">
        <v>39</v>
      </c>
      <c r="P16" s="12">
        <v>42</v>
      </c>
      <c r="Q16" s="12">
        <v>20</v>
      </c>
      <c r="R16" s="12">
        <v>16</v>
      </c>
      <c r="S16" s="12">
        <v>41</v>
      </c>
      <c r="T16" s="12">
        <v>83</v>
      </c>
      <c r="U16" s="12">
        <v>39</v>
      </c>
      <c r="V16" s="12">
        <v>30</v>
      </c>
      <c r="W16" s="12">
        <v>26</v>
      </c>
      <c r="X16" s="12">
        <v>76</v>
      </c>
      <c r="Y16" s="12">
        <v>91</v>
      </c>
      <c r="Z16" s="12">
        <v>28</v>
      </c>
      <c r="AA16" s="12">
        <v>77</v>
      </c>
      <c r="AB16" s="12">
        <v>39</v>
      </c>
      <c r="AC16" s="12">
        <v>54</v>
      </c>
      <c r="AD16" s="12">
        <v>80</v>
      </c>
      <c r="AE16" s="12">
        <v>61</v>
      </c>
      <c r="AF16" s="12">
        <v>113</v>
      </c>
    </row>
    <row r="17" spans="1:32">
      <c r="A17" s="23"/>
      <c r="B17" s="13" t="s">
        <v>498</v>
      </c>
      <c r="C17" s="14">
        <v>0.04</v>
      </c>
      <c r="D17" s="14">
        <v>0.03</v>
      </c>
      <c r="E17" s="14">
        <v>0.06</v>
      </c>
      <c r="F17" s="14">
        <v>0.04</v>
      </c>
      <c r="G17" s="14">
        <v>0.1</v>
      </c>
      <c r="H17" s="14">
        <v>0.03</v>
      </c>
      <c r="I17" s="14">
        <v>0.03</v>
      </c>
      <c r="J17" s="14">
        <v>0.02</v>
      </c>
      <c r="K17" s="14">
        <v>7.0000000000000007E-2</v>
      </c>
      <c r="L17" s="14">
        <v>0.05</v>
      </c>
      <c r="M17" s="14">
        <v>0.02</v>
      </c>
      <c r="N17" s="14">
        <v>0.04</v>
      </c>
      <c r="O17" s="14">
        <v>0.04</v>
      </c>
      <c r="P17" s="14">
        <v>0.04</v>
      </c>
      <c r="Q17" s="14">
        <v>0.02</v>
      </c>
      <c r="R17" s="14">
        <v>0.03</v>
      </c>
      <c r="S17" s="14">
        <v>0.04</v>
      </c>
      <c r="T17" s="14">
        <v>0.08</v>
      </c>
      <c r="U17" s="14">
        <v>0.08</v>
      </c>
      <c r="V17" s="14">
        <v>0.03</v>
      </c>
      <c r="W17" s="14">
        <v>0.05</v>
      </c>
      <c r="X17" s="14">
        <v>7.0000000000000007E-2</v>
      </c>
      <c r="Y17" s="14">
        <v>0.09</v>
      </c>
      <c r="Z17" s="14">
        <v>0.03</v>
      </c>
      <c r="AA17" s="14">
        <v>7.0000000000000007E-2</v>
      </c>
      <c r="AB17" s="14">
        <v>0.04</v>
      </c>
      <c r="AC17" s="14">
        <v>0.06</v>
      </c>
      <c r="AD17" s="14">
        <v>0.08</v>
      </c>
      <c r="AE17" s="14">
        <v>0.06</v>
      </c>
      <c r="AF17" s="14">
        <v>0.11</v>
      </c>
    </row>
  </sheetData>
  <mergeCells count="9">
    <mergeCell ref="B10:B11"/>
    <mergeCell ref="A10:A17"/>
    <mergeCell ref="H4:L4"/>
    <mergeCell ref="B4:F4"/>
    <mergeCell ref="H3:L3"/>
    <mergeCell ref="C8:AF8"/>
    <mergeCell ref="B3:F3"/>
    <mergeCell ref="B5:F5"/>
    <mergeCell ref="H5:L5"/>
  </mergeCells>
  <pageMargins left="0.75" right="0.75" top="1" bottom="1" header="0.5" footer="0.5"/>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dimension ref="A1:AF19"/>
  <sheetViews>
    <sheetView workbookViewId="0">
      <pane xSplit="3" ySplit="9" topLeftCell="H10" activePane="bottomRight" state="frozen"/>
      <selection pane="bottomRight" activeCell="B14" sqref="B14"/>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36" customHeight="1">
      <c r="B3" s="20" t="s">
        <v>1277</v>
      </c>
      <c r="C3" s="19"/>
      <c r="D3" s="19"/>
      <c r="E3" s="19"/>
      <c r="F3" s="19"/>
      <c r="H3" s="20" t="s">
        <v>1278</v>
      </c>
      <c r="I3" s="19"/>
      <c r="J3" s="19"/>
      <c r="K3" s="19"/>
      <c r="L3" s="19"/>
    </row>
    <row r="4" spans="1:32" ht="27" customHeight="1">
      <c r="B4" s="20" t="s">
        <v>1279</v>
      </c>
      <c r="C4" s="19"/>
      <c r="D4" s="19"/>
      <c r="E4" s="19"/>
      <c r="F4" s="19"/>
      <c r="H4" s="20" t="s">
        <v>1280</v>
      </c>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HYPERLINK("#Content!A113","&lt;&lt;Back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1281</v>
      </c>
      <c r="C12" s="12">
        <v>19885</v>
      </c>
      <c r="D12" s="12">
        <v>844</v>
      </c>
      <c r="E12" s="12">
        <v>987</v>
      </c>
      <c r="F12" s="12">
        <v>629</v>
      </c>
      <c r="G12" s="12">
        <v>975</v>
      </c>
      <c r="H12" s="12">
        <v>1124</v>
      </c>
      <c r="I12" s="12">
        <v>1406</v>
      </c>
      <c r="J12" s="12">
        <v>282</v>
      </c>
      <c r="K12" s="12">
        <v>969</v>
      </c>
      <c r="L12" s="12">
        <v>457</v>
      </c>
      <c r="M12" s="12">
        <v>304</v>
      </c>
      <c r="N12" s="12">
        <v>864</v>
      </c>
      <c r="O12" s="12">
        <v>189</v>
      </c>
      <c r="P12" s="12">
        <v>855</v>
      </c>
      <c r="Q12" s="12">
        <v>825</v>
      </c>
      <c r="R12" s="12">
        <v>388</v>
      </c>
      <c r="S12" s="12">
        <v>854</v>
      </c>
      <c r="T12" s="12">
        <v>952</v>
      </c>
      <c r="U12" s="12">
        <v>489</v>
      </c>
      <c r="V12" s="12">
        <v>898</v>
      </c>
      <c r="W12" s="12">
        <v>440</v>
      </c>
      <c r="X12" s="12">
        <v>988</v>
      </c>
      <c r="Y12" s="12">
        <v>392</v>
      </c>
      <c r="Z12" s="12">
        <v>934</v>
      </c>
      <c r="AA12" s="12">
        <v>1020</v>
      </c>
      <c r="AB12" s="12">
        <v>872</v>
      </c>
      <c r="AC12" s="12">
        <v>960</v>
      </c>
      <c r="AD12" s="12">
        <v>854</v>
      </c>
      <c r="AE12" s="12">
        <v>985</v>
      </c>
      <c r="AF12" s="12">
        <v>1047</v>
      </c>
    </row>
    <row r="13" spans="1:32">
      <c r="A13" s="23"/>
      <c r="B13" s="13" t="s">
        <v>1282</v>
      </c>
      <c r="C13" s="14">
        <v>0.75</v>
      </c>
      <c r="D13" s="14">
        <v>0.84</v>
      </c>
      <c r="E13" s="14">
        <v>0.95000000000000007</v>
      </c>
      <c r="F13" s="14">
        <v>0.62</v>
      </c>
      <c r="G13" s="14">
        <v>0.97</v>
      </c>
      <c r="H13" s="14">
        <v>0.93</v>
      </c>
      <c r="I13" s="14">
        <v>0.93</v>
      </c>
      <c r="J13" s="14">
        <v>0.96</v>
      </c>
      <c r="K13" s="14">
        <v>0.97</v>
      </c>
      <c r="L13" s="14">
        <v>0.45</v>
      </c>
      <c r="M13" s="14">
        <v>0.3</v>
      </c>
      <c r="N13" s="14">
        <v>0.86</v>
      </c>
      <c r="O13" s="14">
        <v>0.19</v>
      </c>
      <c r="P13" s="14">
        <v>0.85</v>
      </c>
      <c r="Q13" s="14">
        <v>0.81</v>
      </c>
      <c r="R13" s="14">
        <v>0.77</v>
      </c>
      <c r="S13" s="14">
        <v>0.85</v>
      </c>
      <c r="T13" s="14">
        <v>0.95000000000000007</v>
      </c>
      <c r="U13" s="14">
        <v>0.97</v>
      </c>
      <c r="V13" s="14">
        <v>0.89</v>
      </c>
      <c r="W13" s="14">
        <v>0.88</v>
      </c>
      <c r="X13" s="14">
        <v>0.97</v>
      </c>
      <c r="Y13" s="14">
        <v>0.39</v>
      </c>
      <c r="Z13" s="14">
        <v>0.92</v>
      </c>
      <c r="AA13" s="14">
        <v>0.98</v>
      </c>
      <c r="AB13" s="14">
        <v>0.85</v>
      </c>
      <c r="AC13" s="14">
        <v>0.96</v>
      </c>
      <c r="AD13" s="14">
        <v>0.85</v>
      </c>
      <c r="AE13" s="14">
        <v>0.98</v>
      </c>
      <c r="AF13" s="14">
        <v>0.98</v>
      </c>
    </row>
    <row r="14" spans="1:32" ht="20.25">
      <c r="A14" s="23"/>
      <c r="B14" s="11" t="s">
        <v>1283</v>
      </c>
      <c r="C14" s="12">
        <v>6053</v>
      </c>
      <c r="D14" s="12">
        <v>209</v>
      </c>
      <c r="E14" s="12">
        <v>45</v>
      </c>
      <c r="F14" s="12">
        <v>335</v>
      </c>
      <c r="G14" s="12">
        <v>22</v>
      </c>
      <c r="H14" s="12">
        <v>91</v>
      </c>
      <c r="I14" s="12">
        <v>120</v>
      </c>
      <c r="J14" s="12">
        <v>29</v>
      </c>
      <c r="K14" s="12">
        <v>63</v>
      </c>
      <c r="L14" s="12">
        <v>434</v>
      </c>
      <c r="M14" s="12">
        <v>535</v>
      </c>
      <c r="N14" s="12">
        <v>34</v>
      </c>
      <c r="O14" s="12">
        <v>842</v>
      </c>
      <c r="P14" s="12">
        <v>242</v>
      </c>
      <c r="Q14" s="12">
        <v>143</v>
      </c>
      <c r="R14" s="12">
        <v>54</v>
      </c>
      <c r="S14" s="12">
        <v>85</v>
      </c>
      <c r="T14" s="12">
        <v>31</v>
      </c>
      <c r="U14" s="12">
        <v>9</v>
      </c>
      <c r="V14" s="12">
        <v>80</v>
      </c>
      <c r="W14" s="12">
        <v>12</v>
      </c>
      <c r="X14" s="12">
        <v>33</v>
      </c>
      <c r="Y14" s="12">
        <v>666</v>
      </c>
      <c r="Z14" s="12">
        <v>103</v>
      </c>
      <c r="AA14" s="12">
        <v>18</v>
      </c>
      <c r="AB14" s="12">
        <v>164</v>
      </c>
      <c r="AC14" s="12">
        <v>42</v>
      </c>
      <c r="AD14" s="12">
        <v>136</v>
      </c>
      <c r="AE14" s="12">
        <v>21</v>
      </c>
      <c r="AF14" s="12">
        <v>7</v>
      </c>
    </row>
    <row r="15" spans="1:32" ht="23.25">
      <c r="A15" s="23"/>
      <c r="B15" s="13" t="s">
        <v>1284</v>
      </c>
      <c r="C15" s="14">
        <v>0.23</v>
      </c>
      <c r="D15" s="14">
        <v>0.21</v>
      </c>
      <c r="E15" s="14">
        <v>0.04</v>
      </c>
      <c r="F15" s="14">
        <v>0.33</v>
      </c>
      <c r="G15" s="14">
        <v>0.02</v>
      </c>
      <c r="H15" s="14">
        <v>7.0000000000000007E-2</v>
      </c>
      <c r="I15" s="14">
        <v>0.08</v>
      </c>
      <c r="J15" s="14">
        <v>0.1</v>
      </c>
      <c r="K15" s="14">
        <v>0.06</v>
      </c>
      <c r="L15" s="14">
        <v>0.43</v>
      </c>
      <c r="M15" s="14">
        <v>0.53</v>
      </c>
      <c r="N15" s="14">
        <v>0.03</v>
      </c>
      <c r="O15" s="14">
        <v>0.84</v>
      </c>
      <c r="P15" s="14">
        <v>0.24</v>
      </c>
      <c r="Q15" s="14">
        <v>0.14000000000000001</v>
      </c>
      <c r="R15" s="14">
        <v>0.11</v>
      </c>
      <c r="S15" s="14">
        <v>0.09</v>
      </c>
      <c r="T15" s="14">
        <v>0.03</v>
      </c>
      <c r="U15" s="14">
        <v>0.02</v>
      </c>
      <c r="V15" s="14">
        <v>0.08</v>
      </c>
      <c r="W15" s="14">
        <v>0.02</v>
      </c>
      <c r="X15" s="14">
        <v>0.03</v>
      </c>
      <c r="Y15" s="14">
        <v>0.66</v>
      </c>
      <c r="Z15" s="14">
        <v>0.1</v>
      </c>
      <c r="AA15" s="14">
        <v>0.02</v>
      </c>
      <c r="AB15" s="14">
        <v>0.16</v>
      </c>
      <c r="AC15" s="14">
        <v>0.04</v>
      </c>
      <c r="AD15" s="14">
        <v>0.14000000000000001</v>
      </c>
      <c r="AE15" s="14">
        <v>0.02</v>
      </c>
      <c r="AF15" s="14">
        <v>0.01</v>
      </c>
    </row>
    <row r="16" spans="1:32">
      <c r="A16" s="23"/>
      <c r="B16" s="11" t="s">
        <v>1285</v>
      </c>
      <c r="C16" s="12">
        <v>955</v>
      </c>
      <c r="D16" s="12">
        <v>41</v>
      </c>
      <c r="E16" s="12">
        <v>8</v>
      </c>
      <c r="F16" s="12">
        <v>96</v>
      </c>
      <c r="G16" s="12">
        <v>42</v>
      </c>
      <c r="H16" s="12">
        <v>17</v>
      </c>
      <c r="I16" s="12">
        <v>25</v>
      </c>
      <c r="J16" s="12">
        <v>8</v>
      </c>
      <c r="K16" s="12">
        <v>19</v>
      </c>
      <c r="L16" s="12">
        <v>165</v>
      </c>
      <c r="M16" s="12">
        <v>113</v>
      </c>
      <c r="N16" s="12">
        <v>55</v>
      </c>
      <c r="O16" s="12">
        <v>20</v>
      </c>
      <c r="P16" s="12">
        <v>20</v>
      </c>
      <c r="Q16" s="12">
        <v>72</v>
      </c>
      <c r="R16" s="12">
        <v>29</v>
      </c>
      <c r="S16" s="12">
        <v>93</v>
      </c>
      <c r="T16" s="12">
        <v>11</v>
      </c>
      <c r="U16" s="12">
        <v>23</v>
      </c>
      <c r="V16" s="12">
        <v>30</v>
      </c>
      <c r="W16" s="12">
        <v>44</v>
      </c>
      <c r="X16" s="12">
        <v>13</v>
      </c>
      <c r="Y16" s="12">
        <v>48</v>
      </c>
      <c r="Z16" s="12">
        <v>10</v>
      </c>
      <c r="AA16" s="12">
        <v>3</v>
      </c>
      <c r="AB16" s="12">
        <v>31</v>
      </c>
      <c r="AC16" s="12">
        <v>47</v>
      </c>
      <c r="AD16" s="12">
        <v>41</v>
      </c>
      <c r="AE16" s="12">
        <v>5</v>
      </c>
      <c r="AF16" s="12">
        <v>10</v>
      </c>
    </row>
    <row r="17" spans="1:32">
      <c r="A17" s="23"/>
      <c r="B17" s="13" t="s">
        <v>1286</v>
      </c>
      <c r="C17" s="14">
        <v>0.04</v>
      </c>
      <c r="D17" s="14">
        <v>0.04</v>
      </c>
      <c r="E17" s="14">
        <v>0.01</v>
      </c>
      <c r="F17" s="14">
        <v>0.1</v>
      </c>
      <c r="G17" s="14">
        <v>0.04</v>
      </c>
      <c r="H17" s="14">
        <v>0.01</v>
      </c>
      <c r="I17" s="14">
        <v>0.02</v>
      </c>
      <c r="J17" s="14">
        <v>0.03</v>
      </c>
      <c r="K17" s="14">
        <v>0.02</v>
      </c>
      <c r="L17" s="14">
        <v>0.16</v>
      </c>
      <c r="M17" s="14">
        <v>0.11</v>
      </c>
      <c r="N17" s="14">
        <v>0.06</v>
      </c>
      <c r="O17" s="14">
        <v>0.02</v>
      </c>
      <c r="P17" s="14">
        <v>0.02</v>
      </c>
      <c r="Q17" s="14">
        <v>7.0000000000000007E-2</v>
      </c>
      <c r="R17" s="14">
        <v>0.06</v>
      </c>
      <c r="S17" s="14">
        <v>0.09</v>
      </c>
      <c r="T17" s="14">
        <v>0.01</v>
      </c>
      <c r="U17" s="14">
        <v>0.05</v>
      </c>
      <c r="V17" s="14">
        <v>0.03</v>
      </c>
      <c r="W17" s="14">
        <v>0.09</v>
      </c>
      <c r="X17" s="14">
        <v>0.01</v>
      </c>
      <c r="Y17" s="14">
        <v>0.05</v>
      </c>
      <c r="Z17" s="14">
        <v>0.01</v>
      </c>
      <c r="AA17" s="15" t="s">
        <v>485</v>
      </c>
      <c r="AB17" s="14">
        <v>0.03</v>
      </c>
      <c r="AC17" s="14">
        <v>0.05</v>
      </c>
      <c r="AD17" s="14">
        <v>0.04</v>
      </c>
      <c r="AE17" s="14">
        <v>0.01</v>
      </c>
      <c r="AF17" s="14">
        <v>0.01</v>
      </c>
    </row>
    <row r="18" spans="1:32">
      <c r="A18" s="23"/>
      <c r="B18" s="11" t="s">
        <v>497</v>
      </c>
      <c r="C18" s="12">
        <v>579</v>
      </c>
      <c r="D18" s="12">
        <v>9</v>
      </c>
      <c r="E18" s="12">
        <v>18</v>
      </c>
      <c r="F18" s="12">
        <v>14</v>
      </c>
      <c r="G18" s="12">
        <v>8</v>
      </c>
      <c r="H18" s="12">
        <v>14</v>
      </c>
      <c r="I18" s="12">
        <v>15</v>
      </c>
      <c r="J18" s="12">
        <v>0</v>
      </c>
      <c r="K18" s="12">
        <v>4</v>
      </c>
      <c r="L18" s="12">
        <v>19</v>
      </c>
      <c r="M18" s="12">
        <v>113</v>
      </c>
      <c r="N18" s="12">
        <v>60</v>
      </c>
      <c r="O18" s="12">
        <v>24</v>
      </c>
      <c r="P18" s="12">
        <v>2</v>
      </c>
      <c r="Q18" s="12">
        <v>24</v>
      </c>
      <c r="R18" s="12">
        <v>65</v>
      </c>
      <c r="S18" s="12">
        <v>27</v>
      </c>
      <c r="T18" s="12">
        <v>17</v>
      </c>
      <c r="U18" s="12">
        <v>2</v>
      </c>
      <c r="V18" s="12">
        <v>14</v>
      </c>
      <c r="W18" s="12">
        <v>23</v>
      </c>
      <c r="X18" s="12">
        <v>2</v>
      </c>
      <c r="Y18" s="12">
        <v>31</v>
      </c>
      <c r="Z18" s="12">
        <v>8</v>
      </c>
      <c r="AA18" s="12">
        <v>3</v>
      </c>
      <c r="AB18" s="12">
        <v>6</v>
      </c>
      <c r="AC18" s="12">
        <v>15</v>
      </c>
      <c r="AD18" s="12">
        <v>21</v>
      </c>
      <c r="AE18" s="12">
        <v>3</v>
      </c>
      <c r="AF18" s="12">
        <v>12</v>
      </c>
    </row>
    <row r="19" spans="1:32">
      <c r="A19" s="23"/>
      <c r="B19" s="13" t="s">
        <v>498</v>
      </c>
      <c r="C19" s="14">
        <v>0.02</v>
      </c>
      <c r="D19" s="14">
        <v>0.01</v>
      </c>
      <c r="E19" s="14">
        <v>0.02</v>
      </c>
      <c r="F19" s="14">
        <v>0.01</v>
      </c>
      <c r="G19" s="14">
        <v>0.01</v>
      </c>
      <c r="H19" s="14">
        <v>0.01</v>
      </c>
      <c r="I19" s="14">
        <v>0.01</v>
      </c>
      <c r="J19" s="15" t="s">
        <v>485</v>
      </c>
      <c r="K19" s="15" t="s">
        <v>485</v>
      </c>
      <c r="L19" s="14">
        <v>0.02</v>
      </c>
      <c r="M19" s="14">
        <v>0.11</v>
      </c>
      <c r="N19" s="14">
        <v>0.06</v>
      </c>
      <c r="O19" s="14">
        <v>0.02</v>
      </c>
      <c r="P19" s="15" t="s">
        <v>485</v>
      </c>
      <c r="Q19" s="14">
        <v>0.02</v>
      </c>
      <c r="R19" s="14">
        <v>0.13</v>
      </c>
      <c r="S19" s="14">
        <v>0.03</v>
      </c>
      <c r="T19" s="14">
        <v>0.02</v>
      </c>
      <c r="U19" s="15" t="s">
        <v>485</v>
      </c>
      <c r="V19" s="14">
        <v>0.01</v>
      </c>
      <c r="W19" s="14">
        <v>0.05</v>
      </c>
      <c r="X19" s="15" t="s">
        <v>485</v>
      </c>
      <c r="Y19" s="14">
        <v>0.03</v>
      </c>
      <c r="Z19" s="14">
        <v>0.01</v>
      </c>
      <c r="AA19" s="15" t="s">
        <v>485</v>
      </c>
      <c r="AB19" s="14">
        <v>0.01</v>
      </c>
      <c r="AC19" s="14">
        <v>0.02</v>
      </c>
      <c r="AD19" s="14">
        <v>0.02</v>
      </c>
      <c r="AE19" s="15" t="s">
        <v>485</v>
      </c>
      <c r="AF19" s="14">
        <v>0.01</v>
      </c>
    </row>
  </sheetData>
  <mergeCells count="9">
    <mergeCell ref="H3:L3"/>
    <mergeCell ref="C8:AF8"/>
    <mergeCell ref="B3:F3"/>
    <mergeCell ref="B5:F5"/>
    <mergeCell ref="A10:A19"/>
    <mergeCell ref="H5:L5"/>
    <mergeCell ref="B10:B11"/>
    <mergeCell ref="H4:L4"/>
    <mergeCell ref="B4:F4"/>
  </mergeCells>
  <pageMargins left="0.75" right="0.75" top="1" bottom="1" header="0.5" footer="0.5"/>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dimension ref="A1:AF19"/>
  <sheetViews>
    <sheetView workbookViewId="0">
      <pane xSplit="3" ySplit="9" topLeftCell="H10" activePane="bottomRight" state="frozen"/>
      <selection pane="bottomRight" activeCell="H14" sqref="H14"/>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48" customHeight="1">
      <c r="B3" s="20" t="s">
        <v>1287</v>
      </c>
      <c r="C3" s="19"/>
      <c r="D3" s="19"/>
      <c r="E3" s="19"/>
      <c r="F3" s="19"/>
      <c r="H3" s="20" t="s">
        <v>1288</v>
      </c>
      <c r="I3" s="19"/>
      <c r="J3" s="19"/>
      <c r="K3" s="19"/>
      <c r="L3" s="19"/>
    </row>
    <row r="4" spans="1:32" ht="27" customHeight="1">
      <c r="B4" s="20" t="s">
        <v>1289</v>
      </c>
      <c r="C4" s="19"/>
      <c r="D4" s="19"/>
      <c r="E4" s="19"/>
      <c r="F4" s="19"/>
      <c r="H4" s="20" t="s">
        <v>1290</v>
      </c>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HYPERLINK("#Content!A114","&lt;&lt;Back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1281</v>
      </c>
      <c r="C12" s="12">
        <v>13069</v>
      </c>
      <c r="D12" s="12">
        <v>718</v>
      </c>
      <c r="E12" s="12">
        <v>530</v>
      </c>
      <c r="F12" s="12">
        <v>575</v>
      </c>
      <c r="G12" s="12">
        <v>424</v>
      </c>
      <c r="H12" s="12">
        <v>699</v>
      </c>
      <c r="I12" s="12">
        <v>838</v>
      </c>
      <c r="J12" s="12">
        <v>140</v>
      </c>
      <c r="K12" s="12">
        <v>488</v>
      </c>
      <c r="L12" s="12">
        <v>417</v>
      </c>
      <c r="M12" s="12">
        <v>235</v>
      </c>
      <c r="N12" s="12">
        <v>456</v>
      </c>
      <c r="O12" s="12">
        <v>414</v>
      </c>
      <c r="P12" s="12">
        <v>590</v>
      </c>
      <c r="Q12" s="12">
        <v>382</v>
      </c>
      <c r="R12" s="12">
        <v>332</v>
      </c>
      <c r="S12" s="12">
        <v>430</v>
      </c>
      <c r="T12" s="12">
        <v>436</v>
      </c>
      <c r="U12" s="12">
        <v>346</v>
      </c>
      <c r="V12" s="12">
        <v>402</v>
      </c>
      <c r="W12" s="12">
        <v>249</v>
      </c>
      <c r="X12" s="12">
        <v>690</v>
      </c>
      <c r="Y12" s="12">
        <v>570</v>
      </c>
      <c r="Z12" s="12">
        <v>636</v>
      </c>
      <c r="AA12" s="12">
        <v>635</v>
      </c>
      <c r="AB12" s="12">
        <v>483</v>
      </c>
      <c r="AC12" s="12">
        <v>549</v>
      </c>
      <c r="AD12" s="12">
        <v>500</v>
      </c>
      <c r="AE12" s="12">
        <v>584</v>
      </c>
      <c r="AF12" s="12">
        <v>609</v>
      </c>
    </row>
    <row r="13" spans="1:32">
      <c r="A13" s="23"/>
      <c r="B13" s="13" t="s">
        <v>1282</v>
      </c>
      <c r="C13" s="14">
        <v>0.5</v>
      </c>
      <c r="D13" s="14">
        <v>0.71</v>
      </c>
      <c r="E13" s="14">
        <v>0.51</v>
      </c>
      <c r="F13" s="14">
        <v>0.57000000000000006</v>
      </c>
      <c r="G13" s="14">
        <v>0.42</v>
      </c>
      <c r="H13" s="14">
        <v>0.57999999999999996</v>
      </c>
      <c r="I13" s="14">
        <v>0.56000000000000005</v>
      </c>
      <c r="J13" s="14">
        <v>0.48</v>
      </c>
      <c r="K13" s="14">
        <v>0.49</v>
      </c>
      <c r="L13" s="14">
        <v>0.41</v>
      </c>
      <c r="M13" s="14">
        <v>0.23</v>
      </c>
      <c r="N13" s="14">
        <v>0.46</v>
      </c>
      <c r="O13" s="14">
        <v>0.41</v>
      </c>
      <c r="P13" s="14">
        <v>0.57999999999999996</v>
      </c>
      <c r="Q13" s="14">
        <v>0.37</v>
      </c>
      <c r="R13" s="14">
        <v>0.66</v>
      </c>
      <c r="S13" s="14">
        <v>0.43</v>
      </c>
      <c r="T13" s="14">
        <v>0.43</v>
      </c>
      <c r="U13" s="14">
        <v>0.69000000000000006</v>
      </c>
      <c r="V13" s="14">
        <v>0.4</v>
      </c>
      <c r="W13" s="14">
        <v>0.49</v>
      </c>
      <c r="X13" s="14">
        <v>0.68</v>
      </c>
      <c r="Y13" s="14">
        <v>0.57000000000000006</v>
      </c>
      <c r="Z13" s="14">
        <v>0.62</v>
      </c>
      <c r="AA13" s="14">
        <v>0.61</v>
      </c>
      <c r="AB13" s="14">
        <v>0.47</v>
      </c>
      <c r="AC13" s="14">
        <v>0.55000000000000004</v>
      </c>
      <c r="AD13" s="14">
        <v>0.5</v>
      </c>
      <c r="AE13" s="14">
        <v>0.57999999999999996</v>
      </c>
      <c r="AF13" s="14">
        <v>0.57000000000000006</v>
      </c>
    </row>
    <row r="14" spans="1:32" ht="20.25">
      <c r="A14" s="23"/>
      <c r="B14" s="11" t="s">
        <v>1283</v>
      </c>
      <c r="C14" s="12">
        <v>4707</v>
      </c>
      <c r="D14" s="12">
        <v>222</v>
      </c>
      <c r="E14" s="12">
        <v>120</v>
      </c>
      <c r="F14" s="12">
        <v>198</v>
      </c>
      <c r="G14" s="12">
        <v>250</v>
      </c>
      <c r="H14" s="12">
        <v>236</v>
      </c>
      <c r="I14" s="12">
        <v>319</v>
      </c>
      <c r="J14" s="12">
        <v>83</v>
      </c>
      <c r="K14" s="12">
        <v>191</v>
      </c>
      <c r="L14" s="12">
        <v>205</v>
      </c>
      <c r="M14" s="12">
        <v>176</v>
      </c>
      <c r="N14" s="12">
        <v>44</v>
      </c>
      <c r="O14" s="12">
        <v>187</v>
      </c>
      <c r="P14" s="12">
        <v>333</v>
      </c>
      <c r="Q14" s="12">
        <v>255</v>
      </c>
      <c r="R14" s="12">
        <v>63</v>
      </c>
      <c r="S14" s="12">
        <v>76</v>
      </c>
      <c r="T14" s="12">
        <v>128</v>
      </c>
      <c r="U14" s="12">
        <v>91</v>
      </c>
      <c r="V14" s="12">
        <v>341</v>
      </c>
      <c r="W14" s="12">
        <v>22</v>
      </c>
      <c r="X14" s="12">
        <v>188</v>
      </c>
      <c r="Y14" s="12">
        <v>290</v>
      </c>
      <c r="Z14" s="12">
        <v>129</v>
      </c>
      <c r="AA14" s="12">
        <v>40</v>
      </c>
      <c r="AB14" s="12">
        <v>177</v>
      </c>
      <c r="AC14" s="12">
        <v>183</v>
      </c>
      <c r="AD14" s="12">
        <v>200</v>
      </c>
      <c r="AE14" s="12">
        <v>122</v>
      </c>
      <c r="AF14" s="12">
        <v>102</v>
      </c>
    </row>
    <row r="15" spans="1:32" ht="23.25">
      <c r="A15" s="23"/>
      <c r="B15" s="13" t="s">
        <v>1284</v>
      </c>
      <c r="C15" s="14">
        <v>0.18</v>
      </c>
      <c r="D15" s="14">
        <v>0.22</v>
      </c>
      <c r="E15" s="14">
        <v>0.11</v>
      </c>
      <c r="F15" s="14">
        <v>0.2</v>
      </c>
      <c r="G15" s="14">
        <v>0.25</v>
      </c>
      <c r="H15" s="14">
        <v>0.19</v>
      </c>
      <c r="I15" s="14">
        <v>0.21</v>
      </c>
      <c r="J15" s="14">
        <v>0.28000000000000003</v>
      </c>
      <c r="K15" s="14">
        <v>0.19</v>
      </c>
      <c r="L15" s="14">
        <v>0.2</v>
      </c>
      <c r="M15" s="14">
        <v>0.17</v>
      </c>
      <c r="N15" s="14">
        <v>0.04</v>
      </c>
      <c r="O15" s="14">
        <v>0.19</v>
      </c>
      <c r="P15" s="14">
        <v>0.33</v>
      </c>
      <c r="Q15" s="14">
        <v>0.25</v>
      </c>
      <c r="R15" s="14">
        <v>0.13</v>
      </c>
      <c r="S15" s="14">
        <v>0.08</v>
      </c>
      <c r="T15" s="14">
        <v>0.13</v>
      </c>
      <c r="U15" s="14">
        <v>0.18</v>
      </c>
      <c r="V15" s="14">
        <v>0.34</v>
      </c>
      <c r="W15" s="14">
        <v>0.04</v>
      </c>
      <c r="X15" s="14">
        <v>0.19</v>
      </c>
      <c r="Y15" s="14">
        <v>0.28999999999999998</v>
      </c>
      <c r="Z15" s="14">
        <v>0.13</v>
      </c>
      <c r="AA15" s="14">
        <v>0.04</v>
      </c>
      <c r="AB15" s="14">
        <v>0.17</v>
      </c>
      <c r="AC15" s="14">
        <v>0.18</v>
      </c>
      <c r="AD15" s="14">
        <v>0.2</v>
      </c>
      <c r="AE15" s="14">
        <v>0.12</v>
      </c>
      <c r="AF15" s="14">
        <v>0.09</v>
      </c>
    </row>
    <row r="16" spans="1:32">
      <c r="A16" s="23"/>
      <c r="B16" s="11" t="s">
        <v>1285</v>
      </c>
      <c r="C16" s="12">
        <v>1592</v>
      </c>
      <c r="D16" s="12">
        <v>41</v>
      </c>
      <c r="E16" s="12">
        <v>83</v>
      </c>
      <c r="F16" s="12">
        <v>52</v>
      </c>
      <c r="G16" s="12">
        <v>93</v>
      </c>
      <c r="H16" s="12">
        <v>54</v>
      </c>
      <c r="I16" s="12">
        <v>75</v>
      </c>
      <c r="J16" s="12">
        <v>21</v>
      </c>
      <c r="K16" s="12">
        <v>60</v>
      </c>
      <c r="L16" s="12">
        <v>81</v>
      </c>
      <c r="M16" s="12">
        <v>97</v>
      </c>
      <c r="N16" s="12">
        <v>41</v>
      </c>
      <c r="O16" s="12">
        <v>58</v>
      </c>
      <c r="P16" s="12">
        <v>48</v>
      </c>
      <c r="Q16" s="12">
        <v>80</v>
      </c>
      <c r="R16" s="12">
        <v>6</v>
      </c>
      <c r="S16" s="12">
        <v>98</v>
      </c>
      <c r="T16" s="12">
        <v>129</v>
      </c>
      <c r="U16" s="12">
        <v>39</v>
      </c>
      <c r="V16" s="12">
        <v>55</v>
      </c>
      <c r="W16" s="12">
        <v>53</v>
      </c>
      <c r="X16" s="12">
        <v>37</v>
      </c>
      <c r="Y16" s="12">
        <v>122</v>
      </c>
      <c r="Z16" s="12">
        <v>49</v>
      </c>
      <c r="AA16" s="12">
        <v>33</v>
      </c>
      <c r="AB16" s="12">
        <v>128</v>
      </c>
      <c r="AC16" s="12">
        <v>105</v>
      </c>
      <c r="AD16" s="12">
        <v>62</v>
      </c>
      <c r="AE16" s="12">
        <v>26</v>
      </c>
      <c r="AF16" s="12">
        <v>49</v>
      </c>
    </row>
    <row r="17" spans="1:32">
      <c r="A17" s="23"/>
      <c r="B17" s="13" t="s">
        <v>1286</v>
      </c>
      <c r="C17" s="14">
        <v>0.06</v>
      </c>
      <c r="D17" s="14">
        <v>0.04</v>
      </c>
      <c r="E17" s="14">
        <v>0.08</v>
      </c>
      <c r="F17" s="14">
        <v>0.05</v>
      </c>
      <c r="G17" s="14">
        <v>0.09</v>
      </c>
      <c r="H17" s="14">
        <v>0.04</v>
      </c>
      <c r="I17" s="14">
        <v>0.05</v>
      </c>
      <c r="J17" s="14">
        <v>7.0000000000000007E-2</v>
      </c>
      <c r="K17" s="14">
        <v>0.06</v>
      </c>
      <c r="L17" s="14">
        <v>0.08</v>
      </c>
      <c r="M17" s="14">
        <v>0.1</v>
      </c>
      <c r="N17" s="14">
        <v>0.04</v>
      </c>
      <c r="O17" s="14">
        <v>0.06</v>
      </c>
      <c r="P17" s="14">
        <v>0.05</v>
      </c>
      <c r="Q17" s="14">
        <v>0.08</v>
      </c>
      <c r="R17" s="14">
        <v>0.01</v>
      </c>
      <c r="S17" s="14">
        <v>0.1</v>
      </c>
      <c r="T17" s="14">
        <v>0.13</v>
      </c>
      <c r="U17" s="14">
        <v>0.08</v>
      </c>
      <c r="V17" s="14">
        <v>0.05</v>
      </c>
      <c r="W17" s="14">
        <v>0.1</v>
      </c>
      <c r="X17" s="14">
        <v>0.04</v>
      </c>
      <c r="Y17" s="14">
        <v>0.12</v>
      </c>
      <c r="Z17" s="14">
        <v>0.05</v>
      </c>
      <c r="AA17" s="14">
        <v>0.03</v>
      </c>
      <c r="AB17" s="14">
        <v>0.12</v>
      </c>
      <c r="AC17" s="14">
        <v>0.1</v>
      </c>
      <c r="AD17" s="14">
        <v>0.06</v>
      </c>
      <c r="AE17" s="14">
        <v>0.03</v>
      </c>
      <c r="AF17" s="14">
        <v>0.05</v>
      </c>
    </row>
    <row r="18" spans="1:32">
      <c r="A18" s="23"/>
      <c r="B18" s="11" t="s">
        <v>497</v>
      </c>
      <c r="C18" s="12">
        <v>7892</v>
      </c>
      <c r="D18" s="12">
        <v>131</v>
      </c>
      <c r="E18" s="12">
        <v>330</v>
      </c>
      <c r="F18" s="12">
        <v>233</v>
      </c>
      <c r="G18" s="12">
        <v>278</v>
      </c>
      <c r="H18" s="12">
        <v>272</v>
      </c>
      <c r="I18" s="12">
        <v>344</v>
      </c>
      <c r="J18" s="12">
        <v>72</v>
      </c>
      <c r="K18" s="12">
        <v>334</v>
      </c>
      <c r="L18" s="12">
        <v>338</v>
      </c>
      <c r="M18" s="12">
        <v>532</v>
      </c>
      <c r="N18" s="12">
        <v>468</v>
      </c>
      <c r="O18" s="12">
        <v>369</v>
      </c>
      <c r="P18" s="12">
        <v>143</v>
      </c>
      <c r="Q18" s="12">
        <v>327</v>
      </c>
      <c r="R18" s="12">
        <v>143</v>
      </c>
      <c r="S18" s="12">
        <v>422</v>
      </c>
      <c r="T18" s="12">
        <v>348</v>
      </c>
      <c r="U18" s="12">
        <v>53</v>
      </c>
      <c r="V18" s="12">
        <v>246</v>
      </c>
      <c r="W18" s="12">
        <v>195</v>
      </c>
      <c r="X18" s="12">
        <v>145</v>
      </c>
      <c r="Y18" s="12">
        <v>214</v>
      </c>
      <c r="Z18" s="12">
        <v>232</v>
      </c>
      <c r="AA18" s="12">
        <v>350</v>
      </c>
      <c r="AB18" s="12">
        <v>269</v>
      </c>
      <c r="AC18" s="12">
        <v>232</v>
      </c>
      <c r="AD18" s="12">
        <v>270</v>
      </c>
      <c r="AE18" s="12">
        <v>287</v>
      </c>
      <c r="AF18" s="12">
        <v>319</v>
      </c>
    </row>
    <row r="19" spans="1:32">
      <c r="A19" s="23"/>
      <c r="B19" s="13" t="s">
        <v>498</v>
      </c>
      <c r="C19" s="14">
        <v>0.3</v>
      </c>
      <c r="D19" s="14">
        <v>0.13</v>
      </c>
      <c r="E19" s="14">
        <v>0.32</v>
      </c>
      <c r="F19" s="14">
        <v>0.23</v>
      </c>
      <c r="G19" s="14">
        <v>0.28000000000000003</v>
      </c>
      <c r="H19" s="14">
        <v>0.22</v>
      </c>
      <c r="I19" s="14">
        <v>0.23</v>
      </c>
      <c r="J19" s="14">
        <v>0.25</v>
      </c>
      <c r="K19" s="14">
        <v>0.33</v>
      </c>
      <c r="L19" s="14">
        <v>0.34</v>
      </c>
      <c r="M19" s="14">
        <v>0.53</v>
      </c>
      <c r="N19" s="14">
        <v>0.47</v>
      </c>
      <c r="O19" s="14">
        <v>0.37</v>
      </c>
      <c r="P19" s="14">
        <v>0.14000000000000001</v>
      </c>
      <c r="Q19" s="14">
        <v>0.32</v>
      </c>
      <c r="R19" s="14">
        <v>0.28000000000000003</v>
      </c>
      <c r="S19" s="14">
        <v>0.42</v>
      </c>
      <c r="T19" s="14">
        <v>0.35</v>
      </c>
      <c r="U19" s="14">
        <v>0.1</v>
      </c>
      <c r="V19" s="14">
        <v>0.24</v>
      </c>
      <c r="W19" s="14">
        <v>0.39</v>
      </c>
      <c r="X19" s="14">
        <v>0.14000000000000001</v>
      </c>
      <c r="Y19" s="14">
        <v>0.21</v>
      </c>
      <c r="Z19" s="14">
        <v>0.23</v>
      </c>
      <c r="AA19" s="14">
        <v>0.34</v>
      </c>
      <c r="AB19" s="14">
        <v>0.26</v>
      </c>
      <c r="AC19" s="14">
        <v>0.23</v>
      </c>
      <c r="AD19" s="14">
        <v>0.27</v>
      </c>
      <c r="AE19" s="14">
        <v>0.28000000000000003</v>
      </c>
      <c r="AF19" s="14">
        <v>0.3</v>
      </c>
    </row>
  </sheetData>
  <mergeCells count="9">
    <mergeCell ref="H3:L3"/>
    <mergeCell ref="C8:AF8"/>
    <mergeCell ref="B3:F3"/>
    <mergeCell ref="B5:F5"/>
    <mergeCell ref="A10:A19"/>
    <mergeCell ref="H5:L5"/>
    <mergeCell ref="B10:B11"/>
    <mergeCell ref="H4:L4"/>
    <mergeCell ref="B4:F4"/>
  </mergeCells>
  <pageMargins left="0.75" right="0.75" top="1" bottom="1" header="0.5" footer="0.5"/>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dimension ref="A1:AF21"/>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1291</v>
      </c>
      <c r="C3" s="19"/>
      <c r="D3" s="19"/>
      <c r="E3" s="19"/>
      <c r="F3" s="19"/>
      <c r="H3" s="19" t="s">
        <v>1292</v>
      </c>
      <c r="I3" s="19"/>
      <c r="J3" s="19"/>
      <c r="K3" s="19"/>
      <c r="L3" s="19"/>
    </row>
    <row r="4" spans="1:32" ht="27" customHeight="1">
      <c r="B4" s="19" t="s">
        <v>1293</v>
      </c>
      <c r="C4" s="19"/>
      <c r="D4" s="19"/>
      <c r="E4" s="19"/>
      <c r="F4" s="19"/>
      <c r="H4" s="19" t="s">
        <v>1294</v>
      </c>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HYPERLINK("#Content!A115","&lt;&lt;Back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10802</v>
      </c>
      <c r="D10" s="10">
        <v>320</v>
      </c>
      <c r="E10" s="10">
        <v>84</v>
      </c>
      <c r="F10" s="10">
        <v>46</v>
      </c>
      <c r="G10" s="10">
        <v>62</v>
      </c>
      <c r="H10" s="10">
        <v>773</v>
      </c>
      <c r="I10" s="10">
        <v>970</v>
      </c>
      <c r="J10" s="10">
        <v>198</v>
      </c>
      <c r="K10" s="10">
        <v>141</v>
      </c>
      <c r="L10" s="10">
        <v>228</v>
      </c>
      <c r="M10" s="10">
        <v>826</v>
      </c>
      <c r="N10" s="10">
        <v>482</v>
      </c>
      <c r="O10" s="10">
        <v>545</v>
      </c>
      <c r="P10" s="10">
        <v>507</v>
      </c>
      <c r="Q10" s="10">
        <v>427</v>
      </c>
      <c r="R10" s="10">
        <v>169</v>
      </c>
      <c r="S10" s="10">
        <v>27</v>
      </c>
      <c r="T10" s="10">
        <v>69</v>
      </c>
      <c r="U10" s="10">
        <v>236</v>
      </c>
      <c r="V10" s="10">
        <v>267</v>
      </c>
      <c r="W10" s="10">
        <v>351</v>
      </c>
      <c r="X10" s="10">
        <v>440</v>
      </c>
      <c r="Y10" s="10">
        <v>239</v>
      </c>
      <c r="Z10" s="10">
        <v>79</v>
      </c>
      <c r="AA10" s="10">
        <v>684</v>
      </c>
      <c r="AB10" s="10">
        <v>74</v>
      </c>
      <c r="AC10" s="10">
        <v>312</v>
      </c>
      <c r="AD10" s="10">
        <v>119</v>
      </c>
      <c r="AE10" s="10">
        <v>37</v>
      </c>
      <c r="AF10" s="10">
        <v>113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34.5">
      <c r="A12" s="23"/>
      <c r="B12" s="11" t="s">
        <v>1295</v>
      </c>
      <c r="C12" s="12">
        <v>392</v>
      </c>
      <c r="D12" s="12">
        <v>20</v>
      </c>
      <c r="E12" s="12">
        <v>5</v>
      </c>
      <c r="F12" s="12">
        <v>4</v>
      </c>
      <c r="G12" s="12">
        <v>1</v>
      </c>
      <c r="H12" s="12">
        <v>30</v>
      </c>
      <c r="I12" s="12">
        <v>33</v>
      </c>
      <c r="J12" s="12">
        <v>3</v>
      </c>
      <c r="K12" s="12">
        <v>1</v>
      </c>
      <c r="L12" s="12">
        <v>3</v>
      </c>
      <c r="M12" s="12">
        <v>67</v>
      </c>
      <c r="N12" s="12">
        <v>4</v>
      </c>
      <c r="O12" s="12">
        <v>13</v>
      </c>
      <c r="P12" s="12">
        <v>53</v>
      </c>
      <c r="Q12" s="12">
        <v>28</v>
      </c>
      <c r="R12" s="12">
        <v>15</v>
      </c>
      <c r="S12" s="12">
        <v>3</v>
      </c>
      <c r="T12" s="12">
        <v>8</v>
      </c>
      <c r="U12" s="12">
        <v>13</v>
      </c>
      <c r="V12" s="12">
        <v>20</v>
      </c>
      <c r="W12" s="12">
        <v>10</v>
      </c>
      <c r="X12" s="12">
        <v>2</v>
      </c>
      <c r="Y12" s="12">
        <v>22</v>
      </c>
      <c r="Z12" s="12">
        <v>5</v>
      </c>
      <c r="AA12" s="12">
        <v>12</v>
      </c>
      <c r="AB12" s="12">
        <v>3</v>
      </c>
      <c r="AC12" s="12">
        <v>12</v>
      </c>
      <c r="AD12" s="12">
        <v>5</v>
      </c>
      <c r="AE12" s="12">
        <v>0</v>
      </c>
      <c r="AF12" s="12">
        <v>0</v>
      </c>
    </row>
    <row r="13" spans="1:32" ht="23.25">
      <c r="A13" s="23"/>
      <c r="B13" s="13" t="s">
        <v>1296</v>
      </c>
      <c r="C13" s="14">
        <v>0.04</v>
      </c>
      <c r="D13" s="14">
        <v>0.06</v>
      </c>
      <c r="E13" s="14">
        <v>0.05</v>
      </c>
      <c r="F13" s="14">
        <v>0.09</v>
      </c>
      <c r="G13" s="14">
        <v>0.01</v>
      </c>
      <c r="H13" s="14">
        <v>0.04</v>
      </c>
      <c r="I13" s="14">
        <v>0.03</v>
      </c>
      <c r="J13" s="14">
        <v>0.01</v>
      </c>
      <c r="K13" s="14">
        <v>0.01</v>
      </c>
      <c r="L13" s="14">
        <v>0.01</v>
      </c>
      <c r="M13" s="14">
        <v>0.08</v>
      </c>
      <c r="N13" s="14">
        <v>0.01</v>
      </c>
      <c r="O13" s="14">
        <v>0.02</v>
      </c>
      <c r="P13" s="14">
        <v>0.1</v>
      </c>
      <c r="Q13" s="14">
        <v>7.0000000000000007E-2</v>
      </c>
      <c r="R13" s="14">
        <v>0.09</v>
      </c>
      <c r="S13" s="14">
        <v>0.1</v>
      </c>
      <c r="T13" s="14">
        <v>0.11</v>
      </c>
      <c r="U13" s="14">
        <v>0.06</v>
      </c>
      <c r="V13" s="14">
        <v>0.08</v>
      </c>
      <c r="W13" s="14">
        <v>0.03</v>
      </c>
      <c r="X13" s="14">
        <v>0.01</v>
      </c>
      <c r="Y13" s="14">
        <v>0.09</v>
      </c>
      <c r="Z13" s="14">
        <v>7.0000000000000007E-2</v>
      </c>
      <c r="AA13" s="14">
        <v>0.02</v>
      </c>
      <c r="AB13" s="14">
        <v>0.04</v>
      </c>
      <c r="AC13" s="14">
        <v>0.04</v>
      </c>
      <c r="AD13" s="14">
        <v>0.04</v>
      </c>
      <c r="AE13" s="15" t="s">
        <v>485</v>
      </c>
      <c r="AF13" s="15" t="s">
        <v>485</v>
      </c>
    </row>
    <row r="14" spans="1:32" ht="45.75">
      <c r="A14" s="23"/>
      <c r="B14" s="11" t="s">
        <v>1297</v>
      </c>
      <c r="C14" s="12">
        <v>673</v>
      </c>
      <c r="D14" s="12">
        <v>33</v>
      </c>
      <c r="E14" s="12">
        <v>10</v>
      </c>
      <c r="F14" s="12">
        <v>3</v>
      </c>
      <c r="G14" s="12">
        <v>1</v>
      </c>
      <c r="H14" s="12">
        <v>63</v>
      </c>
      <c r="I14" s="12">
        <v>81</v>
      </c>
      <c r="J14" s="12">
        <v>18</v>
      </c>
      <c r="K14" s="12">
        <v>11</v>
      </c>
      <c r="L14" s="12">
        <v>29</v>
      </c>
      <c r="M14" s="12">
        <v>30</v>
      </c>
      <c r="N14" s="12">
        <v>18</v>
      </c>
      <c r="O14" s="12">
        <v>15</v>
      </c>
      <c r="P14" s="12">
        <v>57</v>
      </c>
      <c r="Q14" s="12">
        <v>18</v>
      </c>
      <c r="R14" s="12">
        <v>11</v>
      </c>
      <c r="S14" s="12">
        <v>1</v>
      </c>
      <c r="T14" s="12">
        <v>3</v>
      </c>
      <c r="U14" s="12">
        <v>61</v>
      </c>
      <c r="V14" s="12">
        <v>23</v>
      </c>
      <c r="W14" s="12">
        <v>15</v>
      </c>
      <c r="X14" s="12">
        <v>32</v>
      </c>
      <c r="Y14" s="12">
        <v>62</v>
      </c>
      <c r="Z14" s="12">
        <v>13</v>
      </c>
      <c r="AA14" s="12">
        <v>49</v>
      </c>
      <c r="AB14" s="12">
        <v>10</v>
      </c>
      <c r="AC14" s="12">
        <v>13</v>
      </c>
      <c r="AD14" s="12">
        <v>18</v>
      </c>
      <c r="AE14" s="12">
        <v>2</v>
      </c>
      <c r="AF14" s="12">
        <v>8</v>
      </c>
    </row>
    <row r="15" spans="1:32" ht="34.5">
      <c r="A15" s="23"/>
      <c r="B15" s="13" t="s">
        <v>1298</v>
      </c>
      <c r="C15" s="14">
        <v>0.06</v>
      </c>
      <c r="D15" s="14">
        <v>0.1</v>
      </c>
      <c r="E15" s="14">
        <v>0.12</v>
      </c>
      <c r="F15" s="14">
        <v>0.06</v>
      </c>
      <c r="G15" s="14">
        <v>0.02</v>
      </c>
      <c r="H15" s="14">
        <v>0.08</v>
      </c>
      <c r="I15" s="14">
        <v>0.08</v>
      </c>
      <c r="J15" s="14">
        <v>0.09</v>
      </c>
      <c r="K15" s="14">
        <v>0.08</v>
      </c>
      <c r="L15" s="14">
        <v>0.13</v>
      </c>
      <c r="M15" s="14">
        <v>0.04</v>
      </c>
      <c r="N15" s="14">
        <v>0.04</v>
      </c>
      <c r="O15" s="14">
        <v>0.03</v>
      </c>
      <c r="P15" s="14">
        <v>0.11</v>
      </c>
      <c r="Q15" s="14">
        <v>0.04</v>
      </c>
      <c r="R15" s="14">
        <v>7.0000000000000007E-2</v>
      </c>
      <c r="S15" s="14">
        <v>0.05</v>
      </c>
      <c r="T15" s="14">
        <v>0.04</v>
      </c>
      <c r="U15" s="14">
        <v>0.26</v>
      </c>
      <c r="V15" s="14">
        <v>0.09</v>
      </c>
      <c r="W15" s="14">
        <v>0.04</v>
      </c>
      <c r="X15" s="14">
        <v>7.0000000000000007E-2</v>
      </c>
      <c r="Y15" s="14">
        <v>0.26</v>
      </c>
      <c r="Z15" s="14">
        <v>0.17</v>
      </c>
      <c r="AA15" s="14">
        <v>7.0000000000000007E-2</v>
      </c>
      <c r="AB15" s="14">
        <v>0.13</v>
      </c>
      <c r="AC15" s="14">
        <v>0.04</v>
      </c>
      <c r="AD15" s="14">
        <v>0.16</v>
      </c>
      <c r="AE15" s="14">
        <v>0.05</v>
      </c>
      <c r="AF15" s="14">
        <v>7.0000000000000007E-2</v>
      </c>
    </row>
    <row r="16" spans="1:32" ht="34.5">
      <c r="A16" s="23"/>
      <c r="B16" s="11" t="s">
        <v>1299</v>
      </c>
      <c r="C16" s="12">
        <v>1518</v>
      </c>
      <c r="D16" s="12">
        <v>70</v>
      </c>
      <c r="E16" s="12">
        <v>13</v>
      </c>
      <c r="F16" s="12">
        <v>11</v>
      </c>
      <c r="G16" s="12">
        <v>8</v>
      </c>
      <c r="H16" s="12">
        <v>150</v>
      </c>
      <c r="I16" s="12">
        <v>199</v>
      </c>
      <c r="J16" s="12">
        <v>49</v>
      </c>
      <c r="K16" s="12">
        <v>16</v>
      </c>
      <c r="L16" s="12">
        <v>43</v>
      </c>
      <c r="M16" s="12">
        <v>66</v>
      </c>
      <c r="N16" s="12">
        <v>39</v>
      </c>
      <c r="O16" s="12">
        <v>66</v>
      </c>
      <c r="P16" s="12">
        <v>65</v>
      </c>
      <c r="Q16" s="12">
        <v>30</v>
      </c>
      <c r="R16" s="12">
        <v>30</v>
      </c>
      <c r="S16" s="12">
        <v>6</v>
      </c>
      <c r="T16" s="12">
        <v>17</v>
      </c>
      <c r="U16" s="12">
        <v>80</v>
      </c>
      <c r="V16" s="12">
        <v>31</v>
      </c>
      <c r="W16" s="12">
        <v>39</v>
      </c>
      <c r="X16" s="12">
        <v>93</v>
      </c>
      <c r="Y16" s="12">
        <v>29</v>
      </c>
      <c r="Z16" s="12">
        <v>14</v>
      </c>
      <c r="AA16" s="12">
        <v>53</v>
      </c>
      <c r="AB16" s="12">
        <v>21</v>
      </c>
      <c r="AC16" s="12">
        <v>51</v>
      </c>
      <c r="AD16" s="12">
        <v>25</v>
      </c>
      <c r="AE16" s="12">
        <v>6</v>
      </c>
      <c r="AF16" s="12">
        <v>22</v>
      </c>
    </row>
    <row r="17" spans="1:32" ht="23.25">
      <c r="A17" s="23"/>
      <c r="B17" s="13" t="s">
        <v>1300</v>
      </c>
      <c r="C17" s="14">
        <v>0.14000000000000001</v>
      </c>
      <c r="D17" s="14">
        <v>0.22</v>
      </c>
      <c r="E17" s="14">
        <v>0.16</v>
      </c>
      <c r="F17" s="14">
        <v>0.24</v>
      </c>
      <c r="G17" s="14">
        <v>0.13</v>
      </c>
      <c r="H17" s="14">
        <v>0.19</v>
      </c>
      <c r="I17" s="14">
        <v>0.21</v>
      </c>
      <c r="J17" s="14">
        <v>0.25</v>
      </c>
      <c r="K17" s="14">
        <v>0.11</v>
      </c>
      <c r="L17" s="14">
        <v>0.19</v>
      </c>
      <c r="M17" s="14">
        <v>0.08</v>
      </c>
      <c r="N17" s="14">
        <v>0.08</v>
      </c>
      <c r="O17" s="14">
        <v>0.12</v>
      </c>
      <c r="P17" s="14">
        <v>0.13</v>
      </c>
      <c r="Q17" s="14">
        <v>7.0000000000000007E-2</v>
      </c>
      <c r="R17" s="14">
        <v>0.18</v>
      </c>
      <c r="S17" s="14">
        <v>0.22</v>
      </c>
      <c r="T17" s="14">
        <v>0.25</v>
      </c>
      <c r="U17" s="14">
        <v>0.34</v>
      </c>
      <c r="V17" s="14">
        <v>0.11</v>
      </c>
      <c r="W17" s="14">
        <v>0.11</v>
      </c>
      <c r="X17" s="14">
        <v>0.21</v>
      </c>
      <c r="Y17" s="14">
        <v>0.12</v>
      </c>
      <c r="Z17" s="14">
        <v>0.18</v>
      </c>
      <c r="AA17" s="14">
        <v>0.08</v>
      </c>
      <c r="AB17" s="14">
        <v>0.28999999999999998</v>
      </c>
      <c r="AC17" s="14">
        <v>0.17</v>
      </c>
      <c r="AD17" s="14">
        <v>0.21</v>
      </c>
      <c r="AE17" s="14">
        <v>0.16</v>
      </c>
      <c r="AF17" s="14">
        <v>0.19</v>
      </c>
    </row>
    <row r="18" spans="1:32">
      <c r="A18" s="23"/>
      <c r="B18" s="11" t="s">
        <v>1143</v>
      </c>
      <c r="C18" s="12">
        <v>8209</v>
      </c>
      <c r="D18" s="12">
        <v>197</v>
      </c>
      <c r="E18" s="12">
        <v>55</v>
      </c>
      <c r="F18" s="12">
        <v>28</v>
      </c>
      <c r="G18" s="12">
        <v>52</v>
      </c>
      <c r="H18" s="12">
        <v>530</v>
      </c>
      <c r="I18" s="12">
        <v>658</v>
      </c>
      <c r="J18" s="12">
        <v>128</v>
      </c>
      <c r="K18" s="12">
        <v>113</v>
      </c>
      <c r="L18" s="12">
        <v>151</v>
      </c>
      <c r="M18" s="12">
        <v>662</v>
      </c>
      <c r="N18" s="12">
        <v>421</v>
      </c>
      <c r="O18" s="12">
        <v>451</v>
      </c>
      <c r="P18" s="12">
        <v>333</v>
      </c>
      <c r="Q18" s="12">
        <v>349</v>
      </c>
      <c r="R18" s="12">
        <v>112</v>
      </c>
      <c r="S18" s="12">
        <v>17</v>
      </c>
      <c r="T18" s="12">
        <v>41</v>
      </c>
      <c r="U18" s="12">
        <v>81</v>
      </c>
      <c r="V18" s="12">
        <v>193</v>
      </c>
      <c r="W18" s="12">
        <v>287</v>
      </c>
      <c r="X18" s="12">
        <v>313</v>
      </c>
      <c r="Y18" s="12">
        <v>126</v>
      </c>
      <c r="Z18" s="12">
        <v>46</v>
      </c>
      <c r="AA18" s="12">
        <v>570</v>
      </c>
      <c r="AB18" s="12">
        <v>40</v>
      </c>
      <c r="AC18" s="12">
        <v>235</v>
      </c>
      <c r="AD18" s="12">
        <v>71</v>
      </c>
      <c r="AE18" s="12">
        <v>29</v>
      </c>
      <c r="AF18" s="12">
        <v>83</v>
      </c>
    </row>
    <row r="19" spans="1:32">
      <c r="A19" s="23"/>
      <c r="B19" s="13" t="s">
        <v>1144</v>
      </c>
      <c r="C19" s="14">
        <v>0.76</v>
      </c>
      <c r="D19" s="14">
        <v>0.62</v>
      </c>
      <c r="E19" s="14">
        <v>0.66</v>
      </c>
      <c r="F19" s="14">
        <v>0.61</v>
      </c>
      <c r="G19" s="14">
        <v>0.84</v>
      </c>
      <c r="H19" s="14">
        <v>0.69000000000000006</v>
      </c>
      <c r="I19" s="14">
        <v>0.68</v>
      </c>
      <c r="J19" s="14">
        <v>0.65</v>
      </c>
      <c r="K19" s="14">
        <v>0.8</v>
      </c>
      <c r="L19" s="14">
        <v>0.66</v>
      </c>
      <c r="M19" s="14">
        <v>0.8</v>
      </c>
      <c r="N19" s="14">
        <v>0.87</v>
      </c>
      <c r="O19" s="14">
        <v>0.83000000000000007</v>
      </c>
      <c r="P19" s="14">
        <v>0.66</v>
      </c>
      <c r="Q19" s="14">
        <v>0.82000000000000006</v>
      </c>
      <c r="R19" s="14">
        <v>0.66</v>
      </c>
      <c r="S19" s="14">
        <v>0.63</v>
      </c>
      <c r="T19" s="14">
        <v>0.6</v>
      </c>
      <c r="U19" s="14">
        <v>0.34</v>
      </c>
      <c r="V19" s="14">
        <v>0.72</v>
      </c>
      <c r="W19" s="14">
        <v>0.82000000000000006</v>
      </c>
      <c r="X19" s="14">
        <v>0.71</v>
      </c>
      <c r="Y19" s="14">
        <v>0.53</v>
      </c>
      <c r="Z19" s="14">
        <v>0.57999999999999996</v>
      </c>
      <c r="AA19" s="14">
        <v>0.83000000000000007</v>
      </c>
      <c r="AB19" s="14">
        <v>0.54</v>
      </c>
      <c r="AC19" s="14">
        <v>0.75</v>
      </c>
      <c r="AD19" s="14">
        <v>0.59</v>
      </c>
      <c r="AE19" s="14">
        <v>0.79</v>
      </c>
      <c r="AF19" s="14">
        <v>0.73</v>
      </c>
    </row>
    <row r="20" spans="1:32">
      <c r="A20" s="23"/>
      <c r="B20" s="11" t="s">
        <v>497</v>
      </c>
      <c r="C20" s="12">
        <v>11</v>
      </c>
      <c r="D20" s="12">
        <v>0</v>
      </c>
      <c r="E20" s="12">
        <v>1</v>
      </c>
      <c r="F20" s="12">
        <v>0</v>
      </c>
      <c r="G20" s="12">
        <v>0</v>
      </c>
      <c r="H20" s="12">
        <v>0</v>
      </c>
      <c r="I20" s="12">
        <v>0</v>
      </c>
      <c r="J20" s="12">
        <v>0</v>
      </c>
      <c r="K20" s="12">
        <v>0</v>
      </c>
      <c r="L20" s="12">
        <v>2</v>
      </c>
      <c r="M20" s="12">
        <v>0</v>
      </c>
      <c r="N20" s="12">
        <v>0</v>
      </c>
      <c r="O20" s="12">
        <v>1</v>
      </c>
      <c r="P20" s="12">
        <v>0</v>
      </c>
      <c r="Q20" s="12">
        <v>2</v>
      </c>
      <c r="R20" s="12">
        <v>0</v>
      </c>
      <c r="S20" s="12">
        <v>0</v>
      </c>
      <c r="T20" s="12">
        <v>0</v>
      </c>
      <c r="U20" s="12">
        <v>1</v>
      </c>
      <c r="V20" s="12">
        <v>0</v>
      </c>
      <c r="W20" s="12">
        <v>0</v>
      </c>
      <c r="X20" s="12">
        <v>0</v>
      </c>
      <c r="Y20" s="12">
        <v>1</v>
      </c>
      <c r="Z20" s="12">
        <v>0</v>
      </c>
      <c r="AA20" s="12">
        <v>0</v>
      </c>
      <c r="AB20" s="12">
        <v>0</v>
      </c>
      <c r="AC20" s="12">
        <v>0</v>
      </c>
      <c r="AD20" s="12">
        <v>0</v>
      </c>
      <c r="AE20" s="12">
        <v>0</v>
      </c>
      <c r="AF20" s="12">
        <v>1</v>
      </c>
    </row>
    <row r="21" spans="1:32">
      <c r="A21" s="23"/>
      <c r="B21" s="13" t="s">
        <v>498</v>
      </c>
      <c r="C21" s="15" t="s">
        <v>485</v>
      </c>
      <c r="D21" s="15" t="s">
        <v>485</v>
      </c>
      <c r="E21" s="14">
        <v>0.01</v>
      </c>
      <c r="F21" s="15" t="s">
        <v>485</v>
      </c>
      <c r="G21" s="15" t="s">
        <v>485</v>
      </c>
      <c r="H21" s="15" t="s">
        <v>485</v>
      </c>
      <c r="I21" s="15" t="s">
        <v>485</v>
      </c>
      <c r="J21" s="15" t="s">
        <v>485</v>
      </c>
      <c r="K21" s="15" t="s">
        <v>485</v>
      </c>
      <c r="L21" s="14">
        <v>0.01</v>
      </c>
      <c r="M21" s="15" t="s">
        <v>485</v>
      </c>
      <c r="N21" s="15" t="s">
        <v>485</v>
      </c>
      <c r="O21" s="15" t="s">
        <v>485</v>
      </c>
      <c r="P21" s="15" t="s">
        <v>485</v>
      </c>
      <c r="Q21" s="15" t="s">
        <v>485</v>
      </c>
      <c r="R21" s="15" t="s">
        <v>485</v>
      </c>
      <c r="S21" s="15" t="s">
        <v>485</v>
      </c>
      <c r="T21" s="15" t="s">
        <v>485</v>
      </c>
      <c r="U21" s="15" t="s">
        <v>485</v>
      </c>
      <c r="V21" s="15" t="s">
        <v>485</v>
      </c>
      <c r="W21" s="15" t="s">
        <v>485</v>
      </c>
      <c r="X21" s="15" t="s">
        <v>485</v>
      </c>
      <c r="Y21" s="15" t="s">
        <v>485</v>
      </c>
      <c r="Z21" s="15" t="s">
        <v>485</v>
      </c>
      <c r="AA21" s="15" t="s">
        <v>485</v>
      </c>
      <c r="AB21" s="15" t="s">
        <v>485</v>
      </c>
      <c r="AC21" s="15" t="s">
        <v>485</v>
      </c>
      <c r="AD21" s="15" t="s">
        <v>485</v>
      </c>
      <c r="AE21" s="15" t="s">
        <v>485</v>
      </c>
      <c r="AF21" s="14">
        <v>0.01</v>
      </c>
    </row>
  </sheetData>
  <mergeCells count="9">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dimension ref="A1:AF21"/>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1301</v>
      </c>
      <c r="C3" s="19"/>
      <c r="D3" s="19"/>
      <c r="E3" s="19"/>
      <c r="F3" s="19"/>
      <c r="H3" s="19" t="s">
        <v>1302</v>
      </c>
      <c r="I3" s="19"/>
      <c r="J3" s="19"/>
      <c r="K3" s="19"/>
      <c r="L3" s="19"/>
    </row>
    <row r="4" spans="1:32" ht="27" customHeight="1">
      <c r="B4" s="19" t="s">
        <v>1303</v>
      </c>
      <c r="C4" s="19"/>
      <c r="D4" s="19"/>
      <c r="E4" s="19"/>
      <c r="F4" s="19"/>
      <c r="H4" s="19" t="s">
        <v>1304</v>
      </c>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HYPERLINK("#Content!A116","&lt;&lt;Back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25544</v>
      </c>
      <c r="D10" s="10">
        <v>971</v>
      </c>
      <c r="E10" s="10">
        <v>1006</v>
      </c>
      <c r="F10" s="10">
        <v>979</v>
      </c>
      <c r="G10" s="10">
        <v>996</v>
      </c>
      <c r="H10" s="10">
        <v>1160</v>
      </c>
      <c r="I10" s="10">
        <v>1443</v>
      </c>
      <c r="J10" s="10">
        <v>283</v>
      </c>
      <c r="K10" s="10">
        <v>981</v>
      </c>
      <c r="L10" s="10">
        <v>977</v>
      </c>
      <c r="M10" s="10">
        <v>980</v>
      </c>
      <c r="N10" s="10">
        <v>975</v>
      </c>
      <c r="O10" s="10">
        <v>967</v>
      </c>
      <c r="P10" s="10">
        <v>975</v>
      </c>
      <c r="Q10" s="10">
        <v>990</v>
      </c>
      <c r="R10" s="10">
        <v>493</v>
      </c>
      <c r="S10" s="10">
        <v>997</v>
      </c>
      <c r="T10" s="10">
        <v>980</v>
      </c>
      <c r="U10" s="10">
        <v>495</v>
      </c>
      <c r="V10" s="10">
        <v>969</v>
      </c>
      <c r="W10" s="10">
        <v>495</v>
      </c>
      <c r="X10" s="10">
        <v>1009</v>
      </c>
      <c r="Y10" s="10">
        <v>983</v>
      </c>
      <c r="Z10" s="10">
        <v>986</v>
      </c>
      <c r="AA10" s="10">
        <v>1006</v>
      </c>
      <c r="AB10" s="10">
        <v>1008</v>
      </c>
      <c r="AC10" s="10">
        <v>988</v>
      </c>
      <c r="AD10" s="10">
        <v>990</v>
      </c>
      <c r="AE10" s="10">
        <v>1001</v>
      </c>
      <c r="AF10" s="10">
        <v>1069</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34.5">
      <c r="A12" s="23"/>
      <c r="B12" s="11" t="s">
        <v>1295</v>
      </c>
      <c r="C12" s="12">
        <v>1475</v>
      </c>
      <c r="D12" s="12">
        <v>78</v>
      </c>
      <c r="E12" s="12">
        <v>40</v>
      </c>
      <c r="F12" s="12">
        <v>34</v>
      </c>
      <c r="G12" s="12">
        <v>25</v>
      </c>
      <c r="H12" s="12">
        <v>112</v>
      </c>
      <c r="I12" s="12">
        <v>125</v>
      </c>
      <c r="J12" s="12">
        <v>13</v>
      </c>
      <c r="K12" s="12">
        <v>44</v>
      </c>
      <c r="L12" s="12">
        <v>44</v>
      </c>
      <c r="M12" s="12">
        <v>77</v>
      </c>
      <c r="N12" s="12">
        <v>14</v>
      </c>
      <c r="O12" s="12">
        <v>15</v>
      </c>
      <c r="P12" s="12">
        <v>83</v>
      </c>
      <c r="Q12" s="12">
        <v>85</v>
      </c>
      <c r="R12" s="12">
        <v>44</v>
      </c>
      <c r="S12" s="12">
        <v>31</v>
      </c>
      <c r="T12" s="12">
        <v>34</v>
      </c>
      <c r="U12" s="12">
        <v>48</v>
      </c>
      <c r="V12" s="12">
        <v>103</v>
      </c>
      <c r="W12" s="12">
        <v>17</v>
      </c>
      <c r="X12" s="12">
        <v>53</v>
      </c>
      <c r="Y12" s="12">
        <v>182</v>
      </c>
      <c r="Z12" s="12">
        <v>73</v>
      </c>
      <c r="AA12" s="12">
        <v>24</v>
      </c>
      <c r="AB12" s="12">
        <v>60</v>
      </c>
      <c r="AC12" s="12">
        <v>59</v>
      </c>
      <c r="AD12" s="12">
        <v>34</v>
      </c>
      <c r="AE12" s="12">
        <v>5</v>
      </c>
      <c r="AF12" s="12">
        <v>15</v>
      </c>
    </row>
    <row r="13" spans="1:32" ht="23.25">
      <c r="A13" s="23"/>
      <c r="B13" s="13" t="s">
        <v>1296</v>
      </c>
      <c r="C13" s="14">
        <v>0.06</v>
      </c>
      <c r="D13" s="14">
        <v>0.08</v>
      </c>
      <c r="E13" s="14">
        <v>0.04</v>
      </c>
      <c r="F13" s="14">
        <v>0.03</v>
      </c>
      <c r="G13" s="14">
        <v>0.03</v>
      </c>
      <c r="H13" s="14">
        <v>0.1</v>
      </c>
      <c r="I13" s="14">
        <v>0.09</v>
      </c>
      <c r="J13" s="14">
        <v>0.05</v>
      </c>
      <c r="K13" s="14">
        <v>0.04</v>
      </c>
      <c r="L13" s="14">
        <v>0.04</v>
      </c>
      <c r="M13" s="14">
        <v>0.08</v>
      </c>
      <c r="N13" s="14">
        <v>0.01</v>
      </c>
      <c r="O13" s="14">
        <v>0.02</v>
      </c>
      <c r="P13" s="14">
        <v>0.09</v>
      </c>
      <c r="Q13" s="14">
        <v>0.08</v>
      </c>
      <c r="R13" s="14">
        <v>0.09</v>
      </c>
      <c r="S13" s="14">
        <v>0.03</v>
      </c>
      <c r="T13" s="14">
        <v>0.04</v>
      </c>
      <c r="U13" s="14">
        <v>0.1</v>
      </c>
      <c r="V13" s="14">
        <v>0.11</v>
      </c>
      <c r="W13" s="14">
        <v>0.04</v>
      </c>
      <c r="X13" s="14">
        <v>0.05</v>
      </c>
      <c r="Y13" s="14">
        <v>0.19</v>
      </c>
      <c r="Z13" s="14">
        <v>0.08</v>
      </c>
      <c r="AA13" s="14">
        <v>0.02</v>
      </c>
      <c r="AB13" s="14">
        <v>0.06</v>
      </c>
      <c r="AC13" s="14">
        <v>0.06</v>
      </c>
      <c r="AD13" s="14">
        <v>0.03</v>
      </c>
      <c r="AE13" s="15" t="s">
        <v>485</v>
      </c>
      <c r="AF13" s="14">
        <v>0.02</v>
      </c>
    </row>
    <row r="14" spans="1:32" ht="45.75">
      <c r="A14" s="23"/>
      <c r="B14" s="11" t="s">
        <v>1297</v>
      </c>
      <c r="C14" s="12">
        <v>2222</v>
      </c>
      <c r="D14" s="12">
        <v>118</v>
      </c>
      <c r="E14" s="12">
        <v>144</v>
      </c>
      <c r="F14" s="12">
        <v>48</v>
      </c>
      <c r="G14" s="12">
        <v>89</v>
      </c>
      <c r="H14" s="12">
        <v>117</v>
      </c>
      <c r="I14" s="12">
        <v>143</v>
      </c>
      <c r="J14" s="12">
        <v>27</v>
      </c>
      <c r="K14" s="12">
        <v>165</v>
      </c>
      <c r="L14" s="12">
        <v>135</v>
      </c>
      <c r="M14" s="12">
        <v>51</v>
      </c>
      <c r="N14" s="12">
        <v>46</v>
      </c>
      <c r="O14" s="12">
        <v>53</v>
      </c>
      <c r="P14" s="12">
        <v>131</v>
      </c>
      <c r="Q14" s="12">
        <v>66</v>
      </c>
      <c r="R14" s="12">
        <v>59</v>
      </c>
      <c r="S14" s="12">
        <v>114</v>
      </c>
      <c r="T14" s="12">
        <v>103</v>
      </c>
      <c r="U14" s="12">
        <v>195</v>
      </c>
      <c r="V14" s="12">
        <v>65</v>
      </c>
      <c r="W14" s="12">
        <v>54</v>
      </c>
      <c r="X14" s="12">
        <v>129</v>
      </c>
      <c r="Y14" s="12">
        <v>198</v>
      </c>
      <c r="Z14" s="12">
        <v>108</v>
      </c>
      <c r="AA14" s="12">
        <v>75</v>
      </c>
      <c r="AB14" s="12">
        <v>109</v>
      </c>
      <c r="AC14" s="12">
        <v>132</v>
      </c>
      <c r="AD14" s="12">
        <v>183</v>
      </c>
      <c r="AE14" s="12">
        <v>70</v>
      </c>
      <c r="AF14" s="12">
        <v>106</v>
      </c>
    </row>
    <row r="15" spans="1:32" ht="34.5">
      <c r="A15" s="23"/>
      <c r="B15" s="13" t="s">
        <v>1298</v>
      </c>
      <c r="C15" s="14">
        <v>0.09</v>
      </c>
      <c r="D15" s="14">
        <v>0.12</v>
      </c>
      <c r="E15" s="14">
        <v>0.14000000000000001</v>
      </c>
      <c r="F15" s="14">
        <v>0.05</v>
      </c>
      <c r="G15" s="14">
        <v>0.09</v>
      </c>
      <c r="H15" s="14">
        <v>0.1</v>
      </c>
      <c r="I15" s="14">
        <v>0.1</v>
      </c>
      <c r="J15" s="14">
        <v>0.09</v>
      </c>
      <c r="K15" s="14">
        <v>0.17</v>
      </c>
      <c r="L15" s="14">
        <v>0.14000000000000001</v>
      </c>
      <c r="M15" s="14">
        <v>0.05</v>
      </c>
      <c r="N15" s="14">
        <v>0.05</v>
      </c>
      <c r="O15" s="14">
        <v>0.05</v>
      </c>
      <c r="P15" s="14">
        <v>0.13</v>
      </c>
      <c r="Q15" s="14">
        <v>7.0000000000000007E-2</v>
      </c>
      <c r="R15" s="14">
        <v>0.12</v>
      </c>
      <c r="S15" s="14">
        <v>0.11</v>
      </c>
      <c r="T15" s="14">
        <v>0.11</v>
      </c>
      <c r="U15" s="14">
        <v>0.39</v>
      </c>
      <c r="V15" s="14">
        <v>7.0000000000000007E-2</v>
      </c>
      <c r="W15" s="14">
        <v>0.11</v>
      </c>
      <c r="X15" s="14">
        <v>0.13</v>
      </c>
      <c r="Y15" s="14">
        <v>0.2</v>
      </c>
      <c r="Z15" s="14">
        <v>0.11</v>
      </c>
      <c r="AA15" s="14">
        <v>0.08</v>
      </c>
      <c r="AB15" s="14">
        <v>0.11</v>
      </c>
      <c r="AC15" s="14">
        <v>0.13</v>
      </c>
      <c r="AD15" s="14">
        <v>0.19</v>
      </c>
      <c r="AE15" s="14">
        <v>7.0000000000000007E-2</v>
      </c>
      <c r="AF15" s="14">
        <v>0.1</v>
      </c>
    </row>
    <row r="16" spans="1:32" ht="34.5">
      <c r="A16" s="23"/>
      <c r="B16" s="11" t="s">
        <v>1299</v>
      </c>
      <c r="C16" s="12">
        <v>5213</v>
      </c>
      <c r="D16" s="12">
        <v>286</v>
      </c>
      <c r="E16" s="12">
        <v>270</v>
      </c>
      <c r="F16" s="12">
        <v>223</v>
      </c>
      <c r="G16" s="12">
        <v>309</v>
      </c>
      <c r="H16" s="12">
        <v>302</v>
      </c>
      <c r="I16" s="12">
        <v>381</v>
      </c>
      <c r="J16" s="12">
        <v>80</v>
      </c>
      <c r="K16" s="12">
        <v>343</v>
      </c>
      <c r="L16" s="12">
        <v>223</v>
      </c>
      <c r="M16" s="12">
        <v>107</v>
      </c>
      <c r="N16" s="12">
        <v>108</v>
      </c>
      <c r="O16" s="12">
        <v>180</v>
      </c>
      <c r="P16" s="12">
        <v>202</v>
      </c>
      <c r="Q16" s="12">
        <v>100</v>
      </c>
      <c r="R16" s="12">
        <v>131</v>
      </c>
      <c r="S16" s="12">
        <v>255</v>
      </c>
      <c r="T16" s="12">
        <v>247</v>
      </c>
      <c r="U16" s="12">
        <v>161</v>
      </c>
      <c r="V16" s="12">
        <v>146</v>
      </c>
      <c r="W16" s="12">
        <v>119</v>
      </c>
      <c r="X16" s="12">
        <v>385</v>
      </c>
      <c r="Y16" s="12">
        <v>218</v>
      </c>
      <c r="Z16" s="12">
        <v>191</v>
      </c>
      <c r="AA16" s="12">
        <v>98</v>
      </c>
      <c r="AB16" s="12">
        <v>233</v>
      </c>
      <c r="AC16" s="12">
        <v>374</v>
      </c>
      <c r="AD16" s="12">
        <v>319</v>
      </c>
      <c r="AE16" s="12">
        <v>349</v>
      </c>
      <c r="AF16" s="12">
        <v>336</v>
      </c>
    </row>
    <row r="17" spans="1:32" ht="23.25">
      <c r="A17" s="23"/>
      <c r="B17" s="13" t="s">
        <v>1300</v>
      </c>
      <c r="C17" s="14">
        <v>0.2</v>
      </c>
      <c r="D17" s="14">
        <v>0.3</v>
      </c>
      <c r="E17" s="14">
        <v>0.27</v>
      </c>
      <c r="F17" s="14">
        <v>0.23</v>
      </c>
      <c r="G17" s="14">
        <v>0.31</v>
      </c>
      <c r="H17" s="14">
        <v>0.26</v>
      </c>
      <c r="I17" s="14">
        <v>0.26</v>
      </c>
      <c r="J17" s="14">
        <v>0.28000000000000003</v>
      </c>
      <c r="K17" s="14">
        <v>0.35</v>
      </c>
      <c r="L17" s="14">
        <v>0.23</v>
      </c>
      <c r="M17" s="14">
        <v>0.11</v>
      </c>
      <c r="N17" s="14">
        <v>0.11</v>
      </c>
      <c r="O17" s="14">
        <v>0.19</v>
      </c>
      <c r="P17" s="14">
        <v>0.21</v>
      </c>
      <c r="Q17" s="14">
        <v>0.1</v>
      </c>
      <c r="R17" s="14">
        <v>0.27</v>
      </c>
      <c r="S17" s="14">
        <v>0.26</v>
      </c>
      <c r="T17" s="14">
        <v>0.25</v>
      </c>
      <c r="U17" s="14">
        <v>0.33</v>
      </c>
      <c r="V17" s="14">
        <v>0.15</v>
      </c>
      <c r="W17" s="14">
        <v>0.24</v>
      </c>
      <c r="X17" s="14">
        <v>0.38</v>
      </c>
      <c r="Y17" s="14">
        <v>0.22</v>
      </c>
      <c r="Z17" s="14">
        <v>0.19</v>
      </c>
      <c r="AA17" s="14">
        <v>0.1</v>
      </c>
      <c r="AB17" s="14">
        <v>0.23</v>
      </c>
      <c r="AC17" s="14">
        <v>0.38</v>
      </c>
      <c r="AD17" s="14">
        <v>0.32</v>
      </c>
      <c r="AE17" s="14">
        <v>0.35</v>
      </c>
      <c r="AF17" s="14">
        <v>0.31</v>
      </c>
    </row>
    <row r="18" spans="1:32">
      <c r="A18" s="23"/>
      <c r="B18" s="11" t="s">
        <v>1143</v>
      </c>
      <c r="C18" s="12">
        <v>16556</v>
      </c>
      <c r="D18" s="12">
        <v>487</v>
      </c>
      <c r="E18" s="12">
        <v>552</v>
      </c>
      <c r="F18" s="12">
        <v>672</v>
      </c>
      <c r="G18" s="12">
        <v>571</v>
      </c>
      <c r="H18" s="12">
        <v>627</v>
      </c>
      <c r="I18" s="12">
        <v>789</v>
      </c>
      <c r="J18" s="12">
        <v>161</v>
      </c>
      <c r="K18" s="12">
        <v>423</v>
      </c>
      <c r="L18" s="12">
        <v>567</v>
      </c>
      <c r="M18" s="12">
        <v>744</v>
      </c>
      <c r="N18" s="12">
        <v>800</v>
      </c>
      <c r="O18" s="12">
        <v>714</v>
      </c>
      <c r="P18" s="12">
        <v>555</v>
      </c>
      <c r="Q18" s="12">
        <v>739</v>
      </c>
      <c r="R18" s="12">
        <v>259</v>
      </c>
      <c r="S18" s="12">
        <v>593</v>
      </c>
      <c r="T18" s="12">
        <v>592</v>
      </c>
      <c r="U18" s="12">
        <v>90</v>
      </c>
      <c r="V18" s="12">
        <v>654</v>
      </c>
      <c r="W18" s="12">
        <v>304</v>
      </c>
      <c r="X18" s="12">
        <v>437</v>
      </c>
      <c r="Y18" s="12">
        <v>383</v>
      </c>
      <c r="Z18" s="12">
        <v>613</v>
      </c>
      <c r="AA18" s="12">
        <v>806</v>
      </c>
      <c r="AB18" s="12">
        <v>605</v>
      </c>
      <c r="AC18" s="12">
        <v>422</v>
      </c>
      <c r="AD18" s="12">
        <v>453</v>
      </c>
      <c r="AE18" s="12">
        <v>577</v>
      </c>
      <c r="AF18" s="12">
        <v>612</v>
      </c>
    </row>
    <row r="19" spans="1:32">
      <c r="A19" s="23"/>
      <c r="B19" s="13" t="s">
        <v>1144</v>
      </c>
      <c r="C19" s="14">
        <v>0.65</v>
      </c>
      <c r="D19" s="14">
        <v>0.5</v>
      </c>
      <c r="E19" s="14">
        <v>0.55000000000000004</v>
      </c>
      <c r="F19" s="14">
        <v>0.69000000000000006</v>
      </c>
      <c r="G19" s="14">
        <v>0.57000000000000006</v>
      </c>
      <c r="H19" s="14">
        <v>0.54</v>
      </c>
      <c r="I19" s="14">
        <v>0.55000000000000004</v>
      </c>
      <c r="J19" s="14">
        <v>0.57000000000000006</v>
      </c>
      <c r="K19" s="14">
        <v>0.43</v>
      </c>
      <c r="L19" s="14">
        <v>0.57999999999999996</v>
      </c>
      <c r="M19" s="14">
        <v>0.76</v>
      </c>
      <c r="N19" s="14">
        <v>0.82000000000000006</v>
      </c>
      <c r="O19" s="14">
        <v>0.74</v>
      </c>
      <c r="P19" s="14">
        <v>0.57000000000000006</v>
      </c>
      <c r="Q19" s="14">
        <v>0.75</v>
      </c>
      <c r="R19" s="14">
        <v>0.52</v>
      </c>
      <c r="S19" s="14">
        <v>0.6</v>
      </c>
      <c r="T19" s="14">
        <v>0.6</v>
      </c>
      <c r="U19" s="14">
        <v>0.18</v>
      </c>
      <c r="V19" s="14">
        <v>0.67</v>
      </c>
      <c r="W19" s="14">
        <v>0.61</v>
      </c>
      <c r="X19" s="14">
        <v>0.43</v>
      </c>
      <c r="Y19" s="14">
        <v>0.39</v>
      </c>
      <c r="Z19" s="14">
        <v>0.62</v>
      </c>
      <c r="AA19" s="14">
        <v>0.8</v>
      </c>
      <c r="AB19" s="14">
        <v>0.6</v>
      </c>
      <c r="AC19" s="14">
        <v>0.43</v>
      </c>
      <c r="AD19" s="14">
        <v>0.46</v>
      </c>
      <c r="AE19" s="14">
        <v>0.57999999999999996</v>
      </c>
      <c r="AF19" s="14">
        <v>0.57000000000000006</v>
      </c>
    </row>
    <row r="20" spans="1:32">
      <c r="A20" s="23"/>
      <c r="B20" s="11" t="s">
        <v>497</v>
      </c>
      <c r="C20" s="12">
        <v>79</v>
      </c>
      <c r="D20" s="12">
        <v>2</v>
      </c>
      <c r="E20" s="12">
        <v>0</v>
      </c>
      <c r="F20" s="12">
        <v>3</v>
      </c>
      <c r="G20" s="12">
        <v>3</v>
      </c>
      <c r="H20" s="12">
        <v>3</v>
      </c>
      <c r="I20" s="12">
        <v>5</v>
      </c>
      <c r="J20" s="12">
        <v>3</v>
      </c>
      <c r="K20" s="12">
        <v>7</v>
      </c>
      <c r="L20" s="12">
        <v>9</v>
      </c>
      <c r="M20" s="12">
        <v>0</v>
      </c>
      <c r="N20" s="12">
        <v>7</v>
      </c>
      <c r="O20" s="12">
        <v>5</v>
      </c>
      <c r="P20" s="12">
        <v>4</v>
      </c>
      <c r="Q20" s="12">
        <v>0</v>
      </c>
      <c r="R20" s="12">
        <v>0</v>
      </c>
      <c r="S20" s="12">
        <v>3</v>
      </c>
      <c r="T20" s="12">
        <v>4</v>
      </c>
      <c r="U20" s="12">
        <v>2</v>
      </c>
      <c r="V20" s="12">
        <v>1</v>
      </c>
      <c r="W20" s="12">
        <v>1</v>
      </c>
      <c r="X20" s="12">
        <v>4</v>
      </c>
      <c r="Y20" s="12">
        <v>3</v>
      </c>
      <c r="Z20" s="12">
        <v>1</v>
      </c>
      <c r="AA20" s="12">
        <v>4</v>
      </c>
      <c r="AB20" s="12">
        <v>1</v>
      </c>
      <c r="AC20" s="12">
        <v>1</v>
      </c>
      <c r="AD20" s="12">
        <v>1</v>
      </c>
      <c r="AE20" s="12">
        <v>0</v>
      </c>
      <c r="AF20" s="12">
        <v>0</v>
      </c>
    </row>
    <row r="21" spans="1:32">
      <c r="A21" s="23"/>
      <c r="B21" s="13" t="s">
        <v>498</v>
      </c>
      <c r="C21" s="15" t="s">
        <v>485</v>
      </c>
      <c r="D21" s="15" t="s">
        <v>485</v>
      </c>
      <c r="E21" s="15" t="s">
        <v>485</v>
      </c>
      <c r="F21" s="15" t="s">
        <v>485</v>
      </c>
      <c r="G21" s="15" t="s">
        <v>485</v>
      </c>
      <c r="H21" s="15" t="s">
        <v>485</v>
      </c>
      <c r="I21" s="15" t="s">
        <v>485</v>
      </c>
      <c r="J21" s="14">
        <v>0.01</v>
      </c>
      <c r="K21" s="14">
        <v>0.01</v>
      </c>
      <c r="L21" s="14">
        <v>0.01</v>
      </c>
      <c r="M21" s="15" t="s">
        <v>485</v>
      </c>
      <c r="N21" s="14">
        <v>0.01</v>
      </c>
      <c r="O21" s="15" t="s">
        <v>485</v>
      </c>
      <c r="P21" s="15" t="s">
        <v>485</v>
      </c>
      <c r="Q21" s="15" t="s">
        <v>485</v>
      </c>
      <c r="R21" s="15" t="s">
        <v>485</v>
      </c>
      <c r="S21" s="15" t="s">
        <v>485</v>
      </c>
      <c r="T21" s="15" t="s">
        <v>485</v>
      </c>
      <c r="U21" s="15" t="s">
        <v>485</v>
      </c>
      <c r="V21" s="15" t="s">
        <v>485</v>
      </c>
      <c r="W21" s="15" t="s">
        <v>485</v>
      </c>
      <c r="X21" s="14">
        <v>0.01</v>
      </c>
      <c r="Y21" s="15" t="s">
        <v>485</v>
      </c>
      <c r="Z21" s="15" t="s">
        <v>485</v>
      </c>
      <c r="AA21" s="15" t="s">
        <v>485</v>
      </c>
      <c r="AB21" s="15" t="s">
        <v>485</v>
      </c>
      <c r="AC21" s="15" t="s">
        <v>485</v>
      </c>
      <c r="AD21" s="15" t="s">
        <v>485</v>
      </c>
      <c r="AE21" s="15" t="s">
        <v>485</v>
      </c>
      <c r="AF21" s="15" t="s">
        <v>485</v>
      </c>
    </row>
  </sheetData>
  <mergeCells count="9">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dimension ref="A1:AF21"/>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1305</v>
      </c>
      <c r="C3" s="19"/>
      <c r="D3" s="19"/>
      <c r="E3" s="19"/>
      <c r="F3" s="19"/>
      <c r="H3" s="19" t="s">
        <v>1306</v>
      </c>
      <c r="I3" s="19"/>
      <c r="J3" s="19"/>
      <c r="K3" s="19"/>
      <c r="L3" s="19"/>
    </row>
    <row r="4" spans="1:32" ht="27" customHeight="1">
      <c r="B4" s="19" t="s">
        <v>1307</v>
      </c>
      <c r="C4" s="19"/>
      <c r="D4" s="19"/>
      <c r="E4" s="19"/>
      <c r="F4" s="19"/>
      <c r="H4" s="19" t="s">
        <v>1308</v>
      </c>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HYPERLINK("#Content!A117","&lt;&lt;Back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34.5">
      <c r="A12" s="23"/>
      <c r="B12" s="11" t="s">
        <v>1295</v>
      </c>
      <c r="C12" s="12">
        <v>1051</v>
      </c>
      <c r="D12" s="12">
        <v>74</v>
      </c>
      <c r="E12" s="12">
        <v>37</v>
      </c>
      <c r="F12" s="12">
        <v>32</v>
      </c>
      <c r="G12" s="12">
        <v>32</v>
      </c>
      <c r="H12" s="12">
        <v>48</v>
      </c>
      <c r="I12" s="12">
        <v>52</v>
      </c>
      <c r="J12" s="12">
        <v>4</v>
      </c>
      <c r="K12" s="12">
        <v>34</v>
      </c>
      <c r="L12" s="12">
        <v>49</v>
      </c>
      <c r="M12" s="12">
        <v>48</v>
      </c>
      <c r="N12" s="12">
        <v>14</v>
      </c>
      <c r="O12" s="12">
        <v>25</v>
      </c>
      <c r="P12" s="12">
        <v>87</v>
      </c>
      <c r="Q12" s="12">
        <v>57</v>
      </c>
      <c r="R12" s="12">
        <v>54</v>
      </c>
      <c r="S12" s="12">
        <v>38</v>
      </c>
      <c r="T12" s="12">
        <v>37</v>
      </c>
      <c r="U12" s="12">
        <v>55</v>
      </c>
      <c r="V12" s="12">
        <v>41</v>
      </c>
      <c r="W12" s="12">
        <v>36</v>
      </c>
      <c r="X12" s="12">
        <v>56</v>
      </c>
      <c r="Y12" s="12">
        <v>117</v>
      </c>
      <c r="Z12" s="12">
        <v>52</v>
      </c>
      <c r="AA12" s="12">
        <v>29</v>
      </c>
      <c r="AB12" s="12">
        <v>41</v>
      </c>
      <c r="AC12" s="12">
        <v>46</v>
      </c>
      <c r="AD12" s="12">
        <v>31</v>
      </c>
      <c r="AE12" s="12">
        <v>18</v>
      </c>
      <c r="AF12" s="12">
        <v>46</v>
      </c>
    </row>
    <row r="13" spans="1:32" ht="23.25">
      <c r="A13" s="23"/>
      <c r="B13" s="13" t="s">
        <v>1296</v>
      </c>
      <c r="C13" s="14">
        <v>0.04</v>
      </c>
      <c r="D13" s="14">
        <v>7.0000000000000007E-2</v>
      </c>
      <c r="E13" s="14">
        <v>0.03</v>
      </c>
      <c r="F13" s="14">
        <v>0.03</v>
      </c>
      <c r="G13" s="14">
        <v>0.03</v>
      </c>
      <c r="H13" s="14">
        <v>0.04</v>
      </c>
      <c r="I13" s="14">
        <v>0.04</v>
      </c>
      <c r="J13" s="14">
        <v>0.01</v>
      </c>
      <c r="K13" s="14">
        <v>0.03</v>
      </c>
      <c r="L13" s="14">
        <v>0.05</v>
      </c>
      <c r="M13" s="14">
        <v>0.05</v>
      </c>
      <c r="N13" s="14">
        <v>0.02</v>
      </c>
      <c r="O13" s="14">
        <v>0.03</v>
      </c>
      <c r="P13" s="14">
        <v>0.09</v>
      </c>
      <c r="Q13" s="14">
        <v>0.05</v>
      </c>
      <c r="R13" s="14">
        <v>0.11</v>
      </c>
      <c r="S13" s="14">
        <v>0.04</v>
      </c>
      <c r="T13" s="14">
        <v>0.04</v>
      </c>
      <c r="U13" s="14">
        <v>0.11</v>
      </c>
      <c r="V13" s="14">
        <v>0.04</v>
      </c>
      <c r="W13" s="14">
        <v>7.0000000000000007E-2</v>
      </c>
      <c r="X13" s="14">
        <v>0.06</v>
      </c>
      <c r="Y13" s="14">
        <v>0.12</v>
      </c>
      <c r="Z13" s="14">
        <v>0.05</v>
      </c>
      <c r="AA13" s="14">
        <v>0.03</v>
      </c>
      <c r="AB13" s="14">
        <v>0.04</v>
      </c>
      <c r="AC13" s="14">
        <v>0.05</v>
      </c>
      <c r="AD13" s="14">
        <v>0.03</v>
      </c>
      <c r="AE13" s="14">
        <v>0.02</v>
      </c>
      <c r="AF13" s="14">
        <v>0.04</v>
      </c>
    </row>
    <row r="14" spans="1:32" ht="45.75">
      <c r="A14" s="23"/>
      <c r="B14" s="11" t="s">
        <v>1297</v>
      </c>
      <c r="C14" s="12">
        <v>2409</v>
      </c>
      <c r="D14" s="12">
        <v>158</v>
      </c>
      <c r="E14" s="12">
        <v>151</v>
      </c>
      <c r="F14" s="12">
        <v>42</v>
      </c>
      <c r="G14" s="12">
        <v>113</v>
      </c>
      <c r="H14" s="12">
        <v>91</v>
      </c>
      <c r="I14" s="12">
        <v>112</v>
      </c>
      <c r="J14" s="12">
        <v>20</v>
      </c>
      <c r="K14" s="12">
        <v>185</v>
      </c>
      <c r="L14" s="12">
        <v>152</v>
      </c>
      <c r="M14" s="12">
        <v>104</v>
      </c>
      <c r="N14" s="12">
        <v>61</v>
      </c>
      <c r="O14" s="12">
        <v>63</v>
      </c>
      <c r="P14" s="12">
        <v>169</v>
      </c>
      <c r="Q14" s="12">
        <v>71</v>
      </c>
      <c r="R14" s="12">
        <v>84</v>
      </c>
      <c r="S14" s="12">
        <v>157</v>
      </c>
      <c r="T14" s="12">
        <v>187</v>
      </c>
      <c r="U14" s="12">
        <v>189</v>
      </c>
      <c r="V14" s="12">
        <v>97</v>
      </c>
      <c r="W14" s="12">
        <v>94</v>
      </c>
      <c r="X14" s="12">
        <v>155</v>
      </c>
      <c r="Y14" s="12">
        <v>168</v>
      </c>
      <c r="Z14" s="12">
        <v>116</v>
      </c>
      <c r="AA14" s="12">
        <v>94</v>
      </c>
      <c r="AB14" s="12">
        <v>107</v>
      </c>
      <c r="AC14" s="12">
        <v>145</v>
      </c>
      <c r="AD14" s="12">
        <v>215</v>
      </c>
      <c r="AE14" s="12">
        <v>80</v>
      </c>
      <c r="AF14" s="12">
        <v>138</v>
      </c>
    </row>
    <row r="15" spans="1:32" ht="34.5">
      <c r="A15" s="23"/>
      <c r="B15" s="13" t="s">
        <v>1298</v>
      </c>
      <c r="C15" s="14">
        <v>0.09</v>
      </c>
      <c r="D15" s="14">
        <v>0.16</v>
      </c>
      <c r="E15" s="14">
        <v>0.15</v>
      </c>
      <c r="F15" s="14">
        <v>0.04</v>
      </c>
      <c r="G15" s="14">
        <v>0.11</v>
      </c>
      <c r="H15" s="14">
        <v>0.08</v>
      </c>
      <c r="I15" s="14">
        <v>7.0000000000000007E-2</v>
      </c>
      <c r="J15" s="14">
        <v>7.0000000000000007E-2</v>
      </c>
      <c r="K15" s="14">
        <v>0.19</v>
      </c>
      <c r="L15" s="14">
        <v>0.15</v>
      </c>
      <c r="M15" s="14">
        <v>0.1</v>
      </c>
      <c r="N15" s="14">
        <v>0.06</v>
      </c>
      <c r="O15" s="14">
        <v>0.06</v>
      </c>
      <c r="P15" s="14">
        <v>0.17</v>
      </c>
      <c r="Q15" s="14">
        <v>7.0000000000000007E-2</v>
      </c>
      <c r="R15" s="14">
        <v>0.17</v>
      </c>
      <c r="S15" s="14">
        <v>0.16</v>
      </c>
      <c r="T15" s="14">
        <v>0.19</v>
      </c>
      <c r="U15" s="14">
        <v>0.38</v>
      </c>
      <c r="V15" s="14">
        <v>0.1</v>
      </c>
      <c r="W15" s="14">
        <v>0.19</v>
      </c>
      <c r="X15" s="14">
        <v>0.15</v>
      </c>
      <c r="Y15" s="14">
        <v>0.17</v>
      </c>
      <c r="Z15" s="14">
        <v>0.11</v>
      </c>
      <c r="AA15" s="14">
        <v>0.09</v>
      </c>
      <c r="AB15" s="14">
        <v>0.1</v>
      </c>
      <c r="AC15" s="14">
        <v>0.14000000000000001</v>
      </c>
      <c r="AD15" s="14">
        <v>0.22</v>
      </c>
      <c r="AE15" s="14">
        <v>0.08</v>
      </c>
      <c r="AF15" s="14">
        <v>0.13</v>
      </c>
    </row>
    <row r="16" spans="1:32" ht="34.5">
      <c r="A16" s="23"/>
      <c r="B16" s="11" t="s">
        <v>1299</v>
      </c>
      <c r="C16" s="12">
        <v>4600</v>
      </c>
      <c r="D16" s="12">
        <v>254</v>
      </c>
      <c r="E16" s="12">
        <v>259</v>
      </c>
      <c r="F16" s="12">
        <v>179</v>
      </c>
      <c r="G16" s="12">
        <v>212</v>
      </c>
      <c r="H16" s="12">
        <v>245</v>
      </c>
      <c r="I16" s="12">
        <v>308</v>
      </c>
      <c r="J16" s="12">
        <v>64</v>
      </c>
      <c r="K16" s="12">
        <v>283</v>
      </c>
      <c r="L16" s="12">
        <v>213</v>
      </c>
      <c r="M16" s="12">
        <v>114</v>
      </c>
      <c r="N16" s="12">
        <v>123</v>
      </c>
      <c r="O16" s="12">
        <v>163</v>
      </c>
      <c r="P16" s="12">
        <v>235</v>
      </c>
      <c r="Q16" s="12">
        <v>98</v>
      </c>
      <c r="R16" s="12">
        <v>120</v>
      </c>
      <c r="S16" s="12">
        <v>201</v>
      </c>
      <c r="T16" s="12">
        <v>228</v>
      </c>
      <c r="U16" s="12">
        <v>137</v>
      </c>
      <c r="V16" s="12">
        <v>169</v>
      </c>
      <c r="W16" s="12">
        <v>105</v>
      </c>
      <c r="X16" s="12">
        <v>255</v>
      </c>
      <c r="Y16" s="12">
        <v>186</v>
      </c>
      <c r="Z16" s="12">
        <v>192</v>
      </c>
      <c r="AA16" s="12">
        <v>83</v>
      </c>
      <c r="AB16" s="12">
        <v>222</v>
      </c>
      <c r="AC16" s="12">
        <v>288</v>
      </c>
      <c r="AD16" s="12">
        <v>236</v>
      </c>
      <c r="AE16" s="12">
        <v>298</v>
      </c>
      <c r="AF16" s="12">
        <v>271</v>
      </c>
    </row>
    <row r="17" spans="1:32" ht="23.25">
      <c r="A17" s="23"/>
      <c r="B17" s="13" t="s">
        <v>1300</v>
      </c>
      <c r="C17" s="14">
        <v>0.18</v>
      </c>
      <c r="D17" s="14">
        <v>0.25</v>
      </c>
      <c r="E17" s="14">
        <v>0.25</v>
      </c>
      <c r="F17" s="14">
        <v>0.18</v>
      </c>
      <c r="G17" s="14">
        <v>0.21</v>
      </c>
      <c r="H17" s="14">
        <v>0.2</v>
      </c>
      <c r="I17" s="14">
        <v>0.21</v>
      </c>
      <c r="J17" s="14">
        <v>0.22</v>
      </c>
      <c r="K17" s="14">
        <v>0.28000000000000003</v>
      </c>
      <c r="L17" s="14">
        <v>0.21</v>
      </c>
      <c r="M17" s="14">
        <v>0.11</v>
      </c>
      <c r="N17" s="14">
        <v>0.12</v>
      </c>
      <c r="O17" s="14">
        <v>0.16</v>
      </c>
      <c r="P17" s="14">
        <v>0.23</v>
      </c>
      <c r="Q17" s="14">
        <v>0.1</v>
      </c>
      <c r="R17" s="14">
        <v>0.24</v>
      </c>
      <c r="S17" s="14">
        <v>0.2</v>
      </c>
      <c r="T17" s="14">
        <v>0.23</v>
      </c>
      <c r="U17" s="14">
        <v>0.27</v>
      </c>
      <c r="V17" s="14">
        <v>0.17</v>
      </c>
      <c r="W17" s="14">
        <v>0.21</v>
      </c>
      <c r="X17" s="14">
        <v>0.25</v>
      </c>
      <c r="Y17" s="14">
        <v>0.18</v>
      </c>
      <c r="Z17" s="14">
        <v>0.19</v>
      </c>
      <c r="AA17" s="14">
        <v>0.08</v>
      </c>
      <c r="AB17" s="14">
        <v>0.22</v>
      </c>
      <c r="AC17" s="14">
        <v>0.28999999999999998</v>
      </c>
      <c r="AD17" s="14">
        <v>0.24</v>
      </c>
      <c r="AE17" s="14">
        <v>0.3</v>
      </c>
      <c r="AF17" s="14">
        <v>0.25</v>
      </c>
    </row>
    <row r="18" spans="1:32">
      <c r="A18" s="23"/>
      <c r="B18" s="11" t="s">
        <v>1143</v>
      </c>
      <c r="C18" s="12">
        <v>18216</v>
      </c>
      <c r="D18" s="12">
        <v>518</v>
      </c>
      <c r="E18" s="12">
        <v>594</v>
      </c>
      <c r="F18" s="12">
        <v>750</v>
      </c>
      <c r="G18" s="12">
        <v>640</v>
      </c>
      <c r="H18" s="12">
        <v>822</v>
      </c>
      <c r="I18" s="12">
        <v>1027</v>
      </c>
      <c r="J18" s="12">
        <v>205</v>
      </c>
      <c r="K18" s="12">
        <v>490</v>
      </c>
      <c r="L18" s="12">
        <v>582</v>
      </c>
      <c r="M18" s="12">
        <v>746</v>
      </c>
      <c r="N18" s="12">
        <v>799</v>
      </c>
      <c r="O18" s="12">
        <v>755</v>
      </c>
      <c r="P18" s="12">
        <v>520</v>
      </c>
      <c r="Q18" s="12">
        <v>796</v>
      </c>
      <c r="R18" s="12">
        <v>244</v>
      </c>
      <c r="S18" s="12">
        <v>603</v>
      </c>
      <c r="T18" s="12">
        <v>547</v>
      </c>
      <c r="U18" s="12">
        <v>121</v>
      </c>
      <c r="V18" s="12">
        <v>701</v>
      </c>
      <c r="W18" s="12">
        <v>266</v>
      </c>
      <c r="X18" s="12">
        <v>544</v>
      </c>
      <c r="Y18" s="12">
        <v>534</v>
      </c>
      <c r="Z18" s="12">
        <v>653</v>
      </c>
      <c r="AA18" s="12">
        <v>830</v>
      </c>
      <c r="AB18" s="12">
        <v>653</v>
      </c>
      <c r="AC18" s="12">
        <v>525</v>
      </c>
      <c r="AD18" s="12">
        <v>515</v>
      </c>
      <c r="AE18" s="12">
        <v>609</v>
      </c>
      <c r="AF18" s="12">
        <v>619</v>
      </c>
    </row>
    <row r="19" spans="1:32">
      <c r="A19" s="23"/>
      <c r="B19" s="13" t="s">
        <v>1144</v>
      </c>
      <c r="C19" s="14">
        <v>0.69000000000000006</v>
      </c>
      <c r="D19" s="14">
        <v>0.52</v>
      </c>
      <c r="E19" s="14">
        <v>0.57000000000000006</v>
      </c>
      <c r="F19" s="14">
        <v>0.75</v>
      </c>
      <c r="G19" s="14">
        <v>0.64</v>
      </c>
      <c r="H19" s="14">
        <v>0.68</v>
      </c>
      <c r="I19" s="14">
        <v>0.68</v>
      </c>
      <c r="J19" s="14">
        <v>0.70000000000000007</v>
      </c>
      <c r="K19" s="14">
        <v>0.49</v>
      </c>
      <c r="L19" s="14">
        <v>0.57999999999999996</v>
      </c>
      <c r="M19" s="14">
        <v>0.74</v>
      </c>
      <c r="N19" s="14">
        <v>0.8</v>
      </c>
      <c r="O19" s="14">
        <v>0.75</v>
      </c>
      <c r="P19" s="14">
        <v>0.51</v>
      </c>
      <c r="Q19" s="14">
        <v>0.78</v>
      </c>
      <c r="R19" s="14">
        <v>0.48</v>
      </c>
      <c r="S19" s="14">
        <v>0.6</v>
      </c>
      <c r="T19" s="14">
        <v>0.54</v>
      </c>
      <c r="U19" s="14">
        <v>0.24</v>
      </c>
      <c r="V19" s="14">
        <v>0.69000000000000006</v>
      </c>
      <c r="W19" s="14">
        <v>0.53</v>
      </c>
      <c r="X19" s="14">
        <v>0.54</v>
      </c>
      <c r="Y19" s="14">
        <v>0.53</v>
      </c>
      <c r="Z19" s="14">
        <v>0.64</v>
      </c>
      <c r="AA19" s="14">
        <v>0.8</v>
      </c>
      <c r="AB19" s="14">
        <v>0.63</v>
      </c>
      <c r="AC19" s="14">
        <v>0.52</v>
      </c>
      <c r="AD19" s="14">
        <v>0.51</v>
      </c>
      <c r="AE19" s="14">
        <v>0.6</v>
      </c>
      <c r="AF19" s="14">
        <v>0.57999999999999996</v>
      </c>
    </row>
    <row r="20" spans="1:32">
      <c r="A20" s="23"/>
      <c r="B20" s="11" t="s">
        <v>497</v>
      </c>
      <c r="C20" s="12">
        <v>78</v>
      </c>
      <c r="D20" s="12">
        <v>3</v>
      </c>
      <c r="E20" s="12">
        <v>3</v>
      </c>
      <c r="F20" s="12">
        <v>5</v>
      </c>
      <c r="G20" s="12">
        <v>5</v>
      </c>
      <c r="H20" s="12">
        <v>4</v>
      </c>
      <c r="I20" s="12">
        <v>6</v>
      </c>
      <c r="J20" s="12">
        <v>1</v>
      </c>
      <c r="K20" s="12">
        <v>11</v>
      </c>
      <c r="L20" s="12">
        <v>12</v>
      </c>
      <c r="M20" s="12">
        <v>0</v>
      </c>
      <c r="N20" s="12">
        <v>3</v>
      </c>
      <c r="O20" s="12">
        <v>0</v>
      </c>
      <c r="P20" s="12">
        <v>0</v>
      </c>
      <c r="Q20" s="12">
        <v>2</v>
      </c>
      <c r="R20" s="12">
        <v>0</v>
      </c>
      <c r="S20" s="12">
        <v>5</v>
      </c>
      <c r="T20" s="12">
        <v>4</v>
      </c>
      <c r="U20" s="12">
        <v>1</v>
      </c>
      <c r="V20" s="12">
        <v>3</v>
      </c>
      <c r="W20" s="12">
        <v>1</v>
      </c>
      <c r="X20" s="12">
        <v>5</v>
      </c>
      <c r="Y20" s="12">
        <v>2</v>
      </c>
      <c r="Z20" s="12">
        <v>4</v>
      </c>
      <c r="AA20" s="12">
        <v>4</v>
      </c>
      <c r="AB20" s="12">
        <v>7</v>
      </c>
      <c r="AC20" s="12">
        <v>1</v>
      </c>
      <c r="AD20" s="12">
        <v>4</v>
      </c>
      <c r="AE20" s="12">
        <v>3</v>
      </c>
      <c r="AF20" s="12">
        <v>0</v>
      </c>
    </row>
    <row r="21" spans="1:32">
      <c r="A21" s="23"/>
      <c r="B21" s="13" t="s">
        <v>498</v>
      </c>
      <c r="C21" s="15" t="s">
        <v>485</v>
      </c>
      <c r="D21" s="15" t="s">
        <v>485</v>
      </c>
      <c r="E21" s="15" t="s">
        <v>485</v>
      </c>
      <c r="F21" s="15" t="s">
        <v>485</v>
      </c>
      <c r="G21" s="14">
        <v>0.01</v>
      </c>
      <c r="H21" s="15" t="s">
        <v>485</v>
      </c>
      <c r="I21" s="15" t="s">
        <v>485</v>
      </c>
      <c r="J21" s="15" t="s">
        <v>485</v>
      </c>
      <c r="K21" s="14">
        <v>0.01</v>
      </c>
      <c r="L21" s="14">
        <v>0.01</v>
      </c>
      <c r="M21" s="15" t="s">
        <v>485</v>
      </c>
      <c r="N21" s="15" t="s">
        <v>485</v>
      </c>
      <c r="O21" s="15" t="s">
        <v>485</v>
      </c>
      <c r="P21" s="15" t="s">
        <v>485</v>
      </c>
      <c r="Q21" s="15" t="s">
        <v>485</v>
      </c>
      <c r="R21" s="15" t="s">
        <v>485</v>
      </c>
      <c r="S21" s="15" t="s">
        <v>485</v>
      </c>
      <c r="T21" s="15" t="s">
        <v>485</v>
      </c>
      <c r="U21" s="15" t="s">
        <v>485</v>
      </c>
      <c r="V21" s="15" t="s">
        <v>485</v>
      </c>
      <c r="W21" s="15" t="s">
        <v>485</v>
      </c>
      <c r="X21" s="15" t="s">
        <v>485</v>
      </c>
      <c r="Y21" s="15" t="s">
        <v>485</v>
      </c>
      <c r="Z21" s="14">
        <v>0.01</v>
      </c>
      <c r="AA21" s="15" t="s">
        <v>485</v>
      </c>
      <c r="AB21" s="14">
        <v>0.01</v>
      </c>
      <c r="AC21" s="15" t="s">
        <v>485</v>
      </c>
      <c r="AD21" s="15" t="s">
        <v>485</v>
      </c>
      <c r="AE21" s="15" t="s">
        <v>485</v>
      </c>
      <c r="AF21" s="15" t="s">
        <v>485</v>
      </c>
    </row>
  </sheetData>
  <mergeCells count="9">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dimension ref="A1:AF21"/>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1309</v>
      </c>
      <c r="C3" s="19"/>
      <c r="D3" s="19"/>
      <c r="E3" s="19"/>
      <c r="F3" s="19"/>
      <c r="H3" s="19" t="s">
        <v>1310</v>
      </c>
      <c r="I3" s="19"/>
      <c r="J3" s="19"/>
      <c r="K3" s="19"/>
      <c r="L3" s="19"/>
    </row>
    <row r="4" spans="1:32" ht="27" customHeight="1">
      <c r="B4" s="19" t="s">
        <v>1311</v>
      </c>
      <c r="C4" s="19"/>
      <c r="D4" s="19"/>
      <c r="E4" s="19"/>
      <c r="F4" s="19"/>
      <c r="H4" s="19" t="s">
        <v>1312</v>
      </c>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HYPERLINK("#Content!A118","&lt;&lt;Back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34.5">
      <c r="A12" s="23"/>
      <c r="B12" s="11" t="s">
        <v>1295</v>
      </c>
      <c r="C12" s="12">
        <v>806</v>
      </c>
      <c r="D12" s="12">
        <v>54</v>
      </c>
      <c r="E12" s="12">
        <v>36</v>
      </c>
      <c r="F12" s="12">
        <v>24</v>
      </c>
      <c r="G12" s="12">
        <v>14</v>
      </c>
      <c r="H12" s="12">
        <v>41</v>
      </c>
      <c r="I12" s="12">
        <v>43</v>
      </c>
      <c r="J12" s="12">
        <v>2</v>
      </c>
      <c r="K12" s="12">
        <v>25</v>
      </c>
      <c r="L12" s="12">
        <v>52</v>
      </c>
      <c r="M12" s="12">
        <v>44</v>
      </c>
      <c r="N12" s="12">
        <v>12</v>
      </c>
      <c r="O12" s="12">
        <v>9</v>
      </c>
      <c r="P12" s="12">
        <v>84</v>
      </c>
      <c r="Q12" s="12">
        <v>46</v>
      </c>
      <c r="R12" s="12">
        <v>42</v>
      </c>
      <c r="S12" s="12">
        <v>40</v>
      </c>
      <c r="T12" s="12">
        <v>55</v>
      </c>
      <c r="U12" s="12">
        <v>36</v>
      </c>
      <c r="V12" s="12">
        <v>33</v>
      </c>
      <c r="W12" s="12">
        <v>27</v>
      </c>
      <c r="X12" s="12">
        <v>43</v>
      </c>
      <c r="Y12" s="12">
        <v>111</v>
      </c>
      <c r="Z12" s="12">
        <v>41</v>
      </c>
      <c r="AA12" s="12">
        <v>24</v>
      </c>
      <c r="AB12" s="12">
        <v>24</v>
      </c>
      <c r="AC12" s="12">
        <v>29</v>
      </c>
      <c r="AD12" s="12">
        <v>25</v>
      </c>
      <c r="AE12" s="12">
        <v>12</v>
      </c>
      <c r="AF12" s="12">
        <v>23</v>
      </c>
    </row>
    <row r="13" spans="1:32" ht="23.25">
      <c r="A13" s="23"/>
      <c r="B13" s="13" t="s">
        <v>1296</v>
      </c>
      <c r="C13" s="14">
        <v>0.03</v>
      </c>
      <c r="D13" s="14">
        <v>0.05</v>
      </c>
      <c r="E13" s="14">
        <v>0.03</v>
      </c>
      <c r="F13" s="14">
        <v>0.02</v>
      </c>
      <c r="G13" s="14">
        <v>0.01</v>
      </c>
      <c r="H13" s="14">
        <v>0.03</v>
      </c>
      <c r="I13" s="14">
        <v>0.03</v>
      </c>
      <c r="J13" s="14">
        <v>0.01</v>
      </c>
      <c r="K13" s="14">
        <v>0.02</v>
      </c>
      <c r="L13" s="14">
        <v>0.05</v>
      </c>
      <c r="M13" s="14">
        <v>0.04</v>
      </c>
      <c r="N13" s="14">
        <v>0.01</v>
      </c>
      <c r="O13" s="14">
        <v>0.01</v>
      </c>
      <c r="P13" s="14">
        <v>0.09</v>
      </c>
      <c r="Q13" s="14">
        <v>0.04</v>
      </c>
      <c r="R13" s="14">
        <v>0.08</v>
      </c>
      <c r="S13" s="14">
        <v>0.04</v>
      </c>
      <c r="T13" s="14">
        <v>0.06</v>
      </c>
      <c r="U13" s="14">
        <v>7.0000000000000007E-2</v>
      </c>
      <c r="V13" s="14">
        <v>0.03</v>
      </c>
      <c r="W13" s="14">
        <v>0.05</v>
      </c>
      <c r="X13" s="14">
        <v>0.04</v>
      </c>
      <c r="Y13" s="14">
        <v>0.11</v>
      </c>
      <c r="Z13" s="14">
        <v>0.04</v>
      </c>
      <c r="AA13" s="14">
        <v>0.02</v>
      </c>
      <c r="AB13" s="14">
        <v>0.02</v>
      </c>
      <c r="AC13" s="14">
        <v>0.03</v>
      </c>
      <c r="AD13" s="14">
        <v>0.03</v>
      </c>
      <c r="AE13" s="14">
        <v>0.01</v>
      </c>
      <c r="AF13" s="14">
        <v>0.02</v>
      </c>
    </row>
    <row r="14" spans="1:32" ht="45.75">
      <c r="A14" s="23"/>
      <c r="B14" s="11" t="s">
        <v>1297</v>
      </c>
      <c r="C14" s="12">
        <v>2150</v>
      </c>
      <c r="D14" s="12">
        <v>154</v>
      </c>
      <c r="E14" s="12">
        <v>145</v>
      </c>
      <c r="F14" s="12">
        <v>40</v>
      </c>
      <c r="G14" s="12">
        <v>79</v>
      </c>
      <c r="H14" s="12">
        <v>92</v>
      </c>
      <c r="I14" s="12">
        <v>109</v>
      </c>
      <c r="J14" s="12">
        <v>17</v>
      </c>
      <c r="K14" s="12">
        <v>168</v>
      </c>
      <c r="L14" s="12">
        <v>141</v>
      </c>
      <c r="M14" s="12">
        <v>72</v>
      </c>
      <c r="N14" s="12">
        <v>58</v>
      </c>
      <c r="O14" s="12">
        <v>50</v>
      </c>
      <c r="P14" s="12">
        <v>153</v>
      </c>
      <c r="Q14" s="12">
        <v>67</v>
      </c>
      <c r="R14" s="12">
        <v>83</v>
      </c>
      <c r="S14" s="12">
        <v>181</v>
      </c>
      <c r="T14" s="12">
        <v>155</v>
      </c>
      <c r="U14" s="12">
        <v>181</v>
      </c>
      <c r="V14" s="12">
        <v>83</v>
      </c>
      <c r="W14" s="12">
        <v>74</v>
      </c>
      <c r="X14" s="12">
        <v>103</v>
      </c>
      <c r="Y14" s="12">
        <v>164</v>
      </c>
      <c r="Z14" s="12">
        <v>108</v>
      </c>
      <c r="AA14" s="12">
        <v>76</v>
      </c>
      <c r="AB14" s="12">
        <v>114</v>
      </c>
      <c r="AC14" s="12">
        <v>138</v>
      </c>
      <c r="AD14" s="12">
        <v>193</v>
      </c>
      <c r="AE14" s="12">
        <v>60</v>
      </c>
      <c r="AF14" s="12">
        <v>87</v>
      </c>
    </row>
    <row r="15" spans="1:32" ht="34.5">
      <c r="A15" s="23"/>
      <c r="B15" s="13" t="s">
        <v>1298</v>
      </c>
      <c r="C15" s="14">
        <v>0.08</v>
      </c>
      <c r="D15" s="14">
        <v>0.15</v>
      </c>
      <c r="E15" s="14">
        <v>0.14000000000000001</v>
      </c>
      <c r="F15" s="14">
        <v>0.04</v>
      </c>
      <c r="G15" s="14">
        <v>0.08</v>
      </c>
      <c r="H15" s="14">
        <v>0.08</v>
      </c>
      <c r="I15" s="14">
        <v>7.0000000000000007E-2</v>
      </c>
      <c r="J15" s="14">
        <v>0.06</v>
      </c>
      <c r="K15" s="14">
        <v>0.17</v>
      </c>
      <c r="L15" s="14">
        <v>0.14000000000000001</v>
      </c>
      <c r="M15" s="14">
        <v>7.0000000000000007E-2</v>
      </c>
      <c r="N15" s="14">
        <v>0.06</v>
      </c>
      <c r="O15" s="14">
        <v>0.05</v>
      </c>
      <c r="P15" s="14">
        <v>0.15</v>
      </c>
      <c r="Q15" s="14">
        <v>7.0000000000000007E-2</v>
      </c>
      <c r="R15" s="14">
        <v>0.17</v>
      </c>
      <c r="S15" s="14">
        <v>0.18</v>
      </c>
      <c r="T15" s="14">
        <v>0.15</v>
      </c>
      <c r="U15" s="14">
        <v>0.36</v>
      </c>
      <c r="V15" s="14">
        <v>0.08</v>
      </c>
      <c r="W15" s="14">
        <v>0.15</v>
      </c>
      <c r="X15" s="14">
        <v>0.1</v>
      </c>
      <c r="Y15" s="14">
        <v>0.16</v>
      </c>
      <c r="Z15" s="14">
        <v>0.11</v>
      </c>
      <c r="AA15" s="14">
        <v>7.0000000000000007E-2</v>
      </c>
      <c r="AB15" s="14">
        <v>0.11</v>
      </c>
      <c r="AC15" s="14">
        <v>0.14000000000000001</v>
      </c>
      <c r="AD15" s="14">
        <v>0.19</v>
      </c>
      <c r="AE15" s="14">
        <v>0.06</v>
      </c>
      <c r="AF15" s="14">
        <v>0.08</v>
      </c>
    </row>
    <row r="16" spans="1:32" ht="34.5">
      <c r="A16" s="23"/>
      <c r="B16" s="11" t="s">
        <v>1299</v>
      </c>
      <c r="C16" s="12">
        <v>3937</v>
      </c>
      <c r="D16" s="12">
        <v>213</v>
      </c>
      <c r="E16" s="12">
        <v>243</v>
      </c>
      <c r="F16" s="12">
        <v>131</v>
      </c>
      <c r="G16" s="12">
        <v>174</v>
      </c>
      <c r="H16" s="12">
        <v>179</v>
      </c>
      <c r="I16" s="12">
        <v>229</v>
      </c>
      <c r="J16" s="12">
        <v>50</v>
      </c>
      <c r="K16" s="12">
        <v>279</v>
      </c>
      <c r="L16" s="12">
        <v>203</v>
      </c>
      <c r="M16" s="12">
        <v>76</v>
      </c>
      <c r="N16" s="12">
        <v>105</v>
      </c>
      <c r="O16" s="12">
        <v>144</v>
      </c>
      <c r="P16" s="12">
        <v>224</v>
      </c>
      <c r="Q16" s="12">
        <v>79</v>
      </c>
      <c r="R16" s="12">
        <v>121</v>
      </c>
      <c r="S16" s="12">
        <v>206</v>
      </c>
      <c r="T16" s="12">
        <v>227</v>
      </c>
      <c r="U16" s="12">
        <v>121</v>
      </c>
      <c r="V16" s="12">
        <v>158</v>
      </c>
      <c r="W16" s="12">
        <v>100</v>
      </c>
      <c r="X16" s="12">
        <v>207</v>
      </c>
      <c r="Y16" s="12">
        <v>181</v>
      </c>
      <c r="Z16" s="12">
        <v>192</v>
      </c>
      <c r="AA16" s="12">
        <v>88</v>
      </c>
      <c r="AB16" s="12">
        <v>224</v>
      </c>
      <c r="AC16" s="12">
        <v>267</v>
      </c>
      <c r="AD16" s="12">
        <v>251</v>
      </c>
      <c r="AE16" s="12">
        <v>242</v>
      </c>
      <c r="AF16" s="12">
        <v>208</v>
      </c>
    </row>
    <row r="17" spans="1:32" ht="23.25">
      <c r="A17" s="23"/>
      <c r="B17" s="13" t="s">
        <v>1300</v>
      </c>
      <c r="C17" s="14">
        <v>0.15</v>
      </c>
      <c r="D17" s="14">
        <v>0.21</v>
      </c>
      <c r="E17" s="14">
        <v>0.23</v>
      </c>
      <c r="F17" s="14">
        <v>0.13</v>
      </c>
      <c r="G17" s="14">
        <v>0.17</v>
      </c>
      <c r="H17" s="14">
        <v>0.15</v>
      </c>
      <c r="I17" s="14">
        <v>0.15</v>
      </c>
      <c r="J17" s="14">
        <v>0.17</v>
      </c>
      <c r="K17" s="14">
        <v>0.28000000000000003</v>
      </c>
      <c r="L17" s="14">
        <v>0.2</v>
      </c>
      <c r="M17" s="14">
        <v>0.08</v>
      </c>
      <c r="N17" s="14">
        <v>0.1</v>
      </c>
      <c r="O17" s="14">
        <v>0.14000000000000001</v>
      </c>
      <c r="P17" s="14">
        <v>0.22</v>
      </c>
      <c r="Q17" s="14">
        <v>0.08</v>
      </c>
      <c r="R17" s="14">
        <v>0.24</v>
      </c>
      <c r="S17" s="14">
        <v>0.2</v>
      </c>
      <c r="T17" s="14">
        <v>0.23</v>
      </c>
      <c r="U17" s="14">
        <v>0.24</v>
      </c>
      <c r="V17" s="14">
        <v>0.16</v>
      </c>
      <c r="W17" s="14">
        <v>0.2</v>
      </c>
      <c r="X17" s="14">
        <v>0.21</v>
      </c>
      <c r="Y17" s="14">
        <v>0.18</v>
      </c>
      <c r="Z17" s="14">
        <v>0.19</v>
      </c>
      <c r="AA17" s="14">
        <v>0.09</v>
      </c>
      <c r="AB17" s="14">
        <v>0.22</v>
      </c>
      <c r="AC17" s="14">
        <v>0.26</v>
      </c>
      <c r="AD17" s="14">
        <v>0.25</v>
      </c>
      <c r="AE17" s="14">
        <v>0.24</v>
      </c>
      <c r="AF17" s="14">
        <v>0.2</v>
      </c>
    </row>
    <row r="18" spans="1:32">
      <c r="A18" s="23"/>
      <c r="B18" s="11" t="s">
        <v>1143</v>
      </c>
      <c r="C18" s="12">
        <v>19292</v>
      </c>
      <c r="D18" s="12">
        <v>579</v>
      </c>
      <c r="E18" s="12">
        <v>611</v>
      </c>
      <c r="F18" s="12">
        <v>802</v>
      </c>
      <c r="G18" s="12">
        <v>731</v>
      </c>
      <c r="H18" s="12">
        <v>882</v>
      </c>
      <c r="I18" s="12">
        <v>1105</v>
      </c>
      <c r="J18" s="12">
        <v>223</v>
      </c>
      <c r="K18" s="12">
        <v>514</v>
      </c>
      <c r="L18" s="12">
        <v>598</v>
      </c>
      <c r="M18" s="12">
        <v>819</v>
      </c>
      <c r="N18" s="12">
        <v>819</v>
      </c>
      <c r="O18" s="12">
        <v>796</v>
      </c>
      <c r="P18" s="12">
        <v>548</v>
      </c>
      <c r="Q18" s="12">
        <v>830</v>
      </c>
      <c r="R18" s="12">
        <v>249</v>
      </c>
      <c r="S18" s="12">
        <v>572</v>
      </c>
      <c r="T18" s="12">
        <v>563</v>
      </c>
      <c r="U18" s="12">
        <v>163</v>
      </c>
      <c r="V18" s="12">
        <v>736</v>
      </c>
      <c r="W18" s="12">
        <v>301</v>
      </c>
      <c r="X18" s="12">
        <v>653</v>
      </c>
      <c r="Y18" s="12">
        <v>545</v>
      </c>
      <c r="Z18" s="12">
        <v>673</v>
      </c>
      <c r="AA18" s="12">
        <v>848</v>
      </c>
      <c r="AB18" s="12">
        <v>663</v>
      </c>
      <c r="AC18" s="12">
        <v>570</v>
      </c>
      <c r="AD18" s="12">
        <v>524</v>
      </c>
      <c r="AE18" s="12">
        <v>689</v>
      </c>
      <c r="AF18" s="12">
        <v>751</v>
      </c>
    </row>
    <row r="19" spans="1:32">
      <c r="A19" s="23"/>
      <c r="B19" s="13" t="s">
        <v>1144</v>
      </c>
      <c r="C19" s="14">
        <v>0.73</v>
      </c>
      <c r="D19" s="14">
        <v>0.57999999999999996</v>
      </c>
      <c r="E19" s="14">
        <v>0.59</v>
      </c>
      <c r="F19" s="14">
        <v>0.8</v>
      </c>
      <c r="G19" s="14">
        <v>0.73</v>
      </c>
      <c r="H19" s="14">
        <v>0.73</v>
      </c>
      <c r="I19" s="14">
        <v>0.74</v>
      </c>
      <c r="J19" s="14">
        <v>0.76</v>
      </c>
      <c r="K19" s="14">
        <v>0.51</v>
      </c>
      <c r="L19" s="14">
        <v>0.59</v>
      </c>
      <c r="M19" s="14">
        <v>0.81</v>
      </c>
      <c r="N19" s="14">
        <v>0.82000000000000006</v>
      </c>
      <c r="O19" s="14">
        <v>0.79</v>
      </c>
      <c r="P19" s="14">
        <v>0.54</v>
      </c>
      <c r="Q19" s="14">
        <v>0.81</v>
      </c>
      <c r="R19" s="14">
        <v>0.5</v>
      </c>
      <c r="S19" s="14">
        <v>0.57000000000000006</v>
      </c>
      <c r="T19" s="14">
        <v>0.56000000000000005</v>
      </c>
      <c r="U19" s="14">
        <v>0.32</v>
      </c>
      <c r="V19" s="14">
        <v>0.73</v>
      </c>
      <c r="W19" s="14">
        <v>0.6</v>
      </c>
      <c r="X19" s="14">
        <v>0.64</v>
      </c>
      <c r="Y19" s="14">
        <v>0.54</v>
      </c>
      <c r="Z19" s="14">
        <v>0.66</v>
      </c>
      <c r="AA19" s="14">
        <v>0.82000000000000006</v>
      </c>
      <c r="AB19" s="14">
        <v>0.64</v>
      </c>
      <c r="AC19" s="14">
        <v>0.57000000000000006</v>
      </c>
      <c r="AD19" s="14">
        <v>0.52</v>
      </c>
      <c r="AE19" s="14">
        <v>0.68</v>
      </c>
      <c r="AF19" s="14">
        <v>0.70000000000000007</v>
      </c>
    </row>
    <row r="20" spans="1:32">
      <c r="A20" s="23"/>
      <c r="B20" s="11" t="s">
        <v>497</v>
      </c>
      <c r="C20" s="12">
        <v>168</v>
      </c>
      <c r="D20" s="12">
        <v>6</v>
      </c>
      <c r="E20" s="12">
        <v>9</v>
      </c>
      <c r="F20" s="12">
        <v>10</v>
      </c>
      <c r="G20" s="12">
        <v>5</v>
      </c>
      <c r="H20" s="12">
        <v>16</v>
      </c>
      <c r="I20" s="12">
        <v>17</v>
      </c>
      <c r="J20" s="12">
        <v>2</v>
      </c>
      <c r="K20" s="12">
        <v>18</v>
      </c>
      <c r="L20" s="12">
        <v>14</v>
      </c>
      <c r="M20" s="12">
        <v>0</v>
      </c>
      <c r="N20" s="12">
        <v>5</v>
      </c>
      <c r="O20" s="12">
        <v>8</v>
      </c>
      <c r="P20" s="12">
        <v>2</v>
      </c>
      <c r="Q20" s="12">
        <v>2</v>
      </c>
      <c r="R20" s="12">
        <v>6</v>
      </c>
      <c r="S20" s="12">
        <v>6</v>
      </c>
      <c r="T20" s="12">
        <v>4</v>
      </c>
      <c r="U20" s="12">
        <v>2</v>
      </c>
      <c r="V20" s="12">
        <v>1</v>
      </c>
      <c r="W20" s="12">
        <v>2</v>
      </c>
      <c r="X20" s="12">
        <v>9</v>
      </c>
      <c r="Y20" s="12">
        <v>6</v>
      </c>
      <c r="Z20" s="12">
        <v>3</v>
      </c>
      <c r="AA20" s="12">
        <v>4</v>
      </c>
      <c r="AB20" s="12">
        <v>6</v>
      </c>
      <c r="AC20" s="12">
        <v>1</v>
      </c>
      <c r="AD20" s="12">
        <v>9</v>
      </c>
      <c r="AE20" s="12">
        <v>5</v>
      </c>
      <c r="AF20" s="12">
        <v>4</v>
      </c>
    </row>
    <row r="21" spans="1:32">
      <c r="A21" s="23"/>
      <c r="B21" s="13" t="s">
        <v>498</v>
      </c>
      <c r="C21" s="14">
        <v>0.01</v>
      </c>
      <c r="D21" s="14">
        <v>0.01</v>
      </c>
      <c r="E21" s="14">
        <v>0.01</v>
      </c>
      <c r="F21" s="14">
        <v>0.01</v>
      </c>
      <c r="G21" s="14">
        <v>0.01</v>
      </c>
      <c r="H21" s="14">
        <v>0.01</v>
      </c>
      <c r="I21" s="14">
        <v>0.01</v>
      </c>
      <c r="J21" s="15" t="s">
        <v>485</v>
      </c>
      <c r="K21" s="14">
        <v>0.02</v>
      </c>
      <c r="L21" s="14">
        <v>0.02</v>
      </c>
      <c r="M21" s="15" t="s">
        <v>485</v>
      </c>
      <c r="N21" s="14">
        <v>0.01</v>
      </c>
      <c r="O21" s="14">
        <v>0.01</v>
      </c>
      <c r="P21" s="15" t="s">
        <v>485</v>
      </c>
      <c r="Q21" s="15" t="s">
        <v>485</v>
      </c>
      <c r="R21" s="14">
        <v>0.01</v>
      </c>
      <c r="S21" s="14">
        <v>0.01</v>
      </c>
      <c r="T21" s="15" t="s">
        <v>485</v>
      </c>
      <c r="U21" s="14">
        <v>0.01</v>
      </c>
      <c r="V21" s="15" t="s">
        <v>485</v>
      </c>
      <c r="W21" s="15" t="s">
        <v>485</v>
      </c>
      <c r="X21" s="14">
        <v>0.01</v>
      </c>
      <c r="Y21" s="14">
        <v>0.01</v>
      </c>
      <c r="Z21" s="15" t="s">
        <v>485</v>
      </c>
      <c r="AA21" s="15" t="s">
        <v>485</v>
      </c>
      <c r="AB21" s="14">
        <v>0.01</v>
      </c>
      <c r="AC21" s="15" t="s">
        <v>485</v>
      </c>
      <c r="AD21" s="14">
        <v>0.01</v>
      </c>
      <c r="AE21" s="14">
        <v>0.01</v>
      </c>
      <c r="AF21" s="15" t="s">
        <v>485</v>
      </c>
    </row>
  </sheetData>
  <mergeCells count="9">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dimension ref="A1:AF21"/>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1313</v>
      </c>
      <c r="C3" s="19"/>
      <c r="D3" s="19"/>
      <c r="E3" s="19"/>
      <c r="F3" s="19"/>
      <c r="H3" s="19" t="s">
        <v>1314</v>
      </c>
      <c r="I3" s="19"/>
      <c r="J3" s="19"/>
      <c r="K3" s="19"/>
      <c r="L3" s="19"/>
    </row>
    <row r="4" spans="1:32" ht="27" customHeight="1">
      <c r="B4" s="19" t="s">
        <v>1315</v>
      </c>
      <c r="C4" s="19"/>
      <c r="D4" s="19"/>
      <c r="E4" s="19"/>
      <c r="F4" s="19"/>
      <c r="H4" s="19" t="s">
        <v>1316</v>
      </c>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HYPERLINK("#Content!A119","&lt;&lt;Back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34.5">
      <c r="A12" s="23"/>
      <c r="B12" s="11" t="s">
        <v>1295</v>
      </c>
      <c r="C12" s="12">
        <v>884</v>
      </c>
      <c r="D12" s="12">
        <v>72</v>
      </c>
      <c r="E12" s="12">
        <v>15</v>
      </c>
      <c r="F12" s="12">
        <v>16</v>
      </c>
      <c r="G12" s="12">
        <v>26</v>
      </c>
      <c r="H12" s="12">
        <v>86</v>
      </c>
      <c r="I12" s="12">
        <v>87</v>
      </c>
      <c r="J12" s="12">
        <v>1</v>
      </c>
      <c r="K12" s="12">
        <v>18</v>
      </c>
      <c r="L12" s="12">
        <v>67</v>
      </c>
      <c r="M12" s="12">
        <v>50</v>
      </c>
      <c r="N12" s="12">
        <v>6</v>
      </c>
      <c r="O12" s="12">
        <v>11</v>
      </c>
      <c r="P12" s="12">
        <v>55</v>
      </c>
      <c r="Q12" s="12">
        <v>31</v>
      </c>
      <c r="R12" s="12">
        <v>65</v>
      </c>
      <c r="S12" s="12">
        <v>23</v>
      </c>
      <c r="T12" s="12">
        <v>36</v>
      </c>
      <c r="U12" s="12">
        <v>47</v>
      </c>
      <c r="V12" s="12">
        <v>28</v>
      </c>
      <c r="W12" s="12">
        <v>22</v>
      </c>
      <c r="X12" s="12">
        <v>22</v>
      </c>
      <c r="Y12" s="12">
        <v>179</v>
      </c>
      <c r="Z12" s="12">
        <v>37</v>
      </c>
      <c r="AA12" s="12">
        <v>22</v>
      </c>
      <c r="AB12" s="12">
        <v>19</v>
      </c>
      <c r="AC12" s="12">
        <v>37</v>
      </c>
      <c r="AD12" s="12">
        <v>16</v>
      </c>
      <c r="AE12" s="12">
        <v>8</v>
      </c>
      <c r="AF12" s="12">
        <v>24</v>
      </c>
    </row>
    <row r="13" spans="1:32" ht="23.25">
      <c r="A13" s="23"/>
      <c r="B13" s="13" t="s">
        <v>1296</v>
      </c>
      <c r="C13" s="14">
        <v>0.03</v>
      </c>
      <c r="D13" s="14">
        <v>7.0000000000000007E-2</v>
      </c>
      <c r="E13" s="14">
        <v>0.01</v>
      </c>
      <c r="F13" s="14">
        <v>0.01</v>
      </c>
      <c r="G13" s="14">
        <v>0.03</v>
      </c>
      <c r="H13" s="14">
        <v>7.0000000000000007E-2</v>
      </c>
      <c r="I13" s="14">
        <v>0.06</v>
      </c>
      <c r="J13" s="15" t="s">
        <v>485</v>
      </c>
      <c r="K13" s="14">
        <v>0.02</v>
      </c>
      <c r="L13" s="14">
        <v>7.0000000000000007E-2</v>
      </c>
      <c r="M13" s="14">
        <v>0.05</v>
      </c>
      <c r="N13" s="14">
        <v>0.01</v>
      </c>
      <c r="O13" s="14">
        <v>0.01</v>
      </c>
      <c r="P13" s="14">
        <v>0.05</v>
      </c>
      <c r="Q13" s="14">
        <v>0.03</v>
      </c>
      <c r="R13" s="14">
        <v>0.13</v>
      </c>
      <c r="S13" s="14">
        <v>0.02</v>
      </c>
      <c r="T13" s="14">
        <v>0.04</v>
      </c>
      <c r="U13" s="14">
        <v>0.09</v>
      </c>
      <c r="V13" s="14">
        <v>0.03</v>
      </c>
      <c r="W13" s="14">
        <v>0.04</v>
      </c>
      <c r="X13" s="14">
        <v>0.02</v>
      </c>
      <c r="Y13" s="14">
        <v>0.18</v>
      </c>
      <c r="Z13" s="14">
        <v>0.04</v>
      </c>
      <c r="AA13" s="14">
        <v>0.02</v>
      </c>
      <c r="AB13" s="14">
        <v>0.02</v>
      </c>
      <c r="AC13" s="14">
        <v>0.04</v>
      </c>
      <c r="AD13" s="14">
        <v>0.01</v>
      </c>
      <c r="AE13" s="14">
        <v>0.01</v>
      </c>
      <c r="AF13" s="14">
        <v>0.02</v>
      </c>
    </row>
    <row r="14" spans="1:32" ht="45.75">
      <c r="A14" s="23"/>
      <c r="B14" s="11" t="s">
        <v>1297</v>
      </c>
      <c r="C14" s="12">
        <v>1681</v>
      </c>
      <c r="D14" s="12">
        <v>119</v>
      </c>
      <c r="E14" s="12">
        <v>75</v>
      </c>
      <c r="F14" s="12">
        <v>48</v>
      </c>
      <c r="G14" s="12">
        <v>86</v>
      </c>
      <c r="H14" s="12">
        <v>60</v>
      </c>
      <c r="I14" s="12">
        <v>73</v>
      </c>
      <c r="J14" s="12">
        <v>13</v>
      </c>
      <c r="K14" s="12">
        <v>133</v>
      </c>
      <c r="L14" s="12">
        <v>173</v>
      </c>
      <c r="M14" s="12">
        <v>67</v>
      </c>
      <c r="N14" s="12">
        <v>15</v>
      </c>
      <c r="O14" s="12">
        <v>45</v>
      </c>
      <c r="P14" s="12">
        <v>130</v>
      </c>
      <c r="Q14" s="12">
        <v>64</v>
      </c>
      <c r="R14" s="12">
        <v>54</v>
      </c>
      <c r="S14" s="12">
        <v>118</v>
      </c>
      <c r="T14" s="12">
        <v>104</v>
      </c>
      <c r="U14" s="12">
        <v>170</v>
      </c>
      <c r="V14" s="12">
        <v>62</v>
      </c>
      <c r="W14" s="12">
        <v>26</v>
      </c>
      <c r="X14" s="12">
        <v>60</v>
      </c>
      <c r="Y14" s="12">
        <v>174</v>
      </c>
      <c r="Z14" s="12">
        <v>97</v>
      </c>
      <c r="AA14" s="12">
        <v>54</v>
      </c>
      <c r="AB14" s="12">
        <v>76</v>
      </c>
      <c r="AC14" s="12">
        <v>124</v>
      </c>
      <c r="AD14" s="12">
        <v>127</v>
      </c>
      <c r="AE14" s="12">
        <v>64</v>
      </c>
      <c r="AF14" s="12">
        <v>116</v>
      </c>
    </row>
    <row r="15" spans="1:32" ht="34.5">
      <c r="A15" s="23"/>
      <c r="B15" s="13" t="s">
        <v>1298</v>
      </c>
      <c r="C15" s="14">
        <v>0.06</v>
      </c>
      <c r="D15" s="14">
        <v>0.12</v>
      </c>
      <c r="E15" s="14">
        <v>7.0000000000000007E-2</v>
      </c>
      <c r="F15" s="14">
        <v>0.05</v>
      </c>
      <c r="G15" s="14">
        <v>0.09</v>
      </c>
      <c r="H15" s="14">
        <v>0.05</v>
      </c>
      <c r="I15" s="14">
        <v>0.05</v>
      </c>
      <c r="J15" s="14">
        <v>0.05</v>
      </c>
      <c r="K15" s="14">
        <v>0.13</v>
      </c>
      <c r="L15" s="14">
        <v>0.17</v>
      </c>
      <c r="M15" s="14">
        <v>7.0000000000000007E-2</v>
      </c>
      <c r="N15" s="14">
        <v>0.01</v>
      </c>
      <c r="O15" s="14">
        <v>0.05</v>
      </c>
      <c r="P15" s="14">
        <v>0.13</v>
      </c>
      <c r="Q15" s="14">
        <v>0.06</v>
      </c>
      <c r="R15" s="14">
        <v>0.11</v>
      </c>
      <c r="S15" s="14">
        <v>0.12</v>
      </c>
      <c r="T15" s="14">
        <v>0.1</v>
      </c>
      <c r="U15" s="14">
        <v>0.34</v>
      </c>
      <c r="V15" s="14">
        <v>0.06</v>
      </c>
      <c r="W15" s="14">
        <v>0.05</v>
      </c>
      <c r="X15" s="14">
        <v>0.06</v>
      </c>
      <c r="Y15" s="14">
        <v>0.17</v>
      </c>
      <c r="Z15" s="14">
        <v>0.09</v>
      </c>
      <c r="AA15" s="14">
        <v>0.05</v>
      </c>
      <c r="AB15" s="14">
        <v>7.0000000000000007E-2</v>
      </c>
      <c r="AC15" s="14">
        <v>0.12</v>
      </c>
      <c r="AD15" s="14">
        <v>0.13</v>
      </c>
      <c r="AE15" s="14">
        <v>0.06</v>
      </c>
      <c r="AF15" s="14">
        <v>0.11</v>
      </c>
    </row>
    <row r="16" spans="1:32" ht="34.5">
      <c r="A16" s="23"/>
      <c r="B16" s="11" t="s">
        <v>1299</v>
      </c>
      <c r="C16" s="12">
        <v>4358</v>
      </c>
      <c r="D16" s="12">
        <v>265</v>
      </c>
      <c r="E16" s="12">
        <v>175</v>
      </c>
      <c r="F16" s="12">
        <v>210</v>
      </c>
      <c r="G16" s="12">
        <v>276</v>
      </c>
      <c r="H16" s="12">
        <v>231</v>
      </c>
      <c r="I16" s="12">
        <v>297</v>
      </c>
      <c r="J16" s="12">
        <v>66</v>
      </c>
      <c r="K16" s="12">
        <v>338</v>
      </c>
      <c r="L16" s="12">
        <v>217</v>
      </c>
      <c r="M16" s="12">
        <v>95</v>
      </c>
      <c r="N16" s="12">
        <v>40</v>
      </c>
      <c r="O16" s="12">
        <v>171</v>
      </c>
      <c r="P16" s="12">
        <v>223</v>
      </c>
      <c r="Q16" s="12">
        <v>90</v>
      </c>
      <c r="R16" s="12">
        <v>92</v>
      </c>
      <c r="S16" s="12">
        <v>207</v>
      </c>
      <c r="T16" s="12">
        <v>245</v>
      </c>
      <c r="U16" s="12">
        <v>144</v>
      </c>
      <c r="V16" s="12">
        <v>126</v>
      </c>
      <c r="W16" s="12">
        <v>108</v>
      </c>
      <c r="X16" s="12">
        <v>219</v>
      </c>
      <c r="Y16" s="12">
        <v>162</v>
      </c>
      <c r="Z16" s="12">
        <v>202</v>
      </c>
      <c r="AA16" s="12">
        <v>85</v>
      </c>
      <c r="AB16" s="12">
        <v>198</v>
      </c>
      <c r="AC16" s="12">
        <v>328</v>
      </c>
      <c r="AD16" s="12">
        <v>321</v>
      </c>
      <c r="AE16" s="12">
        <v>331</v>
      </c>
      <c r="AF16" s="12">
        <v>366</v>
      </c>
    </row>
    <row r="17" spans="1:32" ht="23.25">
      <c r="A17" s="23"/>
      <c r="B17" s="13" t="s">
        <v>1300</v>
      </c>
      <c r="C17" s="14">
        <v>0.17</v>
      </c>
      <c r="D17" s="14">
        <v>0.27</v>
      </c>
      <c r="E17" s="14">
        <v>0.17</v>
      </c>
      <c r="F17" s="14">
        <v>0.21</v>
      </c>
      <c r="G17" s="14">
        <v>0.27</v>
      </c>
      <c r="H17" s="14">
        <v>0.19</v>
      </c>
      <c r="I17" s="14">
        <v>0.2</v>
      </c>
      <c r="J17" s="14">
        <v>0.22</v>
      </c>
      <c r="K17" s="14">
        <v>0.34</v>
      </c>
      <c r="L17" s="14">
        <v>0.22</v>
      </c>
      <c r="M17" s="14">
        <v>0.09</v>
      </c>
      <c r="N17" s="14">
        <v>0.04</v>
      </c>
      <c r="O17" s="14">
        <v>0.17</v>
      </c>
      <c r="P17" s="14">
        <v>0.22</v>
      </c>
      <c r="Q17" s="14">
        <v>0.09</v>
      </c>
      <c r="R17" s="14">
        <v>0.18</v>
      </c>
      <c r="S17" s="14">
        <v>0.21</v>
      </c>
      <c r="T17" s="14">
        <v>0.25</v>
      </c>
      <c r="U17" s="14">
        <v>0.28999999999999998</v>
      </c>
      <c r="V17" s="14">
        <v>0.13</v>
      </c>
      <c r="W17" s="14">
        <v>0.22</v>
      </c>
      <c r="X17" s="14">
        <v>0.22</v>
      </c>
      <c r="Y17" s="14">
        <v>0.16</v>
      </c>
      <c r="Z17" s="14">
        <v>0.2</v>
      </c>
      <c r="AA17" s="14">
        <v>0.08</v>
      </c>
      <c r="AB17" s="14">
        <v>0.19</v>
      </c>
      <c r="AC17" s="14">
        <v>0.33</v>
      </c>
      <c r="AD17" s="14">
        <v>0.32</v>
      </c>
      <c r="AE17" s="14">
        <v>0.33</v>
      </c>
      <c r="AF17" s="14">
        <v>0.34</v>
      </c>
    </row>
    <row r="18" spans="1:32">
      <c r="A18" s="23"/>
      <c r="B18" s="11" t="s">
        <v>1143</v>
      </c>
      <c r="C18" s="12">
        <v>19287</v>
      </c>
      <c r="D18" s="12">
        <v>546</v>
      </c>
      <c r="E18" s="12">
        <v>770</v>
      </c>
      <c r="F18" s="12">
        <v>722</v>
      </c>
      <c r="G18" s="12">
        <v>611</v>
      </c>
      <c r="H18" s="12">
        <v>822</v>
      </c>
      <c r="I18" s="12">
        <v>1032</v>
      </c>
      <c r="J18" s="12">
        <v>210</v>
      </c>
      <c r="K18" s="12">
        <v>501</v>
      </c>
      <c r="L18" s="12">
        <v>538</v>
      </c>
      <c r="M18" s="12">
        <v>799</v>
      </c>
      <c r="N18" s="12">
        <v>934</v>
      </c>
      <c r="O18" s="12">
        <v>777</v>
      </c>
      <c r="P18" s="12">
        <v>593</v>
      </c>
      <c r="Q18" s="12">
        <v>838</v>
      </c>
      <c r="R18" s="12">
        <v>288</v>
      </c>
      <c r="S18" s="12">
        <v>648</v>
      </c>
      <c r="T18" s="12">
        <v>616</v>
      </c>
      <c r="U18" s="12">
        <v>142</v>
      </c>
      <c r="V18" s="12">
        <v>793</v>
      </c>
      <c r="W18" s="12">
        <v>339</v>
      </c>
      <c r="X18" s="12">
        <v>712</v>
      </c>
      <c r="Y18" s="12">
        <v>491</v>
      </c>
      <c r="Z18" s="12">
        <v>674</v>
      </c>
      <c r="AA18" s="12">
        <v>868</v>
      </c>
      <c r="AB18" s="12">
        <v>727</v>
      </c>
      <c r="AC18" s="12">
        <v>512</v>
      </c>
      <c r="AD18" s="12">
        <v>529</v>
      </c>
      <c r="AE18" s="12">
        <v>595</v>
      </c>
      <c r="AF18" s="12">
        <v>563</v>
      </c>
    </row>
    <row r="19" spans="1:32">
      <c r="A19" s="23"/>
      <c r="B19" s="13" t="s">
        <v>1144</v>
      </c>
      <c r="C19" s="14">
        <v>0.73</v>
      </c>
      <c r="D19" s="14">
        <v>0.54</v>
      </c>
      <c r="E19" s="14">
        <v>0.74</v>
      </c>
      <c r="F19" s="14">
        <v>0.72</v>
      </c>
      <c r="G19" s="14">
        <v>0.61</v>
      </c>
      <c r="H19" s="14">
        <v>0.68</v>
      </c>
      <c r="I19" s="14">
        <v>0.68</v>
      </c>
      <c r="J19" s="14">
        <v>0.72</v>
      </c>
      <c r="K19" s="14">
        <v>0.5</v>
      </c>
      <c r="L19" s="14">
        <v>0.53</v>
      </c>
      <c r="M19" s="14">
        <v>0.79</v>
      </c>
      <c r="N19" s="14">
        <v>0.93</v>
      </c>
      <c r="O19" s="14">
        <v>0.77</v>
      </c>
      <c r="P19" s="14">
        <v>0.59</v>
      </c>
      <c r="Q19" s="14">
        <v>0.82000000000000006</v>
      </c>
      <c r="R19" s="14">
        <v>0.57000000000000006</v>
      </c>
      <c r="S19" s="14">
        <v>0.64</v>
      </c>
      <c r="T19" s="14">
        <v>0.61</v>
      </c>
      <c r="U19" s="14">
        <v>0.28000000000000003</v>
      </c>
      <c r="V19" s="14">
        <v>0.78</v>
      </c>
      <c r="W19" s="14">
        <v>0.67</v>
      </c>
      <c r="X19" s="14">
        <v>0.70000000000000007</v>
      </c>
      <c r="Y19" s="14">
        <v>0.49</v>
      </c>
      <c r="Z19" s="14">
        <v>0.66</v>
      </c>
      <c r="AA19" s="14">
        <v>0.84</v>
      </c>
      <c r="AB19" s="14">
        <v>0.71</v>
      </c>
      <c r="AC19" s="14">
        <v>0.51</v>
      </c>
      <c r="AD19" s="14">
        <v>0.53</v>
      </c>
      <c r="AE19" s="14">
        <v>0.59</v>
      </c>
      <c r="AF19" s="14">
        <v>0.53</v>
      </c>
    </row>
    <row r="20" spans="1:32">
      <c r="A20" s="23"/>
      <c r="B20" s="11" t="s">
        <v>497</v>
      </c>
      <c r="C20" s="12">
        <v>145</v>
      </c>
      <c r="D20" s="12">
        <v>4</v>
      </c>
      <c r="E20" s="12">
        <v>9</v>
      </c>
      <c r="F20" s="12">
        <v>10</v>
      </c>
      <c r="G20" s="12">
        <v>4</v>
      </c>
      <c r="H20" s="12">
        <v>12</v>
      </c>
      <c r="I20" s="12">
        <v>15</v>
      </c>
      <c r="J20" s="12">
        <v>3</v>
      </c>
      <c r="K20" s="12">
        <v>14</v>
      </c>
      <c r="L20" s="12">
        <v>12</v>
      </c>
      <c r="M20" s="12">
        <v>0</v>
      </c>
      <c r="N20" s="12">
        <v>6</v>
      </c>
      <c r="O20" s="12">
        <v>1</v>
      </c>
      <c r="P20" s="12">
        <v>11</v>
      </c>
      <c r="Q20" s="12">
        <v>2</v>
      </c>
      <c r="R20" s="12">
        <v>2</v>
      </c>
      <c r="S20" s="12">
        <v>9</v>
      </c>
      <c r="T20" s="12">
        <v>3</v>
      </c>
      <c r="U20" s="12">
        <v>0</v>
      </c>
      <c r="V20" s="12">
        <v>2</v>
      </c>
      <c r="W20" s="12">
        <v>9</v>
      </c>
      <c r="X20" s="12">
        <v>3</v>
      </c>
      <c r="Y20" s="12">
        <v>2</v>
      </c>
      <c r="Z20" s="12">
        <v>8</v>
      </c>
      <c r="AA20" s="12">
        <v>10</v>
      </c>
      <c r="AB20" s="12">
        <v>10</v>
      </c>
      <c r="AC20" s="12">
        <v>3</v>
      </c>
      <c r="AD20" s="12">
        <v>8</v>
      </c>
      <c r="AE20" s="12">
        <v>10</v>
      </c>
      <c r="AF20" s="12">
        <v>4</v>
      </c>
    </row>
    <row r="21" spans="1:32">
      <c r="A21" s="23"/>
      <c r="B21" s="13" t="s">
        <v>498</v>
      </c>
      <c r="C21" s="14">
        <v>0.01</v>
      </c>
      <c r="D21" s="15" t="s">
        <v>485</v>
      </c>
      <c r="E21" s="14">
        <v>0.01</v>
      </c>
      <c r="F21" s="14">
        <v>0.01</v>
      </c>
      <c r="G21" s="15" t="s">
        <v>485</v>
      </c>
      <c r="H21" s="14">
        <v>0.01</v>
      </c>
      <c r="I21" s="14">
        <v>0.01</v>
      </c>
      <c r="J21" s="14">
        <v>0.01</v>
      </c>
      <c r="K21" s="14">
        <v>0.01</v>
      </c>
      <c r="L21" s="14">
        <v>0.01</v>
      </c>
      <c r="M21" s="15" t="s">
        <v>485</v>
      </c>
      <c r="N21" s="14">
        <v>0.01</v>
      </c>
      <c r="O21" s="15" t="s">
        <v>485</v>
      </c>
      <c r="P21" s="14">
        <v>0.01</v>
      </c>
      <c r="Q21" s="15" t="s">
        <v>485</v>
      </c>
      <c r="R21" s="14">
        <v>0.01</v>
      </c>
      <c r="S21" s="14">
        <v>0.01</v>
      </c>
      <c r="T21" s="15" t="s">
        <v>485</v>
      </c>
      <c r="U21" s="15" t="s">
        <v>485</v>
      </c>
      <c r="V21" s="15" t="s">
        <v>485</v>
      </c>
      <c r="W21" s="14">
        <v>0.02</v>
      </c>
      <c r="X21" s="15" t="s">
        <v>485</v>
      </c>
      <c r="Y21" s="15" t="s">
        <v>485</v>
      </c>
      <c r="Z21" s="14">
        <v>0.01</v>
      </c>
      <c r="AA21" s="14">
        <v>0.01</v>
      </c>
      <c r="AB21" s="14">
        <v>0.01</v>
      </c>
      <c r="AC21" s="15" t="s">
        <v>485</v>
      </c>
      <c r="AD21" s="14">
        <v>0.01</v>
      </c>
      <c r="AE21" s="14">
        <v>0.01</v>
      </c>
      <c r="AF21" s="15" t="s">
        <v>485</v>
      </c>
    </row>
  </sheetData>
  <mergeCells count="9">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A1:AF21"/>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1317</v>
      </c>
      <c r="C3" s="19"/>
      <c r="D3" s="19"/>
      <c r="E3" s="19"/>
      <c r="F3" s="19"/>
      <c r="H3" s="19" t="s">
        <v>1318</v>
      </c>
      <c r="I3" s="19"/>
      <c r="J3" s="19"/>
      <c r="K3" s="19"/>
      <c r="L3" s="19"/>
    </row>
    <row r="4" spans="1:32" ht="27" customHeight="1">
      <c r="B4" s="19" t="s">
        <v>1319</v>
      </c>
      <c r="C4" s="19"/>
      <c r="D4" s="19"/>
      <c r="E4" s="19"/>
      <c r="F4" s="19"/>
      <c r="H4" s="19" t="s">
        <v>1320</v>
      </c>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HYPERLINK("#Content!A120","&lt;&lt;Back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34.5">
      <c r="A12" s="23"/>
      <c r="B12" s="11" t="s">
        <v>1295</v>
      </c>
      <c r="C12" s="12">
        <v>1307</v>
      </c>
      <c r="D12" s="12">
        <v>80</v>
      </c>
      <c r="E12" s="12">
        <v>49</v>
      </c>
      <c r="F12" s="12">
        <v>21</v>
      </c>
      <c r="G12" s="12">
        <v>56</v>
      </c>
      <c r="H12" s="12">
        <v>102</v>
      </c>
      <c r="I12" s="12">
        <v>114</v>
      </c>
      <c r="J12" s="12">
        <v>12</v>
      </c>
      <c r="K12" s="12">
        <v>61</v>
      </c>
      <c r="L12" s="12">
        <v>82</v>
      </c>
      <c r="M12" s="12">
        <v>18</v>
      </c>
      <c r="N12" s="12">
        <v>25</v>
      </c>
      <c r="O12" s="12">
        <v>25</v>
      </c>
      <c r="P12" s="12">
        <v>84</v>
      </c>
      <c r="Q12" s="12">
        <v>50</v>
      </c>
      <c r="R12" s="12">
        <v>52</v>
      </c>
      <c r="S12" s="12">
        <v>70</v>
      </c>
      <c r="T12" s="12">
        <v>65</v>
      </c>
      <c r="U12" s="12">
        <v>103</v>
      </c>
      <c r="V12" s="12">
        <v>34</v>
      </c>
      <c r="W12" s="12">
        <v>58</v>
      </c>
      <c r="X12" s="12">
        <v>90</v>
      </c>
      <c r="Y12" s="12">
        <v>138</v>
      </c>
      <c r="Z12" s="12">
        <v>36</v>
      </c>
      <c r="AA12" s="12">
        <v>23</v>
      </c>
      <c r="AB12" s="12">
        <v>39</v>
      </c>
      <c r="AC12" s="12">
        <v>50</v>
      </c>
      <c r="AD12" s="12">
        <v>28</v>
      </c>
      <c r="AE12" s="12">
        <v>46</v>
      </c>
      <c r="AF12" s="12">
        <v>70</v>
      </c>
    </row>
    <row r="13" spans="1:32" ht="23.25">
      <c r="A13" s="23"/>
      <c r="B13" s="13" t="s">
        <v>1296</v>
      </c>
      <c r="C13" s="14">
        <v>0.05</v>
      </c>
      <c r="D13" s="14">
        <v>0.08</v>
      </c>
      <c r="E13" s="14">
        <v>0.05</v>
      </c>
      <c r="F13" s="14">
        <v>0.02</v>
      </c>
      <c r="G13" s="14">
        <v>0.06</v>
      </c>
      <c r="H13" s="14">
        <v>0.08</v>
      </c>
      <c r="I13" s="14">
        <v>0.08</v>
      </c>
      <c r="J13" s="14">
        <v>0.04</v>
      </c>
      <c r="K13" s="14">
        <v>0.06</v>
      </c>
      <c r="L13" s="14">
        <v>0.08</v>
      </c>
      <c r="M13" s="14">
        <v>0.02</v>
      </c>
      <c r="N13" s="14">
        <v>0.03</v>
      </c>
      <c r="O13" s="14">
        <v>0.03</v>
      </c>
      <c r="P13" s="14">
        <v>0.08</v>
      </c>
      <c r="Q13" s="14">
        <v>0.05</v>
      </c>
      <c r="R13" s="14">
        <v>0.1</v>
      </c>
      <c r="S13" s="14">
        <v>7.0000000000000007E-2</v>
      </c>
      <c r="T13" s="14">
        <v>0.06</v>
      </c>
      <c r="U13" s="14">
        <v>0.2</v>
      </c>
      <c r="V13" s="14">
        <v>0.03</v>
      </c>
      <c r="W13" s="14">
        <v>0.11</v>
      </c>
      <c r="X13" s="14">
        <v>0.09</v>
      </c>
      <c r="Y13" s="14">
        <v>0.14000000000000001</v>
      </c>
      <c r="Z13" s="14">
        <v>0.04</v>
      </c>
      <c r="AA13" s="14">
        <v>0.02</v>
      </c>
      <c r="AB13" s="14">
        <v>0.04</v>
      </c>
      <c r="AC13" s="14">
        <v>0.05</v>
      </c>
      <c r="AD13" s="14">
        <v>0.03</v>
      </c>
      <c r="AE13" s="14">
        <v>0.05</v>
      </c>
      <c r="AF13" s="14">
        <v>0.06</v>
      </c>
    </row>
    <row r="14" spans="1:32" ht="45.75">
      <c r="A14" s="23"/>
      <c r="B14" s="11" t="s">
        <v>1297</v>
      </c>
      <c r="C14" s="12">
        <v>2679</v>
      </c>
      <c r="D14" s="12">
        <v>188</v>
      </c>
      <c r="E14" s="12">
        <v>139</v>
      </c>
      <c r="F14" s="12">
        <v>40</v>
      </c>
      <c r="G14" s="12">
        <v>154</v>
      </c>
      <c r="H14" s="12">
        <v>96</v>
      </c>
      <c r="I14" s="12">
        <v>120</v>
      </c>
      <c r="J14" s="12">
        <v>24</v>
      </c>
      <c r="K14" s="12">
        <v>211</v>
      </c>
      <c r="L14" s="12">
        <v>216</v>
      </c>
      <c r="M14" s="12">
        <v>67</v>
      </c>
      <c r="N14" s="12">
        <v>74</v>
      </c>
      <c r="O14" s="12">
        <v>55</v>
      </c>
      <c r="P14" s="12">
        <v>155</v>
      </c>
      <c r="Q14" s="12">
        <v>95</v>
      </c>
      <c r="R14" s="12">
        <v>73</v>
      </c>
      <c r="S14" s="12">
        <v>201</v>
      </c>
      <c r="T14" s="12">
        <v>197</v>
      </c>
      <c r="U14" s="12">
        <v>186</v>
      </c>
      <c r="V14" s="12">
        <v>98</v>
      </c>
      <c r="W14" s="12">
        <v>84</v>
      </c>
      <c r="X14" s="12">
        <v>182</v>
      </c>
      <c r="Y14" s="12">
        <v>208</v>
      </c>
      <c r="Z14" s="12">
        <v>126</v>
      </c>
      <c r="AA14" s="12">
        <v>88</v>
      </c>
      <c r="AB14" s="12">
        <v>133</v>
      </c>
      <c r="AC14" s="12">
        <v>134</v>
      </c>
      <c r="AD14" s="12">
        <v>159</v>
      </c>
      <c r="AE14" s="12">
        <v>183</v>
      </c>
      <c r="AF14" s="12">
        <v>164</v>
      </c>
    </row>
    <row r="15" spans="1:32" ht="34.5">
      <c r="A15" s="23"/>
      <c r="B15" s="13" t="s">
        <v>1298</v>
      </c>
      <c r="C15" s="14">
        <v>0.1</v>
      </c>
      <c r="D15" s="14">
        <v>0.19</v>
      </c>
      <c r="E15" s="14">
        <v>0.13</v>
      </c>
      <c r="F15" s="14">
        <v>0.04</v>
      </c>
      <c r="G15" s="14">
        <v>0.15</v>
      </c>
      <c r="H15" s="14">
        <v>0.08</v>
      </c>
      <c r="I15" s="14">
        <v>0.08</v>
      </c>
      <c r="J15" s="14">
        <v>0.08</v>
      </c>
      <c r="K15" s="14">
        <v>0.21</v>
      </c>
      <c r="L15" s="14">
        <v>0.22</v>
      </c>
      <c r="M15" s="14">
        <v>7.0000000000000007E-2</v>
      </c>
      <c r="N15" s="14">
        <v>7.0000000000000007E-2</v>
      </c>
      <c r="O15" s="14">
        <v>0.05</v>
      </c>
      <c r="P15" s="14">
        <v>0.16</v>
      </c>
      <c r="Q15" s="14">
        <v>0.09</v>
      </c>
      <c r="R15" s="14">
        <v>0.15</v>
      </c>
      <c r="S15" s="14">
        <v>0.2</v>
      </c>
      <c r="T15" s="14">
        <v>0.2</v>
      </c>
      <c r="U15" s="14">
        <v>0.37</v>
      </c>
      <c r="V15" s="14">
        <v>0.1</v>
      </c>
      <c r="W15" s="14">
        <v>0.17</v>
      </c>
      <c r="X15" s="14">
        <v>0.18</v>
      </c>
      <c r="Y15" s="14">
        <v>0.21</v>
      </c>
      <c r="Z15" s="14">
        <v>0.12</v>
      </c>
      <c r="AA15" s="14">
        <v>0.08</v>
      </c>
      <c r="AB15" s="14">
        <v>0.13</v>
      </c>
      <c r="AC15" s="14">
        <v>0.13</v>
      </c>
      <c r="AD15" s="14">
        <v>0.16</v>
      </c>
      <c r="AE15" s="14">
        <v>0.18</v>
      </c>
      <c r="AF15" s="14">
        <v>0.15</v>
      </c>
    </row>
    <row r="16" spans="1:32" ht="34.5">
      <c r="A16" s="23"/>
      <c r="B16" s="11" t="s">
        <v>1299</v>
      </c>
      <c r="C16" s="12">
        <v>4610</v>
      </c>
      <c r="D16" s="12">
        <v>223</v>
      </c>
      <c r="E16" s="12">
        <v>226</v>
      </c>
      <c r="F16" s="12">
        <v>126</v>
      </c>
      <c r="G16" s="12">
        <v>242</v>
      </c>
      <c r="H16" s="12">
        <v>223</v>
      </c>
      <c r="I16" s="12">
        <v>284</v>
      </c>
      <c r="J16" s="12">
        <v>61</v>
      </c>
      <c r="K16" s="12">
        <v>280</v>
      </c>
      <c r="L16" s="12">
        <v>212</v>
      </c>
      <c r="M16" s="12">
        <v>110</v>
      </c>
      <c r="N16" s="12">
        <v>115</v>
      </c>
      <c r="O16" s="12">
        <v>191</v>
      </c>
      <c r="P16" s="12">
        <v>213</v>
      </c>
      <c r="Q16" s="12">
        <v>117</v>
      </c>
      <c r="R16" s="12">
        <v>106</v>
      </c>
      <c r="S16" s="12">
        <v>204</v>
      </c>
      <c r="T16" s="12">
        <v>196</v>
      </c>
      <c r="U16" s="12">
        <v>109</v>
      </c>
      <c r="V16" s="12">
        <v>168</v>
      </c>
      <c r="W16" s="12">
        <v>123</v>
      </c>
      <c r="X16" s="12">
        <v>204</v>
      </c>
      <c r="Y16" s="12">
        <v>220</v>
      </c>
      <c r="Z16" s="12">
        <v>219</v>
      </c>
      <c r="AA16" s="12">
        <v>99</v>
      </c>
      <c r="AB16" s="12">
        <v>199</v>
      </c>
      <c r="AC16" s="12">
        <v>291</v>
      </c>
      <c r="AD16" s="12">
        <v>258</v>
      </c>
      <c r="AE16" s="12">
        <v>306</v>
      </c>
      <c r="AF16" s="12">
        <v>266</v>
      </c>
    </row>
    <row r="17" spans="1:32" ht="23.25">
      <c r="A17" s="23"/>
      <c r="B17" s="13" t="s">
        <v>1300</v>
      </c>
      <c r="C17" s="14">
        <v>0.18</v>
      </c>
      <c r="D17" s="14">
        <v>0.22</v>
      </c>
      <c r="E17" s="14">
        <v>0.22</v>
      </c>
      <c r="F17" s="14">
        <v>0.13</v>
      </c>
      <c r="G17" s="14">
        <v>0.24</v>
      </c>
      <c r="H17" s="14">
        <v>0.18</v>
      </c>
      <c r="I17" s="14">
        <v>0.19</v>
      </c>
      <c r="J17" s="14">
        <v>0.21</v>
      </c>
      <c r="K17" s="14">
        <v>0.28000000000000003</v>
      </c>
      <c r="L17" s="14">
        <v>0.21</v>
      </c>
      <c r="M17" s="14">
        <v>0.11</v>
      </c>
      <c r="N17" s="14">
        <v>0.12</v>
      </c>
      <c r="O17" s="14">
        <v>0.19</v>
      </c>
      <c r="P17" s="14">
        <v>0.21</v>
      </c>
      <c r="Q17" s="14">
        <v>0.12</v>
      </c>
      <c r="R17" s="14">
        <v>0.21</v>
      </c>
      <c r="S17" s="14">
        <v>0.2</v>
      </c>
      <c r="T17" s="14">
        <v>0.19</v>
      </c>
      <c r="U17" s="14">
        <v>0.22</v>
      </c>
      <c r="V17" s="14">
        <v>0.17</v>
      </c>
      <c r="W17" s="14">
        <v>0.24</v>
      </c>
      <c r="X17" s="14">
        <v>0.2</v>
      </c>
      <c r="Y17" s="14">
        <v>0.22</v>
      </c>
      <c r="Z17" s="14">
        <v>0.22</v>
      </c>
      <c r="AA17" s="14">
        <v>0.1</v>
      </c>
      <c r="AB17" s="14">
        <v>0.19</v>
      </c>
      <c r="AC17" s="14">
        <v>0.28999999999999998</v>
      </c>
      <c r="AD17" s="14">
        <v>0.26</v>
      </c>
      <c r="AE17" s="14">
        <v>0.3</v>
      </c>
      <c r="AF17" s="14">
        <v>0.25</v>
      </c>
    </row>
    <row r="18" spans="1:32">
      <c r="A18" s="23"/>
      <c r="B18" s="11" t="s">
        <v>1143</v>
      </c>
      <c r="C18" s="12">
        <v>17640</v>
      </c>
      <c r="D18" s="12">
        <v>509</v>
      </c>
      <c r="E18" s="12">
        <v>622</v>
      </c>
      <c r="F18" s="12">
        <v>810</v>
      </c>
      <c r="G18" s="12">
        <v>548</v>
      </c>
      <c r="H18" s="12">
        <v>782</v>
      </c>
      <c r="I18" s="12">
        <v>977</v>
      </c>
      <c r="J18" s="12">
        <v>195</v>
      </c>
      <c r="K18" s="12">
        <v>433</v>
      </c>
      <c r="L18" s="12">
        <v>484</v>
      </c>
      <c r="M18" s="12">
        <v>813</v>
      </c>
      <c r="N18" s="12">
        <v>783</v>
      </c>
      <c r="O18" s="12">
        <v>734</v>
      </c>
      <c r="P18" s="12">
        <v>556</v>
      </c>
      <c r="Q18" s="12">
        <v>761</v>
      </c>
      <c r="R18" s="12">
        <v>270</v>
      </c>
      <c r="S18" s="12">
        <v>514</v>
      </c>
      <c r="T18" s="12">
        <v>541</v>
      </c>
      <c r="U18" s="12">
        <v>105</v>
      </c>
      <c r="V18" s="12">
        <v>711</v>
      </c>
      <c r="W18" s="12">
        <v>235</v>
      </c>
      <c r="X18" s="12">
        <v>527</v>
      </c>
      <c r="Y18" s="12">
        <v>434</v>
      </c>
      <c r="Z18" s="12">
        <v>631</v>
      </c>
      <c r="AA18" s="12">
        <v>824</v>
      </c>
      <c r="AB18" s="12">
        <v>657</v>
      </c>
      <c r="AC18" s="12">
        <v>522</v>
      </c>
      <c r="AD18" s="12">
        <v>551</v>
      </c>
      <c r="AE18" s="12">
        <v>465</v>
      </c>
      <c r="AF18" s="12">
        <v>564</v>
      </c>
    </row>
    <row r="19" spans="1:32">
      <c r="A19" s="23"/>
      <c r="B19" s="13" t="s">
        <v>1144</v>
      </c>
      <c r="C19" s="14">
        <v>0.67</v>
      </c>
      <c r="D19" s="14">
        <v>0.5</v>
      </c>
      <c r="E19" s="14">
        <v>0.59</v>
      </c>
      <c r="F19" s="14">
        <v>0.8</v>
      </c>
      <c r="G19" s="14">
        <v>0.55000000000000004</v>
      </c>
      <c r="H19" s="14">
        <v>0.65</v>
      </c>
      <c r="I19" s="14">
        <v>0.65</v>
      </c>
      <c r="J19" s="14">
        <v>0.66</v>
      </c>
      <c r="K19" s="14">
        <v>0.43</v>
      </c>
      <c r="L19" s="14">
        <v>0.48</v>
      </c>
      <c r="M19" s="14">
        <v>0.8</v>
      </c>
      <c r="N19" s="14">
        <v>0.78</v>
      </c>
      <c r="O19" s="14">
        <v>0.73</v>
      </c>
      <c r="P19" s="14">
        <v>0.55000000000000004</v>
      </c>
      <c r="Q19" s="14">
        <v>0.74</v>
      </c>
      <c r="R19" s="14">
        <v>0.54</v>
      </c>
      <c r="S19" s="14">
        <v>0.51</v>
      </c>
      <c r="T19" s="14">
        <v>0.54</v>
      </c>
      <c r="U19" s="14">
        <v>0.21</v>
      </c>
      <c r="V19" s="14">
        <v>0.70000000000000007</v>
      </c>
      <c r="W19" s="14">
        <v>0.47</v>
      </c>
      <c r="X19" s="14">
        <v>0.52</v>
      </c>
      <c r="Y19" s="14">
        <v>0.43</v>
      </c>
      <c r="Z19" s="14">
        <v>0.62</v>
      </c>
      <c r="AA19" s="14">
        <v>0.79</v>
      </c>
      <c r="AB19" s="14">
        <v>0.64</v>
      </c>
      <c r="AC19" s="14">
        <v>0.52</v>
      </c>
      <c r="AD19" s="14">
        <v>0.55000000000000004</v>
      </c>
      <c r="AE19" s="14">
        <v>0.46</v>
      </c>
      <c r="AF19" s="14">
        <v>0.53</v>
      </c>
    </row>
    <row r="20" spans="1:32">
      <c r="A20" s="23"/>
      <c r="B20" s="11" t="s">
        <v>497</v>
      </c>
      <c r="C20" s="12">
        <v>117</v>
      </c>
      <c r="D20" s="12">
        <v>6</v>
      </c>
      <c r="E20" s="12">
        <v>8</v>
      </c>
      <c r="F20" s="12">
        <v>10</v>
      </c>
      <c r="G20" s="12">
        <v>4</v>
      </c>
      <c r="H20" s="12">
        <v>7</v>
      </c>
      <c r="I20" s="12">
        <v>9</v>
      </c>
      <c r="J20" s="12">
        <v>2</v>
      </c>
      <c r="K20" s="12">
        <v>19</v>
      </c>
      <c r="L20" s="12">
        <v>13</v>
      </c>
      <c r="M20" s="12">
        <v>2</v>
      </c>
      <c r="N20" s="12">
        <v>3</v>
      </c>
      <c r="O20" s="12">
        <v>1</v>
      </c>
      <c r="P20" s="12">
        <v>3</v>
      </c>
      <c r="Q20" s="12">
        <v>2</v>
      </c>
      <c r="R20" s="12">
        <v>2</v>
      </c>
      <c r="S20" s="12">
        <v>15</v>
      </c>
      <c r="T20" s="12">
        <v>5</v>
      </c>
      <c r="U20" s="12">
        <v>1</v>
      </c>
      <c r="V20" s="12">
        <v>1</v>
      </c>
      <c r="W20" s="12">
        <v>3</v>
      </c>
      <c r="X20" s="12">
        <v>12</v>
      </c>
      <c r="Y20" s="12">
        <v>7</v>
      </c>
      <c r="Z20" s="12">
        <v>5</v>
      </c>
      <c r="AA20" s="12">
        <v>6</v>
      </c>
      <c r="AB20" s="12">
        <v>3</v>
      </c>
      <c r="AC20" s="12">
        <v>8</v>
      </c>
      <c r="AD20" s="12">
        <v>6</v>
      </c>
      <c r="AE20" s="12">
        <v>9</v>
      </c>
      <c r="AF20" s="12">
        <v>10</v>
      </c>
    </row>
    <row r="21" spans="1:32">
      <c r="A21" s="23"/>
      <c r="B21" s="13" t="s">
        <v>498</v>
      </c>
      <c r="C21" s="15" t="s">
        <v>485</v>
      </c>
      <c r="D21" s="14">
        <v>0.01</v>
      </c>
      <c r="E21" s="14">
        <v>0.01</v>
      </c>
      <c r="F21" s="14">
        <v>0.01</v>
      </c>
      <c r="G21" s="15" t="s">
        <v>485</v>
      </c>
      <c r="H21" s="14">
        <v>0.01</v>
      </c>
      <c r="I21" s="15" t="s">
        <v>485</v>
      </c>
      <c r="J21" s="14">
        <v>0.01</v>
      </c>
      <c r="K21" s="14">
        <v>0.02</v>
      </c>
      <c r="L21" s="14">
        <v>0.01</v>
      </c>
      <c r="M21" s="15" t="s">
        <v>485</v>
      </c>
      <c r="N21" s="15" t="s">
        <v>485</v>
      </c>
      <c r="O21" s="15" t="s">
        <v>485</v>
      </c>
      <c r="P21" s="15" t="s">
        <v>485</v>
      </c>
      <c r="Q21" s="15" t="s">
        <v>485</v>
      </c>
      <c r="R21" s="15" t="s">
        <v>485</v>
      </c>
      <c r="S21" s="14">
        <v>0.02</v>
      </c>
      <c r="T21" s="14">
        <v>0.01</v>
      </c>
      <c r="U21" s="15" t="s">
        <v>485</v>
      </c>
      <c r="V21" s="15" t="s">
        <v>485</v>
      </c>
      <c r="W21" s="14">
        <v>0.01</v>
      </c>
      <c r="X21" s="14">
        <v>0.01</v>
      </c>
      <c r="Y21" s="15" t="s">
        <v>485</v>
      </c>
      <c r="Z21" s="15" t="s">
        <v>485</v>
      </c>
      <c r="AA21" s="14">
        <v>0.01</v>
      </c>
      <c r="AB21" s="15" t="s">
        <v>485</v>
      </c>
      <c r="AC21" s="14">
        <v>0.01</v>
      </c>
      <c r="AD21" s="15" t="s">
        <v>485</v>
      </c>
      <c r="AE21" s="14">
        <v>0.01</v>
      </c>
      <c r="AF21" s="14">
        <v>0.01</v>
      </c>
    </row>
  </sheetData>
  <mergeCells count="9">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dimension ref="A1:AF21"/>
  <sheetViews>
    <sheetView workbookViewId="0">
      <pane xSplit="3" ySplit="9" topLeftCell="H10" activePane="bottomRight" state="frozen"/>
      <selection pane="bottomRight" activeCell="N17" sqref="N17"/>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12" customHeight="1">
      <c r="B3" s="19" t="s">
        <v>239</v>
      </c>
      <c r="C3" s="19"/>
      <c r="D3" s="19"/>
      <c r="E3" s="19"/>
      <c r="F3" s="19"/>
      <c r="H3" s="19" t="s">
        <v>240</v>
      </c>
      <c r="I3" s="19"/>
      <c r="J3" s="19"/>
      <c r="K3" s="19"/>
      <c r="L3" s="19"/>
    </row>
    <row r="4" spans="1:32" ht="27" customHeight="1">
      <c r="B4" s="19"/>
      <c r="C4" s="19"/>
      <c r="D4" s="19"/>
      <c r="E4" s="19"/>
      <c r="F4" s="19"/>
      <c r="H4" s="19"/>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HYPERLINK("#Content!A121","&lt;&lt;Back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1321</v>
      </c>
      <c r="C12" s="12">
        <v>2867</v>
      </c>
      <c r="D12" s="12">
        <v>185</v>
      </c>
      <c r="E12" s="12">
        <v>99</v>
      </c>
      <c r="F12" s="12">
        <v>67</v>
      </c>
      <c r="G12" s="12">
        <v>88</v>
      </c>
      <c r="H12" s="12">
        <v>203</v>
      </c>
      <c r="I12" s="12">
        <v>230</v>
      </c>
      <c r="J12" s="12">
        <v>26</v>
      </c>
      <c r="K12" s="12">
        <v>107</v>
      </c>
      <c r="L12" s="12">
        <v>133</v>
      </c>
      <c r="M12" s="12">
        <v>94</v>
      </c>
      <c r="N12" s="12">
        <v>37</v>
      </c>
      <c r="O12" s="12">
        <v>50</v>
      </c>
      <c r="P12" s="12">
        <v>150</v>
      </c>
      <c r="Q12" s="12">
        <v>146</v>
      </c>
      <c r="R12" s="12">
        <v>89</v>
      </c>
      <c r="S12" s="12">
        <v>105</v>
      </c>
      <c r="T12" s="12">
        <v>121</v>
      </c>
      <c r="U12" s="12">
        <v>157</v>
      </c>
      <c r="V12" s="12">
        <v>142</v>
      </c>
      <c r="W12" s="12">
        <v>83</v>
      </c>
      <c r="X12" s="12">
        <v>133</v>
      </c>
      <c r="Y12" s="12">
        <v>286</v>
      </c>
      <c r="Z12" s="12">
        <v>123</v>
      </c>
      <c r="AA12" s="12">
        <v>48</v>
      </c>
      <c r="AB12" s="12">
        <v>97</v>
      </c>
      <c r="AC12" s="12">
        <v>106</v>
      </c>
      <c r="AD12" s="12">
        <v>62</v>
      </c>
      <c r="AE12" s="12">
        <v>49</v>
      </c>
      <c r="AF12" s="12">
        <v>107</v>
      </c>
    </row>
    <row r="13" spans="1:32">
      <c r="A13" s="23"/>
      <c r="B13" s="13" t="s">
        <v>1322</v>
      </c>
      <c r="C13" s="14">
        <v>0.11</v>
      </c>
      <c r="D13" s="14">
        <v>0.18</v>
      </c>
      <c r="E13" s="14">
        <v>0.09</v>
      </c>
      <c r="F13" s="14">
        <v>7.0000000000000007E-2</v>
      </c>
      <c r="G13" s="14">
        <v>0.09</v>
      </c>
      <c r="H13" s="14">
        <v>0.17</v>
      </c>
      <c r="I13" s="14">
        <v>0.15</v>
      </c>
      <c r="J13" s="14">
        <v>0.09</v>
      </c>
      <c r="K13" s="14">
        <v>0.11</v>
      </c>
      <c r="L13" s="14">
        <v>0.13</v>
      </c>
      <c r="M13" s="14">
        <v>0.09</v>
      </c>
      <c r="N13" s="14">
        <v>0.04</v>
      </c>
      <c r="O13" s="14">
        <v>0.05</v>
      </c>
      <c r="P13" s="14">
        <v>0.15</v>
      </c>
      <c r="Q13" s="14">
        <v>0.14000000000000001</v>
      </c>
      <c r="R13" s="14">
        <v>0.18</v>
      </c>
      <c r="S13" s="14">
        <v>0.1</v>
      </c>
      <c r="T13" s="14">
        <v>0.12</v>
      </c>
      <c r="U13" s="14">
        <v>0.31</v>
      </c>
      <c r="V13" s="14">
        <v>0.14000000000000001</v>
      </c>
      <c r="W13" s="14">
        <v>0.17</v>
      </c>
      <c r="X13" s="14">
        <v>0.13</v>
      </c>
      <c r="Y13" s="14">
        <v>0.28000000000000003</v>
      </c>
      <c r="Z13" s="14">
        <v>0.12</v>
      </c>
      <c r="AA13" s="14">
        <v>0.05</v>
      </c>
      <c r="AB13" s="14">
        <v>0.09</v>
      </c>
      <c r="AC13" s="14">
        <v>0.1</v>
      </c>
      <c r="AD13" s="14">
        <v>0.06</v>
      </c>
      <c r="AE13" s="14">
        <v>0.05</v>
      </c>
      <c r="AF13" s="14">
        <v>0.1</v>
      </c>
    </row>
    <row r="14" spans="1:32">
      <c r="A14" s="23"/>
      <c r="B14" s="11" t="s">
        <v>1323</v>
      </c>
      <c r="C14" s="12">
        <v>3577</v>
      </c>
      <c r="D14" s="12">
        <v>230</v>
      </c>
      <c r="E14" s="12">
        <v>226</v>
      </c>
      <c r="F14" s="12">
        <v>83</v>
      </c>
      <c r="G14" s="12">
        <v>200</v>
      </c>
      <c r="H14" s="12">
        <v>160</v>
      </c>
      <c r="I14" s="12">
        <v>207</v>
      </c>
      <c r="J14" s="12">
        <v>47</v>
      </c>
      <c r="K14" s="12">
        <v>281</v>
      </c>
      <c r="L14" s="12">
        <v>240</v>
      </c>
      <c r="M14" s="12">
        <v>124</v>
      </c>
      <c r="N14" s="12">
        <v>100</v>
      </c>
      <c r="O14" s="12">
        <v>86</v>
      </c>
      <c r="P14" s="12">
        <v>199</v>
      </c>
      <c r="Q14" s="12">
        <v>71</v>
      </c>
      <c r="R14" s="12">
        <v>93</v>
      </c>
      <c r="S14" s="12">
        <v>260</v>
      </c>
      <c r="T14" s="12">
        <v>235</v>
      </c>
      <c r="U14" s="12">
        <v>217</v>
      </c>
      <c r="V14" s="12">
        <v>95</v>
      </c>
      <c r="W14" s="12">
        <v>107</v>
      </c>
      <c r="X14" s="12">
        <v>264</v>
      </c>
      <c r="Y14" s="12">
        <v>249</v>
      </c>
      <c r="Z14" s="12">
        <v>143</v>
      </c>
      <c r="AA14" s="12">
        <v>133</v>
      </c>
      <c r="AB14" s="12">
        <v>171</v>
      </c>
      <c r="AC14" s="12">
        <v>222</v>
      </c>
      <c r="AD14" s="12">
        <v>307</v>
      </c>
      <c r="AE14" s="12">
        <v>218</v>
      </c>
      <c r="AF14" s="12">
        <v>248</v>
      </c>
    </row>
    <row r="15" spans="1:32">
      <c r="A15" s="23"/>
      <c r="B15" s="13" t="s">
        <v>1324</v>
      </c>
      <c r="C15" s="14">
        <v>0.14000000000000001</v>
      </c>
      <c r="D15" s="14">
        <v>0.23</v>
      </c>
      <c r="E15" s="14">
        <v>0.22</v>
      </c>
      <c r="F15" s="14">
        <v>0.08</v>
      </c>
      <c r="G15" s="14">
        <v>0.2</v>
      </c>
      <c r="H15" s="14">
        <v>0.13</v>
      </c>
      <c r="I15" s="14">
        <v>0.14000000000000001</v>
      </c>
      <c r="J15" s="14">
        <v>0.16</v>
      </c>
      <c r="K15" s="14">
        <v>0.28000000000000003</v>
      </c>
      <c r="L15" s="14">
        <v>0.24</v>
      </c>
      <c r="M15" s="14">
        <v>0.12</v>
      </c>
      <c r="N15" s="14">
        <v>0.1</v>
      </c>
      <c r="O15" s="14">
        <v>0.09</v>
      </c>
      <c r="P15" s="14">
        <v>0.2</v>
      </c>
      <c r="Q15" s="14">
        <v>7.0000000000000007E-2</v>
      </c>
      <c r="R15" s="14">
        <v>0.18</v>
      </c>
      <c r="S15" s="14">
        <v>0.26</v>
      </c>
      <c r="T15" s="14">
        <v>0.23</v>
      </c>
      <c r="U15" s="14">
        <v>0.43</v>
      </c>
      <c r="V15" s="14">
        <v>0.1</v>
      </c>
      <c r="W15" s="14">
        <v>0.21</v>
      </c>
      <c r="X15" s="14">
        <v>0.26</v>
      </c>
      <c r="Y15" s="14">
        <v>0.25</v>
      </c>
      <c r="Z15" s="14">
        <v>0.14000000000000001</v>
      </c>
      <c r="AA15" s="14">
        <v>0.13</v>
      </c>
      <c r="AB15" s="14">
        <v>0.17</v>
      </c>
      <c r="AC15" s="14">
        <v>0.22</v>
      </c>
      <c r="AD15" s="14">
        <v>0.31</v>
      </c>
      <c r="AE15" s="14">
        <v>0.22</v>
      </c>
      <c r="AF15" s="14">
        <v>0.23</v>
      </c>
    </row>
    <row r="16" spans="1:32">
      <c r="A16" s="23"/>
      <c r="B16" s="11" t="s">
        <v>1325</v>
      </c>
      <c r="C16" s="12">
        <v>5916</v>
      </c>
      <c r="D16" s="12">
        <v>286</v>
      </c>
      <c r="E16" s="12">
        <v>270</v>
      </c>
      <c r="F16" s="12">
        <v>249</v>
      </c>
      <c r="G16" s="12">
        <v>330</v>
      </c>
      <c r="H16" s="12">
        <v>324</v>
      </c>
      <c r="I16" s="12">
        <v>408</v>
      </c>
      <c r="J16" s="12">
        <v>84</v>
      </c>
      <c r="K16" s="12">
        <v>319</v>
      </c>
      <c r="L16" s="12">
        <v>220</v>
      </c>
      <c r="M16" s="12">
        <v>134</v>
      </c>
      <c r="N16" s="12">
        <v>143</v>
      </c>
      <c r="O16" s="12">
        <v>246</v>
      </c>
      <c r="P16" s="12">
        <v>238</v>
      </c>
      <c r="Q16" s="12">
        <v>141</v>
      </c>
      <c r="R16" s="12">
        <v>131</v>
      </c>
      <c r="S16" s="12">
        <v>261</v>
      </c>
      <c r="T16" s="12">
        <v>216</v>
      </c>
      <c r="U16" s="12">
        <v>91</v>
      </c>
      <c r="V16" s="12">
        <v>185</v>
      </c>
      <c r="W16" s="12">
        <v>122</v>
      </c>
      <c r="X16" s="12">
        <v>347</v>
      </c>
      <c r="Y16" s="12">
        <v>191</v>
      </c>
      <c r="Z16" s="12">
        <v>213</v>
      </c>
      <c r="AA16" s="12">
        <v>135</v>
      </c>
      <c r="AB16" s="12">
        <v>258</v>
      </c>
      <c r="AC16" s="12">
        <v>368</v>
      </c>
      <c r="AD16" s="12">
        <v>256</v>
      </c>
      <c r="AE16" s="12">
        <v>407</v>
      </c>
      <c r="AF16" s="12">
        <v>368</v>
      </c>
    </row>
    <row r="17" spans="1:32">
      <c r="A17" s="23"/>
      <c r="B17" s="13" t="s">
        <v>1326</v>
      </c>
      <c r="C17" s="14">
        <v>0.22</v>
      </c>
      <c r="D17" s="14">
        <v>0.28999999999999998</v>
      </c>
      <c r="E17" s="14">
        <v>0.26</v>
      </c>
      <c r="F17" s="14">
        <v>0.25</v>
      </c>
      <c r="G17" s="14">
        <v>0.33</v>
      </c>
      <c r="H17" s="14">
        <v>0.27</v>
      </c>
      <c r="I17" s="14">
        <v>0.27</v>
      </c>
      <c r="J17" s="14">
        <v>0.28000000000000003</v>
      </c>
      <c r="K17" s="14">
        <v>0.32</v>
      </c>
      <c r="L17" s="14">
        <v>0.22</v>
      </c>
      <c r="M17" s="14">
        <v>0.14000000000000001</v>
      </c>
      <c r="N17" s="14">
        <v>0.14000000000000001</v>
      </c>
      <c r="O17" s="14">
        <v>0.24</v>
      </c>
      <c r="P17" s="14">
        <v>0.23</v>
      </c>
      <c r="Q17" s="14">
        <v>0.14000000000000001</v>
      </c>
      <c r="R17" s="14">
        <v>0.26</v>
      </c>
      <c r="S17" s="14">
        <v>0.26</v>
      </c>
      <c r="T17" s="14">
        <v>0.22</v>
      </c>
      <c r="U17" s="14">
        <v>0.18</v>
      </c>
      <c r="V17" s="14">
        <v>0.18</v>
      </c>
      <c r="W17" s="14">
        <v>0.24</v>
      </c>
      <c r="X17" s="14">
        <v>0.34</v>
      </c>
      <c r="Y17" s="14">
        <v>0.19</v>
      </c>
      <c r="Z17" s="14">
        <v>0.21</v>
      </c>
      <c r="AA17" s="14">
        <v>0.13</v>
      </c>
      <c r="AB17" s="14">
        <v>0.25</v>
      </c>
      <c r="AC17" s="14">
        <v>0.37</v>
      </c>
      <c r="AD17" s="14">
        <v>0.25</v>
      </c>
      <c r="AE17" s="14">
        <v>0.4</v>
      </c>
      <c r="AF17" s="14">
        <v>0.34</v>
      </c>
    </row>
    <row r="18" spans="1:32">
      <c r="A18" s="23"/>
      <c r="B18" s="11" t="s">
        <v>1143</v>
      </c>
      <c r="C18" s="12">
        <v>13983</v>
      </c>
      <c r="D18" s="12">
        <v>305</v>
      </c>
      <c r="E18" s="12">
        <v>448</v>
      </c>
      <c r="F18" s="12">
        <v>605</v>
      </c>
      <c r="G18" s="12">
        <v>381</v>
      </c>
      <c r="H18" s="12">
        <v>523</v>
      </c>
      <c r="I18" s="12">
        <v>660</v>
      </c>
      <c r="J18" s="12">
        <v>137</v>
      </c>
      <c r="K18" s="12">
        <v>297</v>
      </c>
      <c r="L18" s="12">
        <v>406</v>
      </c>
      <c r="M18" s="12">
        <v>659</v>
      </c>
      <c r="N18" s="12">
        <v>720</v>
      </c>
      <c r="O18" s="12">
        <v>624</v>
      </c>
      <c r="P18" s="12">
        <v>425</v>
      </c>
      <c r="Q18" s="12">
        <v>666</v>
      </c>
      <c r="R18" s="12">
        <v>189</v>
      </c>
      <c r="S18" s="12">
        <v>377</v>
      </c>
      <c r="T18" s="12">
        <v>431</v>
      </c>
      <c r="U18" s="12">
        <v>38</v>
      </c>
      <c r="V18" s="12">
        <v>589</v>
      </c>
      <c r="W18" s="12">
        <v>191</v>
      </c>
      <c r="X18" s="12">
        <v>269</v>
      </c>
      <c r="Y18" s="12">
        <v>282</v>
      </c>
      <c r="Z18" s="12">
        <v>538</v>
      </c>
      <c r="AA18" s="12">
        <v>724</v>
      </c>
      <c r="AB18" s="12">
        <v>505</v>
      </c>
      <c r="AC18" s="12">
        <v>309</v>
      </c>
      <c r="AD18" s="12">
        <v>378</v>
      </c>
      <c r="AE18" s="12">
        <v>333</v>
      </c>
      <c r="AF18" s="12">
        <v>350</v>
      </c>
    </row>
    <row r="19" spans="1:32">
      <c r="A19" s="23"/>
      <c r="B19" s="13" t="s">
        <v>1144</v>
      </c>
      <c r="C19" s="14">
        <v>0.53</v>
      </c>
      <c r="D19" s="14">
        <v>0.3</v>
      </c>
      <c r="E19" s="14">
        <v>0.43</v>
      </c>
      <c r="F19" s="14">
        <v>0.6</v>
      </c>
      <c r="G19" s="14">
        <v>0.38</v>
      </c>
      <c r="H19" s="14">
        <v>0.43</v>
      </c>
      <c r="I19" s="14">
        <v>0.44</v>
      </c>
      <c r="J19" s="14">
        <v>0.47</v>
      </c>
      <c r="K19" s="14">
        <v>0.28999999999999998</v>
      </c>
      <c r="L19" s="14">
        <v>0.4</v>
      </c>
      <c r="M19" s="14">
        <v>0.65</v>
      </c>
      <c r="N19" s="14">
        <v>0.72</v>
      </c>
      <c r="O19" s="14">
        <v>0.62</v>
      </c>
      <c r="P19" s="14">
        <v>0.42</v>
      </c>
      <c r="Q19" s="14">
        <v>0.65</v>
      </c>
      <c r="R19" s="14">
        <v>0.38</v>
      </c>
      <c r="S19" s="14">
        <v>0.38</v>
      </c>
      <c r="T19" s="14">
        <v>0.43</v>
      </c>
      <c r="U19" s="14">
        <v>0.08</v>
      </c>
      <c r="V19" s="14">
        <v>0.57999999999999996</v>
      </c>
      <c r="W19" s="14">
        <v>0.38</v>
      </c>
      <c r="X19" s="14">
        <v>0.27</v>
      </c>
      <c r="Y19" s="14">
        <v>0.28000000000000003</v>
      </c>
      <c r="Z19" s="14">
        <v>0.53</v>
      </c>
      <c r="AA19" s="14">
        <v>0.69000000000000006</v>
      </c>
      <c r="AB19" s="14">
        <v>0.49</v>
      </c>
      <c r="AC19" s="14">
        <v>0.31</v>
      </c>
      <c r="AD19" s="14">
        <v>0.38</v>
      </c>
      <c r="AE19" s="14">
        <v>0.33</v>
      </c>
      <c r="AF19" s="14">
        <v>0.33</v>
      </c>
    </row>
    <row r="20" spans="1:32">
      <c r="A20" s="23"/>
      <c r="B20" s="11" t="s">
        <v>497</v>
      </c>
      <c r="C20" s="12">
        <v>11</v>
      </c>
      <c r="D20" s="12">
        <v>0</v>
      </c>
      <c r="E20" s="12">
        <v>0</v>
      </c>
      <c r="F20" s="12">
        <v>3</v>
      </c>
      <c r="G20" s="12">
        <v>3</v>
      </c>
      <c r="H20" s="12">
        <v>0</v>
      </c>
      <c r="I20" s="12">
        <v>0</v>
      </c>
      <c r="J20" s="12">
        <v>0</v>
      </c>
      <c r="K20" s="12">
        <v>0</v>
      </c>
      <c r="L20" s="12">
        <v>8</v>
      </c>
      <c r="M20" s="12">
        <v>0</v>
      </c>
      <c r="N20" s="12">
        <v>0</v>
      </c>
      <c r="O20" s="12">
        <v>0</v>
      </c>
      <c r="P20" s="12">
        <v>0</v>
      </c>
      <c r="Q20" s="12">
        <v>1</v>
      </c>
      <c r="R20" s="12">
        <v>0</v>
      </c>
      <c r="S20" s="12">
        <v>2</v>
      </c>
      <c r="T20" s="12">
        <v>1</v>
      </c>
      <c r="U20" s="12">
        <v>0</v>
      </c>
      <c r="V20" s="12">
        <v>0</v>
      </c>
      <c r="W20" s="12">
        <v>0</v>
      </c>
      <c r="X20" s="12">
        <v>3</v>
      </c>
      <c r="Y20" s="12">
        <v>0</v>
      </c>
      <c r="Z20" s="12">
        <v>0</v>
      </c>
      <c r="AA20" s="12">
        <v>0</v>
      </c>
      <c r="AB20" s="12">
        <v>0</v>
      </c>
      <c r="AC20" s="12">
        <v>0</v>
      </c>
      <c r="AD20" s="12">
        <v>0</v>
      </c>
      <c r="AE20" s="12">
        <v>0</v>
      </c>
      <c r="AF20" s="12">
        <v>0</v>
      </c>
    </row>
    <row r="21" spans="1:32">
      <c r="A21" s="23"/>
      <c r="B21" s="13" t="s">
        <v>498</v>
      </c>
      <c r="C21" s="15" t="s">
        <v>485</v>
      </c>
      <c r="D21" s="15" t="s">
        <v>485</v>
      </c>
      <c r="E21" s="15" t="s">
        <v>485</v>
      </c>
      <c r="F21" s="15" t="s">
        <v>485</v>
      </c>
      <c r="G21" s="15" t="s">
        <v>485</v>
      </c>
      <c r="H21" s="15" t="s">
        <v>485</v>
      </c>
      <c r="I21" s="15" t="s">
        <v>485</v>
      </c>
      <c r="J21" s="15" t="s">
        <v>485</v>
      </c>
      <c r="K21" s="15" t="s">
        <v>485</v>
      </c>
      <c r="L21" s="14">
        <v>0.01</v>
      </c>
      <c r="M21" s="15" t="s">
        <v>485</v>
      </c>
      <c r="N21" s="15" t="s">
        <v>485</v>
      </c>
      <c r="O21" s="15" t="s">
        <v>485</v>
      </c>
      <c r="P21" s="15" t="s">
        <v>485</v>
      </c>
      <c r="Q21" s="15" t="s">
        <v>485</v>
      </c>
      <c r="R21" s="15" t="s">
        <v>485</v>
      </c>
      <c r="S21" s="15" t="s">
        <v>485</v>
      </c>
      <c r="T21" s="15" t="s">
        <v>485</v>
      </c>
      <c r="U21" s="15" t="s">
        <v>485</v>
      </c>
      <c r="V21" s="15" t="s">
        <v>485</v>
      </c>
      <c r="W21" s="15" t="s">
        <v>485</v>
      </c>
      <c r="X21" s="15" t="s">
        <v>485</v>
      </c>
      <c r="Y21" s="15" t="s">
        <v>485</v>
      </c>
      <c r="Z21" s="15" t="s">
        <v>485</v>
      </c>
      <c r="AA21" s="15" t="s">
        <v>485</v>
      </c>
      <c r="AB21" s="15" t="s">
        <v>485</v>
      </c>
      <c r="AC21" s="15" t="s">
        <v>485</v>
      </c>
      <c r="AD21" s="15" t="s">
        <v>485</v>
      </c>
      <c r="AE21" s="15" t="s">
        <v>485</v>
      </c>
      <c r="AF21" s="15" t="s">
        <v>485</v>
      </c>
    </row>
  </sheetData>
  <mergeCells count="9">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dimension ref="A1:AF21"/>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12" customHeight="1">
      <c r="B3" s="19" t="s">
        <v>241</v>
      </c>
      <c r="C3" s="19"/>
      <c r="D3" s="19"/>
      <c r="E3" s="19"/>
      <c r="F3" s="19"/>
      <c r="H3" s="19" t="s">
        <v>242</v>
      </c>
      <c r="I3" s="19"/>
      <c r="J3" s="19"/>
      <c r="K3" s="19"/>
      <c r="L3" s="19"/>
    </row>
    <row r="4" spans="1:32" ht="27" customHeight="1">
      <c r="B4" s="19"/>
      <c r="C4" s="19"/>
      <c r="D4" s="19"/>
      <c r="E4" s="19"/>
      <c r="F4" s="19"/>
      <c r="H4" s="19"/>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HYPERLINK("#Content!A122","&lt;&lt;Back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1321</v>
      </c>
      <c r="C12" s="12">
        <v>1920</v>
      </c>
      <c r="D12" s="12">
        <v>123</v>
      </c>
      <c r="E12" s="12">
        <v>47</v>
      </c>
      <c r="F12" s="12">
        <v>44</v>
      </c>
      <c r="G12" s="12">
        <v>45</v>
      </c>
      <c r="H12" s="12">
        <v>135</v>
      </c>
      <c r="I12" s="12">
        <v>151</v>
      </c>
      <c r="J12" s="12">
        <v>15</v>
      </c>
      <c r="K12" s="12">
        <v>53</v>
      </c>
      <c r="L12" s="12">
        <v>86</v>
      </c>
      <c r="M12" s="12">
        <v>86</v>
      </c>
      <c r="N12" s="12">
        <v>17</v>
      </c>
      <c r="O12" s="12">
        <v>30</v>
      </c>
      <c r="P12" s="12">
        <v>116</v>
      </c>
      <c r="Q12" s="12">
        <v>112</v>
      </c>
      <c r="R12" s="12">
        <v>72</v>
      </c>
      <c r="S12" s="12">
        <v>46</v>
      </c>
      <c r="T12" s="12">
        <v>57</v>
      </c>
      <c r="U12" s="12">
        <v>82</v>
      </c>
      <c r="V12" s="12">
        <v>115</v>
      </c>
      <c r="W12" s="12">
        <v>37</v>
      </c>
      <c r="X12" s="12">
        <v>65</v>
      </c>
      <c r="Y12" s="12">
        <v>243</v>
      </c>
      <c r="Z12" s="12">
        <v>88</v>
      </c>
      <c r="AA12" s="12">
        <v>37</v>
      </c>
      <c r="AB12" s="12">
        <v>66</v>
      </c>
      <c r="AC12" s="12">
        <v>77</v>
      </c>
      <c r="AD12" s="12">
        <v>36</v>
      </c>
      <c r="AE12" s="12">
        <v>10</v>
      </c>
      <c r="AF12" s="12">
        <v>33</v>
      </c>
    </row>
    <row r="13" spans="1:32">
      <c r="A13" s="23"/>
      <c r="B13" s="13" t="s">
        <v>1322</v>
      </c>
      <c r="C13" s="14">
        <v>7.0000000000000007E-2</v>
      </c>
      <c r="D13" s="14">
        <v>0.12</v>
      </c>
      <c r="E13" s="14">
        <v>0.04</v>
      </c>
      <c r="F13" s="14">
        <v>0.04</v>
      </c>
      <c r="G13" s="14">
        <v>0.05</v>
      </c>
      <c r="H13" s="14">
        <v>0.11</v>
      </c>
      <c r="I13" s="14">
        <v>0.1</v>
      </c>
      <c r="J13" s="14">
        <v>0.05</v>
      </c>
      <c r="K13" s="14">
        <v>0.05</v>
      </c>
      <c r="L13" s="14">
        <v>0.08</v>
      </c>
      <c r="M13" s="14">
        <v>0.09</v>
      </c>
      <c r="N13" s="14">
        <v>0.02</v>
      </c>
      <c r="O13" s="14">
        <v>0.03</v>
      </c>
      <c r="P13" s="14">
        <v>0.11</v>
      </c>
      <c r="Q13" s="14">
        <v>0.11</v>
      </c>
      <c r="R13" s="14">
        <v>0.14000000000000001</v>
      </c>
      <c r="S13" s="14">
        <v>0.05</v>
      </c>
      <c r="T13" s="14">
        <v>0.06</v>
      </c>
      <c r="U13" s="14">
        <v>0.16</v>
      </c>
      <c r="V13" s="14">
        <v>0.12</v>
      </c>
      <c r="W13" s="14">
        <v>7.0000000000000007E-2</v>
      </c>
      <c r="X13" s="14">
        <v>0.06</v>
      </c>
      <c r="Y13" s="14">
        <v>0.24</v>
      </c>
      <c r="Z13" s="14">
        <v>0.09</v>
      </c>
      <c r="AA13" s="14">
        <v>0.04</v>
      </c>
      <c r="AB13" s="14">
        <v>0.06</v>
      </c>
      <c r="AC13" s="14">
        <v>7.0000000000000007E-2</v>
      </c>
      <c r="AD13" s="14">
        <v>0.04</v>
      </c>
      <c r="AE13" s="14">
        <v>0.01</v>
      </c>
      <c r="AF13" s="14">
        <v>0.03</v>
      </c>
    </row>
    <row r="14" spans="1:32">
      <c r="A14" s="23"/>
      <c r="B14" s="11" t="s">
        <v>1323</v>
      </c>
      <c r="C14" s="12">
        <v>2669</v>
      </c>
      <c r="D14" s="12">
        <v>149</v>
      </c>
      <c r="E14" s="12">
        <v>166</v>
      </c>
      <c r="F14" s="12">
        <v>64</v>
      </c>
      <c r="G14" s="12">
        <v>112</v>
      </c>
      <c r="H14" s="12">
        <v>149</v>
      </c>
      <c r="I14" s="12">
        <v>186</v>
      </c>
      <c r="J14" s="12">
        <v>37</v>
      </c>
      <c r="K14" s="12">
        <v>189</v>
      </c>
      <c r="L14" s="12">
        <v>200</v>
      </c>
      <c r="M14" s="12">
        <v>84</v>
      </c>
      <c r="N14" s="12">
        <v>54</v>
      </c>
      <c r="O14" s="12">
        <v>63</v>
      </c>
      <c r="P14" s="12">
        <v>150</v>
      </c>
      <c r="Q14" s="12">
        <v>63</v>
      </c>
      <c r="R14" s="12">
        <v>80</v>
      </c>
      <c r="S14" s="12">
        <v>163</v>
      </c>
      <c r="T14" s="12">
        <v>151</v>
      </c>
      <c r="U14" s="12">
        <v>225</v>
      </c>
      <c r="V14" s="12">
        <v>72</v>
      </c>
      <c r="W14" s="12">
        <v>65</v>
      </c>
      <c r="X14" s="12">
        <v>148</v>
      </c>
      <c r="Y14" s="12">
        <v>201</v>
      </c>
      <c r="Z14" s="12">
        <v>123</v>
      </c>
      <c r="AA14" s="12">
        <v>98</v>
      </c>
      <c r="AB14" s="12">
        <v>126</v>
      </c>
      <c r="AC14" s="12">
        <v>167</v>
      </c>
      <c r="AD14" s="12">
        <v>218</v>
      </c>
      <c r="AE14" s="12">
        <v>96</v>
      </c>
      <c r="AF14" s="12">
        <v>163</v>
      </c>
    </row>
    <row r="15" spans="1:32">
      <c r="A15" s="23"/>
      <c r="B15" s="13" t="s">
        <v>1324</v>
      </c>
      <c r="C15" s="14">
        <v>0.1</v>
      </c>
      <c r="D15" s="14">
        <v>0.15</v>
      </c>
      <c r="E15" s="14">
        <v>0.16</v>
      </c>
      <c r="F15" s="14">
        <v>0.06</v>
      </c>
      <c r="G15" s="14">
        <v>0.11</v>
      </c>
      <c r="H15" s="14">
        <v>0.12</v>
      </c>
      <c r="I15" s="14">
        <v>0.13</v>
      </c>
      <c r="J15" s="14">
        <v>0.13</v>
      </c>
      <c r="K15" s="14">
        <v>0.19</v>
      </c>
      <c r="L15" s="14">
        <v>0.2</v>
      </c>
      <c r="M15" s="14">
        <v>0.08</v>
      </c>
      <c r="N15" s="14">
        <v>0.05</v>
      </c>
      <c r="O15" s="14">
        <v>0.06</v>
      </c>
      <c r="P15" s="14">
        <v>0.15</v>
      </c>
      <c r="Q15" s="14">
        <v>0.06</v>
      </c>
      <c r="R15" s="14">
        <v>0.16</v>
      </c>
      <c r="S15" s="14">
        <v>0.16</v>
      </c>
      <c r="T15" s="14">
        <v>0.15</v>
      </c>
      <c r="U15" s="14">
        <v>0.45</v>
      </c>
      <c r="V15" s="14">
        <v>7.0000000000000007E-2</v>
      </c>
      <c r="W15" s="14">
        <v>0.13</v>
      </c>
      <c r="X15" s="14">
        <v>0.15</v>
      </c>
      <c r="Y15" s="14">
        <v>0.2</v>
      </c>
      <c r="Z15" s="14">
        <v>0.12</v>
      </c>
      <c r="AA15" s="14">
        <v>0.09</v>
      </c>
      <c r="AB15" s="14">
        <v>0.12</v>
      </c>
      <c r="AC15" s="14">
        <v>0.17</v>
      </c>
      <c r="AD15" s="14">
        <v>0.22</v>
      </c>
      <c r="AE15" s="14">
        <v>0.1</v>
      </c>
      <c r="AF15" s="14">
        <v>0.15</v>
      </c>
    </row>
    <row r="16" spans="1:32">
      <c r="A16" s="23"/>
      <c r="B16" s="11" t="s">
        <v>1325</v>
      </c>
      <c r="C16" s="12">
        <v>5820</v>
      </c>
      <c r="D16" s="12">
        <v>311</v>
      </c>
      <c r="E16" s="12">
        <v>279</v>
      </c>
      <c r="F16" s="12">
        <v>246</v>
      </c>
      <c r="G16" s="12">
        <v>341</v>
      </c>
      <c r="H16" s="12">
        <v>341</v>
      </c>
      <c r="I16" s="12">
        <v>425</v>
      </c>
      <c r="J16" s="12">
        <v>85</v>
      </c>
      <c r="K16" s="12">
        <v>366</v>
      </c>
      <c r="L16" s="12">
        <v>238</v>
      </c>
      <c r="M16" s="12">
        <v>122</v>
      </c>
      <c r="N16" s="12">
        <v>111</v>
      </c>
      <c r="O16" s="12">
        <v>223</v>
      </c>
      <c r="P16" s="12">
        <v>239</v>
      </c>
      <c r="Q16" s="12">
        <v>123</v>
      </c>
      <c r="R16" s="12">
        <v>130</v>
      </c>
      <c r="S16" s="12">
        <v>266</v>
      </c>
      <c r="T16" s="12">
        <v>257</v>
      </c>
      <c r="U16" s="12">
        <v>131</v>
      </c>
      <c r="V16" s="12">
        <v>152</v>
      </c>
      <c r="W16" s="12">
        <v>134</v>
      </c>
      <c r="X16" s="12">
        <v>408</v>
      </c>
      <c r="Y16" s="12">
        <v>210</v>
      </c>
      <c r="Z16" s="12">
        <v>203</v>
      </c>
      <c r="AA16" s="12">
        <v>117</v>
      </c>
      <c r="AB16" s="12">
        <v>245</v>
      </c>
      <c r="AC16" s="12">
        <v>381</v>
      </c>
      <c r="AD16" s="12">
        <v>314</v>
      </c>
      <c r="AE16" s="12">
        <v>425</v>
      </c>
      <c r="AF16" s="12">
        <v>407</v>
      </c>
    </row>
    <row r="17" spans="1:32">
      <c r="A17" s="23"/>
      <c r="B17" s="13" t="s">
        <v>1326</v>
      </c>
      <c r="C17" s="14">
        <v>0.22</v>
      </c>
      <c r="D17" s="14">
        <v>0.31</v>
      </c>
      <c r="E17" s="14">
        <v>0.27</v>
      </c>
      <c r="F17" s="14">
        <v>0.25</v>
      </c>
      <c r="G17" s="14">
        <v>0.34</v>
      </c>
      <c r="H17" s="14">
        <v>0.28000000000000003</v>
      </c>
      <c r="I17" s="14">
        <v>0.28000000000000003</v>
      </c>
      <c r="J17" s="14">
        <v>0.28999999999999998</v>
      </c>
      <c r="K17" s="14">
        <v>0.36</v>
      </c>
      <c r="L17" s="14">
        <v>0.24</v>
      </c>
      <c r="M17" s="14">
        <v>0.12</v>
      </c>
      <c r="N17" s="14">
        <v>0.11</v>
      </c>
      <c r="O17" s="14">
        <v>0.22</v>
      </c>
      <c r="P17" s="14">
        <v>0.24</v>
      </c>
      <c r="Q17" s="14">
        <v>0.12</v>
      </c>
      <c r="R17" s="14">
        <v>0.26</v>
      </c>
      <c r="S17" s="14">
        <v>0.26</v>
      </c>
      <c r="T17" s="14">
        <v>0.25</v>
      </c>
      <c r="U17" s="14">
        <v>0.26</v>
      </c>
      <c r="V17" s="14">
        <v>0.15</v>
      </c>
      <c r="W17" s="14">
        <v>0.27</v>
      </c>
      <c r="X17" s="14">
        <v>0.4</v>
      </c>
      <c r="Y17" s="14">
        <v>0.21</v>
      </c>
      <c r="Z17" s="14">
        <v>0.2</v>
      </c>
      <c r="AA17" s="14">
        <v>0.11</v>
      </c>
      <c r="AB17" s="14">
        <v>0.24</v>
      </c>
      <c r="AC17" s="14">
        <v>0.38</v>
      </c>
      <c r="AD17" s="14">
        <v>0.31</v>
      </c>
      <c r="AE17" s="14">
        <v>0.42</v>
      </c>
      <c r="AF17" s="14">
        <v>0.38</v>
      </c>
    </row>
    <row r="18" spans="1:32">
      <c r="A18" s="23"/>
      <c r="B18" s="11" t="s">
        <v>1143</v>
      </c>
      <c r="C18" s="12">
        <v>15930</v>
      </c>
      <c r="D18" s="12">
        <v>422</v>
      </c>
      <c r="E18" s="12">
        <v>553</v>
      </c>
      <c r="F18" s="12">
        <v>649</v>
      </c>
      <c r="G18" s="12">
        <v>501</v>
      </c>
      <c r="H18" s="12">
        <v>586</v>
      </c>
      <c r="I18" s="12">
        <v>741</v>
      </c>
      <c r="J18" s="12">
        <v>156</v>
      </c>
      <c r="K18" s="12">
        <v>392</v>
      </c>
      <c r="L18" s="12">
        <v>473</v>
      </c>
      <c r="M18" s="12">
        <v>719</v>
      </c>
      <c r="N18" s="12">
        <v>817</v>
      </c>
      <c r="O18" s="12">
        <v>690</v>
      </c>
      <c r="P18" s="12">
        <v>507</v>
      </c>
      <c r="Q18" s="12">
        <v>726</v>
      </c>
      <c r="R18" s="12">
        <v>219</v>
      </c>
      <c r="S18" s="12">
        <v>527</v>
      </c>
      <c r="T18" s="12">
        <v>538</v>
      </c>
      <c r="U18" s="12">
        <v>66</v>
      </c>
      <c r="V18" s="12">
        <v>671</v>
      </c>
      <c r="W18" s="12">
        <v>268</v>
      </c>
      <c r="X18" s="12">
        <v>393</v>
      </c>
      <c r="Y18" s="12">
        <v>352</v>
      </c>
      <c r="Z18" s="12">
        <v>602</v>
      </c>
      <c r="AA18" s="12">
        <v>788</v>
      </c>
      <c r="AB18" s="12">
        <v>594</v>
      </c>
      <c r="AC18" s="12">
        <v>380</v>
      </c>
      <c r="AD18" s="12">
        <v>434</v>
      </c>
      <c r="AE18" s="12">
        <v>476</v>
      </c>
      <c r="AF18" s="12">
        <v>470</v>
      </c>
    </row>
    <row r="19" spans="1:32">
      <c r="A19" s="23"/>
      <c r="B19" s="13" t="s">
        <v>1144</v>
      </c>
      <c r="C19" s="14">
        <v>0.61</v>
      </c>
      <c r="D19" s="14">
        <v>0.42</v>
      </c>
      <c r="E19" s="14">
        <v>0.53</v>
      </c>
      <c r="F19" s="14">
        <v>0.65</v>
      </c>
      <c r="G19" s="14">
        <v>0.5</v>
      </c>
      <c r="H19" s="14">
        <v>0.49</v>
      </c>
      <c r="I19" s="14">
        <v>0.49</v>
      </c>
      <c r="J19" s="14">
        <v>0.53</v>
      </c>
      <c r="K19" s="14">
        <v>0.39</v>
      </c>
      <c r="L19" s="14">
        <v>0.47</v>
      </c>
      <c r="M19" s="14">
        <v>0.71</v>
      </c>
      <c r="N19" s="14">
        <v>0.82000000000000006</v>
      </c>
      <c r="O19" s="14">
        <v>0.69000000000000006</v>
      </c>
      <c r="P19" s="14">
        <v>0.5</v>
      </c>
      <c r="Q19" s="14">
        <v>0.71</v>
      </c>
      <c r="R19" s="14">
        <v>0.44</v>
      </c>
      <c r="S19" s="14">
        <v>0.53</v>
      </c>
      <c r="T19" s="14">
        <v>0.54</v>
      </c>
      <c r="U19" s="14">
        <v>0.13</v>
      </c>
      <c r="V19" s="14">
        <v>0.66</v>
      </c>
      <c r="W19" s="14">
        <v>0.53</v>
      </c>
      <c r="X19" s="14">
        <v>0.39</v>
      </c>
      <c r="Y19" s="14">
        <v>0.35</v>
      </c>
      <c r="Z19" s="14">
        <v>0.59</v>
      </c>
      <c r="AA19" s="14">
        <v>0.76</v>
      </c>
      <c r="AB19" s="14">
        <v>0.57999999999999996</v>
      </c>
      <c r="AC19" s="14">
        <v>0.38</v>
      </c>
      <c r="AD19" s="14">
        <v>0.43</v>
      </c>
      <c r="AE19" s="14">
        <v>0.47</v>
      </c>
      <c r="AF19" s="14">
        <v>0.44</v>
      </c>
    </row>
    <row r="20" spans="1:32">
      <c r="A20" s="23"/>
      <c r="B20" s="11" t="s">
        <v>497</v>
      </c>
      <c r="C20" s="12">
        <v>15</v>
      </c>
      <c r="D20" s="12">
        <v>0</v>
      </c>
      <c r="E20" s="12">
        <v>0</v>
      </c>
      <c r="F20" s="12">
        <v>3</v>
      </c>
      <c r="G20" s="12">
        <v>3</v>
      </c>
      <c r="H20" s="12">
        <v>0</v>
      </c>
      <c r="I20" s="12">
        <v>0</v>
      </c>
      <c r="J20" s="12">
        <v>0</v>
      </c>
      <c r="K20" s="12">
        <v>5</v>
      </c>
      <c r="L20" s="12">
        <v>10</v>
      </c>
      <c r="M20" s="12">
        <v>0</v>
      </c>
      <c r="N20" s="12">
        <v>0</v>
      </c>
      <c r="O20" s="12">
        <v>0</v>
      </c>
      <c r="P20" s="12">
        <v>0</v>
      </c>
      <c r="Q20" s="12">
        <v>1</v>
      </c>
      <c r="R20" s="12">
        <v>0</v>
      </c>
      <c r="S20" s="12">
        <v>3</v>
      </c>
      <c r="T20" s="12">
        <v>1</v>
      </c>
      <c r="U20" s="12">
        <v>0</v>
      </c>
      <c r="V20" s="12">
        <v>1</v>
      </c>
      <c r="W20" s="12">
        <v>0</v>
      </c>
      <c r="X20" s="12">
        <v>3</v>
      </c>
      <c r="Y20" s="12">
        <v>0</v>
      </c>
      <c r="Z20" s="12">
        <v>1</v>
      </c>
      <c r="AA20" s="12">
        <v>0</v>
      </c>
      <c r="AB20" s="12">
        <v>0</v>
      </c>
      <c r="AC20" s="12">
        <v>0</v>
      </c>
      <c r="AD20" s="12">
        <v>0</v>
      </c>
      <c r="AE20" s="12">
        <v>0</v>
      </c>
      <c r="AF20" s="12">
        <v>0</v>
      </c>
    </row>
    <row r="21" spans="1:32">
      <c r="A21" s="23"/>
      <c r="B21" s="13" t="s">
        <v>498</v>
      </c>
      <c r="C21" s="15" t="s">
        <v>485</v>
      </c>
      <c r="D21" s="15" t="s">
        <v>485</v>
      </c>
      <c r="E21" s="15" t="s">
        <v>485</v>
      </c>
      <c r="F21" s="15" t="s">
        <v>485</v>
      </c>
      <c r="G21" s="15" t="s">
        <v>485</v>
      </c>
      <c r="H21" s="15" t="s">
        <v>485</v>
      </c>
      <c r="I21" s="15" t="s">
        <v>485</v>
      </c>
      <c r="J21" s="15" t="s">
        <v>485</v>
      </c>
      <c r="K21" s="14">
        <v>0.01</v>
      </c>
      <c r="L21" s="14">
        <v>0.01</v>
      </c>
      <c r="M21" s="15" t="s">
        <v>485</v>
      </c>
      <c r="N21" s="15" t="s">
        <v>485</v>
      </c>
      <c r="O21" s="15" t="s">
        <v>485</v>
      </c>
      <c r="P21" s="15" t="s">
        <v>485</v>
      </c>
      <c r="Q21" s="15" t="s">
        <v>485</v>
      </c>
      <c r="R21" s="15" t="s">
        <v>485</v>
      </c>
      <c r="S21" s="15" t="s">
        <v>485</v>
      </c>
      <c r="T21" s="15" t="s">
        <v>485</v>
      </c>
      <c r="U21" s="15" t="s">
        <v>485</v>
      </c>
      <c r="V21" s="15" t="s">
        <v>485</v>
      </c>
      <c r="W21" s="15" t="s">
        <v>485</v>
      </c>
      <c r="X21" s="15" t="s">
        <v>485</v>
      </c>
      <c r="Y21" s="15" t="s">
        <v>485</v>
      </c>
      <c r="Z21" s="15" t="s">
        <v>485</v>
      </c>
      <c r="AA21" s="15" t="s">
        <v>485</v>
      </c>
      <c r="AB21" s="15" t="s">
        <v>485</v>
      </c>
      <c r="AC21" s="15" t="s">
        <v>485</v>
      </c>
      <c r="AD21" s="15" t="s">
        <v>485</v>
      </c>
      <c r="AE21" s="15" t="s">
        <v>485</v>
      </c>
      <c r="AF21" s="15" t="s">
        <v>485</v>
      </c>
    </row>
  </sheetData>
  <mergeCells count="9">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dimension ref="A1:AF21"/>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12" customHeight="1">
      <c r="B3" s="19" t="s">
        <v>243</v>
      </c>
      <c r="C3" s="19"/>
      <c r="D3" s="19"/>
      <c r="E3" s="19"/>
      <c r="F3" s="19"/>
      <c r="H3" s="19" t="s">
        <v>244</v>
      </c>
      <c r="I3" s="19"/>
      <c r="J3" s="19"/>
      <c r="K3" s="19"/>
      <c r="L3" s="19"/>
    </row>
    <row r="4" spans="1:32" ht="27" customHeight="1">
      <c r="B4" s="19"/>
      <c r="C4" s="19"/>
      <c r="D4" s="19"/>
      <c r="E4" s="19"/>
      <c r="F4" s="19"/>
      <c r="H4" s="19"/>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HYPERLINK("#Content!A123","&lt;&lt;Back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1321</v>
      </c>
      <c r="C12" s="12">
        <v>1956</v>
      </c>
      <c r="D12" s="12">
        <v>133</v>
      </c>
      <c r="E12" s="12">
        <v>82</v>
      </c>
      <c r="F12" s="12">
        <v>44</v>
      </c>
      <c r="G12" s="12">
        <v>68</v>
      </c>
      <c r="H12" s="12">
        <v>129</v>
      </c>
      <c r="I12" s="12">
        <v>144</v>
      </c>
      <c r="J12" s="12">
        <v>15</v>
      </c>
      <c r="K12" s="12">
        <v>82</v>
      </c>
      <c r="L12" s="12">
        <v>106</v>
      </c>
      <c r="M12" s="12">
        <v>63</v>
      </c>
      <c r="N12" s="12">
        <v>30</v>
      </c>
      <c r="O12" s="12">
        <v>38</v>
      </c>
      <c r="P12" s="12">
        <v>127</v>
      </c>
      <c r="Q12" s="12">
        <v>92</v>
      </c>
      <c r="R12" s="12">
        <v>75</v>
      </c>
      <c r="S12" s="12">
        <v>90</v>
      </c>
      <c r="T12" s="12">
        <v>94</v>
      </c>
      <c r="U12" s="12">
        <v>132</v>
      </c>
      <c r="V12" s="12">
        <v>69</v>
      </c>
      <c r="W12" s="12">
        <v>73</v>
      </c>
      <c r="X12" s="12">
        <v>112</v>
      </c>
      <c r="Y12" s="12">
        <v>187</v>
      </c>
      <c r="Z12" s="12">
        <v>77</v>
      </c>
      <c r="AA12" s="12">
        <v>37</v>
      </c>
      <c r="AB12" s="12">
        <v>65</v>
      </c>
      <c r="AC12" s="12">
        <v>81</v>
      </c>
      <c r="AD12" s="12">
        <v>49</v>
      </c>
      <c r="AE12" s="12">
        <v>49</v>
      </c>
      <c r="AF12" s="12">
        <v>87</v>
      </c>
    </row>
    <row r="13" spans="1:32">
      <c r="A13" s="23"/>
      <c r="B13" s="13" t="s">
        <v>1322</v>
      </c>
      <c r="C13" s="14">
        <v>7.0000000000000007E-2</v>
      </c>
      <c r="D13" s="14">
        <v>0.13</v>
      </c>
      <c r="E13" s="14">
        <v>0.08</v>
      </c>
      <c r="F13" s="14">
        <v>0.04</v>
      </c>
      <c r="G13" s="14">
        <v>7.0000000000000007E-2</v>
      </c>
      <c r="H13" s="14">
        <v>0.11</v>
      </c>
      <c r="I13" s="14">
        <v>0.1</v>
      </c>
      <c r="J13" s="14">
        <v>0.05</v>
      </c>
      <c r="K13" s="14">
        <v>0.08</v>
      </c>
      <c r="L13" s="14">
        <v>0.11</v>
      </c>
      <c r="M13" s="14">
        <v>0.06</v>
      </c>
      <c r="N13" s="14">
        <v>0.03</v>
      </c>
      <c r="O13" s="14">
        <v>0.04</v>
      </c>
      <c r="P13" s="14">
        <v>0.12</v>
      </c>
      <c r="Q13" s="14">
        <v>0.09</v>
      </c>
      <c r="R13" s="14">
        <v>0.15</v>
      </c>
      <c r="S13" s="14">
        <v>0.09</v>
      </c>
      <c r="T13" s="14">
        <v>0.09</v>
      </c>
      <c r="U13" s="14">
        <v>0.26</v>
      </c>
      <c r="V13" s="14">
        <v>7.0000000000000007E-2</v>
      </c>
      <c r="W13" s="14">
        <v>0.14000000000000001</v>
      </c>
      <c r="X13" s="14">
        <v>0.11</v>
      </c>
      <c r="Y13" s="14">
        <v>0.19</v>
      </c>
      <c r="Z13" s="14">
        <v>7.0000000000000007E-2</v>
      </c>
      <c r="AA13" s="14">
        <v>0.04</v>
      </c>
      <c r="AB13" s="14">
        <v>0.06</v>
      </c>
      <c r="AC13" s="14">
        <v>0.08</v>
      </c>
      <c r="AD13" s="14">
        <v>0.05</v>
      </c>
      <c r="AE13" s="14">
        <v>0.05</v>
      </c>
      <c r="AF13" s="14">
        <v>0.08</v>
      </c>
    </row>
    <row r="14" spans="1:32">
      <c r="A14" s="23"/>
      <c r="B14" s="11" t="s">
        <v>1323</v>
      </c>
      <c r="C14" s="12">
        <v>3319</v>
      </c>
      <c r="D14" s="12">
        <v>226</v>
      </c>
      <c r="E14" s="12">
        <v>205</v>
      </c>
      <c r="F14" s="12">
        <v>66</v>
      </c>
      <c r="G14" s="12">
        <v>185</v>
      </c>
      <c r="H14" s="12">
        <v>126</v>
      </c>
      <c r="I14" s="12">
        <v>164</v>
      </c>
      <c r="J14" s="12">
        <v>38</v>
      </c>
      <c r="K14" s="12">
        <v>268</v>
      </c>
      <c r="L14" s="12">
        <v>225</v>
      </c>
      <c r="M14" s="12">
        <v>119</v>
      </c>
      <c r="N14" s="12">
        <v>89</v>
      </c>
      <c r="O14" s="12">
        <v>79</v>
      </c>
      <c r="P14" s="12">
        <v>188</v>
      </c>
      <c r="Q14" s="12">
        <v>80</v>
      </c>
      <c r="R14" s="12">
        <v>95</v>
      </c>
      <c r="S14" s="12">
        <v>256</v>
      </c>
      <c r="T14" s="12">
        <v>239</v>
      </c>
      <c r="U14" s="12">
        <v>209</v>
      </c>
      <c r="V14" s="12">
        <v>112</v>
      </c>
      <c r="W14" s="12">
        <v>107</v>
      </c>
      <c r="X14" s="12">
        <v>244</v>
      </c>
      <c r="Y14" s="12">
        <v>252</v>
      </c>
      <c r="Z14" s="12">
        <v>151</v>
      </c>
      <c r="AA14" s="12">
        <v>114</v>
      </c>
      <c r="AB14" s="12">
        <v>162</v>
      </c>
      <c r="AC14" s="12">
        <v>187</v>
      </c>
      <c r="AD14" s="12">
        <v>277</v>
      </c>
      <c r="AE14" s="12">
        <v>200</v>
      </c>
      <c r="AF14" s="12">
        <v>216</v>
      </c>
    </row>
    <row r="15" spans="1:32">
      <c r="A15" s="23"/>
      <c r="B15" s="13" t="s">
        <v>1324</v>
      </c>
      <c r="C15" s="14">
        <v>0.13</v>
      </c>
      <c r="D15" s="14">
        <v>0.22</v>
      </c>
      <c r="E15" s="14">
        <v>0.19</v>
      </c>
      <c r="F15" s="14">
        <v>7.0000000000000007E-2</v>
      </c>
      <c r="G15" s="14">
        <v>0.19</v>
      </c>
      <c r="H15" s="14">
        <v>0.1</v>
      </c>
      <c r="I15" s="14">
        <v>0.11</v>
      </c>
      <c r="J15" s="14">
        <v>0.13</v>
      </c>
      <c r="K15" s="14">
        <v>0.27</v>
      </c>
      <c r="L15" s="14">
        <v>0.22</v>
      </c>
      <c r="M15" s="14">
        <v>0.12</v>
      </c>
      <c r="N15" s="14">
        <v>0.09</v>
      </c>
      <c r="O15" s="14">
        <v>0.08</v>
      </c>
      <c r="P15" s="14">
        <v>0.19</v>
      </c>
      <c r="Q15" s="14">
        <v>0.08</v>
      </c>
      <c r="R15" s="14">
        <v>0.19</v>
      </c>
      <c r="S15" s="14">
        <v>0.25</v>
      </c>
      <c r="T15" s="14">
        <v>0.24</v>
      </c>
      <c r="U15" s="14">
        <v>0.42</v>
      </c>
      <c r="V15" s="14">
        <v>0.11</v>
      </c>
      <c r="W15" s="14">
        <v>0.21</v>
      </c>
      <c r="X15" s="14">
        <v>0.24</v>
      </c>
      <c r="Y15" s="14">
        <v>0.25</v>
      </c>
      <c r="Z15" s="14">
        <v>0.15</v>
      </c>
      <c r="AA15" s="14">
        <v>0.11</v>
      </c>
      <c r="AB15" s="14">
        <v>0.16</v>
      </c>
      <c r="AC15" s="14">
        <v>0.19</v>
      </c>
      <c r="AD15" s="14">
        <v>0.28000000000000003</v>
      </c>
      <c r="AE15" s="14">
        <v>0.2</v>
      </c>
      <c r="AF15" s="14">
        <v>0.2</v>
      </c>
    </row>
    <row r="16" spans="1:32">
      <c r="A16" s="23"/>
      <c r="B16" s="11" t="s">
        <v>1325</v>
      </c>
      <c r="C16" s="12">
        <v>5349</v>
      </c>
      <c r="D16" s="12">
        <v>267</v>
      </c>
      <c r="E16" s="12">
        <v>268</v>
      </c>
      <c r="F16" s="12">
        <v>196</v>
      </c>
      <c r="G16" s="12">
        <v>262</v>
      </c>
      <c r="H16" s="12">
        <v>277</v>
      </c>
      <c r="I16" s="12">
        <v>351</v>
      </c>
      <c r="J16" s="12">
        <v>75</v>
      </c>
      <c r="K16" s="12">
        <v>291</v>
      </c>
      <c r="L16" s="12">
        <v>224</v>
      </c>
      <c r="M16" s="12">
        <v>125</v>
      </c>
      <c r="N16" s="12">
        <v>137</v>
      </c>
      <c r="O16" s="12">
        <v>225</v>
      </c>
      <c r="P16" s="12">
        <v>230</v>
      </c>
      <c r="Q16" s="12">
        <v>125</v>
      </c>
      <c r="R16" s="12">
        <v>123</v>
      </c>
      <c r="S16" s="12">
        <v>229</v>
      </c>
      <c r="T16" s="12">
        <v>208</v>
      </c>
      <c r="U16" s="12">
        <v>95</v>
      </c>
      <c r="V16" s="12">
        <v>184</v>
      </c>
      <c r="W16" s="12">
        <v>119</v>
      </c>
      <c r="X16" s="12">
        <v>286</v>
      </c>
      <c r="Y16" s="12">
        <v>206</v>
      </c>
      <c r="Z16" s="12">
        <v>211</v>
      </c>
      <c r="AA16" s="12">
        <v>125</v>
      </c>
      <c r="AB16" s="12">
        <v>241</v>
      </c>
      <c r="AC16" s="12">
        <v>315</v>
      </c>
      <c r="AD16" s="12">
        <v>246</v>
      </c>
      <c r="AE16" s="12">
        <v>355</v>
      </c>
      <c r="AF16" s="12">
        <v>317</v>
      </c>
    </row>
    <row r="17" spans="1:32">
      <c r="A17" s="23"/>
      <c r="B17" s="13" t="s">
        <v>1326</v>
      </c>
      <c r="C17" s="14">
        <v>0.2</v>
      </c>
      <c r="D17" s="14">
        <v>0.27</v>
      </c>
      <c r="E17" s="14">
        <v>0.26</v>
      </c>
      <c r="F17" s="14">
        <v>0.2</v>
      </c>
      <c r="G17" s="14">
        <v>0.26</v>
      </c>
      <c r="H17" s="14">
        <v>0.23</v>
      </c>
      <c r="I17" s="14">
        <v>0.23</v>
      </c>
      <c r="J17" s="14">
        <v>0.26</v>
      </c>
      <c r="K17" s="14">
        <v>0.28999999999999998</v>
      </c>
      <c r="L17" s="14">
        <v>0.22</v>
      </c>
      <c r="M17" s="14">
        <v>0.12</v>
      </c>
      <c r="N17" s="14">
        <v>0.14000000000000001</v>
      </c>
      <c r="O17" s="14">
        <v>0.22</v>
      </c>
      <c r="P17" s="14">
        <v>0.23</v>
      </c>
      <c r="Q17" s="14">
        <v>0.12</v>
      </c>
      <c r="R17" s="14">
        <v>0.24</v>
      </c>
      <c r="S17" s="14">
        <v>0.23</v>
      </c>
      <c r="T17" s="14">
        <v>0.21</v>
      </c>
      <c r="U17" s="14">
        <v>0.19</v>
      </c>
      <c r="V17" s="14">
        <v>0.18</v>
      </c>
      <c r="W17" s="14">
        <v>0.24</v>
      </c>
      <c r="X17" s="14">
        <v>0.28000000000000003</v>
      </c>
      <c r="Y17" s="14">
        <v>0.2</v>
      </c>
      <c r="Z17" s="14">
        <v>0.21</v>
      </c>
      <c r="AA17" s="14">
        <v>0.12</v>
      </c>
      <c r="AB17" s="14">
        <v>0.23</v>
      </c>
      <c r="AC17" s="14">
        <v>0.31</v>
      </c>
      <c r="AD17" s="14">
        <v>0.24</v>
      </c>
      <c r="AE17" s="14">
        <v>0.35</v>
      </c>
      <c r="AF17" s="14">
        <v>0.3</v>
      </c>
    </row>
    <row r="18" spans="1:32">
      <c r="A18" s="23"/>
      <c r="B18" s="11" t="s">
        <v>1143</v>
      </c>
      <c r="C18" s="12">
        <v>15709</v>
      </c>
      <c r="D18" s="12">
        <v>380</v>
      </c>
      <c r="E18" s="12">
        <v>488</v>
      </c>
      <c r="F18" s="12">
        <v>696</v>
      </c>
      <c r="G18" s="12">
        <v>485</v>
      </c>
      <c r="H18" s="12">
        <v>679</v>
      </c>
      <c r="I18" s="12">
        <v>844</v>
      </c>
      <c r="J18" s="12">
        <v>165</v>
      </c>
      <c r="K18" s="12">
        <v>362</v>
      </c>
      <c r="L18" s="12">
        <v>441</v>
      </c>
      <c r="M18" s="12">
        <v>704</v>
      </c>
      <c r="N18" s="12">
        <v>744</v>
      </c>
      <c r="O18" s="12">
        <v>664</v>
      </c>
      <c r="P18" s="12">
        <v>466</v>
      </c>
      <c r="Q18" s="12">
        <v>726</v>
      </c>
      <c r="R18" s="12">
        <v>209</v>
      </c>
      <c r="S18" s="12">
        <v>427</v>
      </c>
      <c r="T18" s="12">
        <v>462</v>
      </c>
      <c r="U18" s="12">
        <v>67</v>
      </c>
      <c r="V18" s="12">
        <v>646</v>
      </c>
      <c r="W18" s="12">
        <v>204</v>
      </c>
      <c r="X18" s="12">
        <v>369</v>
      </c>
      <c r="Y18" s="12">
        <v>361</v>
      </c>
      <c r="Z18" s="12">
        <v>578</v>
      </c>
      <c r="AA18" s="12">
        <v>762</v>
      </c>
      <c r="AB18" s="12">
        <v>563</v>
      </c>
      <c r="AC18" s="12">
        <v>422</v>
      </c>
      <c r="AD18" s="12">
        <v>429</v>
      </c>
      <c r="AE18" s="12">
        <v>403</v>
      </c>
      <c r="AF18" s="12">
        <v>453</v>
      </c>
    </row>
    <row r="19" spans="1:32">
      <c r="A19" s="23"/>
      <c r="B19" s="13" t="s">
        <v>1144</v>
      </c>
      <c r="C19" s="14">
        <v>0.6</v>
      </c>
      <c r="D19" s="14">
        <v>0.38</v>
      </c>
      <c r="E19" s="14">
        <v>0.47</v>
      </c>
      <c r="F19" s="14">
        <v>0.69000000000000006</v>
      </c>
      <c r="G19" s="14">
        <v>0.48</v>
      </c>
      <c r="H19" s="14">
        <v>0.56000000000000005</v>
      </c>
      <c r="I19" s="14">
        <v>0.56000000000000005</v>
      </c>
      <c r="J19" s="14">
        <v>0.56000000000000005</v>
      </c>
      <c r="K19" s="14">
        <v>0.36</v>
      </c>
      <c r="L19" s="14">
        <v>0.44</v>
      </c>
      <c r="M19" s="14">
        <v>0.70000000000000007</v>
      </c>
      <c r="N19" s="14">
        <v>0.74</v>
      </c>
      <c r="O19" s="14">
        <v>0.66</v>
      </c>
      <c r="P19" s="14">
        <v>0.46</v>
      </c>
      <c r="Q19" s="14">
        <v>0.71</v>
      </c>
      <c r="R19" s="14">
        <v>0.42</v>
      </c>
      <c r="S19" s="14">
        <v>0.43</v>
      </c>
      <c r="T19" s="14">
        <v>0.46</v>
      </c>
      <c r="U19" s="14">
        <v>0.13</v>
      </c>
      <c r="V19" s="14">
        <v>0.64</v>
      </c>
      <c r="W19" s="14">
        <v>0.41</v>
      </c>
      <c r="X19" s="14">
        <v>0.36</v>
      </c>
      <c r="Y19" s="14">
        <v>0.36</v>
      </c>
      <c r="Z19" s="14">
        <v>0.57000000000000006</v>
      </c>
      <c r="AA19" s="14">
        <v>0.73</v>
      </c>
      <c r="AB19" s="14">
        <v>0.55000000000000004</v>
      </c>
      <c r="AC19" s="14">
        <v>0.42</v>
      </c>
      <c r="AD19" s="14">
        <v>0.43</v>
      </c>
      <c r="AE19" s="14">
        <v>0.4</v>
      </c>
      <c r="AF19" s="14">
        <v>0.42</v>
      </c>
    </row>
    <row r="20" spans="1:32">
      <c r="A20" s="23"/>
      <c r="B20" s="11" t="s">
        <v>497</v>
      </c>
      <c r="C20" s="12">
        <v>21</v>
      </c>
      <c r="D20" s="12">
        <v>1</v>
      </c>
      <c r="E20" s="12">
        <v>2</v>
      </c>
      <c r="F20" s="12">
        <v>4</v>
      </c>
      <c r="G20" s="12">
        <v>3</v>
      </c>
      <c r="H20" s="12">
        <v>0</v>
      </c>
      <c r="I20" s="12">
        <v>0</v>
      </c>
      <c r="J20" s="12">
        <v>0</v>
      </c>
      <c r="K20" s="12">
        <v>2</v>
      </c>
      <c r="L20" s="12">
        <v>11</v>
      </c>
      <c r="M20" s="12">
        <v>0</v>
      </c>
      <c r="N20" s="12">
        <v>0</v>
      </c>
      <c r="O20" s="12">
        <v>0</v>
      </c>
      <c r="P20" s="12">
        <v>0</v>
      </c>
      <c r="Q20" s="12">
        <v>1</v>
      </c>
      <c r="R20" s="12">
        <v>0</v>
      </c>
      <c r="S20" s="12">
        <v>3</v>
      </c>
      <c r="T20" s="12">
        <v>1</v>
      </c>
      <c r="U20" s="12">
        <v>0</v>
      </c>
      <c r="V20" s="12">
        <v>0</v>
      </c>
      <c r="W20" s="12">
        <v>0</v>
      </c>
      <c r="X20" s="12">
        <v>5</v>
      </c>
      <c r="Y20" s="12">
        <v>1</v>
      </c>
      <c r="Z20" s="12">
        <v>1</v>
      </c>
      <c r="AA20" s="12">
        <v>2</v>
      </c>
      <c r="AB20" s="12">
        <v>0</v>
      </c>
      <c r="AC20" s="12">
        <v>0</v>
      </c>
      <c r="AD20" s="12">
        <v>1</v>
      </c>
      <c r="AE20" s="12">
        <v>2</v>
      </c>
      <c r="AF20" s="12">
        <v>0</v>
      </c>
    </row>
    <row r="21" spans="1:32">
      <c r="A21" s="23"/>
      <c r="B21" s="13" t="s">
        <v>498</v>
      </c>
      <c r="C21" s="15" t="s">
        <v>485</v>
      </c>
      <c r="D21" s="15" t="s">
        <v>485</v>
      </c>
      <c r="E21" s="15" t="s">
        <v>485</v>
      </c>
      <c r="F21" s="15" t="s">
        <v>485</v>
      </c>
      <c r="G21" s="15" t="s">
        <v>485</v>
      </c>
      <c r="H21" s="15" t="s">
        <v>485</v>
      </c>
      <c r="I21" s="15" t="s">
        <v>485</v>
      </c>
      <c r="J21" s="15" t="s">
        <v>485</v>
      </c>
      <c r="K21" s="15" t="s">
        <v>485</v>
      </c>
      <c r="L21" s="14">
        <v>0.01</v>
      </c>
      <c r="M21" s="15" t="s">
        <v>485</v>
      </c>
      <c r="N21" s="15" t="s">
        <v>485</v>
      </c>
      <c r="O21" s="15" t="s">
        <v>485</v>
      </c>
      <c r="P21" s="15" t="s">
        <v>485</v>
      </c>
      <c r="Q21" s="15" t="s">
        <v>485</v>
      </c>
      <c r="R21" s="15" t="s">
        <v>485</v>
      </c>
      <c r="S21" s="15" t="s">
        <v>485</v>
      </c>
      <c r="T21" s="15" t="s">
        <v>485</v>
      </c>
      <c r="U21" s="15" t="s">
        <v>485</v>
      </c>
      <c r="V21" s="15" t="s">
        <v>485</v>
      </c>
      <c r="W21" s="15" t="s">
        <v>485</v>
      </c>
      <c r="X21" s="14">
        <v>0.01</v>
      </c>
      <c r="Y21" s="15" t="s">
        <v>485</v>
      </c>
      <c r="Z21" s="15" t="s">
        <v>485</v>
      </c>
      <c r="AA21" s="15" t="s">
        <v>485</v>
      </c>
      <c r="AB21" s="15" t="s">
        <v>485</v>
      </c>
      <c r="AC21" s="15" t="s">
        <v>485</v>
      </c>
      <c r="AD21" s="15" t="s">
        <v>485</v>
      </c>
      <c r="AE21" s="15" t="s">
        <v>485</v>
      </c>
      <c r="AF21" s="15" t="s">
        <v>485</v>
      </c>
    </row>
  </sheetData>
  <mergeCells count="9">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dimension ref="A1:AF21"/>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12" customHeight="1">
      <c r="B3" s="19" t="s">
        <v>245</v>
      </c>
      <c r="C3" s="19"/>
      <c r="D3" s="19"/>
      <c r="E3" s="19"/>
      <c r="F3" s="19"/>
      <c r="H3" s="19" t="s">
        <v>246</v>
      </c>
      <c r="I3" s="19"/>
      <c r="J3" s="19"/>
      <c r="K3" s="19"/>
      <c r="L3" s="19"/>
    </row>
    <row r="4" spans="1:32" ht="27" customHeight="1">
      <c r="B4" s="19"/>
      <c r="C4" s="19"/>
      <c r="D4" s="19"/>
      <c r="E4" s="19"/>
      <c r="F4" s="19"/>
      <c r="H4" s="19"/>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HYPERLINK("#Content!A124","&lt;&lt;Back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1321</v>
      </c>
      <c r="C12" s="12">
        <v>1668</v>
      </c>
      <c r="D12" s="12">
        <v>87</v>
      </c>
      <c r="E12" s="12">
        <v>42</v>
      </c>
      <c r="F12" s="12">
        <v>36</v>
      </c>
      <c r="G12" s="12">
        <v>25</v>
      </c>
      <c r="H12" s="12">
        <v>123</v>
      </c>
      <c r="I12" s="12">
        <v>137</v>
      </c>
      <c r="J12" s="12">
        <v>15</v>
      </c>
      <c r="K12" s="12">
        <v>44</v>
      </c>
      <c r="L12" s="12">
        <v>45</v>
      </c>
      <c r="M12" s="12">
        <v>81</v>
      </c>
      <c r="N12" s="12">
        <v>15</v>
      </c>
      <c r="O12" s="12">
        <v>23</v>
      </c>
      <c r="P12" s="12">
        <v>104</v>
      </c>
      <c r="Q12" s="12">
        <v>106</v>
      </c>
      <c r="R12" s="12">
        <v>45</v>
      </c>
      <c r="S12" s="12">
        <v>32</v>
      </c>
      <c r="T12" s="12">
        <v>36</v>
      </c>
      <c r="U12" s="12">
        <v>53</v>
      </c>
      <c r="V12" s="12">
        <v>113</v>
      </c>
      <c r="W12" s="12">
        <v>22</v>
      </c>
      <c r="X12" s="12">
        <v>54</v>
      </c>
      <c r="Y12" s="12">
        <v>194</v>
      </c>
      <c r="Z12" s="12">
        <v>76</v>
      </c>
      <c r="AA12" s="12">
        <v>32</v>
      </c>
      <c r="AB12" s="12">
        <v>62</v>
      </c>
      <c r="AC12" s="12">
        <v>66</v>
      </c>
      <c r="AD12" s="12">
        <v>35</v>
      </c>
      <c r="AE12" s="12">
        <v>5</v>
      </c>
      <c r="AF12" s="12">
        <v>15</v>
      </c>
    </row>
    <row r="13" spans="1:32">
      <c r="A13" s="23"/>
      <c r="B13" s="13" t="s">
        <v>1322</v>
      </c>
      <c r="C13" s="14">
        <v>0.06</v>
      </c>
      <c r="D13" s="14">
        <v>0.09</v>
      </c>
      <c r="E13" s="14">
        <v>0.04</v>
      </c>
      <c r="F13" s="14">
        <v>0.04</v>
      </c>
      <c r="G13" s="14">
        <v>0.02</v>
      </c>
      <c r="H13" s="14">
        <v>0.1</v>
      </c>
      <c r="I13" s="14">
        <v>0.09</v>
      </c>
      <c r="J13" s="14">
        <v>0.05</v>
      </c>
      <c r="K13" s="14">
        <v>0.04</v>
      </c>
      <c r="L13" s="14">
        <v>0.04</v>
      </c>
      <c r="M13" s="14">
        <v>0.08</v>
      </c>
      <c r="N13" s="14">
        <v>0.01</v>
      </c>
      <c r="O13" s="14">
        <v>0.02</v>
      </c>
      <c r="P13" s="14">
        <v>0.1</v>
      </c>
      <c r="Q13" s="14">
        <v>0.1</v>
      </c>
      <c r="R13" s="14">
        <v>0.09</v>
      </c>
      <c r="S13" s="14">
        <v>0.03</v>
      </c>
      <c r="T13" s="14">
        <v>0.04</v>
      </c>
      <c r="U13" s="14">
        <v>0.11</v>
      </c>
      <c r="V13" s="14">
        <v>0.11</v>
      </c>
      <c r="W13" s="14">
        <v>0.04</v>
      </c>
      <c r="X13" s="14">
        <v>0.05</v>
      </c>
      <c r="Y13" s="14">
        <v>0.19</v>
      </c>
      <c r="Z13" s="14">
        <v>7.0000000000000007E-2</v>
      </c>
      <c r="AA13" s="14">
        <v>0.03</v>
      </c>
      <c r="AB13" s="14">
        <v>0.06</v>
      </c>
      <c r="AC13" s="14">
        <v>7.0000000000000007E-2</v>
      </c>
      <c r="AD13" s="14">
        <v>0.03</v>
      </c>
      <c r="AE13" s="15" t="s">
        <v>485</v>
      </c>
      <c r="AF13" s="14">
        <v>0.01</v>
      </c>
    </row>
    <row r="14" spans="1:32">
      <c r="A14" s="23"/>
      <c r="B14" s="11" t="s">
        <v>1323</v>
      </c>
      <c r="C14" s="12">
        <v>2335</v>
      </c>
      <c r="D14" s="12">
        <v>122</v>
      </c>
      <c r="E14" s="12">
        <v>147</v>
      </c>
      <c r="F14" s="12">
        <v>50</v>
      </c>
      <c r="G14" s="12">
        <v>89</v>
      </c>
      <c r="H14" s="12">
        <v>138</v>
      </c>
      <c r="I14" s="12">
        <v>171</v>
      </c>
      <c r="J14" s="12">
        <v>33</v>
      </c>
      <c r="K14" s="12">
        <v>167</v>
      </c>
      <c r="L14" s="12">
        <v>140</v>
      </c>
      <c r="M14" s="12">
        <v>60</v>
      </c>
      <c r="N14" s="12">
        <v>53</v>
      </c>
      <c r="O14" s="12">
        <v>50</v>
      </c>
      <c r="P14" s="12">
        <v>125</v>
      </c>
      <c r="Q14" s="12">
        <v>59</v>
      </c>
      <c r="R14" s="12">
        <v>61</v>
      </c>
      <c r="S14" s="12">
        <v>114</v>
      </c>
      <c r="T14" s="12">
        <v>102</v>
      </c>
      <c r="U14" s="12">
        <v>202</v>
      </c>
      <c r="V14" s="12">
        <v>66</v>
      </c>
      <c r="W14" s="12">
        <v>58</v>
      </c>
      <c r="X14" s="12">
        <v>134</v>
      </c>
      <c r="Y14" s="12">
        <v>213</v>
      </c>
      <c r="Z14" s="12">
        <v>109</v>
      </c>
      <c r="AA14" s="12">
        <v>85</v>
      </c>
      <c r="AB14" s="12">
        <v>112</v>
      </c>
      <c r="AC14" s="12">
        <v>134</v>
      </c>
      <c r="AD14" s="12">
        <v>187</v>
      </c>
      <c r="AE14" s="12">
        <v>70</v>
      </c>
      <c r="AF14" s="12">
        <v>106</v>
      </c>
    </row>
    <row r="15" spans="1:32">
      <c r="A15" s="23"/>
      <c r="B15" s="13" t="s">
        <v>1324</v>
      </c>
      <c r="C15" s="14">
        <v>0.09</v>
      </c>
      <c r="D15" s="14">
        <v>0.12</v>
      </c>
      <c r="E15" s="14">
        <v>0.14000000000000001</v>
      </c>
      <c r="F15" s="14">
        <v>0.05</v>
      </c>
      <c r="G15" s="14">
        <v>0.09</v>
      </c>
      <c r="H15" s="14">
        <v>0.11</v>
      </c>
      <c r="I15" s="14">
        <v>0.11</v>
      </c>
      <c r="J15" s="14">
        <v>0.11</v>
      </c>
      <c r="K15" s="14">
        <v>0.17</v>
      </c>
      <c r="L15" s="14">
        <v>0.14000000000000001</v>
      </c>
      <c r="M15" s="14">
        <v>0.06</v>
      </c>
      <c r="N15" s="14">
        <v>0.05</v>
      </c>
      <c r="O15" s="14">
        <v>0.05</v>
      </c>
      <c r="P15" s="14">
        <v>0.13</v>
      </c>
      <c r="Q15" s="14">
        <v>0.06</v>
      </c>
      <c r="R15" s="14">
        <v>0.12</v>
      </c>
      <c r="S15" s="14">
        <v>0.11</v>
      </c>
      <c r="T15" s="14">
        <v>0.1</v>
      </c>
      <c r="U15" s="14">
        <v>0.4</v>
      </c>
      <c r="V15" s="14">
        <v>7.0000000000000007E-2</v>
      </c>
      <c r="W15" s="14">
        <v>0.11</v>
      </c>
      <c r="X15" s="14">
        <v>0.13</v>
      </c>
      <c r="Y15" s="14">
        <v>0.21</v>
      </c>
      <c r="Z15" s="14">
        <v>0.11</v>
      </c>
      <c r="AA15" s="14">
        <v>0.08</v>
      </c>
      <c r="AB15" s="14">
        <v>0.11</v>
      </c>
      <c r="AC15" s="14">
        <v>0.13</v>
      </c>
      <c r="AD15" s="14">
        <v>0.19</v>
      </c>
      <c r="AE15" s="14">
        <v>7.0000000000000007E-2</v>
      </c>
      <c r="AF15" s="14">
        <v>0.1</v>
      </c>
    </row>
    <row r="16" spans="1:32">
      <c r="A16" s="23"/>
      <c r="B16" s="11" t="s">
        <v>1325</v>
      </c>
      <c r="C16" s="12">
        <v>5344</v>
      </c>
      <c r="D16" s="12">
        <v>290</v>
      </c>
      <c r="E16" s="12">
        <v>272</v>
      </c>
      <c r="F16" s="12">
        <v>226</v>
      </c>
      <c r="G16" s="12">
        <v>311</v>
      </c>
      <c r="H16" s="12">
        <v>315</v>
      </c>
      <c r="I16" s="12">
        <v>396</v>
      </c>
      <c r="J16" s="12">
        <v>82</v>
      </c>
      <c r="K16" s="12">
        <v>343</v>
      </c>
      <c r="L16" s="12">
        <v>228</v>
      </c>
      <c r="M16" s="12">
        <v>116</v>
      </c>
      <c r="N16" s="12">
        <v>107</v>
      </c>
      <c r="O16" s="12">
        <v>187</v>
      </c>
      <c r="P16" s="12">
        <v>206</v>
      </c>
      <c r="Q16" s="12">
        <v>107</v>
      </c>
      <c r="R16" s="12">
        <v>135</v>
      </c>
      <c r="S16" s="12">
        <v>256</v>
      </c>
      <c r="T16" s="12">
        <v>249</v>
      </c>
      <c r="U16" s="12">
        <v>161</v>
      </c>
      <c r="V16" s="12">
        <v>141</v>
      </c>
      <c r="W16" s="12">
        <v>125</v>
      </c>
      <c r="X16" s="12">
        <v>394</v>
      </c>
      <c r="Y16" s="12">
        <v>216</v>
      </c>
      <c r="Z16" s="12">
        <v>190</v>
      </c>
      <c r="AA16" s="12">
        <v>108</v>
      </c>
      <c r="AB16" s="12">
        <v>236</v>
      </c>
      <c r="AC16" s="12">
        <v>375</v>
      </c>
      <c r="AD16" s="12">
        <v>317</v>
      </c>
      <c r="AE16" s="12">
        <v>349</v>
      </c>
      <c r="AF16" s="12">
        <v>340</v>
      </c>
    </row>
    <row r="17" spans="1:32">
      <c r="A17" s="23"/>
      <c r="B17" s="13" t="s">
        <v>1326</v>
      </c>
      <c r="C17" s="14">
        <v>0.2</v>
      </c>
      <c r="D17" s="14">
        <v>0.28999999999999998</v>
      </c>
      <c r="E17" s="14">
        <v>0.26</v>
      </c>
      <c r="F17" s="14">
        <v>0.22</v>
      </c>
      <c r="G17" s="14">
        <v>0.31</v>
      </c>
      <c r="H17" s="14">
        <v>0.26</v>
      </c>
      <c r="I17" s="14">
        <v>0.26</v>
      </c>
      <c r="J17" s="14">
        <v>0.28000000000000003</v>
      </c>
      <c r="K17" s="14">
        <v>0.34</v>
      </c>
      <c r="L17" s="14">
        <v>0.23</v>
      </c>
      <c r="M17" s="14">
        <v>0.12</v>
      </c>
      <c r="N17" s="14">
        <v>0.11</v>
      </c>
      <c r="O17" s="14">
        <v>0.19</v>
      </c>
      <c r="P17" s="14">
        <v>0.2</v>
      </c>
      <c r="Q17" s="14">
        <v>0.1</v>
      </c>
      <c r="R17" s="14">
        <v>0.27</v>
      </c>
      <c r="S17" s="14">
        <v>0.26</v>
      </c>
      <c r="T17" s="14">
        <v>0.25</v>
      </c>
      <c r="U17" s="14">
        <v>0.32</v>
      </c>
      <c r="V17" s="14">
        <v>0.14000000000000001</v>
      </c>
      <c r="W17" s="14">
        <v>0.25</v>
      </c>
      <c r="X17" s="14">
        <v>0.39</v>
      </c>
      <c r="Y17" s="14">
        <v>0.22</v>
      </c>
      <c r="Z17" s="14">
        <v>0.19</v>
      </c>
      <c r="AA17" s="14">
        <v>0.11</v>
      </c>
      <c r="AB17" s="14">
        <v>0.23</v>
      </c>
      <c r="AC17" s="14">
        <v>0.37</v>
      </c>
      <c r="AD17" s="14">
        <v>0.32</v>
      </c>
      <c r="AE17" s="14">
        <v>0.35</v>
      </c>
      <c r="AF17" s="14">
        <v>0.32</v>
      </c>
    </row>
    <row r="18" spans="1:32">
      <c r="A18" s="23"/>
      <c r="B18" s="11" t="s">
        <v>1143</v>
      </c>
      <c r="C18" s="12">
        <v>16710</v>
      </c>
      <c r="D18" s="12">
        <v>492</v>
      </c>
      <c r="E18" s="12">
        <v>556</v>
      </c>
      <c r="F18" s="12">
        <v>669</v>
      </c>
      <c r="G18" s="12">
        <v>571</v>
      </c>
      <c r="H18" s="12">
        <v>629</v>
      </c>
      <c r="I18" s="12">
        <v>792</v>
      </c>
      <c r="J18" s="12">
        <v>163</v>
      </c>
      <c r="K18" s="12">
        <v>431</v>
      </c>
      <c r="L18" s="12">
        <v>568</v>
      </c>
      <c r="M18" s="12">
        <v>750</v>
      </c>
      <c r="N18" s="12">
        <v>820</v>
      </c>
      <c r="O18" s="12">
        <v>738</v>
      </c>
      <c r="P18" s="12">
        <v>567</v>
      </c>
      <c r="Q18" s="12">
        <v>734</v>
      </c>
      <c r="R18" s="12">
        <v>262</v>
      </c>
      <c r="S18" s="12">
        <v>593</v>
      </c>
      <c r="T18" s="12">
        <v>594</v>
      </c>
      <c r="U18" s="12">
        <v>82</v>
      </c>
      <c r="V18" s="12">
        <v>676</v>
      </c>
      <c r="W18" s="12">
        <v>295</v>
      </c>
      <c r="X18" s="12">
        <v>430</v>
      </c>
      <c r="Y18" s="12">
        <v>382</v>
      </c>
      <c r="Z18" s="12">
        <v>615</v>
      </c>
      <c r="AA18" s="12">
        <v>792</v>
      </c>
      <c r="AB18" s="12">
        <v>609</v>
      </c>
      <c r="AC18" s="12">
        <v>425</v>
      </c>
      <c r="AD18" s="12">
        <v>451</v>
      </c>
      <c r="AE18" s="12">
        <v>578</v>
      </c>
      <c r="AF18" s="12">
        <v>608</v>
      </c>
    </row>
    <row r="19" spans="1:32">
      <c r="A19" s="23"/>
      <c r="B19" s="13" t="s">
        <v>1144</v>
      </c>
      <c r="C19" s="14">
        <v>0.64</v>
      </c>
      <c r="D19" s="14">
        <v>0.49</v>
      </c>
      <c r="E19" s="14">
        <v>0.53</v>
      </c>
      <c r="F19" s="14">
        <v>0.66</v>
      </c>
      <c r="G19" s="14">
        <v>0.57000000000000006</v>
      </c>
      <c r="H19" s="14">
        <v>0.52</v>
      </c>
      <c r="I19" s="14">
        <v>0.53</v>
      </c>
      <c r="J19" s="14">
        <v>0.56000000000000005</v>
      </c>
      <c r="K19" s="14">
        <v>0.43</v>
      </c>
      <c r="L19" s="14">
        <v>0.56000000000000005</v>
      </c>
      <c r="M19" s="14">
        <v>0.74</v>
      </c>
      <c r="N19" s="14">
        <v>0.82000000000000006</v>
      </c>
      <c r="O19" s="14">
        <v>0.73</v>
      </c>
      <c r="P19" s="14">
        <v>0.56000000000000005</v>
      </c>
      <c r="Q19" s="14">
        <v>0.72</v>
      </c>
      <c r="R19" s="14">
        <v>0.52</v>
      </c>
      <c r="S19" s="14">
        <v>0.59</v>
      </c>
      <c r="T19" s="14">
        <v>0.59</v>
      </c>
      <c r="U19" s="14">
        <v>0.16</v>
      </c>
      <c r="V19" s="14">
        <v>0.67</v>
      </c>
      <c r="W19" s="14">
        <v>0.59</v>
      </c>
      <c r="X19" s="14">
        <v>0.42</v>
      </c>
      <c r="Y19" s="14">
        <v>0.38</v>
      </c>
      <c r="Z19" s="14">
        <v>0.6</v>
      </c>
      <c r="AA19" s="14">
        <v>0.76</v>
      </c>
      <c r="AB19" s="14">
        <v>0.59</v>
      </c>
      <c r="AC19" s="14">
        <v>0.42</v>
      </c>
      <c r="AD19" s="14">
        <v>0.45</v>
      </c>
      <c r="AE19" s="14">
        <v>0.57000000000000006</v>
      </c>
      <c r="AF19" s="14">
        <v>0.57000000000000006</v>
      </c>
    </row>
    <row r="20" spans="1:32">
      <c r="A20" s="23"/>
      <c r="B20" s="11" t="s">
        <v>497</v>
      </c>
      <c r="C20" s="12">
        <v>297</v>
      </c>
      <c r="D20" s="12">
        <v>15</v>
      </c>
      <c r="E20" s="12">
        <v>28</v>
      </c>
      <c r="F20" s="12">
        <v>26</v>
      </c>
      <c r="G20" s="12">
        <v>7</v>
      </c>
      <c r="H20" s="12">
        <v>7</v>
      </c>
      <c r="I20" s="12">
        <v>7</v>
      </c>
      <c r="J20" s="12">
        <v>1</v>
      </c>
      <c r="K20" s="12">
        <v>20</v>
      </c>
      <c r="L20" s="12">
        <v>26</v>
      </c>
      <c r="M20" s="12">
        <v>4</v>
      </c>
      <c r="N20" s="12">
        <v>5</v>
      </c>
      <c r="O20" s="12">
        <v>8</v>
      </c>
      <c r="P20" s="12">
        <v>10</v>
      </c>
      <c r="Q20" s="12">
        <v>18</v>
      </c>
      <c r="R20" s="12">
        <v>0</v>
      </c>
      <c r="S20" s="12">
        <v>11</v>
      </c>
      <c r="T20" s="12">
        <v>23</v>
      </c>
      <c r="U20" s="12">
        <v>4</v>
      </c>
      <c r="V20" s="12">
        <v>15</v>
      </c>
      <c r="W20" s="12">
        <v>3</v>
      </c>
      <c r="X20" s="12">
        <v>4</v>
      </c>
      <c r="Y20" s="12">
        <v>2</v>
      </c>
      <c r="Z20" s="12">
        <v>27</v>
      </c>
      <c r="AA20" s="12">
        <v>22</v>
      </c>
      <c r="AB20" s="12">
        <v>13</v>
      </c>
      <c r="AC20" s="12">
        <v>5</v>
      </c>
      <c r="AD20" s="12">
        <v>11</v>
      </c>
      <c r="AE20" s="12">
        <v>6</v>
      </c>
      <c r="AF20" s="12">
        <v>3</v>
      </c>
    </row>
    <row r="21" spans="1:32">
      <c r="A21" s="23"/>
      <c r="B21" s="13" t="s">
        <v>498</v>
      </c>
      <c r="C21" s="14">
        <v>0.01</v>
      </c>
      <c r="D21" s="14">
        <v>0.01</v>
      </c>
      <c r="E21" s="14">
        <v>0.03</v>
      </c>
      <c r="F21" s="14">
        <v>0.03</v>
      </c>
      <c r="G21" s="14">
        <v>0.01</v>
      </c>
      <c r="H21" s="14">
        <v>0.01</v>
      </c>
      <c r="I21" s="14">
        <v>0.01</v>
      </c>
      <c r="J21" s="15" t="s">
        <v>485</v>
      </c>
      <c r="K21" s="14">
        <v>0.02</v>
      </c>
      <c r="L21" s="14">
        <v>0.03</v>
      </c>
      <c r="M21" s="15" t="s">
        <v>485</v>
      </c>
      <c r="N21" s="14">
        <v>0.01</v>
      </c>
      <c r="O21" s="14">
        <v>0.01</v>
      </c>
      <c r="P21" s="14">
        <v>0.01</v>
      </c>
      <c r="Q21" s="14">
        <v>0.02</v>
      </c>
      <c r="R21" s="15" t="s">
        <v>485</v>
      </c>
      <c r="S21" s="14">
        <v>0.01</v>
      </c>
      <c r="T21" s="14">
        <v>0.02</v>
      </c>
      <c r="U21" s="14">
        <v>0.01</v>
      </c>
      <c r="V21" s="14">
        <v>0.01</v>
      </c>
      <c r="W21" s="14">
        <v>0.01</v>
      </c>
      <c r="X21" s="14">
        <v>0.01</v>
      </c>
      <c r="Y21" s="15" t="s">
        <v>485</v>
      </c>
      <c r="Z21" s="14">
        <v>0.03</v>
      </c>
      <c r="AA21" s="14">
        <v>0.02</v>
      </c>
      <c r="AB21" s="14">
        <v>0.01</v>
      </c>
      <c r="AC21" s="14">
        <v>0.01</v>
      </c>
      <c r="AD21" s="14">
        <v>0.01</v>
      </c>
      <c r="AE21" s="14">
        <v>0.01</v>
      </c>
      <c r="AF21" s="15" t="s">
        <v>485</v>
      </c>
    </row>
  </sheetData>
  <mergeCells count="9">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dimension ref="A1:AF21"/>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12" customHeight="1">
      <c r="B3" s="19" t="s">
        <v>247</v>
      </c>
      <c r="C3" s="19"/>
      <c r="D3" s="19"/>
      <c r="E3" s="19"/>
      <c r="F3" s="19"/>
      <c r="H3" s="19" t="s">
        <v>248</v>
      </c>
      <c r="I3" s="19"/>
      <c r="J3" s="19"/>
      <c r="K3" s="19"/>
      <c r="L3" s="19"/>
    </row>
    <row r="4" spans="1:32" ht="27" customHeight="1">
      <c r="B4" s="19"/>
      <c r="C4" s="19"/>
      <c r="D4" s="19"/>
      <c r="E4" s="19"/>
      <c r="F4" s="19"/>
      <c r="H4" s="19"/>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HYPERLINK("#Content!A125","&lt;&lt;Back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1321</v>
      </c>
      <c r="C12" s="12">
        <v>1280</v>
      </c>
      <c r="D12" s="12">
        <v>95</v>
      </c>
      <c r="E12" s="12">
        <v>52</v>
      </c>
      <c r="F12" s="12">
        <v>38</v>
      </c>
      <c r="G12" s="12">
        <v>37</v>
      </c>
      <c r="H12" s="12">
        <v>58</v>
      </c>
      <c r="I12" s="12">
        <v>63</v>
      </c>
      <c r="J12" s="12">
        <v>5</v>
      </c>
      <c r="K12" s="12">
        <v>42</v>
      </c>
      <c r="L12" s="12">
        <v>64</v>
      </c>
      <c r="M12" s="12">
        <v>56</v>
      </c>
      <c r="N12" s="12">
        <v>16</v>
      </c>
      <c r="O12" s="12">
        <v>28</v>
      </c>
      <c r="P12" s="12">
        <v>111</v>
      </c>
      <c r="Q12" s="12">
        <v>72</v>
      </c>
      <c r="R12" s="12">
        <v>58</v>
      </c>
      <c r="S12" s="12">
        <v>55</v>
      </c>
      <c r="T12" s="12">
        <v>68</v>
      </c>
      <c r="U12" s="12">
        <v>61</v>
      </c>
      <c r="V12" s="12">
        <v>57</v>
      </c>
      <c r="W12" s="12">
        <v>43</v>
      </c>
      <c r="X12" s="12">
        <v>63</v>
      </c>
      <c r="Y12" s="12">
        <v>146</v>
      </c>
      <c r="Z12" s="12">
        <v>65</v>
      </c>
      <c r="AA12" s="12">
        <v>34</v>
      </c>
      <c r="AB12" s="12">
        <v>48</v>
      </c>
      <c r="AC12" s="12">
        <v>55</v>
      </c>
      <c r="AD12" s="12">
        <v>35</v>
      </c>
      <c r="AE12" s="12">
        <v>22</v>
      </c>
      <c r="AF12" s="12">
        <v>47</v>
      </c>
    </row>
    <row r="13" spans="1:32">
      <c r="A13" s="23"/>
      <c r="B13" s="13" t="s">
        <v>1322</v>
      </c>
      <c r="C13" s="14">
        <v>0.05</v>
      </c>
      <c r="D13" s="14">
        <v>0.09</v>
      </c>
      <c r="E13" s="14">
        <v>0.05</v>
      </c>
      <c r="F13" s="14">
        <v>0.04</v>
      </c>
      <c r="G13" s="14">
        <v>0.04</v>
      </c>
      <c r="H13" s="14">
        <v>0.05</v>
      </c>
      <c r="I13" s="14">
        <v>0.04</v>
      </c>
      <c r="J13" s="14">
        <v>0.02</v>
      </c>
      <c r="K13" s="14">
        <v>0.04</v>
      </c>
      <c r="L13" s="14">
        <v>0.06</v>
      </c>
      <c r="M13" s="14">
        <v>0.06</v>
      </c>
      <c r="N13" s="14">
        <v>0.02</v>
      </c>
      <c r="O13" s="14">
        <v>0.03</v>
      </c>
      <c r="P13" s="14">
        <v>0.11</v>
      </c>
      <c r="Q13" s="14">
        <v>7.0000000000000007E-2</v>
      </c>
      <c r="R13" s="14">
        <v>0.12</v>
      </c>
      <c r="S13" s="14">
        <v>0.05</v>
      </c>
      <c r="T13" s="14">
        <v>7.0000000000000007E-2</v>
      </c>
      <c r="U13" s="14">
        <v>0.12</v>
      </c>
      <c r="V13" s="14">
        <v>0.06</v>
      </c>
      <c r="W13" s="14">
        <v>0.09</v>
      </c>
      <c r="X13" s="14">
        <v>0.06</v>
      </c>
      <c r="Y13" s="14">
        <v>0.15</v>
      </c>
      <c r="Z13" s="14">
        <v>0.06</v>
      </c>
      <c r="AA13" s="14">
        <v>0.03</v>
      </c>
      <c r="AB13" s="14">
        <v>0.05</v>
      </c>
      <c r="AC13" s="14">
        <v>0.05</v>
      </c>
      <c r="AD13" s="14">
        <v>0.04</v>
      </c>
      <c r="AE13" s="14">
        <v>0.02</v>
      </c>
      <c r="AF13" s="14">
        <v>0.04</v>
      </c>
    </row>
    <row r="14" spans="1:32">
      <c r="A14" s="23"/>
      <c r="B14" s="11" t="s">
        <v>1323</v>
      </c>
      <c r="C14" s="12">
        <v>2658</v>
      </c>
      <c r="D14" s="12">
        <v>178</v>
      </c>
      <c r="E14" s="12">
        <v>185</v>
      </c>
      <c r="F14" s="12">
        <v>53</v>
      </c>
      <c r="G14" s="12">
        <v>123</v>
      </c>
      <c r="H14" s="12">
        <v>108</v>
      </c>
      <c r="I14" s="12">
        <v>135</v>
      </c>
      <c r="J14" s="12">
        <v>27</v>
      </c>
      <c r="K14" s="12">
        <v>205</v>
      </c>
      <c r="L14" s="12">
        <v>158</v>
      </c>
      <c r="M14" s="12">
        <v>111</v>
      </c>
      <c r="N14" s="12">
        <v>69</v>
      </c>
      <c r="O14" s="12">
        <v>63</v>
      </c>
      <c r="P14" s="12">
        <v>169</v>
      </c>
      <c r="Q14" s="12">
        <v>68</v>
      </c>
      <c r="R14" s="12">
        <v>95</v>
      </c>
      <c r="S14" s="12">
        <v>209</v>
      </c>
      <c r="T14" s="12">
        <v>198</v>
      </c>
      <c r="U14" s="12">
        <v>206</v>
      </c>
      <c r="V14" s="12">
        <v>94</v>
      </c>
      <c r="W14" s="12">
        <v>98</v>
      </c>
      <c r="X14" s="12">
        <v>171</v>
      </c>
      <c r="Y14" s="12">
        <v>204</v>
      </c>
      <c r="Z14" s="12">
        <v>128</v>
      </c>
      <c r="AA14" s="12">
        <v>100</v>
      </c>
      <c r="AB14" s="12">
        <v>123</v>
      </c>
      <c r="AC14" s="12">
        <v>157</v>
      </c>
      <c r="AD14" s="12">
        <v>247</v>
      </c>
      <c r="AE14" s="12">
        <v>88</v>
      </c>
      <c r="AF14" s="12">
        <v>154</v>
      </c>
    </row>
    <row r="15" spans="1:32">
      <c r="A15" s="23"/>
      <c r="B15" s="13" t="s">
        <v>1324</v>
      </c>
      <c r="C15" s="14">
        <v>0.1</v>
      </c>
      <c r="D15" s="14">
        <v>0.18</v>
      </c>
      <c r="E15" s="14">
        <v>0.18</v>
      </c>
      <c r="F15" s="14">
        <v>0.05</v>
      </c>
      <c r="G15" s="14">
        <v>0.12</v>
      </c>
      <c r="H15" s="14">
        <v>0.09</v>
      </c>
      <c r="I15" s="14">
        <v>0.09</v>
      </c>
      <c r="J15" s="14">
        <v>0.09</v>
      </c>
      <c r="K15" s="14">
        <v>0.2</v>
      </c>
      <c r="L15" s="14">
        <v>0.16</v>
      </c>
      <c r="M15" s="14">
        <v>0.11</v>
      </c>
      <c r="N15" s="14">
        <v>7.0000000000000007E-2</v>
      </c>
      <c r="O15" s="14">
        <v>0.06</v>
      </c>
      <c r="P15" s="14">
        <v>0.17</v>
      </c>
      <c r="Q15" s="14">
        <v>7.0000000000000007E-2</v>
      </c>
      <c r="R15" s="14">
        <v>0.19</v>
      </c>
      <c r="S15" s="14">
        <v>0.21</v>
      </c>
      <c r="T15" s="14">
        <v>0.2</v>
      </c>
      <c r="U15" s="14">
        <v>0.41</v>
      </c>
      <c r="V15" s="14">
        <v>0.09</v>
      </c>
      <c r="W15" s="14">
        <v>0.19</v>
      </c>
      <c r="X15" s="14">
        <v>0.17</v>
      </c>
      <c r="Y15" s="14">
        <v>0.2</v>
      </c>
      <c r="Z15" s="14">
        <v>0.13</v>
      </c>
      <c r="AA15" s="14">
        <v>0.1</v>
      </c>
      <c r="AB15" s="14">
        <v>0.12</v>
      </c>
      <c r="AC15" s="14">
        <v>0.16</v>
      </c>
      <c r="AD15" s="14">
        <v>0.25</v>
      </c>
      <c r="AE15" s="14">
        <v>0.09</v>
      </c>
      <c r="AF15" s="14">
        <v>0.14000000000000001</v>
      </c>
    </row>
    <row r="16" spans="1:32">
      <c r="A16" s="23"/>
      <c r="B16" s="11" t="s">
        <v>1325</v>
      </c>
      <c r="C16" s="12">
        <v>4919</v>
      </c>
      <c r="D16" s="12">
        <v>268</v>
      </c>
      <c r="E16" s="12">
        <v>265</v>
      </c>
      <c r="F16" s="12">
        <v>186</v>
      </c>
      <c r="G16" s="12">
        <v>227</v>
      </c>
      <c r="H16" s="12">
        <v>261</v>
      </c>
      <c r="I16" s="12">
        <v>328</v>
      </c>
      <c r="J16" s="12">
        <v>66</v>
      </c>
      <c r="K16" s="12">
        <v>297</v>
      </c>
      <c r="L16" s="12">
        <v>227</v>
      </c>
      <c r="M16" s="12">
        <v>121</v>
      </c>
      <c r="N16" s="12">
        <v>134</v>
      </c>
      <c r="O16" s="12">
        <v>187</v>
      </c>
      <c r="P16" s="12">
        <v>239</v>
      </c>
      <c r="Q16" s="12">
        <v>105</v>
      </c>
      <c r="R16" s="12">
        <v>128</v>
      </c>
      <c r="S16" s="12">
        <v>237</v>
      </c>
      <c r="T16" s="12">
        <v>232</v>
      </c>
      <c r="U16" s="12">
        <v>127</v>
      </c>
      <c r="V16" s="12">
        <v>176</v>
      </c>
      <c r="W16" s="12">
        <v>112</v>
      </c>
      <c r="X16" s="12">
        <v>275</v>
      </c>
      <c r="Y16" s="12">
        <v>175</v>
      </c>
      <c r="Z16" s="12">
        <v>189</v>
      </c>
      <c r="AA16" s="12">
        <v>99</v>
      </c>
      <c r="AB16" s="12">
        <v>243</v>
      </c>
      <c r="AC16" s="12">
        <v>300</v>
      </c>
      <c r="AD16" s="12">
        <v>243</v>
      </c>
      <c r="AE16" s="12">
        <v>326</v>
      </c>
      <c r="AF16" s="12">
        <v>296</v>
      </c>
    </row>
    <row r="17" spans="1:32">
      <c r="A17" s="23"/>
      <c r="B17" s="13" t="s">
        <v>1326</v>
      </c>
      <c r="C17" s="14">
        <v>0.19</v>
      </c>
      <c r="D17" s="14">
        <v>0.27</v>
      </c>
      <c r="E17" s="14">
        <v>0.25</v>
      </c>
      <c r="F17" s="14">
        <v>0.19</v>
      </c>
      <c r="G17" s="14">
        <v>0.23</v>
      </c>
      <c r="H17" s="14">
        <v>0.21</v>
      </c>
      <c r="I17" s="14">
        <v>0.22</v>
      </c>
      <c r="J17" s="14">
        <v>0.23</v>
      </c>
      <c r="K17" s="14">
        <v>0.3</v>
      </c>
      <c r="L17" s="14">
        <v>0.23</v>
      </c>
      <c r="M17" s="14">
        <v>0.12</v>
      </c>
      <c r="N17" s="14">
        <v>0.13</v>
      </c>
      <c r="O17" s="14">
        <v>0.19</v>
      </c>
      <c r="P17" s="14">
        <v>0.23</v>
      </c>
      <c r="Q17" s="14">
        <v>0.1</v>
      </c>
      <c r="R17" s="14">
        <v>0.25</v>
      </c>
      <c r="S17" s="14">
        <v>0.24</v>
      </c>
      <c r="T17" s="14">
        <v>0.23</v>
      </c>
      <c r="U17" s="14">
        <v>0.25</v>
      </c>
      <c r="V17" s="14">
        <v>0.17</v>
      </c>
      <c r="W17" s="14">
        <v>0.22</v>
      </c>
      <c r="X17" s="14">
        <v>0.27</v>
      </c>
      <c r="Y17" s="14">
        <v>0.17</v>
      </c>
      <c r="Z17" s="14">
        <v>0.19</v>
      </c>
      <c r="AA17" s="14">
        <v>0.1</v>
      </c>
      <c r="AB17" s="14">
        <v>0.23</v>
      </c>
      <c r="AC17" s="14">
        <v>0.3</v>
      </c>
      <c r="AD17" s="14">
        <v>0.24</v>
      </c>
      <c r="AE17" s="14">
        <v>0.32</v>
      </c>
      <c r="AF17" s="14">
        <v>0.28000000000000003</v>
      </c>
    </row>
    <row r="18" spans="1:32">
      <c r="A18" s="23"/>
      <c r="B18" s="11" t="s">
        <v>1143</v>
      </c>
      <c r="C18" s="12">
        <v>17461</v>
      </c>
      <c r="D18" s="12">
        <v>463</v>
      </c>
      <c r="E18" s="12">
        <v>539</v>
      </c>
      <c r="F18" s="12">
        <v>725</v>
      </c>
      <c r="G18" s="12">
        <v>613</v>
      </c>
      <c r="H18" s="12">
        <v>782</v>
      </c>
      <c r="I18" s="12">
        <v>977</v>
      </c>
      <c r="J18" s="12">
        <v>195</v>
      </c>
      <c r="K18" s="12">
        <v>456</v>
      </c>
      <c r="L18" s="12">
        <v>546</v>
      </c>
      <c r="M18" s="12">
        <v>722</v>
      </c>
      <c r="N18" s="12">
        <v>780</v>
      </c>
      <c r="O18" s="12">
        <v>727</v>
      </c>
      <c r="P18" s="12">
        <v>492</v>
      </c>
      <c r="Q18" s="12">
        <v>779</v>
      </c>
      <c r="R18" s="12">
        <v>221</v>
      </c>
      <c r="S18" s="12">
        <v>500</v>
      </c>
      <c r="T18" s="12">
        <v>504</v>
      </c>
      <c r="U18" s="12">
        <v>108</v>
      </c>
      <c r="V18" s="12">
        <v>683</v>
      </c>
      <c r="W18" s="12">
        <v>250</v>
      </c>
      <c r="X18" s="12">
        <v>502</v>
      </c>
      <c r="Y18" s="12">
        <v>482</v>
      </c>
      <c r="Z18" s="12">
        <v>632</v>
      </c>
      <c r="AA18" s="12">
        <v>806</v>
      </c>
      <c r="AB18" s="12">
        <v>617</v>
      </c>
      <c r="AC18" s="12">
        <v>493</v>
      </c>
      <c r="AD18" s="12">
        <v>476</v>
      </c>
      <c r="AE18" s="12">
        <v>570</v>
      </c>
      <c r="AF18" s="12">
        <v>575</v>
      </c>
    </row>
    <row r="19" spans="1:32">
      <c r="A19" s="23"/>
      <c r="B19" s="13" t="s">
        <v>1144</v>
      </c>
      <c r="C19" s="14">
        <v>0.66</v>
      </c>
      <c r="D19" s="14">
        <v>0.46</v>
      </c>
      <c r="E19" s="14">
        <v>0.52</v>
      </c>
      <c r="F19" s="14">
        <v>0.72</v>
      </c>
      <c r="G19" s="14">
        <v>0.61</v>
      </c>
      <c r="H19" s="14">
        <v>0.65</v>
      </c>
      <c r="I19" s="14">
        <v>0.65</v>
      </c>
      <c r="J19" s="14">
        <v>0.66</v>
      </c>
      <c r="K19" s="14">
        <v>0.46</v>
      </c>
      <c r="L19" s="14">
        <v>0.54</v>
      </c>
      <c r="M19" s="14">
        <v>0.71</v>
      </c>
      <c r="N19" s="14">
        <v>0.78</v>
      </c>
      <c r="O19" s="14">
        <v>0.72</v>
      </c>
      <c r="P19" s="14">
        <v>0.49</v>
      </c>
      <c r="Q19" s="14">
        <v>0.76</v>
      </c>
      <c r="R19" s="14">
        <v>0.44</v>
      </c>
      <c r="S19" s="14">
        <v>0.5</v>
      </c>
      <c r="T19" s="14">
        <v>0.5</v>
      </c>
      <c r="U19" s="14">
        <v>0.22</v>
      </c>
      <c r="V19" s="14">
        <v>0.68</v>
      </c>
      <c r="W19" s="14">
        <v>0.5</v>
      </c>
      <c r="X19" s="14">
        <v>0.49</v>
      </c>
      <c r="Y19" s="14">
        <v>0.48</v>
      </c>
      <c r="Z19" s="14">
        <v>0.62</v>
      </c>
      <c r="AA19" s="14">
        <v>0.77</v>
      </c>
      <c r="AB19" s="14">
        <v>0.6</v>
      </c>
      <c r="AC19" s="14">
        <v>0.49</v>
      </c>
      <c r="AD19" s="14">
        <v>0.47</v>
      </c>
      <c r="AE19" s="14">
        <v>0.57000000000000006</v>
      </c>
      <c r="AF19" s="14">
        <v>0.54</v>
      </c>
    </row>
    <row r="20" spans="1:32">
      <c r="A20" s="23"/>
      <c r="B20" s="11" t="s">
        <v>497</v>
      </c>
      <c r="C20" s="12">
        <v>35</v>
      </c>
      <c r="D20" s="12">
        <v>2</v>
      </c>
      <c r="E20" s="12">
        <v>2</v>
      </c>
      <c r="F20" s="12">
        <v>5</v>
      </c>
      <c r="G20" s="12">
        <v>3</v>
      </c>
      <c r="H20" s="12">
        <v>1</v>
      </c>
      <c r="I20" s="12">
        <v>1</v>
      </c>
      <c r="J20" s="12">
        <v>0</v>
      </c>
      <c r="K20" s="12">
        <v>4</v>
      </c>
      <c r="L20" s="12">
        <v>12</v>
      </c>
      <c r="M20" s="12">
        <v>0</v>
      </c>
      <c r="N20" s="12">
        <v>1</v>
      </c>
      <c r="O20" s="12">
        <v>0</v>
      </c>
      <c r="P20" s="12">
        <v>0</v>
      </c>
      <c r="Q20" s="12">
        <v>1</v>
      </c>
      <c r="R20" s="12">
        <v>0</v>
      </c>
      <c r="S20" s="12">
        <v>3</v>
      </c>
      <c r="T20" s="12">
        <v>2</v>
      </c>
      <c r="U20" s="12">
        <v>0</v>
      </c>
      <c r="V20" s="12">
        <v>1</v>
      </c>
      <c r="W20" s="12">
        <v>0</v>
      </c>
      <c r="X20" s="12">
        <v>5</v>
      </c>
      <c r="Y20" s="12">
        <v>1</v>
      </c>
      <c r="Z20" s="12">
        <v>3</v>
      </c>
      <c r="AA20" s="12">
        <v>2</v>
      </c>
      <c r="AB20" s="12">
        <v>0</v>
      </c>
      <c r="AC20" s="12">
        <v>0</v>
      </c>
      <c r="AD20" s="12">
        <v>2</v>
      </c>
      <c r="AE20" s="12">
        <v>2</v>
      </c>
      <c r="AF20" s="12">
        <v>0</v>
      </c>
    </row>
    <row r="21" spans="1:32">
      <c r="A21" s="23"/>
      <c r="B21" s="13" t="s">
        <v>498</v>
      </c>
      <c r="C21" s="15" t="s">
        <v>485</v>
      </c>
      <c r="D21" s="15" t="s">
        <v>485</v>
      </c>
      <c r="E21" s="15" t="s">
        <v>485</v>
      </c>
      <c r="F21" s="15" t="s">
        <v>485</v>
      </c>
      <c r="G21" s="15" t="s">
        <v>485</v>
      </c>
      <c r="H21" s="15" t="s">
        <v>485</v>
      </c>
      <c r="I21" s="15" t="s">
        <v>485</v>
      </c>
      <c r="J21" s="15" t="s">
        <v>485</v>
      </c>
      <c r="K21" s="15" t="s">
        <v>485</v>
      </c>
      <c r="L21" s="14">
        <v>0.01</v>
      </c>
      <c r="M21" s="15" t="s">
        <v>485</v>
      </c>
      <c r="N21" s="15" t="s">
        <v>485</v>
      </c>
      <c r="O21" s="15" t="s">
        <v>485</v>
      </c>
      <c r="P21" s="15" t="s">
        <v>485</v>
      </c>
      <c r="Q21" s="15" t="s">
        <v>485</v>
      </c>
      <c r="R21" s="15" t="s">
        <v>485</v>
      </c>
      <c r="S21" s="15" t="s">
        <v>485</v>
      </c>
      <c r="T21" s="15" t="s">
        <v>485</v>
      </c>
      <c r="U21" s="15" t="s">
        <v>485</v>
      </c>
      <c r="V21" s="15" t="s">
        <v>485</v>
      </c>
      <c r="W21" s="15" t="s">
        <v>485</v>
      </c>
      <c r="X21" s="14">
        <v>0.01</v>
      </c>
      <c r="Y21" s="15" t="s">
        <v>485</v>
      </c>
      <c r="Z21" s="15" t="s">
        <v>485</v>
      </c>
      <c r="AA21" s="15" t="s">
        <v>485</v>
      </c>
      <c r="AB21" s="15" t="s">
        <v>485</v>
      </c>
      <c r="AC21" s="15" t="s">
        <v>485</v>
      </c>
      <c r="AD21" s="15" t="s">
        <v>485</v>
      </c>
      <c r="AE21" s="15" t="s">
        <v>485</v>
      </c>
      <c r="AF21" s="15" t="s">
        <v>485</v>
      </c>
    </row>
  </sheetData>
  <mergeCells count="9">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1327</v>
      </c>
      <c r="C3" s="19"/>
      <c r="D3" s="19"/>
      <c r="E3" s="19"/>
      <c r="F3" s="19"/>
      <c r="H3" s="19" t="s">
        <v>1328</v>
      </c>
      <c r="I3" s="19"/>
      <c r="J3" s="19"/>
      <c r="K3" s="19"/>
      <c r="L3" s="19"/>
    </row>
    <row r="4" spans="1:32" ht="27" customHeight="1">
      <c r="B4" s="19" t="s">
        <v>1329</v>
      </c>
      <c r="C4" s="19"/>
      <c r="D4" s="19"/>
      <c r="E4" s="19"/>
      <c r="F4" s="19"/>
      <c r="H4" s="19" t="s">
        <v>1330</v>
      </c>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HYPERLINK("#Content!A126","&lt;&lt;Back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937</v>
      </c>
      <c r="C12" s="12">
        <v>13906</v>
      </c>
      <c r="D12" s="12">
        <v>500</v>
      </c>
      <c r="E12" s="12">
        <v>675</v>
      </c>
      <c r="F12" s="12">
        <v>596</v>
      </c>
      <c r="G12" s="12">
        <v>678</v>
      </c>
      <c r="H12" s="12">
        <v>544</v>
      </c>
      <c r="I12" s="12">
        <v>699</v>
      </c>
      <c r="J12" s="12">
        <v>155</v>
      </c>
      <c r="K12" s="12">
        <v>604</v>
      </c>
      <c r="L12" s="12">
        <v>757</v>
      </c>
      <c r="M12" s="12">
        <v>662</v>
      </c>
      <c r="N12" s="12">
        <v>612</v>
      </c>
      <c r="O12" s="12">
        <v>515</v>
      </c>
      <c r="P12" s="12">
        <v>649</v>
      </c>
      <c r="Q12" s="12">
        <v>530</v>
      </c>
      <c r="R12" s="12">
        <v>372</v>
      </c>
      <c r="S12" s="12">
        <v>654</v>
      </c>
      <c r="T12" s="12">
        <v>648</v>
      </c>
      <c r="U12" s="12">
        <v>306</v>
      </c>
      <c r="V12" s="12">
        <v>614</v>
      </c>
      <c r="W12" s="12">
        <v>408</v>
      </c>
      <c r="X12" s="12">
        <v>586</v>
      </c>
      <c r="Y12" s="12">
        <v>571</v>
      </c>
      <c r="Z12" s="12">
        <v>418</v>
      </c>
      <c r="AA12" s="12">
        <v>565</v>
      </c>
      <c r="AB12" s="12">
        <v>404</v>
      </c>
      <c r="AC12" s="12">
        <v>600</v>
      </c>
      <c r="AD12" s="12">
        <v>667</v>
      </c>
      <c r="AE12" s="12">
        <v>506</v>
      </c>
      <c r="AF12" s="12">
        <v>655</v>
      </c>
    </row>
    <row r="13" spans="1:32">
      <c r="A13" s="23"/>
      <c r="B13" s="13" t="s">
        <v>938</v>
      </c>
      <c r="C13" s="14">
        <v>0.53</v>
      </c>
      <c r="D13" s="14">
        <v>0.5</v>
      </c>
      <c r="E13" s="14">
        <v>0.65</v>
      </c>
      <c r="F13" s="14">
        <v>0.59</v>
      </c>
      <c r="G13" s="14">
        <v>0.68</v>
      </c>
      <c r="H13" s="14">
        <v>0.45</v>
      </c>
      <c r="I13" s="14">
        <v>0.46</v>
      </c>
      <c r="J13" s="14">
        <v>0.53</v>
      </c>
      <c r="K13" s="14">
        <v>0.6</v>
      </c>
      <c r="L13" s="14">
        <v>0.75</v>
      </c>
      <c r="M13" s="14">
        <v>0.65</v>
      </c>
      <c r="N13" s="14">
        <v>0.61</v>
      </c>
      <c r="O13" s="14">
        <v>0.51</v>
      </c>
      <c r="P13" s="14">
        <v>0.64</v>
      </c>
      <c r="Q13" s="14">
        <v>0.52</v>
      </c>
      <c r="R13" s="14">
        <v>0.74</v>
      </c>
      <c r="S13" s="14">
        <v>0.65</v>
      </c>
      <c r="T13" s="14">
        <v>0.65</v>
      </c>
      <c r="U13" s="14">
        <v>0.61</v>
      </c>
      <c r="V13" s="14">
        <v>0.61</v>
      </c>
      <c r="W13" s="14">
        <v>0.81</v>
      </c>
      <c r="X13" s="14">
        <v>0.57000000000000006</v>
      </c>
      <c r="Y13" s="14">
        <v>0.57000000000000006</v>
      </c>
      <c r="Z13" s="14">
        <v>0.41</v>
      </c>
      <c r="AA13" s="14">
        <v>0.54</v>
      </c>
      <c r="AB13" s="14">
        <v>0.39</v>
      </c>
      <c r="AC13" s="14">
        <v>0.6</v>
      </c>
      <c r="AD13" s="14">
        <v>0.67</v>
      </c>
      <c r="AE13" s="14">
        <v>0.5</v>
      </c>
      <c r="AF13" s="14">
        <v>0.61</v>
      </c>
    </row>
    <row r="14" spans="1:32">
      <c r="A14" s="23"/>
      <c r="B14" s="11" t="s">
        <v>939</v>
      </c>
      <c r="C14" s="12">
        <v>8778</v>
      </c>
      <c r="D14" s="12">
        <v>389</v>
      </c>
      <c r="E14" s="12">
        <v>222</v>
      </c>
      <c r="F14" s="12">
        <v>241</v>
      </c>
      <c r="G14" s="12">
        <v>221</v>
      </c>
      <c r="H14" s="12">
        <v>484</v>
      </c>
      <c r="I14" s="12">
        <v>582</v>
      </c>
      <c r="J14" s="12">
        <v>99</v>
      </c>
      <c r="K14" s="12">
        <v>268</v>
      </c>
      <c r="L14" s="12">
        <v>183</v>
      </c>
      <c r="M14" s="12">
        <v>228</v>
      </c>
      <c r="N14" s="12">
        <v>258</v>
      </c>
      <c r="O14" s="12">
        <v>368</v>
      </c>
      <c r="P14" s="12">
        <v>233</v>
      </c>
      <c r="Q14" s="12">
        <v>361</v>
      </c>
      <c r="R14" s="12">
        <v>80</v>
      </c>
      <c r="S14" s="12">
        <v>242</v>
      </c>
      <c r="T14" s="12">
        <v>205</v>
      </c>
      <c r="U14" s="12">
        <v>132</v>
      </c>
      <c r="V14" s="12">
        <v>266</v>
      </c>
      <c r="W14" s="12">
        <v>74</v>
      </c>
      <c r="X14" s="12">
        <v>334</v>
      </c>
      <c r="Y14" s="12">
        <v>318</v>
      </c>
      <c r="Z14" s="12">
        <v>428</v>
      </c>
      <c r="AA14" s="12">
        <v>287</v>
      </c>
      <c r="AB14" s="12">
        <v>331</v>
      </c>
      <c r="AC14" s="12">
        <v>287</v>
      </c>
      <c r="AD14" s="12">
        <v>245</v>
      </c>
      <c r="AE14" s="12">
        <v>377</v>
      </c>
      <c r="AF14" s="12">
        <v>319</v>
      </c>
    </row>
    <row r="15" spans="1:32">
      <c r="A15" s="23"/>
      <c r="B15" s="13" t="s">
        <v>1331</v>
      </c>
      <c r="C15" s="14">
        <v>0.33</v>
      </c>
      <c r="D15" s="14">
        <v>0.39</v>
      </c>
      <c r="E15" s="14">
        <v>0.21</v>
      </c>
      <c r="F15" s="14">
        <v>0.24</v>
      </c>
      <c r="G15" s="14">
        <v>0.22</v>
      </c>
      <c r="H15" s="14">
        <v>0.4</v>
      </c>
      <c r="I15" s="14">
        <v>0.39</v>
      </c>
      <c r="J15" s="14">
        <v>0.34</v>
      </c>
      <c r="K15" s="14">
        <v>0.27</v>
      </c>
      <c r="L15" s="14">
        <v>0.18</v>
      </c>
      <c r="M15" s="14">
        <v>0.23</v>
      </c>
      <c r="N15" s="14">
        <v>0.26</v>
      </c>
      <c r="O15" s="14">
        <v>0.37</v>
      </c>
      <c r="P15" s="14">
        <v>0.23</v>
      </c>
      <c r="Q15" s="14">
        <v>0.35</v>
      </c>
      <c r="R15" s="14">
        <v>0.16</v>
      </c>
      <c r="S15" s="14">
        <v>0.24</v>
      </c>
      <c r="T15" s="14">
        <v>0.2</v>
      </c>
      <c r="U15" s="14">
        <v>0.26</v>
      </c>
      <c r="V15" s="14">
        <v>0.26</v>
      </c>
      <c r="W15" s="14">
        <v>0.15</v>
      </c>
      <c r="X15" s="14">
        <v>0.33</v>
      </c>
      <c r="Y15" s="14">
        <v>0.31</v>
      </c>
      <c r="Z15" s="14">
        <v>0.42</v>
      </c>
      <c r="AA15" s="14">
        <v>0.28000000000000003</v>
      </c>
      <c r="AB15" s="14">
        <v>0.32</v>
      </c>
      <c r="AC15" s="14">
        <v>0.28000000000000003</v>
      </c>
      <c r="AD15" s="14">
        <v>0.24</v>
      </c>
      <c r="AE15" s="14">
        <v>0.37</v>
      </c>
      <c r="AF15" s="14">
        <v>0.3</v>
      </c>
    </row>
    <row r="16" spans="1:32">
      <c r="A16" s="23"/>
      <c r="B16" s="11" t="s">
        <v>941</v>
      </c>
      <c r="C16" s="12">
        <v>1658</v>
      </c>
      <c r="D16" s="12">
        <v>84</v>
      </c>
      <c r="E16" s="12">
        <v>42</v>
      </c>
      <c r="F16" s="12">
        <v>57</v>
      </c>
      <c r="G16" s="12">
        <v>45</v>
      </c>
      <c r="H16" s="12">
        <v>92</v>
      </c>
      <c r="I16" s="12">
        <v>119</v>
      </c>
      <c r="J16" s="12">
        <v>27</v>
      </c>
      <c r="K16" s="12">
        <v>62</v>
      </c>
      <c r="L16" s="12">
        <v>16</v>
      </c>
      <c r="M16" s="12">
        <v>48</v>
      </c>
      <c r="N16" s="12">
        <v>38</v>
      </c>
      <c r="O16" s="12">
        <v>50</v>
      </c>
      <c r="P16" s="12">
        <v>64</v>
      </c>
      <c r="Q16" s="12">
        <v>59</v>
      </c>
      <c r="R16" s="12">
        <v>14</v>
      </c>
      <c r="S16" s="12">
        <v>42</v>
      </c>
      <c r="T16" s="12">
        <v>32</v>
      </c>
      <c r="U16" s="12">
        <v>30</v>
      </c>
      <c r="V16" s="12">
        <v>52</v>
      </c>
      <c r="W16" s="12">
        <v>7</v>
      </c>
      <c r="X16" s="12">
        <v>78</v>
      </c>
      <c r="Y16" s="12">
        <v>60</v>
      </c>
      <c r="Z16" s="12">
        <v>80</v>
      </c>
      <c r="AA16" s="12">
        <v>33</v>
      </c>
      <c r="AB16" s="12">
        <v>161</v>
      </c>
      <c r="AC16" s="12">
        <v>36</v>
      </c>
      <c r="AD16" s="12">
        <v>28</v>
      </c>
      <c r="AE16" s="12">
        <v>66</v>
      </c>
      <c r="AF16" s="12">
        <v>51</v>
      </c>
    </row>
    <row r="17" spans="1:32">
      <c r="A17" s="23"/>
      <c r="B17" s="13" t="s">
        <v>942</v>
      </c>
      <c r="C17" s="14">
        <v>0.06</v>
      </c>
      <c r="D17" s="14">
        <v>0.08</v>
      </c>
      <c r="E17" s="14">
        <v>0.04</v>
      </c>
      <c r="F17" s="14">
        <v>0.06</v>
      </c>
      <c r="G17" s="14">
        <v>0.05</v>
      </c>
      <c r="H17" s="14">
        <v>7.0000000000000007E-2</v>
      </c>
      <c r="I17" s="14">
        <v>0.08</v>
      </c>
      <c r="J17" s="14">
        <v>0.09</v>
      </c>
      <c r="K17" s="14">
        <v>0.06</v>
      </c>
      <c r="L17" s="14">
        <v>0.02</v>
      </c>
      <c r="M17" s="14">
        <v>0.05</v>
      </c>
      <c r="N17" s="14">
        <v>0.04</v>
      </c>
      <c r="O17" s="14">
        <v>0.05</v>
      </c>
      <c r="P17" s="14">
        <v>0.06</v>
      </c>
      <c r="Q17" s="14">
        <v>0.06</v>
      </c>
      <c r="R17" s="14">
        <v>0.03</v>
      </c>
      <c r="S17" s="14">
        <v>0.04</v>
      </c>
      <c r="T17" s="14">
        <v>0.03</v>
      </c>
      <c r="U17" s="14">
        <v>0.06</v>
      </c>
      <c r="V17" s="14">
        <v>0.05</v>
      </c>
      <c r="W17" s="14">
        <v>0.01</v>
      </c>
      <c r="X17" s="14">
        <v>0.08</v>
      </c>
      <c r="Y17" s="14">
        <v>0.06</v>
      </c>
      <c r="Z17" s="14">
        <v>0.08</v>
      </c>
      <c r="AA17" s="14">
        <v>0.03</v>
      </c>
      <c r="AB17" s="14">
        <v>0.16</v>
      </c>
      <c r="AC17" s="14">
        <v>0.04</v>
      </c>
      <c r="AD17" s="14">
        <v>0.03</v>
      </c>
      <c r="AE17" s="14">
        <v>7.0000000000000007E-2</v>
      </c>
      <c r="AF17" s="14">
        <v>0.05</v>
      </c>
    </row>
    <row r="18" spans="1:32">
      <c r="A18" s="23"/>
      <c r="B18" s="11" t="s">
        <v>943</v>
      </c>
      <c r="C18" s="12">
        <v>1219</v>
      </c>
      <c r="D18" s="12">
        <v>31</v>
      </c>
      <c r="E18" s="12">
        <v>44</v>
      </c>
      <c r="F18" s="12">
        <v>89</v>
      </c>
      <c r="G18" s="12">
        <v>35</v>
      </c>
      <c r="H18" s="12">
        <v>58</v>
      </c>
      <c r="I18" s="12">
        <v>68</v>
      </c>
      <c r="J18" s="12">
        <v>10</v>
      </c>
      <c r="K18" s="12">
        <v>30</v>
      </c>
      <c r="L18" s="12">
        <v>23</v>
      </c>
      <c r="M18" s="12">
        <v>44</v>
      </c>
      <c r="N18" s="12">
        <v>53</v>
      </c>
      <c r="O18" s="12">
        <v>32</v>
      </c>
      <c r="P18" s="12">
        <v>47</v>
      </c>
      <c r="Q18" s="12">
        <v>49</v>
      </c>
      <c r="R18" s="12">
        <v>13</v>
      </c>
      <c r="S18" s="12">
        <v>27</v>
      </c>
      <c r="T18" s="12">
        <v>59</v>
      </c>
      <c r="U18" s="12">
        <v>24</v>
      </c>
      <c r="V18" s="12">
        <v>54</v>
      </c>
      <c r="W18" s="12">
        <v>5</v>
      </c>
      <c r="X18" s="12">
        <v>9</v>
      </c>
      <c r="Y18" s="12">
        <v>40</v>
      </c>
      <c r="Z18" s="12">
        <v>65</v>
      </c>
      <c r="AA18" s="12">
        <v>89</v>
      </c>
      <c r="AB18" s="12">
        <v>87</v>
      </c>
      <c r="AC18" s="12">
        <v>53</v>
      </c>
      <c r="AD18" s="12">
        <v>26</v>
      </c>
      <c r="AE18" s="12">
        <v>30</v>
      </c>
      <c r="AF18" s="12">
        <v>23</v>
      </c>
    </row>
    <row r="19" spans="1:32">
      <c r="A19" s="23"/>
      <c r="B19" s="13" t="s">
        <v>1332</v>
      </c>
      <c r="C19" s="14">
        <v>0.05</v>
      </c>
      <c r="D19" s="14">
        <v>0.03</v>
      </c>
      <c r="E19" s="14">
        <v>0.04</v>
      </c>
      <c r="F19" s="14">
        <v>0.09</v>
      </c>
      <c r="G19" s="14">
        <v>0.03</v>
      </c>
      <c r="H19" s="14">
        <v>0.05</v>
      </c>
      <c r="I19" s="14">
        <v>0.05</v>
      </c>
      <c r="J19" s="14">
        <v>0.03</v>
      </c>
      <c r="K19" s="14">
        <v>0.03</v>
      </c>
      <c r="L19" s="14">
        <v>0.02</v>
      </c>
      <c r="M19" s="14">
        <v>0.04</v>
      </c>
      <c r="N19" s="14">
        <v>0.05</v>
      </c>
      <c r="O19" s="14">
        <v>0.03</v>
      </c>
      <c r="P19" s="14">
        <v>0.05</v>
      </c>
      <c r="Q19" s="14">
        <v>0.05</v>
      </c>
      <c r="R19" s="14">
        <v>0.03</v>
      </c>
      <c r="S19" s="14">
        <v>0.03</v>
      </c>
      <c r="T19" s="14">
        <v>0.06</v>
      </c>
      <c r="U19" s="14">
        <v>0.05</v>
      </c>
      <c r="V19" s="14">
        <v>0.05</v>
      </c>
      <c r="W19" s="14">
        <v>0.01</v>
      </c>
      <c r="X19" s="14">
        <v>0.01</v>
      </c>
      <c r="Y19" s="14">
        <v>0.04</v>
      </c>
      <c r="Z19" s="14">
        <v>0.06</v>
      </c>
      <c r="AA19" s="14">
        <v>0.09</v>
      </c>
      <c r="AB19" s="14">
        <v>0.08</v>
      </c>
      <c r="AC19" s="14">
        <v>0.05</v>
      </c>
      <c r="AD19" s="14">
        <v>0.02</v>
      </c>
      <c r="AE19" s="14">
        <v>0.03</v>
      </c>
      <c r="AF19" s="14">
        <v>0.02</v>
      </c>
    </row>
    <row r="20" spans="1:32">
      <c r="A20" s="23"/>
      <c r="B20" s="11" t="s">
        <v>497</v>
      </c>
      <c r="C20" s="12">
        <v>793</v>
      </c>
      <c r="D20" s="12">
        <v>2</v>
      </c>
      <c r="E20" s="12">
        <v>61</v>
      </c>
      <c r="F20" s="12">
        <v>25</v>
      </c>
      <c r="G20" s="12">
        <v>24</v>
      </c>
      <c r="H20" s="12">
        <v>33</v>
      </c>
      <c r="I20" s="12">
        <v>36</v>
      </c>
      <c r="J20" s="12">
        <v>3</v>
      </c>
      <c r="K20" s="12">
        <v>40</v>
      </c>
      <c r="L20" s="12">
        <v>28</v>
      </c>
      <c r="M20" s="12">
        <v>29</v>
      </c>
      <c r="N20" s="12">
        <v>39</v>
      </c>
      <c r="O20" s="12">
        <v>42</v>
      </c>
      <c r="P20" s="12">
        <v>19</v>
      </c>
      <c r="Q20" s="12">
        <v>24</v>
      </c>
      <c r="R20" s="12">
        <v>23</v>
      </c>
      <c r="S20" s="12">
        <v>41</v>
      </c>
      <c r="T20" s="12">
        <v>59</v>
      </c>
      <c r="U20" s="12">
        <v>11</v>
      </c>
      <c r="V20" s="12">
        <v>25</v>
      </c>
      <c r="W20" s="12">
        <v>9</v>
      </c>
      <c r="X20" s="12">
        <v>9</v>
      </c>
      <c r="Y20" s="12">
        <v>18</v>
      </c>
      <c r="Z20" s="12">
        <v>25</v>
      </c>
      <c r="AA20" s="12">
        <v>65</v>
      </c>
      <c r="AB20" s="12">
        <v>48</v>
      </c>
      <c r="AC20" s="12">
        <v>29</v>
      </c>
      <c r="AD20" s="12">
        <v>36</v>
      </c>
      <c r="AE20" s="12">
        <v>30</v>
      </c>
      <c r="AF20" s="12">
        <v>25</v>
      </c>
    </row>
    <row r="21" spans="1:32">
      <c r="A21" s="23"/>
      <c r="B21" s="13" t="s">
        <v>498</v>
      </c>
      <c r="C21" s="14">
        <v>0.03</v>
      </c>
      <c r="D21" s="15" t="s">
        <v>485</v>
      </c>
      <c r="E21" s="14">
        <v>0.06</v>
      </c>
      <c r="F21" s="14">
        <v>0.02</v>
      </c>
      <c r="G21" s="14">
        <v>0.02</v>
      </c>
      <c r="H21" s="14">
        <v>0.03</v>
      </c>
      <c r="I21" s="14">
        <v>0.02</v>
      </c>
      <c r="J21" s="14">
        <v>0.01</v>
      </c>
      <c r="K21" s="14">
        <v>0.04</v>
      </c>
      <c r="L21" s="14">
        <v>0.03</v>
      </c>
      <c r="M21" s="14">
        <v>0.03</v>
      </c>
      <c r="N21" s="14">
        <v>0.04</v>
      </c>
      <c r="O21" s="14">
        <v>0.04</v>
      </c>
      <c r="P21" s="14">
        <v>0.02</v>
      </c>
      <c r="Q21" s="14">
        <v>0.02</v>
      </c>
      <c r="R21" s="14">
        <v>0.04</v>
      </c>
      <c r="S21" s="14">
        <v>0.04</v>
      </c>
      <c r="T21" s="14">
        <v>0.06</v>
      </c>
      <c r="U21" s="14">
        <v>0.02</v>
      </c>
      <c r="V21" s="14">
        <v>0.03</v>
      </c>
      <c r="W21" s="14">
        <v>0.02</v>
      </c>
      <c r="X21" s="14">
        <v>0.01</v>
      </c>
      <c r="Y21" s="14">
        <v>0.02</v>
      </c>
      <c r="Z21" s="14">
        <v>0.03</v>
      </c>
      <c r="AA21" s="14">
        <v>0.06</v>
      </c>
      <c r="AB21" s="14">
        <v>0.05</v>
      </c>
      <c r="AC21" s="14">
        <v>0.03</v>
      </c>
      <c r="AD21" s="14">
        <v>0.04</v>
      </c>
      <c r="AE21" s="14">
        <v>0.03</v>
      </c>
      <c r="AF21" s="14">
        <v>0.02</v>
      </c>
    </row>
    <row r="22" spans="1:32">
      <c r="A22" s="23"/>
      <c r="B22" s="11" t="s">
        <v>945</v>
      </c>
      <c r="C22" s="12">
        <v>22684</v>
      </c>
      <c r="D22" s="12">
        <v>889</v>
      </c>
      <c r="E22" s="12">
        <v>897</v>
      </c>
      <c r="F22" s="12">
        <v>837</v>
      </c>
      <c r="G22" s="12">
        <v>899</v>
      </c>
      <c r="H22" s="12">
        <v>1028</v>
      </c>
      <c r="I22" s="12">
        <v>1281</v>
      </c>
      <c r="J22" s="12">
        <v>254</v>
      </c>
      <c r="K22" s="12">
        <v>872</v>
      </c>
      <c r="L22" s="12">
        <v>940</v>
      </c>
      <c r="M22" s="12">
        <v>890</v>
      </c>
      <c r="N22" s="12">
        <v>870</v>
      </c>
      <c r="O22" s="12">
        <v>883</v>
      </c>
      <c r="P22" s="12">
        <v>882</v>
      </c>
      <c r="Q22" s="12">
        <v>891</v>
      </c>
      <c r="R22" s="12">
        <v>452</v>
      </c>
      <c r="S22" s="12">
        <v>896</v>
      </c>
      <c r="T22" s="12">
        <v>853</v>
      </c>
      <c r="U22" s="12">
        <v>438</v>
      </c>
      <c r="V22" s="12">
        <v>880</v>
      </c>
      <c r="W22" s="12">
        <v>482</v>
      </c>
      <c r="X22" s="12">
        <v>920</v>
      </c>
      <c r="Y22" s="12">
        <v>889</v>
      </c>
      <c r="Z22" s="12">
        <v>846</v>
      </c>
      <c r="AA22" s="12">
        <v>852</v>
      </c>
      <c r="AB22" s="12">
        <v>735</v>
      </c>
      <c r="AC22" s="12">
        <v>887</v>
      </c>
      <c r="AD22" s="12">
        <v>912</v>
      </c>
      <c r="AE22" s="12">
        <v>883</v>
      </c>
      <c r="AF22" s="12">
        <v>974</v>
      </c>
    </row>
    <row r="23" spans="1:32">
      <c r="A23" s="23"/>
      <c r="B23" s="13" t="s">
        <v>945</v>
      </c>
      <c r="C23" s="14">
        <v>0.86</v>
      </c>
      <c r="D23" s="14">
        <v>0.89</v>
      </c>
      <c r="E23" s="14">
        <v>0.86</v>
      </c>
      <c r="F23" s="14">
        <v>0.83000000000000007</v>
      </c>
      <c r="G23" s="14">
        <v>0.9</v>
      </c>
      <c r="H23" s="14">
        <v>0.85</v>
      </c>
      <c r="I23" s="14">
        <v>0.85</v>
      </c>
      <c r="J23" s="14">
        <v>0.87</v>
      </c>
      <c r="K23" s="14">
        <v>0.87</v>
      </c>
      <c r="L23" s="14">
        <v>0.93</v>
      </c>
      <c r="M23" s="14">
        <v>0.88</v>
      </c>
      <c r="N23" s="14">
        <v>0.87</v>
      </c>
      <c r="O23" s="14">
        <v>0.88</v>
      </c>
      <c r="P23" s="14">
        <v>0.87</v>
      </c>
      <c r="Q23" s="14">
        <v>0.87</v>
      </c>
      <c r="R23" s="14">
        <v>0.9</v>
      </c>
      <c r="S23" s="14">
        <v>0.89</v>
      </c>
      <c r="T23" s="14">
        <v>0.85</v>
      </c>
      <c r="U23" s="14">
        <v>0.87</v>
      </c>
      <c r="V23" s="14">
        <v>0.87</v>
      </c>
      <c r="W23" s="14">
        <v>0.96</v>
      </c>
      <c r="X23" s="14">
        <v>0.9</v>
      </c>
      <c r="Y23" s="14">
        <v>0.88</v>
      </c>
      <c r="Z23" s="14">
        <v>0.83000000000000007</v>
      </c>
      <c r="AA23" s="14">
        <v>0.82000000000000006</v>
      </c>
      <c r="AB23" s="14">
        <v>0.71</v>
      </c>
      <c r="AC23" s="14">
        <v>0.88</v>
      </c>
      <c r="AD23" s="14">
        <v>0.91</v>
      </c>
      <c r="AE23" s="14">
        <v>0.87</v>
      </c>
      <c r="AF23" s="14">
        <v>0.91</v>
      </c>
    </row>
    <row r="24" spans="1:32">
      <c r="A24" s="23"/>
      <c r="B24" s="11" t="s">
        <v>946</v>
      </c>
      <c r="C24" s="12">
        <v>2877</v>
      </c>
      <c r="D24" s="12">
        <v>115</v>
      </c>
      <c r="E24" s="12">
        <v>86</v>
      </c>
      <c r="F24" s="12">
        <v>146</v>
      </c>
      <c r="G24" s="12">
        <v>80</v>
      </c>
      <c r="H24" s="12">
        <v>150</v>
      </c>
      <c r="I24" s="12">
        <v>187</v>
      </c>
      <c r="J24" s="12">
        <v>37</v>
      </c>
      <c r="K24" s="12">
        <v>92</v>
      </c>
      <c r="L24" s="12">
        <v>39</v>
      </c>
      <c r="M24" s="12">
        <v>92</v>
      </c>
      <c r="N24" s="12">
        <v>91</v>
      </c>
      <c r="O24" s="12">
        <v>82</v>
      </c>
      <c r="P24" s="12">
        <v>111</v>
      </c>
      <c r="Q24" s="12">
        <v>108</v>
      </c>
      <c r="R24" s="12">
        <v>27</v>
      </c>
      <c r="S24" s="12">
        <v>69</v>
      </c>
      <c r="T24" s="12">
        <v>91</v>
      </c>
      <c r="U24" s="12">
        <v>54</v>
      </c>
      <c r="V24" s="12">
        <v>106</v>
      </c>
      <c r="W24" s="12">
        <v>12</v>
      </c>
      <c r="X24" s="12">
        <v>87</v>
      </c>
      <c r="Y24" s="12">
        <v>100</v>
      </c>
      <c r="Z24" s="12">
        <v>145</v>
      </c>
      <c r="AA24" s="12">
        <v>122</v>
      </c>
      <c r="AB24" s="12">
        <v>248</v>
      </c>
      <c r="AC24" s="12">
        <v>89</v>
      </c>
      <c r="AD24" s="12">
        <v>54</v>
      </c>
      <c r="AE24" s="12">
        <v>96</v>
      </c>
      <c r="AF24" s="12">
        <v>74</v>
      </c>
    </row>
    <row r="25" spans="1:32">
      <c r="A25" s="23"/>
      <c r="B25" s="13" t="s">
        <v>947</v>
      </c>
      <c r="C25" s="14">
        <v>0.11</v>
      </c>
      <c r="D25" s="14">
        <v>0.11</v>
      </c>
      <c r="E25" s="14">
        <v>0.08</v>
      </c>
      <c r="F25" s="14">
        <v>0.15</v>
      </c>
      <c r="G25" s="14">
        <v>0.08</v>
      </c>
      <c r="H25" s="14">
        <v>0.12</v>
      </c>
      <c r="I25" s="14">
        <v>0.13</v>
      </c>
      <c r="J25" s="14">
        <v>0.12</v>
      </c>
      <c r="K25" s="14">
        <v>0.09</v>
      </c>
      <c r="L25" s="14">
        <v>0.04</v>
      </c>
      <c r="M25" s="14">
        <v>0.09</v>
      </c>
      <c r="N25" s="14">
        <v>0.09</v>
      </c>
      <c r="O25" s="14">
        <v>0.08</v>
      </c>
      <c r="P25" s="14">
        <v>0.11</v>
      </c>
      <c r="Q25" s="14">
        <v>0.11</v>
      </c>
      <c r="R25" s="14">
        <v>0.06</v>
      </c>
      <c r="S25" s="14">
        <v>7.0000000000000007E-2</v>
      </c>
      <c r="T25" s="14">
        <v>0.09</v>
      </c>
      <c r="U25" s="14">
        <v>0.11</v>
      </c>
      <c r="V25" s="14">
        <v>0.1</v>
      </c>
      <c r="W25" s="14">
        <v>0.02</v>
      </c>
      <c r="X25" s="14">
        <v>0.09</v>
      </c>
      <c r="Y25" s="14">
        <v>0.1</v>
      </c>
      <c r="Z25" s="14">
        <v>0.14000000000000001</v>
      </c>
      <c r="AA25" s="14">
        <v>0.12</v>
      </c>
      <c r="AB25" s="14">
        <v>0.24</v>
      </c>
      <c r="AC25" s="14">
        <v>0.09</v>
      </c>
      <c r="AD25" s="14">
        <v>0.05</v>
      </c>
      <c r="AE25" s="14">
        <v>0.1</v>
      </c>
      <c r="AF25" s="14">
        <v>7.0000000000000007E-2</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1333</v>
      </c>
      <c r="C3" s="19"/>
      <c r="D3" s="19"/>
      <c r="E3" s="19"/>
      <c r="F3" s="19"/>
      <c r="H3" s="19" t="s">
        <v>1334</v>
      </c>
      <c r="I3" s="19"/>
      <c r="J3" s="19"/>
      <c r="K3" s="19"/>
      <c r="L3" s="19"/>
    </row>
    <row r="4" spans="1:32" ht="27" customHeight="1">
      <c r="B4" s="19" t="s">
        <v>1335</v>
      </c>
      <c r="C4" s="19"/>
      <c r="D4" s="19"/>
      <c r="E4" s="19"/>
      <c r="F4" s="19"/>
      <c r="H4" s="19" t="s">
        <v>1336</v>
      </c>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HYPERLINK("#Content!A127","&lt;&lt;Back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937</v>
      </c>
      <c r="C12" s="12">
        <v>14749</v>
      </c>
      <c r="D12" s="12">
        <v>516</v>
      </c>
      <c r="E12" s="12">
        <v>787</v>
      </c>
      <c r="F12" s="12">
        <v>611</v>
      </c>
      <c r="G12" s="12">
        <v>590</v>
      </c>
      <c r="H12" s="12">
        <v>564</v>
      </c>
      <c r="I12" s="12">
        <v>736</v>
      </c>
      <c r="J12" s="12">
        <v>172</v>
      </c>
      <c r="K12" s="12">
        <v>734</v>
      </c>
      <c r="L12" s="12">
        <v>715</v>
      </c>
      <c r="M12" s="12">
        <v>800</v>
      </c>
      <c r="N12" s="12">
        <v>655</v>
      </c>
      <c r="O12" s="12">
        <v>559</v>
      </c>
      <c r="P12" s="12">
        <v>733</v>
      </c>
      <c r="Q12" s="12">
        <v>552</v>
      </c>
      <c r="R12" s="12">
        <v>406</v>
      </c>
      <c r="S12" s="12">
        <v>657</v>
      </c>
      <c r="T12" s="12">
        <v>668</v>
      </c>
      <c r="U12" s="12">
        <v>243</v>
      </c>
      <c r="V12" s="12">
        <v>700</v>
      </c>
      <c r="W12" s="12">
        <v>388</v>
      </c>
      <c r="X12" s="12">
        <v>579</v>
      </c>
      <c r="Y12" s="12">
        <v>644</v>
      </c>
      <c r="Z12" s="12">
        <v>448</v>
      </c>
      <c r="AA12" s="12">
        <v>728</v>
      </c>
      <c r="AB12" s="12">
        <v>458</v>
      </c>
      <c r="AC12" s="12">
        <v>603</v>
      </c>
      <c r="AD12" s="12">
        <v>624</v>
      </c>
      <c r="AE12" s="12">
        <v>551</v>
      </c>
      <c r="AF12" s="12">
        <v>502</v>
      </c>
    </row>
    <row r="13" spans="1:32">
      <c r="A13" s="23"/>
      <c r="B13" s="13" t="s">
        <v>938</v>
      </c>
      <c r="C13" s="14">
        <v>0.56000000000000005</v>
      </c>
      <c r="D13" s="14">
        <v>0.51</v>
      </c>
      <c r="E13" s="14">
        <v>0.75</v>
      </c>
      <c r="F13" s="14">
        <v>0.61</v>
      </c>
      <c r="G13" s="14">
        <v>0.59</v>
      </c>
      <c r="H13" s="14">
        <v>0.47</v>
      </c>
      <c r="I13" s="14">
        <v>0.49</v>
      </c>
      <c r="J13" s="14">
        <v>0.59</v>
      </c>
      <c r="K13" s="14">
        <v>0.73</v>
      </c>
      <c r="L13" s="14">
        <v>0.71</v>
      </c>
      <c r="M13" s="14">
        <v>0.79</v>
      </c>
      <c r="N13" s="14">
        <v>0.65</v>
      </c>
      <c r="O13" s="14">
        <v>0.55000000000000004</v>
      </c>
      <c r="P13" s="14">
        <v>0.73</v>
      </c>
      <c r="Q13" s="14">
        <v>0.54</v>
      </c>
      <c r="R13" s="14">
        <v>0.81</v>
      </c>
      <c r="S13" s="14">
        <v>0.65</v>
      </c>
      <c r="T13" s="14">
        <v>0.66</v>
      </c>
      <c r="U13" s="14">
        <v>0.48</v>
      </c>
      <c r="V13" s="14">
        <v>0.69000000000000006</v>
      </c>
      <c r="W13" s="14">
        <v>0.77</v>
      </c>
      <c r="X13" s="14">
        <v>0.57000000000000006</v>
      </c>
      <c r="Y13" s="14">
        <v>0.64</v>
      </c>
      <c r="Z13" s="14">
        <v>0.44</v>
      </c>
      <c r="AA13" s="14">
        <v>0.70000000000000007</v>
      </c>
      <c r="AB13" s="14">
        <v>0.44</v>
      </c>
      <c r="AC13" s="14">
        <v>0.6</v>
      </c>
      <c r="AD13" s="14">
        <v>0.62</v>
      </c>
      <c r="AE13" s="14">
        <v>0.55000000000000004</v>
      </c>
      <c r="AF13" s="14">
        <v>0.47</v>
      </c>
    </row>
    <row r="14" spans="1:32">
      <c r="A14" s="23"/>
      <c r="B14" s="11" t="s">
        <v>939</v>
      </c>
      <c r="C14" s="12">
        <v>7903</v>
      </c>
      <c r="D14" s="12">
        <v>360</v>
      </c>
      <c r="E14" s="12">
        <v>143</v>
      </c>
      <c r="F14" s="12">
        <v>225</v>
      </c>
      <c r="G14" s="12">
        <v>266</v>
      </c>
      <c r="H14" s="12">
        <v>426</v>
      </c>
      <c r="I14" s="12">
        <v>509</v>
      </c>
      <c r="J14" s="12">
        <v>83</v>
      </c>
      <c r="K14" s="12">
        <v>199</v>
      </c>
      <c r="L14" s="12">
        <v>197</v>
      </c>
      <c r="M14" s="12">
        <v>183</v>
      </c>
      <c r="N14" s="12">
        <v>245</v>
      </c>
      <c r="O14" s="12">
        <v>284</v>
      </c>
      <c r="P14" s="12">
        <v>193</v>
      </c>
      <c r="Q14" s="12">
        <v>351</v>
      </c>
      <c r="R14" s="12">
        <v>56</v>
      </c>
      <c r="S14" s="12">
        <v>224</v>
      </c>
      <c r="T14" s="12">
        <v>211</v>
      </c>
      <c r="U14" s="12">
        <v>157</v>
      </c>
      <c r="V14" s="12">
        <v>212</v>
      </c>
      <c r="W14" s="12">
        <v>95</v>
      </c>
      <c r="X14" s="12">
        <v>348</v>
      </c>
      <c r="Y14" s="12">
        <v>277</v>
      </c>
      <c r="Z14" s="12">
        <v>395</v>
      </c>
      <c r="AA14" s="12">
        <v>191</v>
      </c>
      <c r="AB14" s="12">
        <v>301</v>
      </c>
      <c r="AC14" s="12">
        <v>284</v>
      </c>
      <c r="AD14" s="12">
        <v>260</v>
      </c>
      <c r="AE14" s="12">
        <v>345</v>
      </c>
      <c r="AF14" s="12">
        <v>415</v>
      </c>
    </row>
    <row r="15" spans="1:32">
      <c r="A15" s="23"/>
      <c r="B15" s="13" t="s">
        <v>1331</v>
      </c>
      <c r="C15" s="14">
        <v>0.3</v>
      </c>
      <c r="D15" s="14">
        <v>0.36</v>
      </c>
      <c r="E15" s="14">
        <v>0.14000000000000001</v>
      </c>
      <c r="F15" s="14">
        <v>0.22</v>
      </c>
      <c r="G15" s="14">
        <v>0.27</v>
      </c>
      <c r="H15" s="14">
        <v>0.35</v>
      </c>
      <c r="I15" s="14">
        <v>0.34</v>
      </c>
      <c r="J15" s="14">
        <v>0.28000000000000003</v>
      </c>
      <c r="K15" s="14">
        <v>0.2</v>
      </c>
      <c r="L15" s="14">
        <v>0.2</v>
      </c>
      <c r="M15" s="14">
        <v>0.18</v>
      </c>
      <c r="N15" s="14">
        <v>0.25</v>
      </c>
      <c r="O15" s="14">
        <v>0.28000000000000003</v>
      </c>
      <c r="P15" s="14">
        <v>0.19</v>
      </c>
      <c r="Q15" s="14">
        <v>0.34</v>
      </c>
      <c r="R15" s="14">
        <v>0.11</v>
      </c>
      <c r="S15" s="14">
        <v>0.22</v>
      </c>
      <c r="T15" s="14">
        <v>0.21</v>
      </c>
      <c r="U15" s="14">
        <v>0.31</v>
      </c>
      <c r="V15" s="14">
        <v>0.21</v>
      </c>
      <c r="W15" s="14">
        <v>0.19</v>
      </c>
      <c r="X15" s="14">
        <v>0.34</v>
      </c>
      <c r="Y15" s="14">
        <v>0.28000000000000003</v>
      </c>
      <c r="Z15" s="14">
        <v>0.39</v>
      </c>
      <c r="AA15" s="14">
        <v>0.18</v>
      </c>
      <c r="AB15" s="14">
        <v>0.28999999999999998</v>
      </c>
      <c r="AC15" s="14">
        <v>0.28000000000000003</v>
      </c>
      <c r="AD15" s="14">
        <v>0.26</v>
      </c>
      <c r="AE15" s="14">
        <v>0.34</v>
      </c>
      <c r="AF15" s="14">
        <v>0.39</v>
      </c>
    </row>
    <row r="16" spans="1:32">
      <c r="A16" s="23"/>
      <c r="B16" s="11" t="s">
        <v>941</v>
      </c>
      <c r="C16" s="12">
        <v>1792</v>
      </c>
      <c r="D16" s="12">
        <v>86</v>
      </c>
      <c r="E16" s="12">
        <v>33</v>
      </c>
      <c r="F16" s="12">
        <v>56</v>
      </c>
      <c r="G16" s="12">
        <v>74</v>
      </c>
      <c r="H16" s="12">
        <v>95</v>
      </c>
      <c r="I16" s="12">
        <v>120</v>
      </c>
      <c r="J16" s="12">
        <v>25</v>
      </c>
      <c r="K16" s="12">
        <v>30</v>
      </c>
      <c r="L16" s="12">
        <v>32</v>
      </c>
      <c r="M16" s="12">
        <v>12</v>
      </c>
      <c r="N16" s="12">
        <v>38</v>
      </c>
      <c r="O16" s="12">
        <v>77</v>
      </c>
      <c r="P16" s="12">
        <v>43</v>
      </c>
      <c r="Q16" s="12">
        <v>64</v>
      </c>
      <c r="R16" s="12">
        <v>21</v>
      </c>
      <c r="S16" s="12">
        <v>56</v>
      </c>
      <c r="T16" s="12">
        <v>27</v>
      </c>
      <c r="U16" s="12">
        <v>48</v>
      </c>
      <c r="V16" s="12">
        <v>43</v>
      </c>
      <c r="W16" s="12">
        <v>13</v>
      </c>
      <c r="X16" s="12">
        <v>71</v>
      </c>
      <c r="Y16" s="12">
        <v>34</v>
      </c>
      <c r="Z16" s="12">
        <v>88</v>
      </c>
      <c r="AA16" s="12">
        <v>22</v>
      </c>
      <c r="AB16" s="12">
        <v>155</v>
      </c>
      <c r="AC16" s="12">
        <v>48</v>
      </c>
      <c r="AD16" s="12">
        <v>70</v>
      </c>
      <c r="AE16" s="12">
        <v>61</v>
      </c>
      <c r="AF16" s="12">
        <v>109</v>
      </c>
    </row>
    <row r="17" spans="1:32">
      <c r="A17" s="23"/>
      <c r="B17" s="13" t="s">
        <v>942</v>
      </c>
      <c r="C17" s="14">
        <v>7.0000000000000007E-2</v>
      </c>
      <c r="D17" s="14">
        <v>0.09</v>
      </c>
      <c r="E17" s="14">
        <v>0.03</v>
      </c>
      <c r="F17" s="14">
        <v>0.06</v>
      </c>
      <c r="G17" s="14">
        <v>7.0000000000000007E-2</v>
      </c>
      <c r="H17" s="14">
        <v>0.08</v>
      </c>
      <c r="I17" s="14">
        <v>0.08</v>
      </c>
      <c r="J17" s="14">
        <v>0.09</v>
      </c>
      <c r="K17" s="14">
        <v>0.03</v>
      </c>
      <c r="L17" s="14">
        <v>0.03</v>
      </c>
      <c r="M17" s="14">
        <v>0.01</v>
      </c>
      <c r="N17" s="14">
        <v>0.04</v>
      </c>
      <c r="O17" s="14">
        <v>0.08</v>
      </c>
      <c r="P17" s="14">
        <v>0.04</v>
      </c>
      <c r="Q17" s="14">
        <v>0.06</v>
      </c>
      <c r="R17" s="14">
        <v>0.04</v>
      </c>
      <c r="S17" s="14">
        <v>0.06</v>
      </c>
      <c r="T17" s="14">
        <v>0.03</v>
      </c>
      <c r="U17" s="14">
        <v>0.1</v>
      </c>
      <c r="V17" s="14">
        <v>0.04</v>
      </c>
      <c r="W17" s="14">
        <v>0.03</v>
      </c>
      <c r="X17" s="14">
        <v>7.0000000000000007E-2</v>
      </c>
      <c r="Y17" s="14">
        <v>0.03</v>
      </c>
      <c r="Z17" s="14">
        <v>0.09</v>
      </c>
      <c r="AA17" s="14">
        <v>0.02</v>
      </c>
      <c r="AB17" s="14">
        <v>0.15</v>
      </c>
      <c r="AC17" s="14">
        <v>0.05</v>
      </c>
      <c r="AD17" s="14">
        <v>7.0000000000000007E-2</v>
      </c>
      <c r="AE17" s="14">
        <v>0.06</v>
      </c>
      <c r="AF17" s="14">
        <v>0.1</v>
      </c>
    </row>
    <row r="18" spans="1:32">
      <c r="A18" s="23"/>
      <c r="B18" s="11" t="s">
        <v>943</v>
      </c>
      <c r="C18" s="12">
        <v>1165</v>
      </c>
      <c r="D18" s="12">
        <v>39</v>
      </c>
      <c r="E18" s="12">
        <v>38</v>
      </c>
      <c r="F18" s="12">
        <v>95</v>
      </c>
      <c r="G18" s="12">
        <v>45</v>
      </c>
      <c r="H18" s="12">
        <v>83</v>
      </c>
      <c r="I18" s="12">
        <v>93</v>
      </c>
      <c r="J18" s="12">
        <v>10</v>
      </c>
      <c r="K18" s="12">
        <v>19</v>
      </c>
      <c r="L18" s="12">
        <v>31</v>
      </c>
      <c r="M18" s="12">
        <v>9</v>
      </c>
      <c r="N18" s="12">
        <v>32</v>
      </c>
      <c r="O18" s="12">
        <v>39</v>
      </c>
      <c r="P18" s="12">
        <v>25</v>
      </c>
      <c r="Q18" s="12">
        <v>37</v>
      </c>
      <c r="R18" s="12">
        <v>11</v>
      </c>
      <c r="S18" s="12">
        <v>27</v>
      </c>
      <c r="T18" s="12">
        <v>47</v>
      </c>
      <c r="U18" s="12">
        <v>38</v>
      </c>
      <c r="V18" s="12">
        <v>37</v>
      </c>
      <c r="W18" s="12">
        <v>2</v>
      </c>
      <c r="X18" s="12">
        <v>11</v>
      </c>
      <c r="Y18" s="12">
        <v>34</v>
      </c>
      <c r="Z18" s="12">
        <v>62</v>
      </c>
      <c r="AA18" s="12">
        <v>57</v>
      </c>
      <c r="AB18" s="12">
        <v>77</v>
      </c>
      <c r="AC18" s="12">
        <v>43</v>
      </c>
      <c r="AD18" s="12">
        <v>24</v>
      </c>
      <c r="AE18" s="12">
        <v>25</v>
      </c>
      <c r="AF18" s="12">
        <v>26</v>
      </c>
    </row>
    <row r="19" spans="1:32">
      <c r="A19" s="23"/>
      <c r="B19" s="13" t="s">
        <v>1332</v>
      </c>
      <c r="C19" s="14">
        <v>0.04</v>
      </c>
      <c r="D19" s="14">
        <v>0.04</v>
      </c>
      <c r="E19" s="14">
        <v>0.04</v>
      </c>
      <c r="F19" s="14">
        <v>0.09</v>
      </c>
      <c r="G19" s="14">
        <v>0.04</v>
      </c>
      <c r="H19" s="14">
        <v>7.0000000000000007E-2</v>
      </c>
      <c r="I19" s="14">
        <v>0.06</v>
      </c>
      <c r="J19" s="14">
        <v>0.03</v>
      </c>
      <c r="K19" s="14">
        <v>0.02</v>
      </c>
      <c r="L19" s="14">
        <v>0.03</v>
      </c>
      <c r="M19" s="14">
        <v>0.01</v>
      </c>
      <c r="N19" s="14">
        <v>0.03</v>
      </c>
      <c r="O19" s="14">
        <v>0.04</v>
      </c>
      <c r="P19" s="14">
        <v>0.02</v>
      </c>
      <c r="Q19" s="14">
        <v>0.04</v>
      </c>
      <c r="R19" s="14">
        <v>0.02</v>
      </c>
      <c r="S19" s="14">
        <v>0.03</v>
      </c>
      <c r="T19" s="14">
        <v>0.05</v>
      </c>
      <c r="U19" s="14">
        <v>0.08</v>
      </c>
      <c r="V19" s="14">
        <v>0.04</v>
      </c>
      <c r="W19" s="15" t="s">
        <v>485</v>
      </c>
      <c r="X19" s="14">
        <v>0.01</v>
      </c>
      <c r="Y19" s="14">
        <v>0.03</v>
      </c>
      <c r="Z19" s="14">
        <v>0.06</v>
      </c>
      <c r="AA19" s="14">
        <v>0.06</v>
      </c>
      <c r="AB19" s="14">
        <v>0.08</v>
      </c>
      <c r="AC19" s="14">
        <v>0.04</v>
      </c>
      <c r="AD19" s="14">
        <v>0.02</v>
      </c>
      <c r="AE19" s="14">
        <v>0.02</v>
      </c>
      <c r="AF19" s="14">
        <v>0.02</v>
      </c>
    </row>
    <row r="20" spans="1:32">
      <c r="A20" s="23"/>
      <c r="B20" s="11" t="s">
        <v>497</v>
      </c>
      <c r="C20" s="12">
        <v>744</v>
      </c>
      <c r="D20" s="12">
        <v>5</v>
      </c>
      <c r="E20" s="12">
        <v>43</v>
      </c>
      <c r="F20" s="12">
        <v>20</v>
      </c>
      <c r="G20" s="12">
        <v>29</v>
      </c>
      <c r="H20" s="12">
        <v>43</v>
      </c>
      <c r="I20" s="12">
        <v>46</v>
      </c>
      <c r="J20" s="12">
        <v>4</v>
      </c>
      <c r="K20" s="12">
        <v>23</v>
      </c>
      <c r="L20" s="12">
        <v>32</v>
      </c>
      <c r="M20" s="12">
        <v>8</v>
      </c>
      <c r="N20" s="12">
        <v>31</v>
      </c>
      <c r="O20" s="12">
        <v>47</v>
      </c>
      <c r="P20" s="12">
        <v>18</v>
      </c>
      <c r="Q20" s="12">
        <v>19</v>
      </c>
      <c r="R20" s="12">
        <v>9</v>
      </c>
      <c r="S20" s="12">
        <v>41</v>
      </c>
      <c r="T20" s="12">
        <v>51</v>
      </c>
      <c r="U20" s="12">
        <v>17</v>
      </c>
      <c r="V20" s="12">
        <v>19</v>
      </c>
      <c r="W20" s="12">
        <v>5</v>
      </c>
      <c r="X20" s="12">
        <v>7</v>
      </c>
      <c r="Y20" s="12">
        <v>18</v>
      </c>
      <c r="Z20" s="12">
        <v>24</v>
      </c>
      <c r="AA20" s="12">
        <v>42</v>
      </c>
      <c r="AB20" s="12">
        <v>40</v>
      </c>
      <c r="AC20" s="12">
        <v>27</v>
      </c>
      <c r="AD20" s="12">
        <v>25</v>
      </c>
      <c r="AE20" s="12">
        <v>26</v>
      </c>
      <c r="AF20" s="12">
        <v>21</v>
      </c>
    </row>
    <row r="21" spans="1:32">
      <c r="A21" s="23"/>
      <c r="B21" s="13" t="s">
        <v>498</v>
      </c>
      <c r="C21" s="14">
        <v>0.03</v>
      </c>
      <c r="D21" s="15" t="s">
        <v>485</v>
      </c>
      <c r="E21" s="14">
        <v>0.04</v>
      </c>
      <c r="F21" s="14">
        <v>0.02</v>
      </c>
      <c r="G21" s="14">
        <v>0.03</v>
      </c>
      <c r="H21" s="14">
        <v>0.03</v>
      </c>
      <c r="I21" s="14">
        <v>0.03</v>
      </c>
      <c r="J21" s="14">
        <v>0.01</v>
      </c>
      <c r="K21" s="14">
        <v>0.02</v>
      </c>
      <c r="L21" s="14">
        <v>0.03</v>
      </c>
      <c r="M21" s="14">
        <v>0.01</v>
      </c>
      <c r="N21" s="14">
        <v>0.03</v>
      </c>
      <c r="O21" s="14">
        <v>0.05</v>
      </c>
      <c r="P21" s="14">
        <v>0.02</v>
      </c>
      <c r="Q21" s="14">
        <v>0.02</v>
      </c>
      <c r="R21" s="14">
        <v>0.02</v>
      </c>
      <c r="S21" s="14">
        <v>0.04</v>
      </c>
      <c r="T21" s="14">
        <v>0.05</v>
      </c>
      <c r="U21" s="14">
        <v>0.03</v>
      </c>
      <c r="V21" s="14">
        <v>0.02</v>
      </c>
      <c r="W21" s="14">
        <v>0.01</v>
      </c>
      <c r="X21" s="14">
        <v>0.01</v>
      </c>
      <c r="Y21" s="14">
        <v>0.02</v>
      </c>
      <c r="Z21" s="14">
        <v>0.02</v>
      </c>
      <c r="AA21" s="14">
        <v>0.04</v>
      </c>
      <c r="AB21" s="14">
        <v>0.04</v>
      </c>
      <c r="AC21" s="14">
        <v>0.03</v>
      </c>
      <c r="AD21" s="14">
        <v>0.03</v>
      </c>
      <c r="AE21" s="14">
        <v>0.03</v>
      </c>
      <c r="AF21" s="14">
        <v>0.02</v>
      </c>
    </row>
    <row r="22" spans="1:32">
      <c r="A22" s="23"/>
      <c r="B22" s="11" t="s">
        <v>945</v>
      </c>
      <c r="C22" s="12">
        <v>22652</v>
      </c>
      <c r="D22" s="12">
        <v>876</v>
      </c>
      <c r="E22" s="12">
        <v>930</v>
      </c>
      <c r="F22" s="12">
        <v>836</v>
      </c>
      <c r="G22" s="12">
        <v>856</v>
      </c>
      <c r="H22" s="12">
        <v>990</v>
      </c>
      <c r="I22" s="12">
        <v>1245</v>
      </c>
      <c r="J22" s="12">
        <v>255</v>
      </c>
      <c r="K22" s="12">
        <v>933</v>
      </c>
      <c r="L22" s="12">
        <v>912</v>
      </c>
      <c r="M22" s="12">
        <v>983</v>
      </c>
      <c r="N22" s="12">
        <v>900</v>
      </c>
      <c r="O22" s="12">
        <v>843</v>
      </c>
      <c r="P22" s="12">
        <v>926</v>
      </c>
      <c r="Q22" s="12">
        <v>903</v>
      </c>
      <c r="R22" s="12">
        <v>462</v>
      </c>
      <c r="S22" s="12">
        <v>881</v>
      </c>
      <c r="T22" s="12">
        <v>879</v>
      </c>
      <c r="U22" s="12">
        <v>400</v>
      </c>
      <c r="V22" s="12">
        <v>912</v>
      </c>
      <c r="W22" s="12">
        <v>483</v>
      </c>
      <c r="X22" s="12">
        <v>927</v>
      </c>
      <c r="Y22" s="12">
        <v>921</v>
      </c>
      <c r="Z22" s="12">
        <v>843</v>
      </c>
      <c r="AA22" s="12">
        <v>919</v>
      </c>
      <c r="AB22" s="12">
        <v>759</v>
      </c>
      <c r="AC22" s="12">
        <v>887</v>
      </c>
      <c r="AD22" s="12">
        <v>884</v>
      </c>
      <c r="AE22" s="12">
        <v>896</v>
      </c>
      <c r="AF22" s="12">
        <v>917</v>
      </c>
    </row>
    <row r="23" spans="1:32">
      <c r="A23" s="23"/>
      <c r="B23" s="13" t="s">
        <v>945</v>
      </c>
      <c r="C23" s="14">
        <v>0.86</v>
      </c>
      <c r="D23" s="14">
        <v>0.87</v>
      </c>
      <c r="E23" s="14">
        <v>0.89</v>
      </c>
      <c r="F23" s="14">
        <v>0.83000000000000007</v>
      </c>
      <c r="G23" s="14">
        <v>0.86</v>
      </c>
      <c r="H23" s="14">
        <v>0.82000000000000006</v>
      </c>
      <c r="I23" s="14">
        <v>0.83000000000000007</v>
      </c>
      <c r="J23" s="14">
        <v>0.87</v>
      </c>
      <c r="K23" s="14">
        <v>0.93</v>
      </c>
      <c r="L23" s="14">
        <v>0.91</v>
      </c>
      <c r="M23" s="14">
        <v>0.97</v>
      </c>
      <c r="N23" s="14">
        <v>0.9</v>
      </c>
      <c r="O23" s="14">
        <v>0.83000000000000007</v>
      </c>
      <c r="P23" s="14">
        <v>0.92</v>
      </c>
      <c r="Q23" s="14">
        <v>0.88</v>
      </c>
      <c r="R23" s="14">
        <v>0.92</v>
      </c>
      <c r="S23" s="14">
        <v>0.87</v>
      </c>
      <c r="T23" s="14">
        <v>0.87</v>
      </c>
      <c r="U23" s="14">
        <v>0.79</v>
      </c>
      <c r="V23" s="14">
        <v>0.9</v>
      </c>
      <c r="W23" s="14">
        <v>0.96</v>
      </c>
      <c r="X23" s="14">
        <v>0.91</v>
      </c>
      <c r="Y23" s="14">
        <v>0.92</v>
      </c>
      <c r="Z23" s="14">
        <v>0.83000000000000007</v>
      </c>
      <c r="AA23" s="14">
        <v>0.88</v>
      </c>
      <c r="AB23" s="14">
        <v>0.73</v>
      </c>
      <c r="AC23" s="14">
        <v>0.88</v>
      </c>
      <c r="AD23" s="14">
        <v>0.88</v>
      </c>
      <c r="AE23" s="14">
        <v>0.89</v>
      </c>
      <c r="AF23" s="14">
        <v>0.86</v>
      </c>
    </row>
    <row r="24" spans="1:32">
      <c r="A24" s="23"/>
      <c r="B24" s="11" t="s">
        <v>946</v>
      </c>
      <c r="C24" s="12">
        <v>2957</v>
      </c>
      <c r="D24" s="12">
        <v>125</v>
      </c>
      <c r="E24" s="12">
        <v>71</v>
      </c>
      <c r="F24" s="12">
        <v>151</v>
      </c>
      <c r="G24" s="12">
        <v>119</v>
      </c>
      <c r="H24" s="12">
        <v>178</v>
      </c>
      <c r="I24" s="12">
        <v>213</v>
      </c>
      <c r="J24" s="12">
        <v>35</v>
      </c>
      <c r="K24" s="12">
        <v>49</v>
      </c>
      <c r="L24" s="12">
        <v>63</v>
      </c>
      <c r="M24" s="12">
        <v>21</v>
      </c>
      <c r="N24" s="12">
        <v>70</v>
      </c>
      <c r="O24" s="12">
        <v>116</v>
      </c>
      <c r="P24" s="12">
        <v>68</v>
      </c>
      <c r="Q24" s="12">
        <v>101</v>
      </c>
      <c r="R24" s="12">
        <v>32</v>
      </c>
      <c r="S24" s="12">
        <v>83</v>
      </c>
      <c r="T24" s="12">
        <v>74</v>
      </c>
      <c r="U24" s="12">
        <v>86</v>
      </c>
      <c r="V24" s="12">
        <v>80</v>
      </c>
      <c r="W24" s="12">
        <v>15</v>
      </c>
      <c r="X24" s="12">
        <v>82</v>
      </c>
      <c r="Y24" s="12">
        <v>68</v>
      </c>
      <c r="Z24" s="12">
        <v>150</v>
      </c>
      <c r="AA24" s="12">
        <v>79</v>
      </c>
      <c r="AB24" s="12">
        <v>232</v>
      </c>
      <c r="AC24" s="12">
        <v>91</v>
      </c>
      <c r="AD24" s="12">
        <v>94</v>
      </c>
      <c r="AE24" s="12">
        <v>86</v>
      </c>
      <c r="AF24" s="12">
        <v>135</v>
      </c>
    </row>
    <row r="25" spans="1:32">
      <c r="A25" s="23"/>
      <c r="B25" s="13" t="s">
        <v>947</v>
      </c>
      <c r="C25" s="14">
        <v>0.11</v>
      </c>
      <c r="D25" s="14">
        <v>0.13</v>
      </c>
      <c r="E25" s="14">
        <v>7.0000000000000007E-2</v>
      </c>
      <c r="F25" s="14">
        <v>0.15</v>
      </c>
      <c r="G25" s="14">
        <v>0.11</v>
      </c>
      <c r="H25" s="14">
        <v>0.15</v>
      </c>
      <c r="I25" s="14">
        <v>0.14000000000000001</v>
      </c>
      <c r="J25" s="14">
        <v>0.12</v>
      </c>
      <c r="K25" s="14">
        <v>0.05</v>
      </c>
      <c r="L25" s="14">
        <v>0.06</v>
      </c>
      <c r="M25" s="14">
        <v>0.02</v>
      </c>
      <c r="N25" s="14">
        <v>7.0000000000000007E-2</v>
      </c>
      <c r="O25" s="14">
        <v>0.12</v>
      </c>
      <c r="P25" s="14">
        <v>0.06</v>
      </c>
      <c r="Q25" s="14">
        <v>0.1</v>
      </c>
      <c r="R25" s="14">
        <v>0.06</v>
      </c>
      <c r="S25" s="14">
        <v>0.09</v>
      </c>
      <c r="T25" s="14">
        <v>0.08</v>
      </c>
      <c r="U25" s="14">
        <v>0.18</v>
      </c>
      <c r="V25" s="14">
        <v>0.08</v>
      </c>
      <c r="W25" s="14">
        <v>0.03</v>
      </c>
      <c r="X25" s="14">
        <v>0.08</v>
      </c>
      <c r="Y25" s="14">
        <v>0.06</v>
      </c>
      <c r="Z25" s="14">
        <v>0.15</v>
      </c>
      <c r="AA25" s="14">
        <v>0.08</v>
      </c>
      <c r="AB25" s="14">
        <v>0.23</v>
      </c>
      <c r="AC25" s="14">
        <v>0.09</v>
      </c>
      <c r="AD25" s="14">
        <v>0.09</v>
      </c>
      <c r="AE25" s="14">
        <v>0.08</v>
      </c>
      <c r="AF25" s="14">
        <v>0.12</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1337</v>
      </c>
      <c r="C3" s="19"/>
      <c r="D3" s="19"/>
      <c r="E3" s="19"/>
      <c r="F3" s="19"/>
      <c r="H3" s="19" t="s">
        <v>1338</v>
      </c>
      <c r="I3" s="19"/>
      <c r="J3" s="19"/>
      <c r="K3" s="19"/>
      <c r="L3" s="19"/>
    </row>
    <row r="4" spans="1:32" ht="27" customHeight="1">
      <c r="B4" s="19" t="s">
        <v>1339</v>
      </c>
      <c r="C4" s="19"/>
      <c r="D4" s="19"/>
      <c r="E4" s="19"/>
      <c r="F4" s="19"/>
      <c r="H4" s="19" t="s">
        <v>1340</v>
      </c>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HYPERLINK("#Content!A128","&lt;&lt;Back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937</v>
      </c>
      <c r="C12" s="12">
        <v>5691</v>
      </c>
      <c r="D12" s="12">
        <v>199</v>
      </c>
      <c r="E12" s="12">
        <v>268</v>
      </c>
      <c r="F12" s="12">
        <v>181</v>
      </c>
      <c r="G12" s="12">
        <v>103</v>
      </c>
      <c r="H12" s="12">
        <v>187</v>
      </c>
      <c r="I12" s="12">
        <v>220</v>
      </c>
      <c r="J12" s="12">
        <v>32</v>
      </c>
      <c r="K12" s="12">
        <v>108</v>
      </c>
      <c r="L12" s="12">
        <v>364</v>
      </c>
      <c r="M12" s="12">
        <v>347</v>
      </c>
      <c r="N12" s="12">
        <v>283</v>
      </c>
      <c r="O12" s="12">
        <v>179</v>
      </c>
      <c r="P12" s="12">
        <v>404</v>
      </c>
      <c r="Q12" s="12">
        <v>258</v>
      </c>
      <c r="R12" s="12">
        <v>250</v>
      </c>
      <c r="S12" s="12">
        <v>210</v>
      </c>
      <c r="T12" s="12">
        <v>188</v>
      </c>
      <c r="U12" s="12">
        <v>137</v>
      </c>
      <c r="V12" s="12">
        <v>349</v>
      </c>
      <c r="W12" s="12">
        <v>211</v>
      </c>
      <c r="X12" s="12">
        <v>142</v>
      </c>
      <c r="Y12" s="12">
        <v>298</v>
      </c>
      <c r="Z12" s="12">
        <v>240</v>
      </c>
      <c r="AA12" s="12">
        <v>245</v>
      </c>
      <c r="AB12" s="12">
        <v>236</v>
      </c>
      <c r="AC12" s="12">
        <v>207</v>
      </c>
      <c r="AD12" s="12">
        <v>424</v>
      </c>
      <c r="AE12" s="12">
        <v>58</v>
      </c>
      <c r="AF12" s="12">
        <v>123</v>
      </c>
    </row>
    <row r="13" spans="1:32">
      <c r="A13" s="23"/>
      <c r="B13" s="13" t="s">
        <v>938</v>
      </c>
      <c r="C13" s="14">
        <v>0.22</v>
      </c>
      <c r="D13" s="14">
        <v>0.2</v>
      </c>
      <c r="E13" s="14">
        <v>0.26</v>
      </c>
      <c r="F13" s="14">
        <v>0.18</v>
      </c>
      <c r="G13" s="14">
        <v>0.1</v>
      </c>
      <c r="H13" s="14">
        <v>0.15</v>
      </c>
      <c r="I13" s="14">
        <v>0.15</v>
      </c>
      <c r="J13" s="14">
        <v>0.11</v>
      </c>
      <c r="K13" s="14">
        <v>0.11</v>
      </c>
      <c r="L13" s="14">
        <v>0.36</v>
      </c>
      <c r="M13" s="14">
        <v>0.34</v>
      </c>
      <c r="N13" s="14">
        <v>0.28000000000000003</v>
      </c>
      <c r="O13" s="14">
        <v>0.18</v>
      </c>
      <c r="P13" s="14">
        <v>0.4</v>
      </c>
      <c r="Q13" s="14">
        <v>0.25</v>
      </c>
      <c r="R13" s="14">
        <v>0.5</v>
      </c>
      <c r="S13" s="14">
        <v>0.21</v>
      </c>
      <c r="T13" s="14">
        <v>0.19</v>
      </c>
      <c r="U13" s="14">
        <v>0.27</v>
      </c>
      <c r="V13" s="14">
        <v>0.35</v>
      </c>
      <c r="W13" s="14">
        <v>0.42</v>
      </c>
      <c r="X13" s="14">
        <v>0.14000000000000001</v>
      </c>
      <c r="Y13" s="14">
        <v>0.3</v>
      </c>
      <c r="Z13" s="14">
        <v>0.24</v>
      </c>
      <c r="AA13" s="14">
        <v>0.23</v>
      </c>
      <c r="AB13" s="14">
        <v>0.23</v>
      </c>
      <c r="AC13" s="14">
        <v>0.2</v>
      </c>
      <c r="AD13" s="14">
        <v>0.42</v>
      </c>
      <c r="AE13" s="14">
        <v>0.06</v>
      </c>
      <c r="AF13" s="14">
        <v>0.12</v>
      </c>
    </row>
    <row r="14" spans="1:32">
      <c r="A14" s="23"/>
      <c r="B14" s="11" t="s">
        <v>939</v>
      </c>
      <c r="C14" s="12">
        <v>10234</v>
      </c>
      <c r="D14" s="12">
        <v>454</v>
      </c>
      <c r="E14" s="12">
        <v>336</v>
      </c>
      <c r="F14" s="12">
        <v>326</v>
      </c>
      <c r="G14" s="12">
        <v>255</v>
      </c>
      <c r="H14" s="12">
        <v>434</v>
      </c>
      <c r="I14" s="12">
        <v>527</v>
      </c>
      <c r="J14" s="12">
        <v>94</v>
      </c>
      <c r="K14" s="12">
        <v>296</v>
      </c>
      <c r="L14" s="12">
        <v>326</v>
      </c>
      <c r="M14" s="12">
        <v>356</v>
      </c>
      <c r="N14" s="12">
        <v>380</v>
      </c>
      <c r="O14" s="12">
        <v>364</v>
      </c>
      <c r="P14" s="12">
        <v>362</v>
      </c>
      <c r="Q14" s="12">
        <v>499</v>
      </c>
      <c r="R14" s="12">
        <v>160</v>
      </c>
      <c r="S14" s="12">
        <v>297</v>
      </c>
      <c r="T14" s="12">
        <v>313</v>
      </c>
      <c r="U14" s="12">
        <v>173</v>
      </c>
      <c r="V14" s="12">
        <v>428</v>
      </c>
      <c r="W14" s="12">
        <v>179</v>
      </c>
      <c r="X14" s="12">
        <v>388</v>
      </c>
      <c r="Y14" s="12">
        <v>357</v>
      </c>
      <c r="Z14" s="12">
        <v>499</v>
      </c>
      <c r="AA14" s="12">
        <v>350</v>
      </c>
      <c r="AB14" s="12">
        <v>399</v>
      </c>
      <c r="AC14" s="12">
        <v>379</v>
      </c>
      <c r="AD14" s="12">
        <v>413</v>
      </c>
      <c r="AE14" s="12">
        <v>297</v>
      </c>
      <c r="AF14" s="12">
        <v>348</v>
      </c>
    </row>
    <row r="15" spans="1:32">
      <c r="A15" s="23"/>
      <c r="B15" s="13" t="s">
        <v>1331</v>
      </c>
      <c r="C15" s="14">
        <v>0.39</v>
      </c>
      <c r="D15" s="14">
        <v>0.45</v>
      </c>
      <c r="E15" s="14">
        <v>0.32</v>
      </c>
      <c r="F15" s="14">
        <v>0.32</v>
      </c>
      <c r="G15" s="14">
        <v>0.26</v>
      </c>
      <c r="H15" s="14">
        <v>0.36</v>
      </c>
      <c r="I15" s="14">
        <v>0.35</v>
      </c>
      <c r="J15" s="14">
        <v>0.32</v>
      </c>
      <c r="K15" s="14">
        <v>0.28999999999999998</v>
      </c>
      <c r="L15" s="14">
        <v>0.32</v>
      </c>
      <c r="M15" s="14">
        <v>0.35</v>
      </c>
      <c r="N15" s="14">
        <v>0.38</v>
      </c>
      <c r="O15" s="14">
        <v>0.36</v>
      </c>
      <c r="P15" s="14">
        <v>0.36</v>
      </c>
      <c r="Q15" s="14">
        <v>0.49</v>
      </c>
      <c r="R15" s="14">
        <v>0.32</v>
      </c>
      <c r="S15" s="14">
        <v>0.28999999999999998</v>
      </c>
      <c r="T15" s="14">
        <v>0.31</v>
      </c>
      <c r="U15" s="14">
        <v>0.34</v>
      </c>
      <c r="V15" s="14">
        <v>0.42</v>
      </c>
      <c r="W15" s="14">
        <v>0.35</v>
      </c>
      <c r="X15" s="14">
        <v>0.38</v>
      </c>
      <c r="Y15" s="14">
        <v>0.35</v>
      </c>
      <c r="Z15" s="14">
        <v>0.49</v>
      </c>
      <c r="AA15" s="14">
        <v>0.34</v>
      </c>
      <c r="AB15" s="14">
        <v>0.39</v>
      </c>
      <c r="AC15" s="14">
        <v>0.38</v>
      </c>
      <c r="AD15" s="14">
        <v>0.41</v>
      </c>
      <c r="AE15" s="14">
        <v>0.28999999999999998</v>
      </c>
      <c r="AF15" s="14">
        <v>0.32</v>
      </c>
    </row>
    <row r="16" spans="1:32">
      <c r="A16" s="23"/>
      <c r="B16" s="11" t="s">
        <v>941</v>
      </c>
      <c r="C16" s="12">
        <v>5683</v>
      </c>
      <c r="D16" s="12">
        <v>245</v>
      </c>
      <c r="E16" s="12">
        <v>200</v>
      </c>
      <c r="F16" s="12">
        <v>224</v>
      </c>
      <c r="G16" s="12">
        <v>300</v>
      </c>
      <c r="H16" s="12">
        <v>359</v>
      </c>
      <c r="I16" s="12">
        <v>457</v>
      </c>
      <c r="J16" s="12">
        <v>99</v>
      </c>
      <c r="K16" s="12">
        <v>277</v>
      </c>
      <c r="L16" s="12">
        <v>155</v>
      </c>
      <c r="M16" s="12">
        <v>199</v>
      </c>
      <c r="N16" s="12">
        <v>168</v>
      </c>
      <c r="O16" s="12">
        <v>207</v>
      </c>
      <c r="P16" s="12">
        <v>164</v>
      </c>
      <c r="Q16" s="12">
        <v>147</v>
      </c>
      <c r="R16" s="12">
        <v>52</v>
      </c>
      <c r="S16" s="12">
        <v>231</v>
      </c>
      <c r="T16" s="12">
        <v>274</v>
      </c>
      <c r="U16" s="12">
        <v>90</v>
      </c>
      <c r="V16" s="12">
        <v>140</v>
      </c>
      <c r="W16" s="12">
        <v>72</v>
      </c>
      <c r="X16" s="12">
        <v>287</v>
      </c>
      <c r="Y16" s="12">
        <v>200</v>
      </c>
      <c r="Z16" s="12">
        <v>167</v>
      </c>
      <c r="AA16" s="12">
        <v>247</v>
      </c>
      <c r="AB16" s="12">
        <v>223</v>
      </c>
      <c r="AC16" s="12">
        <v>229</v>
      </c>
      <c r="AD16" s="12">
        <v>82</v>
      </c>
      <c r="AE16" s="12">
        <v>359</v>
      </c>
      <c r="AF16" s="12">
        <v>335</v>
      </c>
    </row>
    <row r="17" spans="1:32">
      <c r="A17" s="23"/>
      <c r="B17" s="13" t="s">
        <v>942</v>
      </c>
      <c r="C17" s="14">
        <v>0.22</v>
      </c>
      <c r="D17" s="14">
        <v>0.24</v>
      </c>
      <c r="E17" s="14">
        <v>0.19</v>
      </c>
      <c r="F17" s="14">
        <v>0.22</v>
      </c>
      <c r="G17" s="14">
        <v>0.3</v>
      </c>
      <c r="H17" s="14">
        <v>0.3</v>
      </c>
      <c r="I17" s="14">
        <v>0.3</v>
      </c>
      <c r="J17" s="14">
        <v>0.33</v>
      </c>
      <c r="K17" s="14">
        <v>0.28000000000000003</v>
      </c>
      <c r="L17" s="14">
        <v>0.16</v>
      </c>
      <c r="M17" s="14">
        <v>0.2</v>
      </c>
      <c r="N17" s="14">
        <v>0.17</v>
      </c>
      <c r="O17" s="14">
        <v>0.21</v>
      </c>
      <c r="P17" s="14">
        <v>0.16</v>
      </c>
      <c r="Q17" s="14">
        <v>0.14000000000000001</v>
      </c>
      <c r="R17" s="14">
        <v>0.1</v>
      </c>
      <c r="S17" s="14">
        <v>0.23</v>
      </c>
      <c r="T17" s="14">
        <v>0.27</v>
      </c>
      <c r="U17" s="14">
        <v>0.18</v>
      </c>
      <c r="V17" s="14">
        <v>0.14000000000000001</v>
      </c>
      <c r="W17" s="14">
        <v>0.14000000000000001</v>
      </c>
      <c r="X17" s="14">
        <v>0.28000000000000003</v>
      </c>
      <c r="Y17" s="14">
        <v>0.2</v>
      </c>
      <c r="Z17" s="14">
        <v>0.16</v>
      </c>
      <c r="AA17" s="14">
        <v>0.24</v>
      </c>
      <c r="AB17" s="14">
        <v>0.22</v>
      </c>
      <c r="AC17" s="14">
        <v>0.23</v>
      </c>
      <c r="AD17" s="14">
        <v>0.08</v>
      </c>
      <c r="AE17" s="14">
        <v>0.36</v>
      </c>
      <c r="AF17" s="14">
        <v>0.31</v>
      </c>
    </row>
    <row r="18" spans="1:32">
      <c r="A18" s="23"/>
      <c r="B18" s="11" t="s">
        <v>943</v>
      </c>
      <c r="C18" s="12">
        <v>3287</v>
      </c>
      <c r="D18" s="12">
        <v>96</v>
      </c>
      <c r="E18" s="12">
        <v>124</v>
      </c>
      <c r="F18" s="12">
        <v>219</v>
      </c>
      <c r="G18" s="12">
        <v>294</v>
      </c>
      <c r="H18" s="12">
        <v>172</v>
      </c>
      <c r="I18" s="12">
        <v>233</v>
      </c>
      <c r="J18" s="12">
        <v>61</v>
      </c>
      <c r="K18" s="12">
        <v>240</v>
      </c>
      <c r="L18" s="12">
        <v>122</v>
      </c>
      <c r="M18" s="12">
        <v>66</v>
      </c>
      <c r="N18" s="12">
        <v>110</v>
      </c>
      <c r="O18" s="12">
        <v>131</v>
      </c>
      <c r="P18" s="12">
        <v>60</v>
      </c>
      <c r="Q18" s="12">
        <v>89</v>
      </c>
      <c r="R18" s="12">
        <v>12</v>
      </c>
      <c r="S18" s="12">
        <v>127</v>
      </c>
      <c r="T18" s="12">
        <v>164</v>
      </c>
      <c r="U18" s="12">
        <v>75</v>
      </c>
      <c r="V18" s="12">
        <v>68</v>
      </c>
      <c r="W18" s="12">
        <v>23</v>
      </c>
      <c r="X18" s="12">
        <v>174</v>
      </c>
      <c r="Y18" s="12">
        <v>112</v>
      </c>
      <c r="Z18" s="12">
        <v>81</v>
      </c>
      <c r="AA18" s="12">
        <v>136</v>
      </c>
      <c r="AB18" s="12">
        <v>119</v>
      </c>
      <c r="AC18" s="12">
        <v>132</v>
      </c>
      <c r="AD18" s="12">
        <v>35</v>
      </c>
      <c r="AE18" s="12">
        <v>236</v>
      </c>
      <c r="AF18" s="12">
        <v>205</v>
      </c>
    </row>
    <row r="19" spans="1:32">
      <c r="A19" s="23"/>
      <c r="B19" s="13" t="s">
        <v>1332</v>
      </c>
      <c r="C19" s="14">
        <v>0.12</v>
      </c>
      <c r="D19" s="14">
        <v>0.1</v>
      </c>
      <c r="E19" s="14">
        <v>0.12</v>
      </c>
      <c r="F19" s="14">
        <v>0.22</v>
      </c>
      <c r="G19" s="14">
        <v>0.28999999999999998</v>
      </c>
      <c r="H19" s="14">
        <v>0.14000000000000001</v>
      </c>
      <c r="I19" s="14">
        <v>0.16</v>
      </c>
      <c r="J19" s="14">
        <v>0.21</v>
      </c>
      <c r="K19" s="14">
        <v>0.24</v>
      </c>
      <c r="L19" s="14">
        <v>0.12</v>
      </c>
      <c r="M19" s="14">
        <v>7.0000000000000007E-2</v>
      </c>
      <c r="N19" s="14">
        <v>0.11</v>
      </c>
      <c r="O19" s="14">
        <v>0.13</v>
      </c>
      <c r="P19" s="14">
        <v>0.06</v>
      </c>
      <c r="Q19" s="14">
        <v>0.09</v>
      </c>
      <c r="R19" s="14">
        <v>0.02</v>
      </c>
      <c r="S19" s="14">
        <v>0.13</v>
      </c>
      <c r="T19" s="14">
        <v>0.16</v>
      </c>
      <c r="U19" s="14">
        <v>0.15</v>
      </c>
      <c r="V19" s="14">
        <v>7.0000000000000007E-2</v>
      </c>
      <c r="W19" s="14">
        <v>0.05</v>
      </c>
      <c r="X19" s="14">
        <v>0.17</v>
      </c>
      <c r="Y19" s="14">
        <v>0.11</v>
      </c>
      <c r="Z19" s="14">
        <v>0.08</v>
      </c>
      <c r="AA19" s="14">
        <v>0.13</v>
      </c>
      <c r="AB19" s="14">
        <v>0.11</v>
      </c>
      <c r="AC19" s="14">
        <v>0.13</v>
      </c>
      <c r="AD19" s="14">
        <v>0.04</v>
      </c>
      <c r="AE19" s="14">
        <v>0.23</v>
      </c>
      <c r="AF19" s="14">
        <v>0.19</v>
      </c>
    </row>
    <row r="20" spans="1:32">
      <c r="A20" s="23"/>
      <c r="B20" s="11" t="s">
        <v>497</v>
      </c>
      <c r="C20" s="12">
        <v>1459</v>
      </c>
      <c r="D20" s="12">
        <v>12</v>
      </c>
      <c r="E20" s="12">
        <v>116</v>
      </c>
      <c r="F20" s="12">
        <v>57</v>
      </c>
      <c r="G20" s="12">
        <v>52</v>
      </c>
      <c r="H20" s="12">
        <v>59</v>
      </c>
      <c r="I20" s="12">
        <v>67</v>
      </c>
      <c r="J20" s="12">
        <v>8</v>
      </c>
      <c r="K20" s="12">
        <v>82</v>
      </c>
      <c r="L20" s="12">
        <v>41</v>
      </c>
      <c r="M20" s="12">
        <v>43</v>
      </c>
      <c r="N20" s="12">
        <v>58</v>
      </c>
      <c r="O20" s="12">
        <v>125</v>
      </c>
      <c r="P20" s="12">
        <v>21</v>
      </c>
      <c r="Q20" s="12">
        <v>31</v>
      </c>
      <c r="R20" s="12">
        <v>28</v>
      </c>
      <c r="S20" s="12">
        <v>140</v>
      </c>
      <c r="T20" s="12">
        <v>64</v>
      </c>
      <c r="U20" s="12">
        <v>28</v>
      </c>
      <c r="V20" s="12">
        <v>25</v>
      </c>
      <c r="W20" s="12">
        <v>18</v>
      </c>
      <c r="X20" s="12">
        <v>23</v>
      </c>
      <c r="Y20" s="12">
        <v>40</v>
      </c>
      <c r="Z20" s="12">
        <v>29</v>
      </c>
      <c r="AA20" s="12">
        <v>63</v>
      </c>
      <c r="AB20" s="12">
        <v>53</v>
      </c>
      <c r="AC20" s="12">
        <v>57</v>
      </c>
      <c r="AD20" s="12">
        <v>48</v>
      </c>
      <c r="AE20" s="12">
        <v>58</v>
      </c>
      <c r="AF20" s="12">
        <v>62</v>
      </c>
    </row>
    <row r="21" spans="1:32">
      <c r="A21" s="23"/>
      <c r="B21" s="13" t="s">
        <v>498</v>
      </c>
      <c r="C21" s="14">
        <v>0.05</v>
      </c>
      <c r="D21" s="14">
        <v>0.01</v>
      </c>
      <c r="E21" s="14">
        <v>0.11</v>
      </c>
      <c r="F21" s="14">
        <v>0.06</v>
      </c>
      <c r="G21" s="14">
        <v>0.05</v>
      </c>
      <c r="H21" s="14">
        <v>0.05</v>
      </c>
      <c r="I21" s="14">
        <v>0.04</v>
      </c>
      <c r="J21" s="14">
        <v>0.03</v>
      </c>
      <c r="K21" s="14">
        <v>0.08</v>
      </c>
      <c r="L21" s="14">
        <v>0.04</v>
      </c>
      <c r="M21" s="14">
        <v>0.04</v>
      </c>
      <c r="N21" s="14">
        <v>0.06</v>
      </c>
      <c r="O21" s="14">
        <v>0.12</v>
      </c>
      <c r="P21" s="14">
        <v>0.02</v>
      </c>
      <c r="Q21" s="14">
        <v>0.03</v>
      </c>
      <c r="R21" s="14">
        <v>0.06</v>
      </c>
      <c r="S21" s="14">
        <v>0.14000000000000001</v>
      </c>
      <c r="T21" s="14">
        <v>7.0000000000000007E-2</v>
      </c>
      <c r="U21" s="14">
        <v>0.06</v>
      </c>
      <c r="V21" s="14">
        <v>0.02</v>
      </c>
      <c r="W21" s="14">
        <v>0.04</v>
      </c>
      <c r="X21" s="14">
        <v>0.03</v>
      </c>
      <c r="Y21" s="14">
        <v>0.04</v>
      </c>
      <c r="Z21" s="14">
        <v>0.03</v>
      </c>
      <c r="AA21" s="14">
        <v>0.06</v>
      </c>
      <c r="AB21" s="14">
        <v>0.05</v>
      </c>
      <c r="AC21" s="14">
        <v>0.06</v>
      </c>
      <c r="AD21" s="14">
        <v>0.05</v>
      </c>
      <c r="AE21" s="14">
        <v>0.06</v>
      </c>
      <c r="AF21" s="14">
        <v>0.06</v>
      </c>
    </row>
    <row r="22" spans="1:32">
      <c r="A22" s="23"/>
      <c r="B22" s="11" t="s">
        <v>945</v>
      </c>
      <c r="C22" s="12">
        <v>15925</v>
      </c>
      <c r="D22" s="12">
        <v>653</v>
      </c>
      <c r="E22" s="12">
        <v>604</v>
      </c>
      <c r="F22" s="12">
        <v>507</v>
      </c>
      <c r="G22" s="12">
        <v>358</v>
      </c>
      <c r="H22" s="12">
        <v>621</v>
      </c>
      <c r="I22" s="12">
        <v>747</v>
      </c>
      <c r="J22" s="12">
        <v>126</v>
      </c>
      <c r="K22" s="12">
        <v>404</v>
      </c>
      <c r="L22" s="12">
        <v>690</v>
      </c>
      <c r="M22" s="12">
        <v>703</v>
      </c>
      <c r="N22" s="12">
        <v>663</v>
      </c>
      <c r="O22" s="12">
        <v>543</v>
      </c>
      <c r="P22" s="12">
        <v>766</v>
      </c>
      <c r="Q22" s="12">
        <v>757</v>
      </c>
      <c r="R22" s="12">
        <v>410</v>
      </c>
      <c r="S22" s="12">
        <v>507</v>
      </c>
      <c r="T22" s="12">
        <v>501</v>
      </c>
      <c r="U22" s="12">
        <v>310</v>
      </c>
      <c r="V22" s="12">
        <v>777</v>
      </c>
      <c r="W22" s="12">
        <v>390</v>
      </c>
      <c r="X22" s="12">
        <v>530</v>
      </c>
      <c r="Y22" s="12">
        <v>655</v>
      </c>
      <c r="Z22" s="12">
        <v>739</v>
      </c>
      <c r="AA22" s="12">
        <v>595</v>
      </c>
      <c r="AB22" s="12">
        <v>635</v>
      </c>
      <c r="AC22" s="12">
        <v>586</v>
      </c>
      <c r="AD22" s="12">
        <v>837</v>
      </c>
      <c r="AE22" s="12">
        <v>355</v>
      </c>
      <c r="AF22" s="12">
        <v>471</v>
      </c>
    </row>
    <row r="23" spans="1:32">
      <c r="A23" s="23"/>
      <c r="B23" s="13" t="s">
        <v>945</v>
      </c>
      <c r="C23" s="14">
        <v>0.61</v>
      </c>
      <c r="D23" s="14">
        <v>0.65</v>
      </c>
      <c r="E23" s="14">
        <v>0.57999999999999996</v>
      </c>
      <c r="F23" s="14">
        <v>0.5</v>
      </c>
      <c r="G23" s="14">
        <v>0.36</v>
      </c>
      <c r="H23" s="14">
        <v>0.51</v>
      </c>
      <c r="I23" s="14">
        <v>0.5</v>
      </c>
      <c r="J23" s="14">
        <v>0.43</v>
      </c>
      <c r="K23" s="14">
        <v>0.4</v>
      </c>
      <c r="L23" s="14">
        <v>0.68</v>
      </c>
      <c r="M23" s="14">
        <v>0.69000000000000006</v>
      </c>
      <c r="N23" s="14">
        <v>0.66</v>
      </c>
      <c r="O23" s="14">
        <v>0.54</v>
      </c>
      <c r="P23" s="14">
        <v>0.76</v>
      </c>
      <c r="Q23" s="14">
        <v>0.74</v>
      </c>
      <c r="R23" s="14">
        <v>0.82000000000000006</v>
      </c>
      <c r="S23" s="14">
        <v>0.5</v>
      </c>
      <c r="T23" s="14">
        <v>0.5</v>
      </c>
      <c r="U23" s="14">
        <v>0.61</v>
      </c>
      <c r="V23" s="14">
        <v>0.77</v>
      </c>
      <c r="W23" s="14">
        <v>0.77</v>
      </c>
      <c r="X23" s="14">
        <v>0.52</v>
      </c>
      <c r="Y23" s="14">
        <v>0.65</v>
      </c>
      <c r="Z23" s="14">
        <v>0.73</v>
      </c>
      <c r="AA23" s="14">
        <v>0.57000000000000006</v>
      </c>
      <c r="AB23" s="14">
        <v>0.62</v>
      </c>
      <c r="AC23" s="14">
        <v>0.57999999999999996</v>
      </c>
      <c r="AD23" s="14">
        <v>0.83000000000000007</v>
      </c>
      <c r="AE23" s="14">
        <v>0.35</v>
      </c>
      <c r="AF23" s="14">
        <v>0.44</v>
      </c>
    </row>
    <row r="24" spans="1:32">
      <c r="A24" s="23"/>
      <c r="B24" s="11" t="s">
        <v>946</v>
      </c>
      <c r="C24" s="12">
        <v>8970</v>
      </c>
      <c r="D24" s="12">
        <v>341</v>
      </c>
      <c r="E24" s="12">
        <v>324</v>
      </c>
      <c r="F24" s="12">
        <v>443</v>
      </c>
      <c r="G24" s="12">
        <v>594</v>
      </c>
      <c r="H24" s="12">
        <v>531</v>
      </c>
      <c r="I24" s="12">
        <v>690</v>
      </c>
      <c r="J24" s="12">
        <v>160</v>
      </c>
      <c r="K24" s="12">
        <v>517</v>
      </c>
      <c r="L24" s="12">
        <v>277</v>
      </c>
      <c r="M24" s="12">
        <v>265</v>
      </c>
      <c r="N24" s="12">
        <v>278</v>
      </c>
      <c r="O24" s="12">
        <v>338</v>
      </c>
      <c r="P24" s="12">
        <v>224</v>
      </c>
      <c r="Q24" s="12">
        <v>236</v>
      </c>
      <c r="R24" s="12">
        <v>64</v>
      </c>
      <c r="S24" s="12">
        <v>358</v>
      </c>
      <c r="T24" s="12">
        <v>438</v>
      </c>
      <c r="U24" s="12">
        <v>165</v>
      </c>
      <c r="V24" s="12">
        <v>208</v>
      </c>
      <c r="W24" s="12">
        <v>95</v>
      </c>
      <c r="X24" s="12">
        <v>461</v>
      </c>
      <c r="Y24" s="12">
        <v>312</v>
      </c>
      <c r="Z24" s="12">
        <v>248</v>
      </c>
      <c r="AA24" s="12">
        <v>383</v>
      </c>
      <c r="AB24" s="12">
        <v>342</v>
      </c>
      <c r="AC24" s="12">
        <v>361</v>
      </c>
      <c r="AD24" s="12">
        <v>117</v>
      </c>
      <c r="AE24" s="12">
        <v>595</v>
      </c>
      <c r="AF24" s="12">
        <v>540</v>
      </c>
    </row>
    <row r="25" spans="1:32">
      <c r="A25" s="23"/>
      <c r="B25" s="13" t="s">
        <v>947</v>
      </c>
      <c r="C25" s="14">
        <v>0.34</v>
      </c>
      <c r="D25" s="14">
        <v>0.34</v>
      </c>
      <c r="E25" s="14">
        <v>0.31</v>
      </c>
      <c r="F25" s="14">
        <v>0.44</v>
      </c>
      <c r="G25" s="14">
        <v>0.59</v>
      </c>
      <c r="H25" s="14">
        <v>0.44</v>
      </c>
      <c r="I25" s="14">
        <v>0.46</v>
      </c>
      <c r="J25" s="14">
        <v>0.54</v>
      </c>
      <c r="K25" s="14">
        <v>0.52</v>
      </c>
      <c r="L25" s="14">
        <v>0.28000000000000003</v>
      </c>
      <c r="M25" s="14">
        <v>0.27</v>
      </c>
      <c r="N25" s="14">
        <v>0.28000000000000003</v>
      </c>
      <c r="O25" s="14">
        <v>0.34</v>
      </c>
      <c r="P25" s="14">
        <v>0.22</v>
      </c>
      <c r="Q25" s="14">
        <v>0.23</v>
      </c>
      <c r="R25" s="14">
        <v>0.12</v>
      </c>
      <c r="S25" s="14">
        <v>0.36</v>
      </c>
      <c r="T25" s="14">
        <v>0.43</v>
      </c>
      <c r="U25" s="14">
        <v>0.33</v>
      </c>
      <c r="V25" s="14">
        <v>0.21</v>
      </c>
      <c r="W25" s="14">
        <v>0.19</v>
      </c>
      <c r="X25" s="14">
        <v>0.45</v>
      </c>
      <c r="Y25" s="14">
        <v>0.31</v>
      </c>
      <c r="Z25" s="14">
        <v>0.24</v>
      </c>
      <c r="AA25" s="14">
        <v>0.37</v>
      </c>
      <c r="AB25" s="14">
        <v>0.33</v>
      </c>
      <c r="AC25" s="14">
        <v>0.36</v>
      </c>
      <c r="AD25" s="14">
        <v>0.12</v>
      </c>
      <c r="AE25" s="14">
        <v>0.59</v>
      </c>
      <c r="AF25" s="14">
        <v>0.5</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1341</v>
      </c>
      <c r="C3" s="19"/>
      <c r="D3" s="19"/>
      <c r="E3" s="19"/>
      <c r="F3" s="19"/>
      <c r="H3" s="19" t="s">
        <v>1342</v>
      </c>
      <c r="I3" s="19"/>
      <c r="J3" s="19"/>
      <c r="K3" s="19"/>
      <c r="L3" s="19"/>
    </row>
    <row r="4" spans="1:32" ht="27" customHeight="1">
      <c r="B4" s="19" t="s">
        <v>1343</v>
      </c>
      <c r="C4" s="19"/>
      <c r="D4" s="19"/>
      <c r="E4" s="19"/>
      <c r="F4" s="19"/>
      <c r="H4" s="19" t="s">
        <v>1344</v>
      </c>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HYPERLINK("#Content!A129","&lt;&lt;Back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937</v>
      </c>
      <c r="C12" s="12">
        <v>11008</v>
      </c>
      <c r="D12" s="12">
        <v>384</v>
      </c>
      <c r="E12" s="12">
        <v>479</v>
      </c>
      <c r="F12" s="12">
        <v>519</v>
      </c>
      <c r="G12" s="12">
        <v>424</v>
      </c>
      <c r="H12" s="12">
        <v>506</v>
      </c>
      <c r="I12" s="12">
        <v>656</v>
      </c>
      <c r="J12" s="12">
        <v>150</v>
      </c>
      <c r="K12" s="12">
        <v>483</v>
      </c>
      <c r="L12" s="12">
        <v>680</v>
      </c>
      <c r="M12" s="12">
        <v>528</v>
      </c>
      <c r="N12" s="12">
        <v>550</v>
      </c>
      <c r="O12" s="12">
        <v>308</v>
      </c>
      <c r="P12" s="12">
        <v>560</v>
      </c>
      <c r="Q12" s="12">
        <v>352</v>
      </c>
      <c r="R12" s="12">
        <v>339</v>
      </c>
      <c r="S12" s="12">
        <v>403</v>
      </c>
      <c r="T12" s="12">
        <v>528</v>
      </c>
      <c r="U12" s="12">
        <v>236</v>
      </c>
      <c r="V12" s="12">
        <v>590</v>
      </c>
      <c r="W12" s="12">
        <v>305</v>
      </c>
      <c r="X12" s="12">
        <v>443</v>
      </c>
      <c r="Y12" s="12">
        <v>548</v>
      </c>
      <c r="Z12" s="12">
        <v>334</v>
      </c>
      <c r="AA12" s="12">
        <v>525</v>
      </c>
      <c r="AB12" s="12">
        <v>339</v>
      </c>
      <c r="AC12" s="12">
        <v>477</v>
      </c>
      <c r="AD12" s="12">
        <v>605</v>
      </c>
      <c r="AE12" s="12">
        <v>263</v>
      </c>
      <c r="AF12" s="12">
        <v>435</v>
      </c>
    </row>
    <row r="13" spans="1:32">
      <c r="A13" s="23"/>
      <c r="B13" s="13" t="s">
        <v>938</v>
      </c>
      <c r="C13" s="14">
        <v>0.42</v>
      </c>
      <c r="D13" s="14">
        <v>0.38</v>
      </c>
      <c r="E13" s="14">
        <v>0.46</v>
      </c>
      <c r="F13" s="14">
        <v>0.52</v>
      </c>
      <c r="G13" s="14">
        <v>0.42</v>
      </c>
      <c r="H13" s="14">
        <v>0.42</v>
      </c>
      <c r="I13" s="14">
        <v>0.43</v>
      </c>
      <c r="J13" s="14">
        <v>0.51</v>
      </c>
      <c r="K13" s="14">
        <v>0.48</v>
      </c>
      <c r="L13" s="14">
        <v>0.68</v>
      </c>
      <c r="M13" s="14">
        <v>0.52</v>
      </c>
      <c r="N13" s="14">
        <v>0.55000000000000004</v>
      </c>
      <c r="O13" s="14">
        <v>0.31</v>
      </c>
      <c r="P13" s="14">
        <v>0.55000000000000004</v>
      </c>
      <c r="Q13" s="14">
        <v>0.34</v>
      </c>
      <c r="R13" s="14">
        <v>0.67</v>
      </c>
      <c r="S13" s="14">
        <v>0.4</v>
      </c>
      <c r="T13" s="14">
        <v>0.53</v>
      </c>
      <c r="U13" s="14">
        <v>0.47</v>
      </c>
      <c r="V13" s="14">
        <v>0.57999999999999996</v>
      </c>
      <c r="W13" s="14">
        <v>0.61</v>
      </c>
      <c r="X13" s="14">
        <v>0.44</v>
      </c>
      <c r="Y13" s="14">
        <v>0.54</v>
      </c>
      <c r="Z13" s="14">
        <v>0.33</v>
      </c>
      <c r="AA13" s="14">
        <v>0.5</v>
      </c>
      <c r="AB13" s="14">
        <v>0.33</v>
      </c>
      <c r="AC13" s="14">
        <v>0.47</v>
      </c>
      <c r="AD13" s="14">
        <v>0.6</v>
      </c>
      <c r="AE13" s="14">
        <v>0.26</v>
      </c>
      <c r="AF13" s="14">
        <v>0.4</v>
      </c>
    </row>
    <row r="14" spans="1:32">
      <c r="A14" s="23"/>
      <c r="B14" s="11" t="s">
        <v>939</v>
      </c>
      <c r="C14" s="12">
        <v>9725</v>
      </c>
      <c r="D14" s="12">
        <v>441</v>
      </c>
      <c r="E14" s="12">
        <v>288</v>
      </c>
      <c r="F14" s="12">
        <v>276</v>
      </c>
      <c r="G14" s="12">
        <v>332</v>
      </c>
      <c r="H14" s="12">
        <v>472</v>
      </c>
      <c r="I14" s="12">
        <v>568</v>
      </c>
      <c r="J14" s="12">
        <v>95</v>
      </c>
      <c r="K14" s="12">
        <v>294</v>
      </c>
      <c r="L14" s="12">
        <v>216</v>
      </c>
      <c r="M14" s="12">
        <v>322</v>
      </c>
      <c r="N14" s="12">
        <v>275</v>
      </c>
      <c r="O14" s="12">
        <v>405</v>
      </c>
      <c r="P14" s="12">
        <v>258</v>
      </c>
      <c r="Q14" s="12">
        <v>452</v>
      </c>
      <c r="R14" s="12">
        <v>101</v>
      </c>
      <c r="S14" s="12">
        <v>338</v>
      </c>
      <c r="T14" s="12">
        <v>295</v>
      </c>
      <c r="U14" s="12">
        <v>172</v>
      </c>
      <c r="V14" s="12">
        <v>260</v>
      </c>
      <c r="W14" s="12">
        <v>130</v>
      </c>
      <c r="X14" s="12">
        <v>413</v>
      </c>
      <c r="Y14" s="12">
        <v>308</v>
      </c>
      <c r="Z14" s="12">
        <v>479</v>
      </c>
      <c r="AA14" s="12">
        <v>298</v>
      </c>
      <c r="AB14" s="12">
        <v>374</v>
      </c>
      <c r="AC14" s="12">
        <v>338</v>
      </c>
      <c r="AD14" s="12">
        <v>281</v>
      </c>
      <c r="AE14" s="12">
        <v>302</v>
      </c>
      <c r="AF14" s="12">
        <v>387</v>
      </c>
    </row>
    <row r="15" spans="1:32">
      <c r="A15" s="23"/>
      <c r="B15" s="13" t="s">
        <v>1331</v>
      </c>
      <c r="C15" s="14">
        <v>0.37</v>
      </c>
      <c r="D15" s="14">
        <v>0.44</v>
      </c>
      <c r="E15" s="14">
        <v>0.28000000000000003</v>
      </c>
      <c r="F15" s="14">
        <v>0.27</v>
      </c>
      <c r="G15" s="14">
        <v>0.33</v>
      </c>
      <c r="H15" s="14">
        <v>0.39</v>
      </c>
      <c r="I15" s="14">
        <v>0.38</v>
      </c>
      <c r="J15" s="14">
        <v>0.32</v>
      </c>
      <c r="K15" s="14">
        <v>0.28999999999999998</v>
      </c>
      <c r="L15" s="14">
        <v>0.21</v>
      </c>
      <c r="M15" s="14">
        <v>0.32</v>
      </c>
      <c r="N15" s="14">
        <v>0.27</v>
      </c>
      <c r="O15" s="14">
        <v>0.4</v>
      </c>
      <c r="P15" s="14">
        <v>0.26</v>
      </c>
      <c r="Q15" s="14">
        <v>0.44</v>
      </c>
      <c r="R15" s="14">
        <v>0.2</v>
      </c>
      <c r="S15" s="14">
        <v>0.34</v>
      </c>
      <c r="T15" s="14">
        <v>0.28999999999999998</v>
      </c>
      <c r="U15" s="14">
        <v>0.34</v>
      </c>
      <c r="V15" s="14">
        <v>0.26</v>
      </c>
      <c r="W15" s="14">
        <v>0.26</v>
      </c>
      <c r="X15" s="14">
        <v>0.41</v>
      </c>
      <c r="Y15" s="14">
        <v>0.31</v>
      </c>
      <c r="Z15" s="14">
        <v>0.47</v>
      </c>
      <c r="AA15" s="14">
        <v>0.28999999999999998</v>
      </c>
      <c r="AB15" s="14">
        <v>0.36</v>
      </c>
      <c r="AC15" s="14">
        <v>0.34</v>
      </c>
      <c r="AD15" s="14">
        <v>0.28000000000000003</v>
      </c>
      <c r="AE15" s="14">
        <v>0.3</v>
      </c>
      <c r="AF15" s="14">
        <v>0.36</v>
      </c>
    </row>
    <row r="16" spans="1:32">
      <c r="A16" s="23"/>
      <c r="B16" s="11" t="s">
        <v>941</v>
      </c>
      <c r="C16" s="12">
        <v>2683</v>
      </c>
      <c r="D16" s="12">
        <v>128</v>
      </c>
      <c r="E16" s="12">
        <v>89</v>
      </c>
      <c r="F16" s="12">
        <v>81</v>
      </c>
      <c r="G16" s="12">
        <v>120</v>
      </c>
      <c r="H16" s="12">
        <v>128</v>
      </c>
      <c r="I16" s="12">
        <v>152</v>
      </c>
      <c r="J16" s="12">
        <v>24</v>
      </c>
      <c r="K16" s="12">
        <v>99</v>
      </c>
      <c r="L16" s="12">
        <v>43</v>
      </c>
      <c r="M16" s="12">
        <v>72</v>
      </c>
      <c r="N16" s="12">
        <v>72</v>
      </c>
      <c r="O16" s="12">
        <v>108</v>
      </c>
      <c r="P16" s="12">
        <v>96</v>
      </c>
      <c r="Q16" s="12">
        <v>116</v>
      </c>
      <c r="R16" s="12">
        <v>25</v>
      </c>
      <c r="S16" s="12">
        <v>113</v>
      </c>
      <c r="T16" s="12">
        <v>49</v>
      </c>
      <c r="U16" s="12">
        <v>46</v>
      </c>
      <c r="V16" s="12">
        <v>79</v>
      </c>
      <c r="W16" s="12">
        <v>24</v>
      </c>
      <c r="X16" s="12">
        <v>116</v>
      </c>
      <c r="Y16" s="12">
        <v>68</v>
      </c>
      <c r="Z16" s="12">
        <v>107</v>
      </c>
      <c r="AA16" s="12">
        <v>50</v>
      </c>
      <c r="AB16" s="12">
        <v>172</v>
      </c>
      <c r="AC16" s="12">
        <v>90</v>
      </c>
      <c r="AD16" s="12">
        <v>42</v>
      </c>
      <c r="AE16" s="12">
        <v>216</v>
      </c>
      <c r="AF16" s="12">
        <v>156</v>
      </c>
    </row>
    <row r="17" spans="1:32">
      <c r="A17" s="23"/>
      <c r="B17" s="13" t="s">
        <v>942</v>
      </c>
      <c r="C17" s="14">
        <v>0.1</v>
      </c>
      <c r="D17" s="14">
        <v>0.13</v>
      </c>
      <c r="E17" s="14">
        <v>0.08</v>
      </c>
      <c r="F17" s="14">
        <v>0.08</v>
      </c>
      <c r="G17" s="14">
        <v>0.12</v>
      </c>
      <c r="H17" s="14">
        <v>0.11</v>
      </c>
      <c r="I17" s="14">
        <v>0.1</v>
      </c>
      <c r="J17" s="14">
        <v>0.08</v>
      </c>
      <c r="K17" s="14">
        <v>0.1</v>
      </c>
      <c r="L17" s="14">
        <v>0.04</v>
      </c>
      <c r="M17" s="14">
        <v>7.0000000000000007E-2</v>
      </c>
      <c r="N17" s="14">
        <v>7.0000000000000007E-2</v>
      </c>
      <c r="O17" s="14">
        <v>0.11</v>
      </c>
      <c r="P17" s="14">
        <v>0.1</v>
      </c>
      <c r="Q17" s="14">
        <v>0.11</v>
      </c>
      <c r="R17" s="14">
        <v>0.05</v>
      </c>
      <c r="S17" s="14">
        <v>0.11</v>
      </c>
      <c r="T17" s="14">
        <v>0.05</v>
      </c>
      <c r="U17" s="14">
        <v>0.09</v>
      </c>
      <c r="V17" s="14">
        <v>0.08</v>
      </c>
      <c r="W17" s="14">
        <v>0.05</v>
      </c>
      <c r="X17" s="14">
        <v>0.11</v>
      </c>
      <c r="Y17" s="14">
        <v>7.0000000000000007E-2</v>
      </c>
      <c r="Z17" s="14">
        <v>0.11</v>
      </c>
      <c r="AA17" s="14">
        <v>0.05</v>
      </c>
      <c r="AB17" s="14">
        <v>0.17</v>
      </c>
      <c r="AC17" s="14">
        <v>0.09</v>
      </c>
      <c r="AD17" s="14">
        <v>0.04</v>
      </c>
      <c r="AE17" s="14">
        <v>0.21</v>
      </c>
      <c r="AF17" s="14">
        <v>0.15</v>
      </c>
    </row>
    <row r="18" spans="1:32">
      <c r="A18" s="23"/>
      <c r="B18" s="11" t="s">
        <v>943</v>
      </c>
      <c r="C18" s="12">
        <v>1663</v>
      </c>
      <c r="D18" s="12">
        <v>45</v>
      </c>
      <c r="E18" s="12">
        <v>74</v>
      </c>
      <c r="F18" s="12">
        <v>104</v>
      </c>
      <c r="G18" s="12">
        <v>98</v>
      </c>
      <c r="H18" s="12">
        <v>67</v>
      </c>
      <c r="I18" s="12">
        <v>86</v>
      </c>
      <c r="J18" s="12">
        <v>20</v>
      </c>
      <c r="K18" s="12">
        <v>65</v>
      </c>
      <c r="L18" s="12">
        <v>33</v>
      </c>
      <c r="M18" s="12">
        <v>45</v>
      </c>
      <c r="N18" s="12">
        <v>56</v>
      </c>
      <c r="O18" s="12">
        <v>66</v>
      </c>
      <c r="P18" s="12">
        <v>75</v>
      </c>
      <c r="Q18" s="12">
        <v>67</v>
      </c>
      <c r="R18" s="12">
        <v>10</v>
      </c>
      <c r="S18" s="12">
        <v>51</v>
      </c>
      <c r="T18" s="12">
        <v>62</v>
      </c>
      <c r="U18" s="12">
        <v>27</v>
      </c>
      <c r="V18" s="12">
        <v>59</v>
      </c>
      <c r="W18" s="12">
        <v>12</v>
      </c>
      <c r="X18" s="12">
        <v>33</v>
      </c>
      <c r="Y18" s="12">
        <v>60</v>
      </c>
      <c r="Z18" s="12">
        <v>62</v>
      </c>
      <c r="AA18" s="12">
        <v>99</v>
      </c>
      <c r="AB18" s="12">
        <v>92</v>
      </c>
      <c r="AC18" s="12">
        <v>70</v>
      </c>
      <c r="AD18" s="12">
        <v>38</v>
      </c>
      <c r="AE18" s="12">
        <v>171</v>
      </c>
      <c r="AF18" s="12">
        <v>53</v>
      </c>
    </row>
    <row r="19" spans="1:32">
      <c r="A19" s="23"/>
      <c r="B19" s="13" t="s">
        <v>1332</v>
      </c>
      <c r="C19" s="14">
        <v>0.06</v>
      </c>
      <c r="D19" s="14">
        <v>0.04</v>
      </c>
      <c r="E19" s="14">
        <v>7.0000000000000007E-2</v>
      </c>
      <c r="F19" s="14">
        <v>0.1</v>
      </c>
      <c r="G19" s="14">
        <v>0.1</v>
      </c>
      <c r="H19" s="14">
        <v>0.05</v>
      </c>
      <c r="I19" s="14">
        <v>0.06</v>
      </c>
      <c r="J19" s="14">
        <v>7.0000000000000007E-2</v>
      </c>
      <c r="K19" s="14">
        <v>7.0000000000000007E-2</v>
      </c>
      <c r="L19" s="14">
        <v>0.03</v>
      </c>
      <c r="M19" s="14">
        <v>0.05</v>
      </c>
      <c r="N19" s="14">
        <v>0.06</v>
      </c>
      <c r="O19" s="14">
        <v>0.06</v>
      </c>
      <c r="P19" s="14">
        <v>7.0000000000000007E-2</v>
      </c>
      <c r="Q19" s="14">
        <v>7.0000000000000007E-2</v>
      </c>
      <c r="R19" s="14">
        <v>0.02</v>
      </c>
      <c r="S19" s="14">
        <v>0.05</v>
      </c>
      <c r="T19" s="14">
        <v>0.06</v>
      </c>
      <c r="U19" s="14">
        <v>0.05</v>
      </c>
      <c r="V19" s="14">
        <v>0.06</v>
      </c>
      <c r="W19" s="14">
        <v>0.02</v>
      </c>
      <c r="X19" s="14">
        <v>0.03</v>
      </c>
      <c r="Y19" s="14">
        <v>0.06</v>
      </c>
      <c r="Z19" s="14">
        <v>0.06</v>
      </c>
      <c r="AA19" s="14">
        <v>0.09</v>
      </c>
      <c r="AB19" s="14">
        <v>0.09</v>
      </c>
      <c r="AC19" s="14">
        <v>7.0000000000000007E-2</v>
      </c>
      <c r="AD19" s="14">
        <v>0.04</v>
      </c>
      <c r="AE19" s="14">
        <v>0.17</v>
      </c>
      <c r="AF19" s="14">
        <v>0.05</v>
      </c>
    </row>
    <row r="20" spans="1:32">
      <c r="A20" s="23"/>
      <c r="B20" s="11" t="s">
        <v>497</v>
      </c>
      <c r="C20" s="12">
        <v>1275</v>
      </c>
      <c r="D20" s="12">
        <v>8</v>
      </c>
      <c r="E20" s="12">
        <v>113</v>
      </c>
      <c r="F20" s="12">
        <v>27</v>
      </c>
      <c r="G20" s="12">
        <v>29</v>
      </c>
      <c r="H20" s="12">
        <v>37</v>
      </c>
      <c r="I20" s="12">
        <v>42</v>
      </c>
      <c r="J20" s="12">
        <v>5</v>
      </c>
      <c r="K20" s="12">
        <v>63</v>
      </c>
      <c r="L20" s="12">
        <v>35</v>
      </c>
      <c r="M20" s="12">
        <v>44</v>
      </c>
      <c r="N20" s="12">
        <v>46</v>
      </c>
      <c r="O20" s="12">
        <v>119</v>
      </c>
      <c r="P20" s="12">
        <v>22</v>
      </c>
      <c r="Q20" s="12">
        <v>37</v>
      </c>
      <c r="R20" s="12">
        <v>28</v>
      </c>
      <c r="S20" s="12">
        <v>100</v>
      </c>
      <c r="T20" s="12">
        <v>70</v>
      </c>
      <c r="U20" s="12">
        <v>22</v>
      </c>
      <c r="V20" s="12">
        <v>22</v>
      </c>
      <c r="W20" s="12">
        <v>33</v>
      </c>
      <c r="X20" s="12">
        <v>10</v>
      </c>
      <c r="Y20" s="12">
        <v>23</v>
      </c>
      <c r="Z20" s="12">
        <v>35</v>
      </c>
      <c r="AA20" s="12">
        <v>68</v>
      </c>
      <c r="AB20" s="12">
        <v>53</v>
      </c>
      <c r="AC20" s="12">
        <v>30</v>
      </c>
      <c r="AD20" s="12">
        <v>36</v>
      </c>
      <c r="AE20" s="12">
        <v>56</v>
      </c>
      <c r="AF20" s="12">
        <v>43</v>
      </c>
    </row>
    <row r="21" spans="1:32">
      <c r="A21" s="23"/>
      <c r="B21" s="13" t="s">
        <v>498</v>
      </c>
      <c r="C21" s="14">
        <v>0.05</v>
      </c>
      <c r="D21" s="14">
        <v>0.01</v>
      </c>
      <c r="E21" s="14">
        <v>0.11</v>
      </c>
      <c r="F21" s="14">
        <v>0.03</v>
      </c>
      <c r="G21" s="14">
        <v>0.03</v>
      </c>
      <c r="H21" s="14">
        <v>0.03</v>
      </c>
      <c r="I21" s="14">
        <v>0.03</v>
      </c>
      <c r="J21" s="14">
        <v>0.02</v>
      </c>
      <c r="K21" s="14">
        <v>0.06</v>
      </c>
      <c r="L21" s="14">
        <v>0.04</v>
      </c>
      <c r="M21" s="14">
        <v>0.04</v>
      </c>
      <c r="N21" s="14">
        <v>0.05</v>
      </c>
      <c r="O21" s="14">
        <v>0.12</v>
      </c>
      <c r="P21" s="14">
        <v>0.02</v>
      </c>
      <c r="Q21" s="14">
        <v>0.04</v>
      </c>
      <c r="R21" s="14">
        <v>0.06</v>
      </c>
      <c r="S21" s="14">
        <v>0.1</v>
      </c>
      <c r="T21" s="14">
        <v>7.0000000000000007E-2</v>
      </c>
      <c r="U21" s="14">
        <v>0.05</v>
      </c>
      <c r="V21" s="14">
        <v>0.02</v>
      </c>
      <c r="W21" s="14">
        <v>0.06</v>
      </c>
      <c r="X21" s="14">
        <v>0.01</v>
      </c>
      <c r="Y21" s="14">
        <v>0.02</v>
      </c>
      <c r="Z21" s="14">
        <v>0.03</v>
      </c>
      <c r="AA21" s="14">
        <v>7.0000000000000007E-2</v>
      </c>
      <c r="AB21" s="14">
        <v>0.05</v>
      </c>
      <c r="AC21" s="14">
        <v>0.03</v>
      </c>
      <c r="AD21" s="14">
        <v>0.04</v>
      </c>
      <c r="AE21" s="14">
        <v>0.06</v>
      </c>
      <c r="AF21" s="14">
        <v>0.04</v>
      </c>
    </row>
    <row r="22" spans="1:32">
      <c r="A22" s="23"/>
      <c r="B22" s="11" t="s">
        <v>945</v>
      </c>
      <c r="C22" s="12">
        <v>20733</v>
      </c>
      <c r="D22" s="12">
        <v>825</v>
      </c>
      <c r="E22" s="12">
        <v>767</v>
      </c>
      <c r="F22" s="12">
        <v>795</v>
      </c>
      <c r="G22" s="12">
        <v>756</v>
      </c>
      <c r="H22" s="12">
        <v>978</v>
      </c>
      <c r="I22" s="12">
        <v>1224</v>
      </c>
      <c r="J22" s="12">
        <v>245</v>
      </c>
      <c r="K22" s="12">
        <v>777</v>
      </c>
      <c r="L22" s="12">
        <v>896</v>
      </c>
      <c r="M22" s="12">
        <v>850</v>
      </c>
      <c r="N22" s="12">
        <v>825</v>
      </c>
      <c r="O22" s="12">
        <v>713</v>
      </c>
      <c r="P22" s="12">
        <v>818</v>
      </c>
      <c r="Q22" s="12">
        <v>804</v>
      </c>
      <c r="R22" s="12">
        <v>440</v>
      </c>
      <c r="S22" s="12">
        <v>741</v>
      </c>
      <c r="T22" s="12">
        <v>823</v>
      </c>
      <c r="U22" s="12">
        <v>408</v>
      </c>
      <c r="V22" s="12">
        <v>850</v>
      </c>
      <c r="W22" s="12">
        <v>435</v>
      </c>
      <c r="X22" s="12">
        <v>856</v>
      </c>
      <c r="Y22" s="12">
        <v>856</v>
      </c>
      <c r="Z22" s="12">
        <v>813</v>
      </c>
      <c r="AA22" s="12">
        <v>823</v>
      </c>
      <c r="AB22" s="12">
        <v>713</v>
      </c>
      <c r="AC22" s="12">
        <v>815</v>
      </c>
      <c r="AD22" s="12">
        <v>886</v>
      </c>
      <c r="AE22" s="12">
        <v>565</v>
      </c>
      <c r="AF22" s="12">
        <v>822</v>
      </c>
    </row>
    <row r="23" spans="1:32">
      <c r="A23" s="23"/>
      <c r="B23" s="13" t="s">
        <v>945</v>
      </c>
      <c r="C23" s="14">
        <v>0.79</v>
      </c>
      <c r="D23" s="14">
        <v>0.82000000000000006</v>
      </c>
      <c r="E23" s="14">
        <v>0.74</v>
      </c>
      <c r="F23" s="14">
        <v>0.79</v>
      </c>
      <c r="G23" s="14">
        <v>0.75</v>
      </c>
      <c r="H23" s="14">
        <v>0.81</v>
      </c>
      <c r="I23" s="14">
        <v>0.81</v>
      </c>
      <c r="J23" s="14">
        <v>0.83000000000000007</v>
      </c>
      <c r="K23" s="14">
        <v>0.77</v>
      </c>
      <c r="L23" s="14">
        <v>0.89</v>
      </c>
      <c r="M23" s="14">
        <v>0.84</v>
      </c>
      <c r="N23" s="14">
        <v>0.82000000000000006</v>
      </c>
      <c r="O23" s="14">
        <v>0.71</v>
      </c>
      <c r="P23" s="14">
        <v>0.81</v>
      </c>
      <c r="Q23" s="14">
        <v>0.78</v>
      </c>
      <c r="R23" s="14">
        <v>0.87</v>
      </c>
      <c r="S23" s="14">
        <v>0.74</v>
      </c>
      <c r="T23" s="14">
        <v>0.82000000000000006</v>
      </c>
      <c r="U23" s="14">
        <v>0.81</v>
      </c>
      <c r="V23" s="14">
        <v>0.84</v>
      </c>
      <c r="W23" s="14">
        <v>0.87</v>
      </c>
      <c r="X23" s="14">
        <v>0.85</v>
      </c>
      <c r="Y23" s="14">
        <v>0.85</v>
      </c>
      <c r="Z23" s="14">
        <v>0.8</v>
      </c>
      <c r="AA23" s="14">
        <v>0.79</v>
      </c>
      <c r="AB23" s="14">
        <v>0.69000000000000006</v>
      </c>
      <c r="AC23" s="14">
        <v>0.81</v>
      </c>
      <c r="AD23" s="14">
        <v>0.88</v>
      </c>
      <c r="AE23" s="14">
        <v>0.56000000000000005</v>
      </c>
      <c r="AF23" s="14">
        <v>0.76</v>
      </c>
    </row>
    <row r="24" spans="1:32">
      <c r="A24" s="23"/>
      <c r="B24" s="11" t="s">
        <v>946</v>
      </c>
      <c r="C24" s="12">
        <v>4346</v>
      </c>
      <c r="D24" s="12">
        <v>173</v>
      </c>
      <c r="E24" s="12">
        <v>163</v>
      </c>
      <c r="F24" s="12">
        <v>185</v>
      </c>
      <c r="G24" s="12">
        <v>218</v>
      </c>
      <c r="H24" s="12">
        <v>195</v>
      </c>
      <c r="I24" s="12">
        <v>238</v>
      </c>
      <c r="J24" s="12">
        <v>44</v>
      </c>
      <c r="K24" s="12">
        <v>164</v>
      </c>
      <c r="L24" s="12">
        <v>76</v>
      </c>
      <c r="M24" s="12">
        <v>117</v>
      </c>
      <c r="N24" s="12">
        <v>128</v>
      </c>
      <c r="O24" s="12">
        <v>174</v>
      </c>
      <c r="P24" s="12">
        <v>171</v>
      </c>
      <c r="Q24" s="12">
        <v>183</v>
      </c>
      <c r="R24" s="12">
        <v>35</v>
      </c>
      <c r="S24" s="12">
        <v>164</v>
      </c>
      <c r="T24" s="12">
        <v>111</v>
      </c>
      <c r="U24" s="12">
        <v>73</v>
      </c>
      <c r="V24" s="12">
        <v>138</v>
      </c>
      <c r="W24" s="12">
        <v>36</v>
      </c>
      <c r="X24" s="12">
        <v>149</v>
      </c>
      <c r="Y24" s="12">
        <v>128</v>
      </c>
      <c r="Z24" s="12">
        <v>169</v>
      </c>
      <c r="AA24" s="12">
        <v>149</v>
      </c>
      <c r="AB24" s="12">
        <v>264</v>
      </c>
      <c r="AC24" s="12">
        <v>160</v>
      </c>
      <c r="AD24" s="12">
        <v>80</v>
      </c>
      <c r="AE24" s="12">
        <v>387</v>
      </c>
      <c r="AF24" s="12">
        <v>209</v>
      </c>
    </row>
    <row r="25" spans="1:32">
      <c r="A25" s="23"/>
      <c r="B25" s="13" t="s">
        <v>947</v>
      </c>
      <c r="C25" s="14">
        <v>0.16</v>
      </c>
      <c r="D25" s="14">
        <v>0.17</v>
      </c>
      <c r="E25" s="14">
        <v>0.15</v>
      </c>
      <c r="F25" s="14">
        <v>0.18</v>
      </c>
      <c r="G25" s="14">
        <v>0.22</v>
      </c>
      <c r="H25" s="14">
        <v>0.16</v>
      </c>
      <c r="I25" s="14">
        <v>0.16</v>
      </c>
      <c r="J25" s="14">
        <v>0.15</v>
      </c>
      <c r="K25" s="14">
        <v>0.17</v>
      </c>
      <c r="L25" s="14">
        <v>7.0000000000000007E-2</v>
      </c>
      <c r="M25" s="14">
        <v>0.12</v>
      </c>
      <c r="N25" s="14">
        <v>0.13</v>
      </c>
      <c r="O25" s="14">
        <v>0.17</v>
      </c>
      <c r="P25" s="14">
        <v>0.17</v>
      </c>
      <c r="Q25" s="14">
        <v>0.18</v>
      </c>
      <c r="R25" s="14">
        <v>7.0000000000000007E-2</v>
      </c>
      <c r="S25" s="14">
        <v>0.16</v>
      </c>
      <c r="T25" s="14">
        <v>0.11</v>
      </c>
      <c r="U25" s="14">
        <v>0.14000000000000001</v>
      </c>
      <c r="V25" s="14">
        <v>0.14000000000000001</v>
      </c>
      <c r="W25" s="14">
        <v>7.0000000000000007E-2</v>
      </c>
      <c r="X25" s="14">
        <v>0.14000000000000001</v>
      </c>
      <c r="Y25" s="14">
        <v>0.13</v>
      </c>
      <c r="Z25" s="14">
        <v>0.17</v>
      </c>
      <c r="AA25" s="14">
        <v>0.14000000000000001</v>
      </c>
      <c r="AB25" s="14">
        <v>0.26</v>
      </c>
      <c r="AC25" s="14">
        <v>0.16</v>
      </c>
      <c r="AD25" s="14">
        <v>0.08</v>
      </c>
      <c r="AE25" s="14">
        <v>0.38</v>
      </c>
      <c r="AF25" s="14">
        <v>0.2</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1345</v>
      </c>
      <c r="C3" s="19"/>
      <c r="D3" s="19"/>
      <c r="E3" s="19"/>
      <c r="F3" s="19"/>
      <c r="H3" s="19" t="s">
        <v>1346</v>
      </c>
      <c r="I3" s="19"/>
      <c r="J3" s="19"/>
      <c r="K3" s="19"/>
      <c r="L3" s="19"/>
    </row>
    <row r="4" spans="1:32" ht="27" customHeight="1">
      <c r="B4" s="19" t="s">
        <v>1347</v>
      </c>
      <c r="C4" s="19"/>
      <c r="D4" s="19"/>
      <c r="E4" s="19"/>
      <c r="F4" s="19"/>
      <c r="H4" s="19" t="s">
        <v>1348</v>
      </c>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HYPERLINK("#Content!A130","&lt;&lt;Back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937</v>
      </c>
      <c r="C12" s="12">
        <v>8189</v>
      </c>
      <c r="D12" s="12">
        <v>312</v>
      </c>
      <c r="E12" s="12">
        <v>501</v>
      </c>
      <c r="F12" s="12">
        <v>303</v>
      </c>
      <c r="G12" s="12">
        <v>253</v>
      </c>
      <c r="H12" s="12">
        <v>274</v>
      </c>
      <c r="I12" s="12">
        <v>320</v>
      </c>
      <c r="J12" s="12">
        <v>46</v>
      </c>
      <c r="K12" s="12">
        <v>247</v>
      </c>
      <c r="L12" s="12">
        <v>577</v>
      </c>
      <c r="M12" s="12">
        <v>513</v>
      </c>
      <c r="N12" s="12">
        <v>364</v>
      </c>
      <c r="O12" s="12">
        <v>295</v>
      </c>
      <c r="P12" s="12">
        <v>414</v>
      </c>
      <c r="Q12" s="12">
        <v>345</v>
      </c>
      <c r="R12" s="12">
        <v>276</v>
      </c>
      <c r="S12" s="12">
        <v>376</v>
      </c>
      <c r="T12" s="12">
        <v>286</v>
      </c>
      <c r="U12" s="12">
        <v>221</v>
      </c>
      <c r="V12" s="12">
        <v>373</v>
      </c>
      <c r="W12" s="12">
        <v>327</v>
      </c>
      <c r="X12" s="12">
        <v>353</v>
      </c>
      <c r="Y12" s="12">
        <v>336</v>
      </c>
      <c r="Z12" s="12">
        <v>271</v>
      </c>
      <c r="AA12" s="12">
        <v>392</v>
      </c>
      <c r="AB12" s="12">
        <v>291</v>
      </c>
      <c r="AC12" s="12">
        <v>232</v>
      </c>
      <c r="AD12" s="12">
        <v>472</v>
      </c>
      <c r="AE12" s="12">
        <v>208</v>
      </c>
      <c r="AF12" s="12">
        <v>371</v>
      </c>
    </row>
    <row r="13" spans="1:32">
      <c r="A13" s="23"/>
      <c r="B13" s="13" t="s">
        <v>938</v>
      </c>
      <c r="C13" s="14">
        <v>0.31</v>
      </c>
      <c r="D13" s="14">
        <v>0.31</v>
      </c>
      <c r="E13" s="14">
        <v>0.48</v>
      </c>
      <c r="F13" s="14">
        <v>0.3</v>
      </c>
      <c r="G13" s="14">
        <v>0.25</v>
      </c>
      <c r="H13" s="14">
        <v>0.23</v>
      </c>
      <c r="I13" s="14">
        <v>0.21</v>
      </c>
      <c r="J13" s="14">
        <v>0.16</v>
      </c>
      <c r="K13" s="14">
        <v>0.25</v>
      </c>
      <c r="L13" s="14">
        <v>0.57000000000000006</v>
      </c>
      <c r="M13" s="14">
        <v>0.51</v>
      </c>
      <c r="N13" s="14">
        <v>0.36</v>
      </c>
      <c r="O13" s="14">
        <v>0.28999999999999998</v>
      </c>
      <c r="P13" s="14">
        <v>0.41</v>
      </c>
      <c r="Q13" s="14">
        <v>0.34</v>
      </c>
      <c r="R13" s="14">
        <v>0.55000000000000004</v>
      </c>
      <c r="S13" s="14">
        <v>0.38</v>
      </c>
      <c r="T13" s="14">
        <v>0.28000000000000003</v>
      </c>
      <c r="U13" s="14">
        <v>0.44</v>
      </c>
      <c r="V13" s="14">
        <v>0.37</v>
      </c>
      <c r="W13" s="14">
        <v>0.65</v>
      </c>
      <c r="X13" s="14">
        <v>0.35</v>
      </c>
      <c r="Y13" s="14">
        <v>0.33</v>
      </c>
      <c r="Z13" s="14">
        <v>0.27</v>
      </c>
      <c r="AA13" s="14">
        <v>0.38</v>
      </c>
      <c r="AB13" s="14">
        <v>0.28000000000000003</v>
      </c>
      <c r="AC13" s="14">
        <v>0.23</v>
      </c>
      <c r="AD13" s="14">
        <v>0.47</v>
      </c>
      <c r="AE13" s="14">
        <v>0.21</v>
      </c>
      <c r="AF13" s="14">
        <v>0.35</v>
      </c>
    </row>
    <row r="14" spans="1:32">
      <c r="A14" s="23"/>
      <c r="B14" s="11" t="s">
        <v>939</v>
      </c>
      <c r="C14" s="12">
        <v>11883</v>
      </c>
      <c r="D14" s="12">
        <v>482</v>
      </c>
      <c r="E14" s="12">
        <v>391</v>
      </c>
      <c r="F14" s="12">
        <v>452</v>
      </c>
      <c r="G14" s="12">
        <v>423</v>
      </c>
      <c r="H14" s="12">
        <v>553</v>
      </c>
      <c r="I14" s="12">
        <v>692</v>
      </c>
      <c r="J14" s="12">
        <v>139</v>
      </c>
      <c r="K14" s="12">
        <v>429</v>
      </c>
      <c r="L14" s="12">
        <v>312</v>
      </c>
      <c r="M14" s="12">
        <v>402</v>
      </c>
      <c r="N14" s="12">
        <v>402</v>
      </c>
      <c r="O14" s="12">
        <v>454</v>
      </c>
      <c r="P14" s="12">
        <v>368</v>
      </c>
      <c r="Q14" s="12">
        <v>517</v>
      </c>
      <c r="R14" s="12">
        <v>154</v>
      </c>
      <c r="S14" s="12">
        <v>375</v>
      </c>
      <c r="T14" s="12">
        <v>432</v>
      </c>
      <c r="U14" s="12">
        <v>186</v>
      </c>
      <c r="V14" s="12">
        <v>422</v>
      </c>
      <c r="W14" s="12">
        <v>137</v>
      </c>
      <c r="X14" s="12">
        <v>457</v>
      </c>
      <c r="Y14" s="12">
        <v>455</v>
      </c>
      <c r="Z14" s="12">
        <v>540</v>
      </c>
      <c r="AA14" s="12">
        <v>390</v>
      </c>
      <c r="AB14" s="12">
        <v>421</v>
      </c>
      <c r="AC14" s="12">
        <v>413</v>
      </c>
      <c r="AD14" s="12">
        <v>404</v>
      </c>
      <c r="AE14" s="12">
        <v>489</v>
      </c>
      <c r="AF14" s="12">
        <v>485</v>
      </c>
    </row>
    <row r="15" spans="1:32">
      <c r="A15" s="23"/>
      <c r="B15" s="13" t="s">
        <v>1331</v>
      </c>
      <c r="C15" s="14">
        <v>0.45</v>
      </c>
      <c r="D15" s="14">
        <v>0.48</v>
      </c>
      <c r="E15" s="14">
        <v>0.37</v>
      </c>
      <c r="F15" s="14">
        <v>0.45</v>
      </c>
      <c r="G15" s="14">
        <v>0.42</v>
      </c>
      <c r="H15" s="14">
        <v>0.46</v>
      </c>
      <c r="I15" s="14">
        <v>0.46</v>
      </c>
      <c r="J15" s="14">
        <v>0.47</v>
      </c>
      <c r="K15" s="14">
        <v>0.43</v>
      </c>
      <c r="L15" s="14">
        <v>0.31</v>
      </c>
      <c r="M15" s="14">
        <v>0.4</v>
      </c>
      <c r="N15" s="14">
        <v>0.4</v>
      </c>
      <c r="O15" s="14">
        <v>0.45</v>
      </c>
      <c r="P15" s="14">
        <v>0.36</v>
      </c>
      <c r="Q15" s="14">
        <v>0.5</v>
      </c>
      <c r="R15" s="14">
        <v>0.31</v>
      </c>
      <c r="S15" s="14">
        <v>0.37</v>
      </c>
      <c r="T15" s="14">
        <v>0.43</v>
      </c>
      <c r="U15" s="14">
        <v>0.37</v>
      </c>
      <c r="V15" s="14">
        <v>0.42</v>
      </c>
      <c r="W15" s="14">
        <v>0.27</v>
      </c>
      <c r="X15" s="14">
        <v>0.45</v>
      </c>
      <c r="Y15" s="14">
        <v>0.45</v>
      </c>
      <c r="Z15" s="14">
        <v>0.53</v>
      </c>
      <c r="AA15" s="14">
        <v>0.38</v>
      </c>
      <c r="AB15" s="14">
        <v>0.41</v>
      </c>
      <c r="AC15" s="14">
        <v>0.41</v>
      </c>
      <c r="AD15" s="14">
        <v>0.4</v>
      </c>
      <c r="AE15" s="14">
        <v>0.49</v>
      </c>
      <c r="AF15" s="14">
        <v>0.45</v>
      </c>
    </row>
    <row r="16" spans="1:32">
      <c r="A16" s="23"/>
      <c r="B16" s="11" t="s">
        <v>941</v>
      </c>
      <c r="C16" s="12">
        <v>3778</v>
      </c>
      <c r="D16" s="12">
        <v>170</v>
      </c>
      <c r="E16" s="12">
        <v>72</v>
      </c>
      <c r="F16" s="12">
        <v>130</v>
      </c>
      <c r="G16" s="12">
        <v>143</v>
      </c>
      <c r="H16" s="12">
        <v>235</v>
      </c>
      <c r="I16" s="12">
        <v>301</v>
      </c>
      <c r="J16" s="12">
        <v>66</v>
      </c>
      <c r="K16" s="12">
        <v>165</v>
      </c>
      <c r="L16" s="12">
        <v>65</v>
      </c>
      <c r="M16" s="12">
        <v>75</v>
      </c>
      <c r="N16" s="12">
        <v>146</v>
      </c>
      <c r="O16" s="12">
        <v>158</v>
      </c>
      <c r="P16" s="12">
        <v>160</v>
      </c>
      <c r="Q16" s="12">
        <v>90</v>
      </c>
      <c r="R16" s="12">
        <v>53</v>
      </c>
      <c r="S16" s="12">
        <v>142</v>
      </c>
      <c r="T16" s="12">
        <v>162</v>
      </c>
      <c r="U16" s="12">
        <v>57</v>
      </c>
      <c r="V16" s="12">
        <v>132</v>
      </c>
      <c r="W16" s="12">
        <v>15</v>
      </c>
      <c r="X16" s="12">
        <v>159</v>
      </c>
      <c r="Y16" s="12">
        <v>126</v>
      </c>
      <c r="Z16" s="12">
        <v>114</v>
      </c>
      <c r="AA16" s="12">
        <v>95</v>
      </c>
      <c r="AB16" s="12">
        <v>201</v>
      </c>
      <c r="AC16" s="12">
        <v>212</v>
      </c>
      <c r="AD16" s="12">
        <v>65</v>
      </c>
      <c r="AE16" s="12">
        <v>186</v>
      </c>
      <c r="AF16" s="12">
        <v>129</v>
      </c>
    </row>
    <row r="17" spans="1:32">
      <c r="A17" s="23"/>
      <c r="B17" s="13" t="s">
        <v>942</v>
      </c>
      <c r="C17" s="14">
        <v>0.14000000000000001</v>
      </c>
      <c r="D17" s="14">
        <v>0.17</v>
      </c>
      <c r="E17" s="14">
        <v>7.0000000000000007E-2</v>
      </c>
      <c r="F17" s="14">
        <v>0.13</v>
      </c>
      <c r="G17" s="14">
        <v>0.14000000000000001</v>
      </c>
      <c r="H17" s="14">
        <v>0.19</v>
      </c>
      <c r="I17" s="14">
        <v>0.2</v>
      </c>
      <c r="J17" s="14">
        <v>0.22</v>
      </c>
      <c r="K17" s="14">
        <v>0.16</v>
      </c>
      <c r="L17" s="14">
        <v>7.0000000000000007E-2</v>
      </c>
      <c r="M17" s="14">
        <v>7.0000000000000007E-2</v>
      </c>
      <c r="N17" s="14">
        <v>0.15</v>
      </c>
      <c r="O17" s="14">
        <v>0.16</v>
      </c>
      <c r="P17" s="14">
        <v>0.16</v>
      </c>
      <c r="Q17" s="14">
        <v>0.09</v>
      </c>
      <c r="R17" s="14">
        <v>0.11</v>
      </c>
      <c r="S17" s="14">
        <v>0.14000000000000001</v>
      </c>
      <c r="T17" s="14">
        <v>0.16</v>
      </c>
      <c r="U17" s="14">
        <v>0.11</v>
      </c>
      <c r="V17" s="14">
        <v>0.13</v>
      </c>
      <c r="W17" s="14">
        <v>0.03</v>
      </c>
      <c r="X17" s="14">
        <v>0.15</v>
      </c>
      <c r="Y17" s="14">
        <v>0.13</v>
      </c>
      <c r="Z17" s="14">
        <v>0.11</v>
      </c>
      <c r="AA17" s="14">
        <v>0.09</v>
      </c>
      <c r="AB17" s="14">
        <v>0.2</v>
      </c>
      <c r="AC17" s="14">
        <v>0.21</v>
      </c>
      <c r="AD17" s="14">
        <v>7.0000000000000007E-2</v>
      </c>
      <c r="AE17" s="14">
        <v>0.18</v>
      </c>
      <c r="AF17" s="14">
        <v>0.12</v>
      </c>
    </row>
    <row r="18" spans="1:32">
      <c r="A18" s="23"/>
      <c r="B18" s="11" t="s">
        <v>943</v>
      </c>
      <c r="C18" s="12">
        <v>1779</v>
      </c>
      <c r="D18" s="12">
        <v>38</v>
      </c>
      <c r="E18" s="12">
        <v>38</v>
      </c>
      <c r="F18" s="12">
        <v>94</v>
      </c>
      <c r="G18" s="12">
        <v>148</v>
      </c>
      <c r="H18" s="12">
        <v>119</v>
      </c>
      <c r="I18" s="12">
        <v>156</v>
      </c>
      <c r="J18" s="12">
        <v>37</v>
      </c>
      <c r="K18" s="12">
        <v>106</v>
      </c>
      <c r="L18" s="12">
        <v>21</v>
      </c>
      <c r="M18" s="12">
        <v>11</v>
      </c>
      <c r="N18" s="12">
        <v>61</v>
      </c>
      <c r="O18" s="12">
        <v>55</v>
      </c>
      <c r="P18" s="12">
        <v>52</v>
      </c>
      <c r="Q18" s="12">
        <v>52</v>
      </c>
      <c r="R18" s="12">
        <v>11</v>
      </c>
      <c r="S18" s="12">
        <v>63</v>
      </c>
      <c r="T18" s="12">
        <v>67</v>
      </c>
      <c r="U18" s="12">
        <v>28</v>
      </c>
      <c r="V18" s="12">
        <v>69</v>
      </c>
      <c r="W18" s="12">
        <v>14</v>
      </c>
      <c r="X18" s="12">
        <v>38</v>
      </c>
      <c r="Y18" s="12">
        <v>73</v>
      </c>
      <c r="Z18" s="12">
        <v>64</v>
      </c>
      <c r="AA18" s="12">
        <v>118</v>
      </c>
      <c r="AB18" s="12">
        <v>77</v>
      </c>
      <c r="AC18" s="12">
        <v>123</v>
      </c>
      <c r="AD18" s="12">
        <v>21</v>
      </c>
      <c r="AE18" s="12">
        <v>89</v>
      </c>
      <c r="AF18" s="12">
        <v>60</v>
      </c>
    </row>
    <row r="19" spans="1:32">
      <c r="A19" s="23"/>
      <c r="B19" s="13" t="s">
        <v>1332</v>
      </c>
      <c r="C19" s="14">
        <v>7.0000000000000007E-2</v>
      </c>
      <c r="D19" s="14">
        <v>0.04</v>
      </c>
      <c r="E19" s="14">
        <v>0.04</v>
      </c>
      <c r="F19" s="14">
        <v>0.09</v>
      </c>
      <c r="G19" s="14">
        <v>0.15</v>
      </c>
      <c r="H19" s="14">
        <v>0.1</v>
      </c>
      <c r="I19" s="14">
        <v>0.11</v>
      </c>
      <c r="J19" s="14">
        <v>0.13</v>
      </c>
      <c r="K19" s="14">
        <v>0.1</v>
      </c>
      <c r="L19" s="14">
        <v>0.02</v>
      </c>
      <c r="M19" s="14">
        <v>0.01</v>
      </c>
      <c r="N19" s="14">
        <v>0.06</v>
      </c>
      <c r="O19" s="14">
        <v>0.06</v>
      </c>
      <c r="P19" s="14">
        <v>0.05</v>
      </c>
      <c r="Q19" s="14">
        <v>0.05</v>
      </c>
      <c r="R19" s="14">
        <v>0.02</v>
      </c>
      <c r="S19" s="14">
        <v>0.06</v>
      </c>
      <c r="T19" s="14">
        <v>7.0000000000000007E-2</v>
      </c>
      <c r="U19" s="14">
        <v>0.06</v>
      </c>
      <c r="V19" s="14">
        <v>7.0000000000000007E-2</v>
      </c>
      <c r="W19" s="14">
        <v>0.03</v>
      </c>
      <c r="X19" s="14">
        <v>0.04</v>
      </c>
      <c r="Y19" s="14">
        <v>7.0000000000000007E-2</v>
      </c>
      <c r="Z19" s="14">
        <v>0.06</v>
      </c>
      <c r="AA19" s="14">
        <v>0.11</v>
      </c>
      <c r="AB19" s="14">
        <v>7.0000000000000007E-2</v>
      </c>
      <c r="AC19" s="14">
        <v>0.12</v>
      </c>
      <c r="AD19" s="14">
        <v>0.02</v>
      </c>
      <c r="AE19" s="14">
        <v>0.09</v>
      </c>
      <c r="AF19" s="14">
        <v>0.06</v>
      </c>
    </row>
    <row r="20" spans="1:32">
      <c r="A20" s="23"/>
      <c r="B20" s="11" t="s">
        <v>497</v>
      </c>
      <c r="C20" s="12">
        <v>725</v>
      </c>
      <c r="D20" s="12">
        <v>4</v>
      </c>
      <c r="E20" s="12">
        <v>42</v>
      </c>
      <c r="F20" s="12">
        <v>28</v>
      </c>
      <c r="G20" s="12">
        <v>36</v>
      </c>
      <c r="H20" s="12">
        <v>30</v>
      </c>
      <c r="I20" s="12">
        <v>36</v>
      </c>
      <c r="J20" s="12">
        <v>5</v>
      </c>
      <c r="K20" s="12">
        <v>57</v>
      </c>
      <c r="L20" s="12">
        <v>33</v>
      </c>
      <c r="M20" s="12">
        <v>10</v>
      </c>
      <c r="N20" s="12">
        <v>27</v>
      </c>
      <c r="O20" s="12">
        <v>45</v>
      </c>
      <c r="P20" s="12">
        <v>17</v>
      </c>
      <c r="Q20" s="12">
        <v>19</v>
      </c>
      <c r="R20" s="12">
        <v>8</v>
      </c>
      <c r="S20" s="12">
        <v>49</v>
      </c>
      <c r="T20" s="12">
        <v>57</v>
      </c>
      <c r="U20" s="12">
        <v>11</v>
      </c>
      <c r="V20" s="12">
        <v>15</v>
      </c>
      <c r="W20" s="12">
        <v>10</v>
      </c>
      <c r="X20" s="12">
        <v>9</v>
      </c>
      <c r="Y20" s="12">
        <v>17</v>
      </c>
      <c r="Z20" s="12">
        <v>28</v>
      </c>
      <c r="AA20" s="12">
        <v>44</v>
      </c>
      <c r="AB20" s="12">
        <v>41</v>
      </c>
      <c r="AC20" s="12">
        <v>25</v>
      </c>
      <c r="AD20" s="12">
        <v>40</v>
      </c>
      <c r="AE20" s="12">
        <v>35</v>
      </c>
      <c r="AF20" s="12">
        <v>27</v>
      </c>
    </row>
    <row r="21" spans="1:32">
      <c r="A21" s="23"/>
      <c r="B21" s="13" t="s">
        <v>498</v>
      </c>
      <c r="C21" s="14">
        <v>0.03</v>
      </c>
      <c r="D21" s="15" t="s">
        <v>485</v>
      </c>
      <c r="E21" s="14">
        <v>0.04</v>
      </c>
      <c r="F21" s="14">
        <v>0.03</v>
      </c>
      <c r="G21" s="14">
        <v>0.04</v>
      </c>
      <c r="H21" s="14">
        <v>0.02</v>
      </c>
      <c r="I21" s="14">
        <v>0.02</v>
      </c>
      <c r="J21" s="14">
        <v>0.02</v>
      </c>
      <c r="K21" s="14">
        <v>0.06</v>
      </c>
      <c r="L21" s="14">
        <v>0.03</v>
      </c>
      <c r="M21" s="14">
        <v>0.01</v>
      </c>
      <c r="N21" s="14">
        <v>0.03</v>
      </c>
      <c r="O21" s="14">
        <v>0.04</v>
      </c>
      <c r="P21" s="14">
        <v>0.02</v>
      </c>
      <c r="Q21" s="14">
        <v>0.02</v>
      </c>
      <c r="R21" s="14">
        <v>0.01</v>
      </c>
      <c r="S21" s="14">
        <v>0.05</v>
      </c>
      <c r="T21" s="14">
        <v>0.06</v>
      </c>
      <c r="U21" s="14">
        <v>0.02</v>
      </c>
      <c r="V21" s="14">
        <v>0.01</v>
      </c>
      <c r="W21" s="14">
        <v>0.02</v>
      </c>
      <c r="X21" s="14">
        <v>0.01</v>
      </c>
      <c r="Y21" s="14">
        <v>0.02</v>
      </c>
      <c r="Z21" s="14">
        <v>0.03</v>
      </c>
      <c r="AA21" s="14">
        <v>0.04</v>
      </c>
      <c r="AB21" s="14">
        <v>0.04</v>
      </c>
      <c r="AC21" s="14">
        <v>0.03</v>
      </c>
      <c r="AD21" s="14">
        <v>0.04</v>
      </c>
      <c r="AE21" s="14">
        <v>0.03</v>
      </c>
      <c r="AF21" s="14">
        <v>0.02</v>
      </c>
    </row>
    <row r="22" spans="1:32">
      <c r="A22" s="23"/>
      <c r="B22" s="11" t="s">
        <v>945</v>
      </c>
      <c r="C22" s="12">
        <v>20072</v>
      </c>
      <c r="D22" s="12">
        <v>794</v>
      </c>
      <c r="E22" s="12">
        <v>892</v>
      </c>
      <c r="F22" s="12">
        <v>755</v>
      </c>
      <c r="G22" s="12">
        <v>676</v>
      </c>
      <c r="H22" s="12">
        <v>827</v>
      </c>
      <c r="I22" s="12">
        <v>1012</v>
      </c>
      <c r="J22" s="12">
        <v>185</v>
      </c>
      <c r="K22" s="12">
        <v>676</v>
      </c>
      <c r="L22" s="12">
        <v>889</v>
      </c>
      <c r="M22" s="12">
        <v>915</v>
      </c>
      <c r="N22" s="12">
        <v>766</v>
      </c>
      <c r="O22" s="12">
        <v>749</v>
      </c>
      <c r="P22" s="12">
        <v>782</v>
      </c>
      <c r="Q22" s="12">
        <v>862</v>
      </c>
      <c r="R22" s="12">
        <v>430</v>
      </c>
      <c r="S22" s="12">
        <v>751</v>
      </c>
      <c r="T22" s="12">
        <v>718</v>
      </c>
      <c r="U22" s="12">
        <v>407</v>
      </c>
      <c r="V22" s="12">
        <v>795</v>
      </c>
      <c r="W22" s="12">
        <v>464</v>
      </c>
      <c r="X22" s="12">
        <v>810</v>
      </c>
      <c r="Y22" s="12">
        <v>791</v>
      </c>
      <c r="Z22" s="12">
        <v>811</v>
      </c>
      <c r="AA22" s="12">
        <v>782</v>
      </c>
      <c r="AB22" s="12">
        <v>712</v>
      </c>
      <c r="AC22" s="12">
        <v>645</v>
      </c>
      <c r="AD22" s="12">
        <v>876</v>
      </c>
      <c r="AE22" s="12">
        <v>697</v>
      </c>
      <c r="AF22" s="12">
        <v>856</v>
      </c>
    </row>
    <row r="23" spans="1:32">
      <c r="A23" s="23"/>
      <c r="B23" s="13" t="s">
        <v>945</v>
      </c>
      <c r="C23" s="14">
        <v>0.76</v>
      </c>
      <c r="D23" s="14">
        <v>0.79</v>
      </c>
      <c r="E23" s="14">
        <v>0.85</v>
      </c>
      <c r="F23" s="14">
        <v>0.75</v>
      </c>
      <c r="G23" s="14">
        <v>0.67</v>
      </c>
      <c r="H23" s="14">
        <v>0.69000000000000006</v>
      </c>
      <c r="I23" s="14">
        <v>0.67</v>
      </c>
      <c r="J23" s="14">
        <v>0.63</v>
      </c>
      <c r="K23" s="14">
        <v>0.68</v>
      </c>
      <c r="L23" s="14">
        <v>0.88</v>
      </c>
      <c r="M23" s="14">
        <v>0.91</v>
      </c>
      <c r="N23" s="14">
        <v>0.76</v>
      </c>
      <c r="O23" s="14">
        <v>0.74</v>
      </c>
      <c r="P23" s="14">
        <v>0.77</v>
      </c>
      <c r="Q23" s="14">
        <v>0.84</v>
      </c>
      <c r="R23" s="14">
        <v>0.86</v>
      </c>
      <c r="S23" s="14">
        <v>0.75</v>
      </c>
      <c r="T23" s="14">
        <v>0.71</v>
      </c>
      <c r="U23" s="14">
        <v>0.81</v>
      </c>
      <c r="V23" s="14">
        <v>0.79</v>
      </c>
      <c r="W23" s="14">
        <v>0.92</v>
      </c>
      <c r="X23" s="14">
        <v>0.8</v>
      </c>
      <c r="Y23" s="14">
        <v>0.78</v>
      </c>
      <c r="Z23" s="14">
        <v>0.8</v>
      </c>
      <c r="AA23" s="14">
        <v>0.76</v>
      </c>
      <c r="AB23" s="14">
        <v>0.69000000000000006</v>
      </c>
      <c r="AC23" s="14">
        <v>0.64</v>
      </c>
      <c r="AD23" s="14">
        <v>0.87</v>
      </c>
      <c r="AE23" s="14">
        <v>0.70000000000000007</v>
      </c>
      <c r="AF23" s="14">
        <v>0.8</v>
      </c>
    </row>
    <row r="24" spans="1:32">
      <c r="A24" s="23"/>
      <c r="B24" s="11" t="s">
        <v>946</v>
      </c>
      <c r="C24" s="12">
        <v>5557</v>
      </c>
      <c r="D24" s="12">
        <v>208</v>
      </c>
      <c r="E24" s="12">
        <v>110</v>
      </c>
      <c r="F24" s="12">
        <v>224</v>
      </c>
      <c r="G24" s="12">
        <v>291</v>
      </c>
      <c r="H24" s="12">
        <v>354</v>
      </c>
      <c r="I24" s="12">
        <v>457</v>
      </c>
      <c r="J24" s="12">
        <v>103</v>
      </c>
      <c r="K24" s="12">
        <v>271</v>
      </c>
      <c r="L24" s="12">
        <v>86</v>
      </c>
      <c r="M24" s="12">
        <v>86</v>
      </c>
      <c r="N24" s="12">
        <v>207</v>
      </c>
      <c r="O24" s="12">
        <v>213</v>
      </c>
      <c r="P24" s="12">
        <v>212</v>
      </c>
      <c r="Q24" s="12">
        <v>142</v>
      </c>
      <c r="R24" s="12">
        <v>64</v>
      </c>
      <c r="S24" s="12">
        <v>205</v>
      </c>
      <c r="T24" s="12">
        <v>229</v>
      </c>
      <c r="U24" s="12">
        <v>85</v>
      </c>
      <c r="V24" s="12">
        <v>201</v>
      </c>
      <c r="W24" s="12">
        <v>29</v>
      </c>
      <c r="X24" s="12">
        <v>197</v>
      </c>
      <c r="Y24" s="12">
        <v>199</v>
      </c>
      <c r="Z24" s="12">
        <v>178</v>
      </c>
      <c r="AA24" s="12">
        <v>213</v>
      </c>
      <c r="AB24" s="12">
        <v>278</v>
      </c>
      <c r="AC24" s="12">
        <v>335</v>
      </c>
      <c r="AD24" s="12">
        <v>86</v>
      </c>
      <c r="AE24" s="12">
        <v>275</v>
      </c>
      <c r="AF24" s="12">
        <v>189</v>
      </c>
    </row>
    <row r="25" spans="1:32">
      <c r="A25" s="23"/>
      <c r="B25" s="13" t="s">
        <v>947</v>
      </c>
      <c r="C25" s="14">
        <v>0.21</v>
      </c>
      <c r="D25" s="14">
        <v>0.21</v>
      </c>
      <c r="E25" s="14">
        <v>0.11</v>
      </c>
      <c r="F25" s="14">
        <v>0.22</v>
      </c>
      <c r="G25" s="14">
        <v>0.28999999999999998</v>
      </c>
      <c r="H25" s="14">
        <v>0.28999999999999998</v>
      </c>
      <c r="I25" s="14">
        <v>0.31</v>
      </c>
      <c r="J25" s="14">
        <v>0.35</v>
      </c>
      <c r="K25" s="14">
        <v>0.26</v>
      </c>
      <c r="L25" s="14">
        <v>0.09</v>
      </c>
      <c r="M25" s="14">
        <v>0.08</v>
      </c>
      <c r="N25" s="14">
        <v>0.21</v>
      </c>
      <c r="O25" s="14">
        <v>0.22</v>
      </c>
      <c r="P25" s="14">
        <v>0.21</v>
      </c>
      <c r="Q25" s="14">
        <v>0.14000000000000001</v>
      </c>
      <c r="R25" s="14">
        <v>0.13</v>
      </c>
      <c r="S25" s="14">
        <v>0.2</v>
      </c>
      <c r="T25" s="14">
        <v>0.23</v>
      </c>
      <c r="U25" s="14">
        <v>0.17</v>
      </c>
      <c r="V25" s="14">
        <v>0.2</v>
      </c>
      <c r="W25" s="14">
        <v>0.06</v>
      </c>
      <c r="X25" s="14">
        <v>0.19</v>
      </c>
      <c r="Y25" s="14">
        <v>0.2</v>
      </c>
      <c r="Z25" s="14">
        <v>0.17</v>
      </c>
      <c r="AA25" s="14">
        <v>0.2</v>
      </c>
      <c r="AB25" s="14">
        <v>0.27</v>
      </c>
      <c r="AC25" s="14">
        <v>0.33</v>
      </c>
      <c r="AD25" s="14">
        <v>0.09</v>
      </c>
      <c r="AE25" s="14">
        <v>0.27</v>
      </c>
      <c r="AF25" s="14">
        <v>0.18</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dimension ref="A1:AF21"/>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1349</v>
      </c>
      <c r="C3" s="19"/>
      <c r="D3" s="19"/>
      <c r="E3" s="19"/>
      <c r="F3" s="19"/>
      <c r="H3" s="19" t="s">
        <v>1350</v>
      </c>
      <c r="I3" s="19"/>
      <c r="J3" s="19"/>
      <c r="K3" s="19"/>
      <c r="L3" s="19"/>
    </row>
    <row r="4" spans="1:32" ht="27" customHeight="1">
      <c r="B4" s="19" t="s">
        <v>1351</v>
      </c>
      <c r="C4" s="19"/>
      <c r="D4" s="19"/>
      <c r="E4" s="19"/>
      <c r="F4" s="19"/>
      <c r="H4" s="19" t="s">
        <v>1352</v>
      </c>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HYPERLINK("#Content!A131","&lt;&lt;Back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1353</v>
      </c>
      <c r="C12" s="12">
        <v>2391</v>
      </c>
      <c r="D12" s="12">
        <v>109</v>
      </c>
      <c r="E12" s="12">
        <v>56</v>
      </c>
      <c r="F12" s="12">
        <v>67</v>
      </c>
      <c r="G12" s="12">
        <v>69</v>
      </c>
      <c r="H12" s="12">
        <v>141</v>
      </c>
      <c r="I12" s="12">
        <v>155</v>
      </c>
      <c r="J12" s="12">
        <v>14</v>
      </c>
      <c r="K12" s="12">
        <v>76</v>
      </c>
      <c r="L12" s="12">
        <v>183</v>
      </c>
      <c r="M12" s="12">
        <v>30</v>
      </c>
      <c r="N12" s="12">
        <v>95</v>
      </c>
      <c r="O12" s="12">
        <v>111</v>
      </c>
      <c r="P12" s="12">
        <v>140</v>
      </c>
      <c r="Q12" s="12">
        <v>85</v>
      </c>
      <c r="R12" s="12">
        <v>23</v>
      </c>
      <c r="S12" s="12">
        <v>81</v>
      </c>
      <c r="T12" s="12">
        <v>10</v>
      </c>
      <c r="U12" s="12">
        <v>70</v>
      </c>
      <c r="V12" s="12">
        <v>108</v>
      </c>
      <c r="W12" s="12">
        <v>29</v>
      </c>
      <c r="X12" s="12">
        <v>68</v>
      </c>
      <c r="Y12" s="12">
        <v>182</v>
      </c>
      <c r="Z12" s="12">
        <v>100</v>
      </c>
      <c r="AA12" s="12">
        <v>29</v>
      </c>
      <c r="AB12" s="12">
        <v>72</v>
      </c>
      <c r="AC12" s="12">
        <v>51</v>
      </c>
      <c r="AD12" s="12">
        <v>72</v>
      </c>
      <c r="AE12" s="12">
        <v>25</v>
      </c>
      <c r="AF12" s="12">
        <v>36</v>
      </c>
    </row>
    <row r="13" spans="1:32">
      <c r="A13" s="23"/>
      <c r="B13" s="13" t="s">
        <v>1354</v>
      </c>
      <c r="C13" s="14">
        <v>0.09</v>
      </c>
      <c r="D13" s="14">
        <v>0.11</v>
      </c>
      <c r="E13" s="14">
        <v>0.05</v>
      </c>
      <c r="F13" s="14">
        <v>7.0000000000000007E-2</v>
      </c>
      <c r="G13" s="14">
        <v>7.0000000000000007E-2</v>
      </c>
      <c r="H13" s="14">
        <v>0.12</v>
      </c>
      <c r="I13" s="14">
        <v>0.1</v>
      </c>
      <c r="J13" s="14">
        <v>0.05</v>
      </c>
      <c r="K13" s="14">
        <v>0.08</v>
      </c>
      <c r="L13" s="14">
        <v>0.18</v>
      </c>
      <c r="M13" s="14">
        <v>0.03</v>
      </c>
      <c r="N13" s="14">
        <v>0.09</v>
      </c>
      <c r="O13" s="14">
        <v>0.11</v>
      </c>
      <c r="P13" s="14">
        <v>0.14000000000000001</v>
      </c>
      <c r="Q13" s="14">
        <v>0.08</v>
      </c>
      <c r="R13" s="14">
        <v>0.05</v>
      </c>
      <c r="S13" s="14">
        <v>0.08</v>
      </c>
      <c r="T13" s="14">
        <v>0.01</v>
      </c>
      <c r="U13" s="14">
        <v>0.14000000000000001</v>
      </c>
      <c r="V13" s="14">
        <v>0.11</v>
      </c>
      <c r="W13" s="14">
        <v>0.06</v>
      </c>
      <c r="X13" s="14">
        <v>7.0000000000000007E-2</v>
      </c>
      <c r="Y13" s="14">
        <v>0.18</v>
      </c>
      <c r="Z13" s="14">
        <v>0.1</v>
      </c>
      <c r="AA13" s="14">
        <v>0.03</v>
      </c>
      <c r="AB13" s="14">
        <v>7.0000000000000007E-2</v>
      </c>
      <c r="AC13" s="14">
        <v>0.05</v>
      </c>
      <c r="AD13" s="14">
        <v>7.0000000000000007E-2</v>
      </c>
      <c r="AE13" s="14">
        <v>0.03</v>
      </c>
      <c r="AF13" s="14">
        <v>0.03</v>
      </c>
    </row>
    <row r="14" spans="1:32">
      <c r="A14" s="23"/>
      <c r="B14" s="11" t="s">
        <v>1355</v>
      </c>
      <c r="C14" s="12">
        <v>2504</v>
      </c>
      <c r="D14" s="12">
        <v>131</v>
      </c>
      <c r="E14" s="12">
        <v>136</v>
      </c>
      <c r="F14" s="12">
        <v>96</v>
      </c>
      <c r="G14" s="12">
        <v>31</v>
      </c>
      <c r="H14" s="12">
        <v>118</v>
      </c>
      <c r="I14" s="12">
        <v>144</v>
      </c>
      <c r="J14" s="12">
        <v>26</v>
      </c>
      <c r="K14" s="12">
        <v>92</v>
      </c>
      <c r="L14" s="12">
        <v>99</v>
      </c>
      <c r="M14" s="12">
        <v>79</v>
      </c>
      <c r="N14" s="12">
        <v>46</v>
      </c>
      <c r="O14" s="12">
        <v>97</v>
      </c>
      <c r="P14" s="12">
        <v>146</v>
      </c>
      <c r="Q14" s="12">
        <v>131</v>
      </c>
      <c r="R14" s="12">
        <v>49</v>
      </c>
      <c r="S14" s="12">
        <v>53</v>
      </c>
      <c r="T14" s="12">
        <v>29</v>
      </c>
      <c r="U14" s="12">
        <v>44</v>
      </c>
      <c r="V14" s="12">
        <v>105</v>
      </c>
      <c r="W14" s="12">
        <v>53</v>
      </c>
      <c r="X14" s="12">
        <v>46</v>
      </c>
      <c r="Y14" s="12">
        <v>112</v>
      </c>
      <c r="Z14" s="12">
        <v>148</v>
      </c>
      <c r="AA14" s="12">
        <v>49</v>
      </c>
      <c r="AB14" s="12">
        <v>139</v>
      </c>
      <c r="AC14" s="12">
        <v>51</v>
      </c>
      <c r="AD14" s="12">
        <v>112</v>
      </c>
      <c r="AE14" s="12">
        <v>21</v>
      </c>
      <c r="AF14" s="12">
        <v>16</v>
      </c>
    </row>
    <row r="15" spans="1:32">
      <c r="A15" s="23"/>
      <c r="B15" s="13" t="s">
        <v>1356</v>
      </c>
      <c r="C15" s="14">
        <v>0.1</v>
      </c>
      <c r="D15" s="14">
        <v>0.13</v>
      </c>
      <c r="E15" s="14">
        <v>0.13</v>
      </c>
      <c r="F15" s="14">
        <v>0.09</v>
      </c>
      <c r="G15" s="14">
        <v>0.03</v>
      </c>
      <c r="H15" s="14">
        <v>0.1</v>
      </c>
      <c r="I15" s="14">
        <v>0.1</v>
      </c>
      <c r="J15" s="14">
        <v>0.09</v>
      </c>
      <c r="K15" s="14">
        <v>0.09</v>
      </c>
      <c r="L15" s="14">
        <v>0.1</v>
      </c>
      <c r="M15" s="14">
        <v>0.08</v>
      </c>
      <c r="N15" s="14">
        <v>0.05</v>
      </c>
      <c r="O15" s="14">
        <v>0.1</v>
      </c>
      <c r="P15" s="14">
        <v>0.14000000000000001</v>
      </c>
      <c r="Q15" s="14">
        <v>0.13</v>
      </c>
      <c r="R15" s="14">
        <v>0.1</v>
      </c>
      <c r="S15" s="14">
        <v>0.05</v>
      </c>
      <c r="T15" s="14">
        <v>0.03</v>
      </c>
      <c r="U15" s="14">
        <v>0.09</v>
      </c>
      <c r="V15" s="14">
        <v>0.1</v>
      </c>
      <c r="W15" s="14">
        <v>0.11</v>
      </c>
      <c r="X15" s="14">
        <v>0.04</v>
      </c>
      <c r="Y15" s="14">
        <v>0.11</v>
      </c>
      <c r="Z15" s="14">
        <v>0.15</v>
      </c>
      <c r="AA15" s="14">
        <v>0.05</v>
      </c>
      <c r="AB15" s="14">
        <v>0.14000000000000001</v>
      </c>
      <c r="AC15" s="14">
        <v>0.05</v>
      </c>
      <c r="AD15" s="14">
        <v>0.11</v>
      </c>
      <c r="AE15" s="14">
        <v>0.02</v>
      </c>
      <c r="AF15" s="14">
        <v>0.01</v>
      </c>
    </row>
    <row r="16" spans="1:32">
      <c r="A16" s="23"/>
      <c r="B16" s="11" t="s">
        <v>1239</v>
      </c>
      <c r="C16" s="12">
        <v>21092</v>
      </c>
      <c r="D16" s="12">
        <v>757</v>
      </c>
      <c r="E16" s="12">
        <v>823</v>
      </c>
      <c r="F16" s="12">
        <v>826</v>
      </c>
      <c r="G16" s="12">
        <v>893</v>
      </c>
      <c r="H16" s="12">
        <v>936</v>
      </c>
      <c r="I16" s="12">
        <v>1187</v>
      </c>
      <c r="J16" s="12">
        <v>252</v>
      </c>
      <c r="K16" s="12">
        <v>815</v>
      </c>
      <c r="L16" s="12">
        <v>705</v>
      </c>
      <c r="M16" s="12">
        <v>897</v>
      </c>
      <c r="N16" s="12">
        <v>842</v>
      </c>
      <c r="O16" s="12">
        <v>784</v>
      </c>
      <c r="P16" s="12">
        <v>715</v>
      </c>
      <c r="Q16" s="12">
        <v>790</v>
      </c>
      <c r="R16" s="12">
        <v>429</v>
      </c>
      <c r="S16" s="12">
        <v>864</v>
      </c>
      <c r="T16" s="12">
        <v>947</v>
      </c>
      <c r="U16" s="12">
        <v>384</v>
      </c>
      <c r="V16" s="12">
        <v>789</v>
      </c>
      <c r="W16" s="12">
        <v>418</v>
      </c>
      <c r="X16" s="12">
        <v>894</v>
      </c>
      <c r="Y16" s="12">
        <v>709</v>
      </c>
      <c r="Z16" s="12">
        <v>764</v>
      </c>
      <c r="AA16" s="12">
        <v>946</v>
      </c>
      <c r="AB16" s="12">
        <v>795</v>
      </c>
      <c r="AC16" s="12">
        <v>891</v>
      </c>
      <c r="AD16" s="12">
        <v>768</v>
      </c>
      <c r="AE16" s="12">
        <v>938</v>
      </c>
      <c r="AF16" s="12">
        <v>1003</v>
      </c>
    </row>
    <row r="17" spans="1:32">
      <c r="A17" s="23"/>
      <c r="B17" s="13" t="s">
        <v>1240</v>
      </c>
      <c r="C17" s="14">
        <v>0.8</v>
      </c>
      <c r="D17" s="14">
        <v>0.75</v>
      </c>
      <c r="E17" s="14">
        <v>0.79</v>
      </c>
      <c r="F17" s="14">
        <v>0.82000000000000006</v>
      </c>
      <c r="G17" s="14">
        <v>0.89</v>
      </c>
      <c r="H17" s="14">
        <v>0.77</v>
      </c>
      <c r="I17" s="14">
        <v>0.79</v>
      </c>
      <c r="J17" s="14">
        <v>0.86</v>
      </c>
      <c r="K17" s="14">
        <v>0.81</v>
      </c>
      <c r="L17" s="14">
        <v>0.70000000000000007</v>
      </c>
      <c r="M17" s="14">
        <v>0.89</v>
      </c>
      <c r="N17" s="14">
        <v>0.84</v>
      </c>
      <c r="O17" s="14">
        <v>0.78</v>
      </c>
      <c r="P17" s="14">
        <v>0.71</v>
      </c>
      <c r="Q17" s="14">
        <v>0.77</v>
      </c>
      <c r="R17" s="14">
        <v>0.85</v>
      </c>
      <c r="S17" s="14">
        <v>0.86</v>
      </c>
      <c r="T17" s="14">
        <v>0.94000000000000006</v>
      </c>
      <c r="U17" s="14">
        <v>0.76</v>
      </c>
      <c r="V17" s="14">
        <v>0.78</v>
      </c>
      <c r="W17" s="14">
        <v>0.83000000000000007</v>
      </c>
      <c r="X17" s="14">
        <v>0.88</v>
      </c>
      <c r="Y17" s="14">
        <v>0.70000000000000007</v>
      </c>
      <c r="Z17" s="14">
        <v>0.75</v>
      </c>
      <c r="AA17" s="14">
        <v>0.91</v>
      </c>
      <c r="AB17" s="14">
        <v>0.77</v>
      </c>
      <c r="AC17" s="14">
        <v>0.89</v>
      </c>
      <c r="AD17" s="14">
        <v>0.77</v>
      </c>
      <c r="AE17" s="14">
        <v>0.93</v>
      </c>
      <c r="AF17" s="14">
        <v>0.94000000000000006</v>
      </c>
    </row>
    <row r="18" spans="1:32">
      <c r="A18" s="23"/>
      <c r="B18" s="11" t="s">
        <v>497</v>
      </c>
      <c r="C18" s="12">
        <v>368</v>
      </c>
      <c r="D18" s="12">
        <v>8</v>
      </c>
      <c r="E18" s="12">
        <v>29</v>
      </c>
      <c r="F18" s="12">
        <v>19</v>
      </c>
      <c r="G18" s="12">
        <v>10</v>
      </c>
      <c r="H18" s="12">
        <v>16</v>
      </c>
      <c r="I18" s="12">
        <v>17</v>
      </c>
      <c r="J18" s="12">
        <v>1</v>
      </c>
      <c r="K18" s="12">
        <v>21</v>
      </c>
      <c r="L18" s="12">
        <v>20</v>
      </c>
      <c r="M18" s="12">
        <v>4</v>
      </c>
      <c r="N18" s="12">
        <v>17</v>
      </c>
      <c r="O18" s="12">
        <v>14</v>
      </c>
      <c r="P18" s="12">
        <v>10</v>
      </c>
      <c r="Q18" s="12">
        <v>18</v>
      </c>
      <c r="R18" s="12">
        <v>0</v>
      </c>
      <c r="S18" s="12">
        <v>8</v>
      </c>
      <c r="T18" s="12">
        <v>17</v>
      </c>
      <c r="U18" s="12">
        <v>5</v>
      </c>
      <c r="V18" s="12">
        <v>9</v>
      </c>
      <c r="W18" s="12">
        <v>2</v>
      </c>
      <c r="X18" s="12">
        <v>9</v>
      </c>
      <c r="Y18" s="12">
        <v>5</v>
      </c>
      <c r="Z18" s="12">
        <v>5</v>
      </c>
      <c r="AA18" s="12">
        <v>15</v>
      </c>
      <c r="AB18" s="12">
        <v>25</v>
      </c>
      <c r="AC18" s="12">
        <v>11</v>
      </c>
      <c r="AD18" s="12">
        <v>49</v>
      </c>
      <c r="AE18" s="12">
        <v>24</v>
      </c>
      <c r="AF18" s="12">
        <v>18</v>
      </c>
    </row>
    <row r="19" spans="1:32">
      <c r="A19" s="23"/>
      <c r="B19" s="13" t="s">
        <v>498</v>
      </c>
      <c r="C19" s="14">
        <v>0.01</v>
      </c>
      <c r="D19" s="14">
        <v>0.01</v>
      </c>
      <c r="E19" s="14">
        <v>0.03</v>
      </c>
      <c r="F19" s="14">
        <v>0.02</v>
      </c>
      <c r="G19" s="14">
        <v>0.01</v>
      </c>
      <c r="H19" s="14">
        <v>0.01</v>
      </c>
      <c r="I19" s="14">
        <v>0.01</v>
      </c>
      <c r="J19" s="15" t="s">
        <v>485</v>
      </c>
      <c r="K19" s="14">
        <v>0.02</v>
      </c>
      <c r="L19" s="14">
        <v>0.02</v>
      </c>
      <c r="M19" s="15" t="s">
        <v>485</v>
      </c>
      <c r="N19" s="14">
        <v>0.02</v>
      </c>
      <c r="O19" s="14">
        <v>0.01</v>
      </c>
      <c r="P19" s="14">
        <v>0.01</v>
      </c>
      <c r="Q19" s="14">
        <v>0.02</v>
      </c>
      <c r="R19" s="15" t="s">
        <v>485</v>
      </c>
      <c r="S19" s="14">
        <v>0.01</v>
      </c>
      <c r="T19" s="14">
        <v>0.02</v>
      </c>
      <c r="U19" s="14">
        <v>0.01</v>
      </c>
      <c r="V19" s="14">
        <v>0.01</v>
      </c>
      <c r="W19" s="15" t="s">
        <v>485</v>
      </c>
      <c r="X19" s="14">
        <v>0.01</v>
      </c>
      <c r="Y19" s="14">
        <v>0.01</v>
      </c>
      <c r="Z19" s="15" t="s">
        <v>485</v>
      </c>
      <c r="AA19" s="14">
        <v>0.01</v>
      </c>
      <c r="AB19" s="14">
        <v>0.02</v>
      </c>
      <c r="AC19" s="14">
        <v>0.01</v>
      </c>
      <c r="AD19" s="14">
        <v>0.05</v>
      </c>
      <c r="AE19" s="14">
        <v>0.02</v>
      </c>
      <c r="AF19" s="14">
        <v>0.02</v>
      </c>
    </row>
    <row r="20" spans="1:32">
      <c r="A20" s="23"/>
      <c r="B20" s="11" t="s">
        <v>518</v>
      </c>
      <c r="C20" s="12">
        <v>4895</v>
      </c>
      <c r="D20" s="12">
        <v>240</v>
      </c>
      <c r="E20" s="12">
        <v>192</v>
      </c>
      <c r="F20" s="12">
        <v>163</v>
      </c>
      <c r="G20" s="12">
        <v>100</v>
      </c>
      <c r="H20" s="12">
        <v>259</v>
      </c>
      <c r="I20" s="12">
        <v>299</v>
      </c>
      <c r="J20" s="12">
        <v>40</v>
      </c>
      <c r="K20" s="12">
        <v>168</v>
      </c>
      <c r="L20" s="12">
        <v>282</v>
      </c>
      <c r="M20" s="12">
        <v>109</v>
      </c>
      <c r="N20" s="12">
        <v>141</v>
      </c>
      <c r="O20" s="12">
        <v>208</v>
      </c>
      <c r="P20" s="12">
        <v>286</v>
      </c>
      <c r="Q20" s="12">
        <v>216</v>
      </c>
      <c r="R20" s="12">
        <v>72</v>
      </c>
      <c r="S20" s="12">
        <v>134</v>
      </c>
      <c r="T20" s="12">
        <v>39</v>
      </c>
      <c r="U20" s="12">
        <v>114</v>
      </c>
      <c r="V20" s="12">
        <v>213</v>
      </c>
      <c r="W20" s="12">
        <v>82</v>
      </c>
      <c r="X20" s="12">
        <v>114</v>
      </c>
      <c r="Y20" s="12">
        <v>294</v>
      </c>
      <c r="Z20" s="12">
        <v>248</v>
      </c>
      <c r="AA20" s="12">
        <v>78</v>
      </c>
      <c r="AB20" s="12">
        <v>211</v>
      </c>
      <c r="AC20" s="12">
        <v>102</v>
      </c>
      <c r="AD20" s="12">
        <v>184</v>
      </c>
      <c r="AE20" s="12">
        <v>46</v>
      </c>
      <c r="AF20" s="12">
        <v>52</v>
      </c>
    </row>
    <row r="21" spans="1:32">
      <c r="A21" s="23"/>
      <c r="B21" s="13" t="s">
        <v>519</v>
      </c>
      <c r="C21" s="14">
        <v>0.19</v>
      </c>
      <c r="D21" s="14">
        <v>0.24</v>
      </c>
      <c r="E21" s="14">
        <v>0.18</v>
      </c>
      <c r="F21" s="14">
        <v>0.16</v>
      </c>
      <c r="G21" s="14">
        <v>0.1</v>
      </c>
      <c r="H21" s="14">
        <v>0.22</v>
      </c>
      <c r="I21" s="14">
        <v>0.2</v>
      </c>
      <c r="J21" s="14">
        <v>0.14000000000000001</v>
      </c>
      <c r="K21" s="14">
        <v>0.17</v>
      </c>
      <c r="L21" s="14">
        <v>0.28000000000000003</v>
      </c>
      <c r="M21" s="14">
        <v>0.11</v>
      </c>
      <c r="N21" s="14">
        <v>0.14000000000000001</v>
      </c>
      <c r="O21" s="14">
        <v>0.21</v>
      </c>
      <c r="P21" s="14">
        <v>0.28000000000000003</v>
      </c>
      <c r="Q21" s="14">
        <v>0.21</v>
      </c>
      <c r="R21" s="14">
        <v>0.15</v>
      </c>
      <c r="S21" s="14">
        <v>0.13</v>
      </c>
      <c r="T21" s="14">
        <v>0.04</v>
      </c>
      <c r="U21" s="14">
        <v>0.23</v>
      </c>
      <c r="V21" s="14">
        <v>0.21</v>
      </c>
      <c r="W21" s="14">
        <v>0.17</v>
      </c>
      <c r="X21" s="14">
        <v>0.11</v>
      </c>
      <c r="Y21" s="14">
        <v>0.28999999999999998</v>
      </c>
      <c r="Z21" s="14">
        <v>0.25</v>
      </c>
      <c r="AA21" s="14">
        <v>0.08</v>
      </c>
      <c r="AB21" s="14">
        <v>0.21</v>
      </c>
      <c r="AC21" s="14">
        <v>0.1</v>
      </c>
      <c r="AD21" s="14">
        <v>0.18</v>
      </c>
      <c r="AE21" s="14">
        <v>0.05</v>
      </c>
      <c r="AF21" s="14">
        <v>0.04</v>
      </c>
    </row>
  </sheetData>
  <mergeCells count="10">
    <mergeCell ref="A20:A21"/>
    <mergeCell ref="H5:L5"/>
    <mergeCell ref="B10:B11"/>
    <mergeCell ref="H4:L4"/>
    <mergeCell ref="B4:F4"/>
    <mergeCell ref="H3:L3"/>
    <mergeCell ref="C8:AF8"/>
    <mergeCell ref="B3:F3"/>
    <mergeCell ref="B5:F5"/>
    <mergeCell ref="A10:A19"/>
  </mergeCells>
  <pageMargins left="0.75" right="0.75" top="1" bottom="1" header="0.5" footer="0.5"/>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dimension ref="A1:AF21"/>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1357</v>
      </c>
      <c r="C3" s="19"/>
      <c r="D3" s="19"/>
      <c r="E3" s="19"/>
      <c r="F3" s="19"/>
      <c r="H3" s="19" t="s">
        <v>1358</v>
      </c>
      <c r="I3" s="19"/>
      <c r="J3" s="19"/>
      <c r="K3" s="19"/>
      <c r="L3" s="19"/>
    </row>
    <row r="4" spans="1:32" ht="27" customHeight="1">
      <c r="B4" s="19" t="s">
        <v>1359</v>
      </c>
      <c r="C4" s="19"/>
      <c r="D4" s="19"/>
      <c r="E4" s="19"/>
      <c r="F4" s="19"/>
      <c r="H4" s="19" t="s">
        <v>1360</v>
      </c>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HYPERLINK("#Content!A132","&lt;&lt;Back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1353</v>
      </c>
      <c r="C12" s="12">
        <v>2270</v>
      </c>
      <c r="D12" s="12">
        <v>127</v>
      </c>
      <c r="E12" s="12">
        <v>89</v>
      </c>
      <c r="F12" s="12">
        <v>69</v>
      </c>
      <c r="G12" s="12">
        <v>62</v>
      </c>
      <c r="H12" s="12">
        <v>142</v>
      </c>
      <c r="I12" s="12">
        <v>157</v>
      </c>
      <c r="J12" s="12">
        <v>15</v>
      </c>
      <c r="K12" s="12">
        <v>62</v>
      </c>
      <c r="L12" s="12">
        <v>191</v>
      </c>
      <c r="M12" s="12">
        <v>15</v>
      </c>
      <c r="N12" s="12">
        <v>62</v>
      </c>
      <c r="O12" s="12">
        <v>86</v>
      </c>
      <c r="P12" s="12">
        <v>148</v>
      </c>
      <c r="Q12" s="12">
        <v>94</v>
      </c>
      <c r="R12" s="12">
        <v>32</v>
      </c>
      <c r="S12" s="12">
        <v>68</v>
      </c>
      <c r="T12" s="12">
        <v>6</v>
      </c>
      <c r="U12" s="12">
        <v>67</v>
      </c>
      <c r="V12" s="12">
        <v>79</v>
      </c>
      <c r="W12" s="12">
        <v>23</v>
      </c>
      <c r="X12" s="12">
        <v>92</v>
      </c>
      <c r="Y12" s="12">
        <v>177</v>
      </c>
      <c r="Z12" s="12">
        <v>108</v>
      </c>
      <c r="AA12" s="12">
        <v>32</v>
      </c>
      <c r="AB12" s="12">
        <v>77</v>
      </c>
      <c r="AC12" s="12">
        <v>49</v>
      </c>
      <c r="AD12" s="12">
        <v>63</v>
      </c>
      <c r="AE12" s="12">
        <v>16</v>
      </c>
      <c r="AF12" s="12">
        <v>28</v>
      </c>
    </row>
    <row r="13" spans="1:32">
      <c r="A13" s="23"/>
      <c r="B13" s="13" t="s">
        <v>1354</v>
      </c>
      <c r="C13" s="14">
        <v>0.09</v>
      </c>
      <c r="D13" s="14">
        <v>0.13</v>
      </c>
      <c r="E13" s="14">
        <v>0.09</v>
      </c>
      <c r="F13" s="14">
        <v>7.0000000000000007E-2</v>
      </c>
      <c r="G13" s="14">
        <v>0.06</v>
      </c>
      <c r="H13" s="14">
        <v>0.12</v>
      </c>
      <c r="I13" s="14">
        <v>0.1</v>
      </c>
      <c r="J13" s="14">
        <v>0.05</v>
      </c>
      <c r="K13" s="14">
        <v>0.06</v>
      </c>
      <c r="L13" s="14">
        <v>0.19</v>
      </c>
      <c r="M13" s="14">
        <v>0.02</v>
      </c>
      <c r="N13" s="14">
        <v>0.06</v>
      </c>
      <c r="O13" s="14">
        <v>0.09</v>
      </c>
      <c r="P13" s="14">
        <v>0.15</v>
      </c>
      <c r="Q13" s="14">
        <v>0.09</v>
      </c>
      <c r="R13" s="14">
        <v>0.06</v>
      </c>
      <c r="S13" s="14">
        <v>7.0000000000000007E-2</v>
      </c>
      <c r="T13" s="15" t="s">
        <v>485</v>
      </c>
      <c r="U13" s="14">
        <v>0.13</v>
      </c>
      <c r="V13" s="14">
        <v>0.08</v>
      </c>
      <c r="W13" s="14">
        <v>0.05</v>
      </c>
      <c r="X13" s="14">
        <v>0.09</v>
      </c>
      <c r="Y13" s="14">
        <v>0.18</v>
      </c>
      <c r="Z13" s="14">
        <v>0.11</v>
      </c>
      <c r="AA13" s="14">
        <v>0.03</v>
      </c>
      <c r="AB13" s="14">
        <v>7.0000000000000007E-2</v>
      </c>
      <c r="AC13" s="14">
        <v>0.05</v>
      </c>
      <c r="AD13" s="14">
        <v>0.06</v>
      </c>
      <c r="AE13" s="14">
        <v>0.01</v>
      </c>
      <c r="AF13" s="14">
        <v>0.03</v>
      </c>
    </row>
    <row r="14" spans="1:32">
      <c r="A14" s="23"/>
      <c r="B14" s="11" t="s">
        <v>1355</v>
      </c>
      <c r="C14" s="12">
        <v>2540</v>
      </c>
      <c r="D14" s="12">
        <v>127</v>
      </c>
      <c r="E14" s="12">
        <v>117</v>
      </c>
      <c r="F14" s="12">
        <v>96</v>
      </c>
      <c r="G14" s="12">
        <v>34</v>
      </c>
      <c r="H14" s="12">
        <v>145</v>
      </c>
      <c r="I14" s="12">
        <v>172</v>
      </c>
      <c r="J14" s="12">
        <v>27</v>
      </c>
      <c r="K14" s="12">
        <v>79</v>
      </c>
      <c r="L14" s="12">
        <v>94</v>
      </c>
      <c r="M14" s="12">
        <v>59</v>
      </c>
      <c r="N14" s="12">
        <v>51</v>
      </c>
      <c r="O14" s="12">
        <v>82</v>
      </c>
      <c r="P14" s="12">
        <v>126</v>
      </c>
      <c r="Q14" s="12">
        <v>129</v>
      </c>
      <c r="R14" s="12">
        <v>50</v>
      </c>
      <c r="S14" s="12">
        <v>59</v>
      </c>
      <c r="T14" s="12">
        <v>38</v>
      </c>
      <c r="U14" s="12">
        <v>50</v>
      </c>
      <c r="V14" s="12">
        <v>127</v>
      </c>
      <c r="W14" s="12">
        <v>41</v>
      </c>
      <c r="X14" s="12">
        <v>46</v>
      </c>
      <c r="Y14" s="12">
        <v>89</v>
      </c>
      <c r="Z14" s="12">
        <v>161</v>
      </c>
      <c r="AA14" s="12">
        <v>52</v>
      </c>
      <c r="AB14" s="12">
        <v>131</v>
      </c>
      <c r="AC14" s="12">
        <v>71</v>
      </c>
      <c r="AD14" s="12">
        <v>117</v>
      </c>
      <c r="AE14" s="12">
        <v>19</v>
      </c>
      <c r="AF14" s="12">
        <v>11</v>
      </c>
    </row>
    <row r="15" spans="1:32">
      <c r="A15" s="23"/>
      <c r="B15" s="13" t="s">
        <v>1356</v>
      </c>
      <c r="C15" s="14">
        <v>0.1</v>
      </c>
      <c r="D15" s="14">
        <v>0.12</v>
      </c>
      <c r="E15" s="14">
        <v>0.11</v>
      </c>
      <c r="F15" s="14">
        <v>0.1</v>
      </c>
      <c r="G15" s="14">
        <v>0.04</v>
      </c>
      <c r="H15" s="14">
        <v>0.12</v>
      </c>
      <c r="I15" s="14">
        <v>0.12</v>
      </c>
      <c r="J15" s="14">
        <v>0.09</v>
      </c>
      <c r="K15" s="14">
        <v>0.08</v>
      </c>
      <c r="L15" s="14">
        <v>0.09</v>
      </c>
      <c r="M15" s="14">
        <v>0.06</v>
      </c>
      <c r="N15" s="14">
        <v>0.05</v>
      </c>
      <c r="O15" s="14">
        <v>0.08</v>
      </c>
      <c r="P15" s="14">
        <v>0.12</v>
      </c>
      <c r="Q15" s="14">
        <v>0.13</v>
      </c>
      <c r="R15" s="14">
        <v>0.1</v>
      </c>
      <c r="S15" s="14">
        <v>0.06</v>
      </c>
      <c r="T15" s="14">
        <v>0.04</v>
      </c>
      <c r="U15" s="14">
        <v>0.1</v>
      </c>
      <c r="V15" s="14">
        <v>0.13</v>
      </c>
      <c r="W15" s="14">
        <v>0.08</v>
      </c>
      <c r="X15" s="14">
        <v>0.04</v>
      </c>
      <c r="Y15" s="14">
        <v>0.09</v>
      </c>
      <c r="Z15" s="14">
        <v>0.16</v>
      </c>
      <c r="AA15" s="14">
        <v>0.05</v>
      </c>
      <c r="AB15" s="14">
        <v>0.13</v>
      </c>
      <c r="AC15" s="14">
        <v>7.0000000000000007E-2</v>
      </c>
      <c r="AD15" s="14">
        <v>0.12</v>
      </c>
      <c r="AE15" s="14">
        <v>0.02</v>
      </c>
      <c r="AF15" s="14">
        <v>0.01</v>
      </c>
    </row>
    <row r="16" spans="1:32">
      <c r="A16" s="23"/>
      <c r="B16" s="11" t="s">
        <v>1239</v>
      </c>
      <c r="C16" s="12">
        <v>21228</v>
      </c>
      <c r="D16" s="12">
        <v>743</v>
      </c>
      <c r="E16" s="12">
        <v>812</v>
      </c>
      <c r="F16" s="12">
        <v>818</v>
      </c>
      <c r="G16" s="12">
        <v>896</v>
      </c>
      <c r="H16" s="12">
        <v>904</v>
      </c>
      <c r="I16" s="12">
        <v>1153</v>
      </c>
      <c r="J16" s="12">
        <v>249</v>
      </c>
      <c r="K16" s="12">
        <v>847</v>
      </c>
      <c r="L16" s="12">
        <v>703</v>
      </c>
      <c r="M16" s="12">
        <v>932</v>
      </c>
      <c r="N16" s="12">
        <v>871</v>
      </c>
      <c r="O16" s="12">
        <v>830</v>
      </c>
      <c r="P16" s="12">
        <v>724</v>
      </c>
      <c r="Q16" s="12">
        <v>789</v>
      </c>
      <c r="R16" s="12">
        <v>420</v>
      </c>
      <c r="S16" s="12">
        <v>869</v>
      </c>
      <c r="T16" s="12">
        <v>940</v>
      </c>
      <c r="U16" s="12">
        <v>379</v>
      </c>
      <c r="V16" s="12">
        <v>801</v>
      </c>
      <c r="W16" s="12">
        <v>436</v>
      </c>
      <c r="X16" s="12">
        <v>870</v>
      </c>
      <c r="Y16" s="12">
        <v>740</v>
      </c>
      <c r="Z16" s="12">
        <v>745</v>
      </c>
      <c r="AA16" s="12">
        <v>942</v>
      </c>
      <c r="AB16" s="12">
        <v>808</v>
      </c>
      <c r="AC16" s="12">
        <v>878</v>
      </c>
      <c r="AD16" s="12">
        <v>770</v>
      </c>
      <c r="AE16" s="12">
        <v>955</v>
      </c>
      <c r="AF16" s="12">
        <v>1023</v>
      </c>
    </row>
    <row r="17" spans="1:32">
      <c r="A17" s="23"/>
      <c r="B17" s="13" t="s">
        <v>1240</v>
      </c>
      <c r="C17" s="14">
        <v>0.8</v>
      </c>
      <c r="D17" s="14">
        <v>0.74</v>
      </c>
      <c r="E17" s="14">
        <v>0.78</v>
      </c>
      <c r="F17" s="14">
        <v>0.81</v>
      </c>
      <c r="G17" s="14">
        <v>0.89</v>
      </c>
      <c r="H17" s="14">
        <v>0.75</v>
      </c>
      <c r="I17" s="14">
        <v>0.77</v>
      </c>
      <c r="J17" s="14">
        <v>0.85</v>
      </c>
      <c r="K17" s="14">
        <v>0.84</v>
      </c>
      <c r="L17" s="14">
        <v>0.70000000000000007</v>
      </c>
      <c r="M17" s="14">
        <v>0.92</v>
      </c>
      <c r="N17" s="14">
        <v>0.87</v>
      </c>
      <c r="O17" s="14">
        <v>0.82000000000000006</v>
      </c>
      <c r="P17" s="14">
        <v>0.72</v>
      </c>
      <c r="Q17" s="14">
        <v>0.77</v>
      </c>
      <c r="R17" s="14">
        <v>0.84</v>
      </c>
      <c r="S17" s="14">
        <v>0.86</v>
      </c>
      <c r="T17" s="14">
        <v>0.94000000000000006</v>
      </c>
      <c r="U17" s="14">
        <v>0.76</v>
      </c>
      <c r="V17" s="14">
        <v>0.79</v>
      </c>
      <c r="W17" s="14">
        <v>0.87</v>
      </c>
      <c r="X17" s="14">
        <v>0.86</v>
      </c>
      <c r="Y17" s="14">
        <v>0.73</v>
      </c>
      <c r="Z17" s="14">
        <v>0.73</v>
      </c>
      <c r="AA17" s="14">
        <v>0.91</v>
      </c>
      <c r="AB17" s="14">
        <v>0.78</v>
      </c>
      <c r="AC17" s="14">
        <v>0.87</v>
      </c>
      <c r="AD17" s="14">
        <v>0.77</v>
      </c>
      <c r="AE17" s="14">
        <v>0.95000000000000007</v>
      </c>
      <c r="AF17" s="14">
        <v>0.95000000000000007</v>
      </c>
    </row>
    <row r="18" spans="1:32">
      <c r="A18" s="23"/>
      <c r="B18" s="11" t="s">
        <v>497</v>
      </c>
      <c r="C18" s="12">
        <v>316</v>
      </c>
      <c r="D18" s="12">
        <v>9</v>
      </c>
      <c r="E18" s="12">
        <v>26</v>
      </c>
      <c r="F18" s="12">
        <v>24</v>
      </c>
      <c r="G18" s="12">
        <v>11</v>
      </c>
      <c r="H18" s="12">
        <v>18</v>
      </c>
      <c r="I18" s="12">
        <v>21</v>
      </c>
      <c r="J18" s="12">
        <v>3</v>
      </c>
      <c r="K18" s="12">
        <v>15</v>
      </c>
      <c r="L18" s="12">
        <v>19</v>
      </c>
      <c r="M18" s="12">
        <v>5</v>
      </c>
      <c r="N18" s="12">
        <v>17</v>
      </c>
      <c r="O18" s="12">
        <v>8</v>
      </c>
      <c r="P18" s="12">
        <v>13</v>
      </c>
      <c r="Q18" s="12">
        <v>11</v>
      </c>
      <c r="R18" s="12">
        <v>0</v>
      </c>
      <c r="S18" s="12">
        <v>9</v>
      </c>
      <c r="T18" s="12">
        <v>21</v>
      </c>
      <c r="U18" s="12">
        <v>7</v>
      </c>
      <c r="V18" s="12">
        <v>4</v>
      </c>
      <c r="W18" s="12">
        <v>2</v>
      </c>
      <c r="X18" s="12">
        <v>8</v>
      </c>
      <c r="Y18" s="12">
        <v>2</v>
      </c>
      <c r="Z18" s="12">
        <v>3</v>
      </c>
      <c r="AA18" s="12">
        <v>15</v>
      </c>
      <c r="AB18" s="12">
        <v>16</v>
      </c>
      <c r="AC18" s="12">
        <v>7</v>
      </c>
      <c r="AD18" s="12">
        <v>53</v>
      </c>
      <c r="AE18" s="12">
        <v>19</v>
      </c>
      <c r="AF18" s="12">
        <v>11</v>
      </c>
    </row>
    <row r="19" spans="1:32">
      <c r="A19" s="23"/>
      <c r="B19" s="13" t="s">
        <v>498</v>
      </c>
      <c r="C19" s="14">
        <v>0.01</v>
      </c>
      <c r="D19" s="14">
        <v>0.01</v>
      </c>
      <c r="E19" s="14">
        <v>0.02</v>
      </c>
      <c r="F19" s="14">
        <v>0.02</v>
      </c>
      <c r="G19" s="14">
        <v>0.01</v>
      </c>
      <c r="H19" s="14">
        <v>0.01</v>
      </c>
      <c r="I19" s="14">
        <v>0.01</v>
      </c>
      <c r="J19" s="14">
        <v>0.01</v>
      </c>
      <c r="K19" s="14">
        <v>0.02</v>
      </c>
      <c r="L19" s="14">
        <v>0.02</v>
      </c>
      <c r="M19" s="15" t="s">
        <v>485</v>
      </c>
      <c r="N19" s="14">
        <v>0.02</v>
      </c>
      <c r="O19" s="14">
        <v>0.01</v>
      </c>
      <c r="P19" s="14">
        <v>0.01</v>
      </c>
      <c r="Q19" s="14">
        <v>0.01</v>
      </c>
      <c r="R19" s="15" t="s">
        <v>485</v>
      </c>
      <c r="S19" s="14">
        <v>0.01</v>
      </c>
      <c r="T19" s="14">
        <v>0.02</v>
      </c>
      <c r="U19" s="14">
        <v>0.01</v>
      </c>
      <c r="V19" s="15" t="s">
        <v>485</v>
      </c>
      <c r="W19" s="15" t="s">
        <v>485</v>
      </c>
      <c r="X19" s="14">
        <v>0.01</v>
      </c>
      <c r="Y19" s="15" t="s">
        <v>485</v>
      </c>
      <c r="Z19" s="15" t="s">
        <v>485</v>
      </c>
      <c r="AA19" s="14">
        <v>0.01</v>
      </c>
      <c r="AB19" s="14">
        <v>0.02</v>
      </c>
      <c r="AC19" s="14">
        <v>0.01</v>
      </c>
      <c r="AD19" s="14">
        <v>0.05</v>
      </c>
      <c r="AE19" s="14">
        <v>0.02</v>
      </c>
      <c r="AF19" s="14">
        <v>0.01</v>
      </c>
    </row>
    <row r="20" spans="1:32">
      <c r="A20" s="23"/>
      <c r="B20" s="11" t="s">
        <v>518</v>
      </c>
      <c r="C20" s="12">
        <v>4810</v>
      </c>
      <c r="D20" s="12">
        <v>254</v>
      </c>
      <c r="E20" s="12">
        <v>206</v>
      </c>
      <c r="F20" s="12">
        <v>165</v>
      </c>
      <c r="G20" s="12">
        <v>96</v>
      </c>
      <c r="H20" s="12">
        <v>287</v>
      </c>
      <c r="I20" s="12">
        <v>329</v>
      </c>
      <c r="J20" s="12">
        <v>42</v>
      </c>
      <c r="K20" s="12">
        <v>141</v>
      </c>
      <c r="L20" s="12">
        <v>285</v>
      </c>
      <c r="M20" s="12">
        <v>74</v>
      </c>
      <c r="N20" s="12">
        <v>113</v>
      </c>
      <c r="O20" s="12">
        <v>168</v>
      </c>
      <c r="P20" s="12">
        <v>274</v>
      </c>
      <c r="Q20" s="12">
        <v>223</v>
      </c>
      <c r="R20" s="12">
        <v>82</v>
      </c>
      <c r="S20" s="12">
        <v>127</v>
      </c>
      <c r="T20" s="12">
        <v>44</v>
      </c>
      <c r="U20" s="12">
        <v>117</v>
      </c>
      <c r="V20" s="12">
        <v>206</v>
      </c>
      <c r="W20" s="12">
        <v>64</v>
      </c>
      <c r="X20" s="12">
        <v>138</v>
      </c>
      <c r="Y20" s="12">
        <v>266</v>
      </c>
      <c r="Z20" s="12">
        <v>269</v>
      </c>
      <c r="AA20" s="12">
        <v>84</v>
      </c>
      <c r="AB20" s="12">
        <v>208</v>
      </c>
      <c r="AC20" s="12">
        <v>120</v>
      </c>
      <c r="AD20" s="12">
        <v>180</v>
      </c>
      <c r="AE20" s="12">
        <v>35</v>
      </c>
      <c r="AF20" s="12">
        <v>39</v>
      </c>
    </row>
    <row r="21" spans="1:32">
      <c r="A21" s="23"/>
      <c r="B21" s="13" t="s">
        <v>519</v>
      </c>
      <c r="C21" s="14">
        <v>0.19</v>
      </c>
      <c r="D21" s="14">
        <v>0.25</v>
      </c>
      <c r="E21" s="14">
        <v>0.2</v>
      </c>
      <c r="F21" s="14">
        <v>0.17</v>
      </c>
      <c r="G21" s="14">
        <v>0.1</v>
      </c>
      <c r="H21" s="14">
        <v>0.24</v>
      </c>
      <c r="I21" s="14">
        <v>0.22</v>
      </c>
      <c r="J21" s="14">
        <v>0.14000000000000001</v>
      </c>
      <c r="K21" s="14">
        <v>0.14000000000000001</v>
      </c>
      <c r="L21" s="14">
        <v>0.28000000000000003</v>
      </c>
      <c r="M21" s="14">
        <v>0.08</v>
      </c>
      <c r="N21" s="14">
        <v>0.11</v>
      </c>
      <c r="O21" s="14">
        <v>0.17</v>
      </c>
      <c r="P21" s="14">
        <v>0.27</v>
      </c>
      <c r="Q21" s="14">
        <v>0.22</v>
      </c>
      <c r="R21" s="14">
        <v>0.16</v>
      </c>
      <c r="S21" s="14">
        <v>0.13</v>
      </c>
      <c r="T21" s="14">
        <v>0.04</v>
      </c>
      <c r="U21" s="14">
        <v>0.23</v>
      </c>
      <c r="V21" s="14">
        <v>0.21</v>
      </c>
      <c r="W21" s="14">
        <v>0.13</v>
      </c>
      <c r="X21" s="14">
        <v>0.13</v>
      </c>
      <c r="Y21" s="14">
        <v>0.27</v>
      </c>
      <c r="Z21" s="14">
        <v>0.27</v>
      </c>
      <c r="AA21" s="14">
        <v>0.08</v>
      </c>
      <c r="AB21" s="14">
        <v>0.2</v>
      </c>
      <c r="AC21" s="14">
        <v>0.12</v>
      </c>
      <c r="AD21" s="14">
        <v>0.18</v>
      </c>
      <c r="AE21" s="14">
        <v>0.03</v>
      </c>
      <c r="AF21" s="14">
        <v>0.04</v>
      </c>
    </row>
  </sheetData>
  <mergeCells count="10">
    <mergeCell ref="A20:A21"/>
    <mergeCell ref="H5:L5"/>
    <mergeCell ref="B10:B11"/>
    <mergeCell ref="H4:L4"/>
    <mergeCell ref="B4:F4"/>
    <mergeCell ref="H3:L3"/>
    <mergeCell ref="C8:AF8"/>
    <mergeCell ref="B3:F3"/>
    <mergeCell ref="B5:F5"/>
    <mergeCell ref="A10:A19"/>
  </mergeCells>
  <pageMargins left="0.75" right="0.75" top="1" bottom="1" header="0.5" footer="0.5"/>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dimension ref="A1:AF23"/>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263</v>
      </c>
      <c r="C3" s="19"/>
      <c r="D3" s="19"/>
      <c r="E3" s="19"/>
      <c r="F3" s="19"/>
      <c r="H3" s="19" t="s">
        <v>264</v>
      </c>
      <c r="I3" s="19"/>
      <c r="J3" s="19"/>
      <c r="K3" s="19"/>
      <c r="L3" s="19"/>
    </row>
    <row r="4" spans="1:32" ht="27" customHeight="1">
      <c r="B4" s="19"/>
      <c r="C4" s="19"/>
      <c r="D4" s="19"/>
      <c r="E4" s="19"/>
      <c r="F4" s="19"/>
      <c r="H4" s="19"/>
      <c r="I4" s="19"/>
      <c r="J4" s="19"/>
      <c r="K4" s="19"/>
      <c r="L4" s="19"/>
    </row>
    <row r="5" spans="1:32" ht="12" customHeight="1">
      <c r="B5" s="19" t="s">
        <v>1361</v>
      </c>
      <c r="C5" s="19"/>
      <c r="D5" s="19"/>
      <c r="E5" s="19"/>
      <c r="F5" s="19"/>
      <c r="H5" s="19" t="s">
        <v>1362</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HYPERLINK("#Content!A133","&lt;&lt;Back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25544</v>
      </c>
      <c r="D10" s="10">
        <v>971</v>
      </c>
      <c r="E10" s="10">
        <v>1006</v>
      </c>
      <c r="F10" s="10">
        <v>979</v>
      </c>
      <c r="G10" s="10">
        <v>996</v>
      </c>
      <c r="H10" s="10">
        <v>1160</v>
      </c>
      <c r="I10" s="10">
        <v>1443</v>
      </c>
      <c r="J10" s="10">
        <v>283</v>
      </c>
      <c r="K10" s="10">
        <v>981</v>
      </c>
      <c r="L10" s="10">
        <v>977</v>
      </c>
      <c r="M10" s="10">
        <v>980</v>
      </c>
      <c r="N10" s="10">
        <v>975</v>
      </c>
      <c r="O10" s="10">
        <v>967</v>
      </c>
      <c r="P10" s="10">
        <v>975</v>
      </c>
      <c r="Q10" s="10">
        <v>990</v>
      </c>
      <c r="R10" s="10">
        <v>493</v>
      </c>
      <c r="S10" s="10">
        <v>997</v>
      </c>
      <c r="T10" s="10">
        <v>980</v>
      </c>
      <c r="U10" s="10">
        <v>495</v>
      </c>
      <c r="V10" s="10">
        <v>969</v>
      </c>
      <c r="W10" s="10">
        <v>495</v>
      </c>
      <c r="X10" s="10">
        <v>1009</v>
      </c>
      <c r="Y10" s="10">
        <v>983</v>
      </c>
      <c r="Z10" s="10">
        <v>986</v>
      </c>
      <c r="AA10" s="10">
        <v>1006</v>
      </c>
      <c r="AB10" s="10">
        <v>1008</v>
      </c>
      <c r="AC10" s="10">
        <v>988</v>
      </c>
      <c r="AD10" s="10">
        <v>990</v>
      </c>
      <c r="AE10" s="10">
        <v>1001</v>
      </c>
      <c r="AF10" s="10">
        <v>1069</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1355</v>
      </c>
      <c r="C12" s="12">
        <v>2681</v>
      </c>
      <c r="D12" s="12">
        <v>125</v>
      </c>
      <c r="E12" s="12">
        <v>118</v>
      </c>
      <c r="F12" s="12">
        <v>103</v>
      </c>
      <c r="G12" s="12">
        <v>148</v>
      </c>
      <c r="H12" s="12">
        <v>95</v>
      </c>
      <c r="I12" s="12">
        <v>130</v>
      </c>
      <c r="J12" s="12">
        <v>35</v>
      </c>
      <c r="K12" s="12">
        <v>171</v>
      </c>
      <c r="L12" s="12">
        <v>141</v>
      </c>
      <c r="M12" s="12">
        <v>71</v>
      </c>
      <c r="N12" s="12">
        <v>117</v>
      </c>
      <c r="O12" s="12">
        <v>95</v>
      </c>
      <c r="P12" s="12">
        <v>87</v>
      </c>
      <c r="Q12" s="12">
        <v>113</v>
      </c>
      <c r="R12" s="12">
        <v>46</v>
      </c>
      <c r="S12" s="12">
        <v>122</v>
      </c>
      <c r="T12" s="12">
        <v>122</v>
      </c>
      <c r="U12" s="12">
        <v>40</v>
      </c>
      <c r="V12" s="12">
        <v>96</v>
      </c>
      <c r="W12" s="12">
        <v>64</v>
      </c>
      <c r="X12" s="12">
        <v>116</v>
      </c>
      <c r="Y12" s="12">
        <v>133</v>
      </c>
      <c r="Z12" s="12">
        <v>103</v>
      </c>
      <c r="AA12" s="12">
        <v>81</v>
      </c>
      <c r="AB12" s="12">
        <v>54</v>
      </c>
      <c r="AC12" s="12">
        <v>70</v>
      </c>
      <c r="AD12" s="12">
        <v>97</v>
      </c>
      <c r="AE12" s="12">
        <v>154</v>
      </c>
      <c r="AF12" s="12">
        <v>164</v>
      </c>
    </row>
    <row r="13" spans="1:32">
      <c r="A13" s="23"/>
      <c r="B13" s="13" t="s">
        <v>1356</v>
      </c>
      <c r="C13" s="14">
        <v>0.11</v>
      </c>
      <c r="D13" s="14">
        <v>0.13</v>
      </c>
      <c r="E13" s="14">
        <v>0.12</v>
      </c>
      <c r="F13" s="14">
        <v>0.11</v>
      </c>
      <c r="G13" s="14">
        <v>0.15</v>
      </c>
      <c r="H13" s="14">
        <v>0.08</v>
      </c>
      <c r="I13" s="14">
        <v>0.09</v>
      </c>
      <c r="J13" s="14">
        <v>0.12</v>
      </c>
      <c r="K13" s="14">
        <v>0.17</v>
      </c>
      <c r="L13" s="14">
        <v>0.14000000000000001</v>
      </c>
      <c r="M13" s="14">
        <v>7.0000000000000007E-2</v>
      </c>
      <c r="N13" s="14">
        <v>0.12</v>
      </c>
      <c r="O13" s="14">
        <v>0.1</v>
      </c>
      <c r="P13" s="14">
        <v>0.09</v>
      </c>
      <c r="Q13" s="14">
        <v>0.12</v>
      </c>
      <c r="R13" s="14">
        <v>0.1</v>
      </c>
      <c r="S13" s="14">
        <v>0.12</v>
      </c>
      <c r="T13" s="14">
        <v>0.13</v>
      </c>
      <c r="U13" s="14">
        <v>0.08</v>
      </c>
      <c r="V13" s="14">
        <v>0.1</v>
      </c>
      <c r="W13" s="14">
        <v>0.13</v>
      </c>
      <c r="X13" s="14">
        <v>0.11</v>
      </c>
      <c r="Y13" s="14">
        <v>0.14000000000000001</v>
      </c>
      <c r="Z13" s="14">
        <v>0.11</v>
      </c>
      <c r="AA13" s="14">
        <v>0.08</v>
      </c>
      <c r="AB13" s="14">
        <v>0.05</v>
      </c>
      <c r="AC13" s="14">
        <v>7.0000000000000007E-2</v>
      </c>
      <c r="AD13" s="14">
        <v>0.1</v>
      </c>
      <c r="AE13" s="14">
        <v>0.15</v>
      </c>
      <c r="AF13" s="14">
        <v>0.15</v>
      </c>
    </row>
    <row r="14" spans="1:32">
      <c r="A14" s="23"/>
      <c r="B14" s="11" t="s">
        <v>1363</v>
      </c>
      <c r="C14" s="12">
        <v>2885</v>
      </c>
      <c r="D14" s="12">
        <v>201</v>
      </c>
      <c r="E14" s="12">
        <v>100</v>
      </c>
      <c r="F14" s="12">
        <v>80</v>
      </c>
      <c r="G14" s="12">
        <v>263</v>
      </c>
      <c r="H14" s="12">
        <v>159</v>
      </c>
      <c r="I14" s="12">
        <v>197</v>
      </c>
      <c r="J14" s="12">
        <v>38</v>
      </c>
      <c r="K14" s="12">
        <v>162</v>
      </c>
      <c r="L14" s="12">
        <v>147</v>
      </c>
      <c r="M14" s="12">
        <v>49</v>
      </c>
      <c r="N14" s="12">
        <v>94</v>
      </c>
      <c r="O14" s="12">
        <v>88</v>
      </c>
      <c r="P14" s="12">
        <v>66</v>
      </c>
      <c r="Q14" s="12">
        <v>70</v>
      </c>
      <c r="R14" s="12">
        <v>39</v>
      </c>
      <c r="S14" s="12">
        <v>142</v>
      </c>
      <c r="T14" s="12">
        <v>121</v>
      </c>
      <c r="U14" s="12">
        <v>90</v>
      </c>
      <c r="V14" s="12">
        <v>98</v>
      </c>
      <c r="W14" s="12">
        <v>86</v>
      </c>
      <c r="X14" s="12">
        <v>278</v>
      </c>
      <c r="Y14" s="12">
        <v>178</v>
      </c>
      <c r="Z14" s="12">
        <v>62</v>
      </c>
      <c r="AA14" s="12">
        <v>30</v>
      </c>
      <c r="AB14" s="12">
        <v>46</v>
      </c>
      <c r="AC14" s="12">
        <v>135</v>
      </c>
      <c r="AD14" s="12">
        <v>98</v>
      </c>
      <c r="AE14" s="12">
        <v>245</v>
      </c>
      <c r="AF14" s="12">
        <v>272</v>
      </c>
    </row>
    <row r="15" spans="1:32">
      <c r="A15" s="23"/>
      <c r="B15" s="13" t="s">
        <v>1364</v>
      </c>
      <c r="C15" s="14">
        <v>0.11</v>
      </c>
      <c r="D15" s="14">
        <v>0.21</v>
      </c>
      <c r="E15" s="14">
        <v>0.1</v>
      </c>
      <c r="F15" s="14">
        <v>0.08</v>
      </c>
      <c r="G15" s="14">
        <v>0.27</v>
      </c>
      <c r="H15" s="14">
        <v>0.14000000000000001</v>
      </c>
      <c r="I15" s="14">
        <v>0.14000000000000001</v>
      </c>
      <c r="J15" s="14">
        <v>0.14000000000000001</v>
      </c>
      <c r="K15" s="14">
        <v>0.17</v>
      </c>
      <c r="L15" s="14">
        <v>0.15</v>
      </c>
      <c r="M15" s="14">
        <v>0.05</v>
      </c>
      <c r="N15" s="14">
        <v>0.1</v>
      </c>
      <c r="O15" s="14">
        <v>0.09</v>
      </c>
      <c r="P15" s="14">
        <v>7.0000000000000007E-2</v>
      </c>
      <c r="Q15" s="14">
        <v>7.0000000000000007E-2</v>
      </c>
      <c r="R15" s="14">
        <v>0.08</v>
      </c>
      <c r="S15" s="14">
        <v>0.14000000000000001</v>
      </c>
      <c r="T15" s="14">
        <v>0.12</v>
      </c>
      <c r="U15" s="14">
        <v>0.18</v>
      </c>
      <c r="V15" s="14">
        <v>0.1</v>
      </c>
      <c r="W15" s="14">
        <v>0.17</v>
      </c>
      <c r="X15" s="14">
        <v>0.28000000000000003</v>
      </c>
      <c r="Y15" s="14">
        <v>0.18</v>
      </c>
      <c r="Z15" s="14">
        <v>0.06</v>
      </c>
      <c r="AA15" s="14">
        <v>0.03</v>
      </c>
      <c r="AB15" s="14">
        <v>0.05</v>
      </c>
      <c r="AC15" s="14">
        <v>0.14000000000000001</v>
      </c>
      <c r="AD15" s="14">
        <v>0.1</v>
      </c>
      <c r="AE15" s="14">
        <v>0.25</v>
      </c>
      <c r="AF15" s="14">
        <v>0.26</v>
      </c>
    </row>
    <row r="16" spans="1:32">
      <c r="A16" s="23"/>
      <c r="B16" s="11" t="s">
        <v>1365</v>
      </c>
      <c r="C16" s="12">
        <v>2281</v>
      </c>
      <c r="D16" s="12">
        <v>189</v>
      </c>
      <c r="E16" s="12">
        <v>67</v>
      </c>
      <c r="F16" s="12">
        <v>79</v>
      </c>
      <c r="G16" s="12">
        <v>280</v>
      </c>
      <c r="H16" s="12">
        <v>126</v>
      </c>
      <c r="I16" s="12">
        <v>152</v>
      </c>
      <c r="J16" s="12">
        <v>26</v>
      </c>
      <c r="K16" s="12">
        <v>159</v>
      </c>
      <c r="L16" s="12">
        <v>109</v>
      </c>
      <c r="M16" s="12">
        <v>26</v>
      </c>
      <c r="N16" s="12">
        <v>49</v>
      </c>
      <c r="O16" s="12">
        <v>47</v>
      </c>
      <c r="P16" s="12">
        <v>85</v>
      </c>
      <c r="Q16" s="12">
        <v>40</v>
      </c>
      <c r="R16" s="12">
        <v>16</v>
      </c>
      <c r="S16" s="12">
        <v>143</v>
      </c>
      <c r="T16" s="12">
        <v>86</v>
      </c>
      <c r="U16" s="12">
        <v>156</v>
      </c>
      <c r="V16" s="12">
        <v>43</v>
      </c>
      <c r="W16" s="12">
        <v>101</v>
      </c>
      <c r="X16" s="12">
        <v>367</v>
      </c>
      <c r="Y16" s="12">
        <v>140</v>
      </c>
      <c r="Z16" s="12">
        <v>53</v>
      </c>
      <c r="AA16" s="12">
        <v>12</v>
      </c>
      <c r="AB16" s="12">
        <v>33</v>
      </c>
      <c r="AC16" s="12">
        <v>200</v>
      </c>
      <c r="AD16" s="12">
        <v>57</v>
      </c>
      <c r="AE16" s="12">
        <v>198</v>
      </c>
      <c r="AF16" s="12">
        <v>267</v>
      </c>
    </row>
    <row r="17" spans="1:32" ht="23.25">
      <c r="A17" s="23"/>
      <c r="B17" s="13" t="s">
        <v>1366</v>
      </c>
      <c r="C17" s="14">
        <v>0.09</v>
      </c>
      <c r="D17" s="14">
        <v>0.19</v>
      </c>
      <c r="E17" s="14">
        <v>7.0000000000000007E-2</v>
      </c>
      <c r="F17" s="14">
        <v>0.08</v>
      </c>
      <c r="G17" s="14">
        <v>0.28000000000000003</v>
      </c>
      <c r="H17" s="14">
        <v>0.11</v>
      </c>
      <c r="I17" s="14">
        <v>0.11</v>
      </c>
      <c r="J17" s="14">
        <v>0.09</v>
      </c>
      <c r="K17" s="14">
        <v>0.16</v>
      </c>
      <c r="L17" s="14">
        <v>0.11</v>
      </c>
      <c r="M17" s="14">
        <v>0.03</v>
      </c>
      <c r="N17" s="14">
        <v>0.05</v>
      </c>
      <c r="O17" s="14">
        <v>0.05</v>
      </c>
      <c r="P17" s="14">
        <v>0.09</v>
      </c>
      <c r="Q17" s="14">
        <v>0.04</v>
      </c>
      <c r="R17" s="14">
        <v>0.03</v>
      </c>
      <c r="S17" s="14">
        <v>0.15</v>
      </c>
      <c r="T17" s="14">
        <v>0.09</v>
      </c>
      <c r="U17" s="14">
        <v>0.32</v>
      </c>
      <c r="V17" s="14">
        <v>0.04</v>
      </c>
      <c r="W17" s="14">
        <v>0.2</v>
      </c>
      <c r="X17" s="14">
        <v>0.36</v>
      </c>
      <c r="Y17" s="14">
        <v>0.14000000000000001</v>
      </c>
      <c r="Z17" s="14">
        <v>0.05</v>
      </c>
      <c r="AA17" s="14">
        <v>0.01</v>
      </c>
      <c r="AB17" s="14">
        <v>0.03</v>
      </c>
      <c r="AC17" s="14">
        <v>0.2</v>
      </c>
      <c r="AD17" s="14">
        <v>0.06</v>
      </c>
      <c r="AE17" s="14">
        <v>0.2</v>
      </c>
      <c r="AF17" s="14">
        <v>0.25</v>
      </c>
    </row>
    <row r="18" spans="1:32">
      <c r="A18" s="23"/>
      <c r="B18" s="11" t="s">
        <v>1239</v>
      </c>
      <c r="C18" s="12">
        <v>17625</v>
      </c>
      <c r="D18" s="12">
        <v>455</v>
      </c>
      <c r="E18" s="12">
        <v>720</v>
      </c>
      <c r="F18" s="12">
        <v>718</v>
      </c>
      <c r="G18" s="12">
        <v>301</v>
      </c>
      <c r="H18" s="12">
        <v>774</v>
      </c>
      <c r="I18" s="12">
        <v>957</v>
      </c>
      <c r="J18" s="12">
        <v>183</v>
      </c>
      <c r="K18" s="12">
        <v>481</v>
      </c>
      <c r="L18" s="12">
        <v>573</v>
      </c>
      <c r="M18" s="12">
        <v>832</v>
      </c>
      <c r="N18" s="12">
        <v>710</v>
      </c>
      <c r="O18" s="12">
        <v>736</v>
      </c>
      <c r="P18" s="12">
        <v>737</v>
      </c>
      <c r="Q18" s="12">
        <v>764</v>
      </c>
      <c r="R18" s="12">
        <v>390</v>
      </c>
      <c r="S18" s="12">
        <v>587</v>
      </c>
      <c r="T18" s="12">
        <v>646</v>
      </c>
      <c r="U18" s="12">
        <v>208</v>
      </c>
      <c r="V18" s="12">
        <v>733</v>
      </c>
      <c r="W18" s="12">
        <v>241</v>
      </c>
      <c r="X18" s="12">
        <v>248</v>
      </c>
      <c r="Y18" s="12">
        <v>531</v>
      </c>
      <c r="Z18" s="12">
        <v>766</v>
      </c>
      <c r="AA18" s="12">
        <v>876</v>
      </c>
      <c r="AB18" s="12">
        <v>871</v>
      </c>
      <c r="AC18" s="12">
        <v>583</v>
      </c>
      <c r="AD18" s="12">
        <v>734</v>
      </c>
      <c r="AE18" s="12">
        <v>400</v>
      </c>
      <c r="AF18" s="12">
        <v>366</v>
      </c>
    </row>
    <row r="19" spans="1:32">
      <c r="A19" s="23"/>
      <c r="B19" s="13" t="s">
        <v>1240</v>
      </c>
      <c r="C19" s="14">
        <v>0.69000000000000006</v>
      </c>
      <c r="D19" s="14">
        <v>0.47</v>
      </c>
      <c r="E19" s="14">
        <v>0.71</v>
      </c>
      <c r="F19" s="14">
        <v>0.73</v>
      </c>
      <c r="G19" s="14">
        <v>0.3</v>
      </c>
      <c r="H19" s="14">
        <v>0.67</v>
      </c>
      <c r="I19" s="14">
        <v>0.66</v>
      </c>
      <c r="J19" s="14">
        <v>0.65</v>
      </c>
      <c r="K19" s="14">
        <v>0.49</v>
      </c>
      <c r="L19" s="14">
        <v>0.59</v>
      </c>
      <c r="M19" s="14">
        <v>0.85</v>
      </c>
      <c r="N19" s="14">
        <v>0.73</v>
      </c>
      <c r="O19" s="14">
        <v>0.76</v>
      </c>
      <c r="P19" s="14">
        <v>0.75</v>
      </c>
      <c r="Q19" s="14">
        <v>0.77</v>
      </c>
      <c r="R19" s="14">
        <v>0.79</v>
      </c>
      <c r="S19" s="14">
        <v>0.59</v>
      </c>
      <c r="T19" s="14">
        <v>0.66</v>
      </c>
      <c r="U19" s="14">
        <v>0.42</v>
      </c>
      <c r="V19" s="14">
        <v>0.76</v>
      </c>
      <c r="W19" s="14">
        <v>0.49</v>
      </c>
      <c r="X19" s="14">
        <v>0.25</v>
      </c>
      <c r="Y19" s="14">
        <v>0.54</v>
      </c>
      <c r="Z19" s="14">
        <v>0.78</v>
      </c>
      <c r="AA19" s="14">
        <v>0.87</v>
      </c>
      <c r="AB19" s="14">
        <v>0.87</v>
      </c>
      <c r="AC19" s="14">
        <v>0.59</v>
      </c>
      <c r="AD19" s="14">
        <v>0.74</v>
      </c>
      <c r="AE19" s="14">
        <v>0.4</v>
      </c>
      <c r="AF19" s="14">
        <v>0.34</v>
      </c>
    </row>
    <row r="20" spans="1:32">
      <c r="A20" s="23"/>
      <c r="B20" s="11" t="s">
        <v>497</v>
      </c>
      <c r="C20" s="12">
        <v>72</v>
      </c>
      <c r="D20" s="12">
        <v>0</v>
      </c>
      <c r="E20" s="12">
        <v>2</v>
      </c>
      <c r="F20" s="12">
        <v>0</v>
      </c>
      <c r="G20" s="12">
        <v>4</v>
      </c>
      <c r="H20" s="12">
        <v>7</v>
      </c>
      <c r="I20" s="12">
        <v>7</v>
      </c>
      <c r="J20" s="12">
        <v>0</v>
      </c>
      <c r="K20" s="12">
        <v>8</v>
      </c>
      <c r="L20" s="12">
        <v>8</v>
      </c>
      <c r="M20" s="12">
        <v>1</v>
      </c>
      <c r="N20" s="12">
        <v>5</v>
      </c>
      <c r="O20" s="12">
        <v>2</v>
      </c>
      <c r="P20" s="12">
        <v>1</v>
      </c>
      <c r="Q20" s="12">
        <v>2</v>
      </c>
      <c r="R20" s="12">
        <v>1</v>
      </c>
      <c r="S20" s="12">
        <v>3</v>
      </c>
      <c r="T20" s="12">
        <v>4</v>
      </c>
      <c r="U20" s="12">
        <v>0</v>
      </c>
      <c r="V20" s="12">
        <v>0</v>
      </c>
      <c r="W20" s="12">
        <v>3</v>
      </c>
      <c r="X20" s="12">
        <v>1</v>
      </c>
      <c r="Y20" s="12">
        <v>1</v>
      </c>
      <c r="Z20" s="12">
        <v>1</v>
      </c>
      <c r="AA20" s="12">
        <v>8</v>
      </c>
      <c r="AB20" s="12">
        <v>3</v>
      </c>
      <c r="AC20" s="12">
        <v>0</v>
      </c>
      <c r="AD20" s="12">
        <v>4</v>
      </c>
      <c r="AE20" s="12">
        <v>4</v>
      </c>
      <c r="AF20" s="12">
        <v>0</v>
      </c>
    </row>
    <row r="21" spans="1:32">
      <c r="A21" s="23"/>
      <c r="B21" s="13" t="s">
        <v>498</v>
      </c>
      <c r="C21" s="15" t="s">
        <v>485</v>
      </c>
      <c r="D21" s="15" t="s">
        <v>485</v>
      </c>
      <c r="E21" s="15" t="s">
        <v>485</v>
      </c>
      <c r="F21" s="15" t="s">
        <v>485</v>
      </c>
      <c r="G21" s="15" t="s">
        <v>485</v>
      </c>
      <c r="H21" s="15" t="s">
        <v>485</v>
      </c>
      <c r="I21" s="15" t="s">
        <v>485</v>
      </c>
      <c r="J21" s="15" t="s">
        <v>485</v>
      </c>
      <c r="K21" s="14">
        <v>0.01</v>
      </c>
      <c r="L21" s="14">
        <v>0.01</v>
      </c>
      <c r="M21" s="15" t="s">
        <v>485</v>
      </c>
      <c r="N21" s="15" t="s">
        <v>485</v>
      </c>
      <c r="O21" s="15" t="s">
        <v>485</v>
      </c>
      <c r="P21" s="15" t="s">
        <v>485</v>
      </c>
      <c r="Q21" s="15" t="s">
        <v>485</v>
      </c>
      <c r="R21" s="15" t="s">
        <v>485</v>
      </c>
      <c r="S21" s="15" t="s">
        <v>485</v>
      </c>
      <c r="T21" s="15" t="s">
        <v>485</v>
      </c>
      <c r="U21" s="15" t="s">
        <v>485</v>
      </c>
      <c r="V21" s="15" t="s">
        <v>485</v>
      </c>
      <c r="W21" s="14">
        <v>0.01</v>
      </c>
      <c r="X21" s="15" t="s">
        <v>485</v>
      </c>
      <c r="Y21" s="15" t="s">
        <v>485</v>
      </c>
      <c r="Z21" s="15" t="s">
        <v>485</v>
      </c>
      <c r="AA21" s="14">
        <v>0.01</v>
      </c>
      <c r="AB21" s="15" t="s">
        <v>485</v>
      </c>
      <c r="AC21" s="15" t="s">
        <v>485</v>
      </c>
      <c r="AD21" s="15" t="s">
        <v>485</v>
      </c>
      <c r="AE21" s="15" t="s">
        <v>485</v>
      </c>
      <c r="AF21" s="15" t="s">
        <v>485</v>
      </c>
    </row>
    <row r="22" spans="1:32">
      <c r="A22" s="23"/>
      <c r="B22" s="11" t="s">
        <v>518</v>
      </c>
      <c r="C22" s="12">
        <v>7847</v>
      </c>
      <c r="D22" s="12">
        <v>515</v>
      </c>
      <c r="E22" s="12">
        <v>285</v>
      </c>
      <c r="F22" s="12">
        <v>262</v>
      </c>
      <c r="G22" s="12">
        <v>691</v>
      </c>
      <c r="H22" s="12">
        <v>380</v>
      </c>
      <c r="I22" s="12">
        <v>479</v>
      </c>
      <c r="J22" s="12">
        <v>99</v>
      </c>
      <c r="K22" s="12">
        <v>492</v>
      </c>
      <c r="L22" s="12">
        <v>397</v>
      </c>
      <c r="M22" s="12">
        <v>146</v>
      </c>
      <c r="N22" s="12">
        <v>260</v>
      </c>
      <c r="O22" s="12">
        <v>230</v>
      </c>
      <c r="P22" s="12">
        <v>238</v>
      </c>
      <c r="Q22" s="12">
        <v>223</v>
      </c>
      <c r="R22" s="12">
        <v>101</v>
      </c>
      <c r="S22" s="12">
        <v>407</v>
      </c>
      <c r="T22" s="12">
        <v>329</v>
      </c>
      <c r="U22" s="12">
        <v>286</v>
      </c>
      <c r="V22" s="12">
        <v>237</v>
      </c>
      <c r="W22" s="12">
        <v>251</v>
      </c>
      <c r="X22" s="12">
        <v>761</v>
      </c>
      <c r="Y22" s="12">
        <v>451</v>
      </c>
      <c r="Z22" s="12">
        <v>218</v>
      </c>
      <c r="AA22" s="12">
        <v>123</v>
      </c>
      <c r="AB22" s="12">
        <v>133</v>
      </c>
      <c r="AC22" s="12">
        <v>405</v>
      </c>
      <c r="AD22" s="12">
        <v>252</v>
      </c>
      <c r="AE22" s="12">
        <v>597</v>
      </c>
      <c r="AF22" s="12">
        <v>703</v>
      </c>
    </row>
    <row r="23" spans="1:32">
      <c r="A23" s="23"/>
      <c r="B23" s="13" t="s">
        <v>519</v>
      </c>
      <c r="C23" s="14">
        <v>0.31</v>
      </c>
      <c r="D23" s="14">
        <v>0.53</v>
      </c>
      <c r="E23" s="14">
        <v>0.28999999999999998</v>
      </c>
      <c r="F23" s="14">
        <v>0.27</v>
      </c>
      <c r="G23" s="14">
        <v>0.70000000000000007</v>
      </c>
      <c r="H23" s="14">
        <v>0.33</v>
      </c>
      <c r="I23" s="14">
        <v>0.34</v>
      </c>
      <c r="J23" s="14">
        <v>0.35</v>
      </c>
      <c r="K23" s="14">
        <v>0.5</v>
      </c>
      <c r="L23" s="14">
        <v>0.4</v>
      </c>
      <c r="M23" s="14">
        <v>0.15</v>
      </c>
      <c r="N23" s="14">
        <v>0.27</v>
      </c>
      <c r="O23" s="14">
        <v>0.24</v>
      </c>
      <c r="P23" s="14">
        <v>0.25</v>
      </c>
      <c r="Q23" s="14">
        <v>0.23</v>
      </c>
      <c r="R23" s="14">
        <v>0.21</v>
      </c>
      <c r="S23" s="14">
        <v>0.41</v>
      </c>
      <c r="T23" s="14">
        <v>0.34</v>
      </c>
      <c r="U23" s="14">
        <v>0.57999999999999996</v>
      </c>
      <c r="V23" s="14">
        <v>0.24</v>
      </c>
      <c r="W23" s="14">
        <v>0.5</v>
      </c>
      <c r="X23" s="14">
        <v>0.75</v>
      </c>
      <c r="Y23" s="14">
        <v>0.46</v>
      </c>
      <c r="Z23" s="14">
        <v>0.22</v>
      </c>
      <c r="AA23" s="14">
        <v>0.12</v>
      </c>
      <c r="AB23" s="14">
        <v>0.13</v>
      </c>
      <c r="AC23" s="14">
        <v>0.41</v>
      </c>
      <c r="AD23" s="14">
        <v>0.26</v>
      </c>
      <c r="AE23" s="14">
        <v>0.6</v>
      </c>
      <c r="AF23" s="14">
        <v>0.66</v>
      </c>
    </row>
  </sheetData>
  <mergeCells count="10">
    <mergeCell ref="B4:F4"/>
    <mergeCell ref="H3:L3"/>
    <mergeCell ref="A10:A21"/>
    <mergeCell ref="C8:AF8"/>
    <mergeCell ref="A22:A23"/>
    <mergeCell ref="B3:F3"/>
    <mergeCell ref="B5:F5"/>
    <mergeCell ref="H5:L5"/>
    <mergeCell ref="B10:B11"/>
    <mergeCell ref="H4:L4"/>
  </mergeCells>
  <pageMargins left="0.75" right="0.75" top="1" bottom="1" header="0.5" footer="0.5"/>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36" customHeight="1">
      <c r="B3" s="19" t="s">
        <v>265</v>
      </c>
      <c r="C3" s="19"/>
      <c r="D3" s="19"/>
      <c r="E3" s="19"/>
      <c r="F3" s="19"/>
      <c r="H3" s="19" t="s">
        <v>266</v>
      </c>
      <c r="I3" s="19"/>
      <c r="J3" s="19"/>
      <c r="K3" s="19"/>
      <c r="L3" s="19"/>
    </row>
    <row r="4" spans="1:32" ht="27" customHeight="1">
      <c r="B4" s="19"/>
      <c r="C4" s="19"/>
      <c r="D4" s="19"/>
      <c r="E4" s="19"/>
      <c r="F4" s="19"/>
      <c r="H4" s="19"/>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HYPERLINK("#Content!A134","&lt;&lt;Back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510</v>
      </c>
      <c r="C12" s="12">
        <v>6054</v>
      </c>
      <c r="D12" s="12">
        <v>272</v>
      </c>
      <c r="E12" s="12">
        <v>92</v>
      </c>
      <c r="F12" s="12">
        <v>219</v>
      </c>
      <c r="G12" s="12">
        <v>520</v>
      </c>
      <c r="H12" s="12">
        <v>298</v>
      </c>
      <c r="I12" s="12">
        <v>380</v>
      </c>
      <c r="J12" s="12">
        <v>82</v>
      </c>
      <c r="K12" s="12">
        <v>269</v>
      </c>
      <c r="L12" s="12">
        <v>320</v>
      </c>
      <c r="M12" s="12">
        <v>250</v>
      </c>
      <c r="N12" s="12">
        <v>261</v>
      </c>
      <c r="O12" s="12">
        <v>201</v>
      </c>
      <c r="P12" s="12">
        <v>271</v>
      </c>
      <c r="Q12" s="12">
        <v>177</v>
      </c>
      <c r="R12" s="12">
        <v>93</v>
      </c>
      <c r="S12" s="12">
        <v>236</v>
      </c>
      <c r="T12" s="12">
        <v>376</v>
      </c>
      <c r="U12" s="12">
        <v>191</v>
      </c>
      <c r="V12" s="12">
        <v>141</v>
      </c>
      <c r="W12" s="12">
        <v>235</v>
      </c>
      <c r="X12" s="12">
        <v>537</v>
      </c>
      <c r="Y12" s="12">
        <v>248</v>
      </c>
      <c r="Z12" s="12">
        <v>51</v>
      </c>
      <c r="AA12" s="12">
        <v>101</v>
      </c>
      <c r="AB12" s="12">
        <v>45</v>
      </c>
      <c r="AC12" s="12">
        <v>493</v>
      </c>
      <c r="AD12" s="12">
        <v>192</v>
      </c>
      <c r="AE12" s="12">
        <v>531</v>
      </c>
      <c r="AF12" s="12">
        <v>703</v>
      </c>
    </row>
    <row r="13" spans="1:32">
      <c r="A13" s="23"/>
      <c r="B13" s="13" t="s">
        <v>1367</v>
      </c>
      <c r="C13" s="14">
        <v>0.23</v>
      </c>
      <c r="D13" s="14">
        <v>0.27</v>
      </c>
      <c r="E13" s="14">
        <v>0.09</v>
      </c>
      <c r="F13" s="14">
        <v>0.22</v>
      </c>
      <c r="G13" s="14">
        <v>0.52</v>
      </c>
      <c r="H13" s="14">
        <v>0.25</v>
      </c>
      <c r="I13" s="14">
        <v>0.25</v>
      </c>
      <c r="J13" s="14">
        <v>0.28000000000000003</v>
      </c>
      <c r="K13" s="14">
        <v>0.27</v>
      </c>
      <c r="L13" s="14">
        <v>0.32</v>
      </c>
      <c r="M13" s="14">
        <v>0.25</v>
      </c>
      <c r="N13" s="14">
        <v>0.26</v>
      </c>
      <c r="O13" s="14">
        <v>0.2</v>
      </c>
      <c r="P13" s="14">
        <v>0.27</v>
      </c>
      <c r="Q13" s="14">
        <v>0.17</v>
      </c>
      <c r="R13" s="14">
        <v>0.19</v>
      </c>
      <c r="S13" s="14">
        <v>0.23</v>
      </c>
      <c r="T13" s="14">
        <v>0.37</v>
      </c>
      <c r="U13" s="14">
        <v>0.38</v>
      </c>
      <c r="V13" s="14">
        <v>0.14000000000000001</v>
      </c>
      <c r="W13" s="14">
        <v>0.47</v>
      </c>
      <c r="X13" s="14">
        <v>0.53</v>
      </c>
      <c r="Y13" s="14">
        <v>0.25</v>
      </c>
      <c r="Z13" s="14">
        <v>0.05</v>
      </c>
      <c r="AA13" s="14">
        <v>0.1</v>
      </c>
      <c r="AB13" s="14">
        <v>0.04</v>
      </c>
      <c r="AC13" s="14">
        <v>0.49</v>
      </c>
      <c r="AD13" s="14">
        <v>0.19</v>
      </c>
      <c r="AE13" s="14">
        <v>0.53</v>
      </c>
      <c r="AF13" s="14">
        <v>0.65</v>
      </c>
    </row>
    <row r="14" spans="1:32" ht="23.25">
      <c r="A14" s="23"/>
      <c r="B14" s="11" t="s">
        <v>512</v>
      </c>
      <c r="C14" s="12">
        <v>4001</v>
      </c>
      <c r="D14" s="12">
        <v>219</v>
      </c>
      <c r="E14" s="12">
        <v>125</v>
      </c>
      <c r="F14" s="12">
        <v>128</v>
      </c>
      <c r="G14" s="12">
        <v>116</v>
      </c>
      <c r="H14" s="12">
        <v>134</v>
      </c>
      <c r="I14" s="12">
        <v>172</v>
      </c>
      <c r="J14" s="12">
        <v>38</v>
      </c>
      <c r="K14" s="12">
        <v>178</v>
      </c>
      <c r="L14" s="12">
        <v>151</v>
      </c>
      <c r="M14" s="12">
        <v>138</v>
      </c>
      <c r="N14" s="12">
        <v>109</v>
      </c>
      <c r="O14" s="12">
        <v>118</v>
      </c>
      <c r="P14" s="12">
        <v>186</v>
      </c>
      <c r="Q14" s="12">
        <v>251</v>
      </c>
      <c r="R14" s="12">
        <v>42</v>
      </c>
      <c r="S14" s="12">
        <v>127</v>
      </c>
      <c r="T14" s="12">
        <v>161</v>
      </c>
      <c r="U14" s="12">
        <v>88</v>
      </c>
      <c r="V14" s="12">
        <v>211</v>
      </c>
      <c r="W14" s="12">
        <v>91</v>
      </c>
      <c r="X14" s="12">
        <v>137</v>
      </c>
      <c r="Y14" s="12">
        <v>253</v>
      </c>
      <c r="Z14" s="12">
        <v>220</v>
      </c>
      <c r="AA14" s="12">
        <v>59</v>
      </c>
      <c r="AB14" s="12">
        <v>135</v>
      </c>
      <c r="AC14" s="12">
        <v>149</v>
      </c>
      <c r="AD14" s="12">
        <v>208</v>
      </c>
      <c r="AE14" s="12">
        <v>142</v>
      </c>
      <c r="AF14" s="12">
        <v>119</v>
      </c>
    </row>
    <row r="15" spans="1:32">
      <c r="A15" s="23"/>
      <c r="B15" s="13" t="s">
        <v>1368</v>
      </c>
      <c r="C15" s="14">
        <v>0.15</v>
      </c>
      <c r="D15" s="14">
        <v>0.22</v>
      </c>
      <c r="E15" s="14">
        <v>0.12</v>
      </c>
      <c r="F15" s="14">
        <v>0.13</v>
      </c>
      <c r="G15" s="14">
        <v>0.12</v>
      </c>
      <c r="H15" s="14">
        <v>0.11</v>
      </c>
      <c r="I15" s="14">
        <v>0.12</v>
      </c>
      <c r="J15" s="14">
        <v>0.13</v>
      </c>
      <c r="K15" s="14">
        <v>0.18</v>
      </c>
      <c r="L15" s="14">
        <v>0.15</v>
      </c>
      <c r="M15" s="14">
        <v>0.14000000000000001</v>
      </c>
      <c r="N15" s="14">
        <v>0.11</v>
      </c>
      <c r="O15" s="14">
        <v>0.12</v>
      </c>
      <c r="P15" s="14">
        <v>0.18</v>
      </c>
      <c r="Q15" s="14">
        <v>0.24</v>
      </c>
      <c r="R15" s="14">
        <v>0.08</v>
      </c>
      <c r="S15" s="14">
        <v>0.13</v>
      </c>
      <c r="T15" s="14">
        <v>0.16</v>
      </c>
      <c r="U15" s="14">
        <v>0.17</v>
      </c>
      <c r="V15" s="14">
        <v>0.21</v>
      </c>
      <c r="W15" s="14">
        <v>0.18</v>
      </c>
      <c r="X15" s="14">
        <v>0.13</v>
      </c>
      <c r="Y15" s="14">
        <v>0.25</v>
      </c>
      <c r="Z15" s="14">
        <v>0.22</v>
      </c>
      <c r="AA15" s="14">
        <v>0.06</v>
      </c>
      <c r="AB15" s="14">
        <v>0.13</v>
      </c>
      <c r="AC15" s="14">
        <v>0.15</v>
      </c>
      <c r="AD15" s="14">
        <v>0.21</v>
      </c>
      <c r="AE15" s="14">
        <v>0.14000000000000001</v>
      </c>
      <c r="AF15" s="14">
        <v>0.11</v>
      </c>
    </row>
    <row r="16" spans="1:32">
      <c r="A16" s="23"/>
      <c r="B16" s="11" t="s">
        <v>514</v>
      </c>
      <c r="C16" s="12">
        <v>4280</v>
      </c>
      <c r="D16" s="12">
        <v>204</v>
      </c>
      <c r="E16" s="12">
        <v>128</v>
      </c>
      <c r="F16" s="12">
        <v>138</v>
      </c>
      <c r="G16" s="12">
        <v>71</v>
      </c>
      <c r="H16" s="12">
        <v>254</v>
      </c>
      <c r="I16" s="12">
        <v>316</v>
      </c>
      <c r="J16" s="12">
        <v>62</v>
      </c>
      <c r="K16" s="12">
        <v>96</v>
      </c>
      <c r="L16" s="12">
        <v>125</v>
      </c>
      <c r="M16" s="12">
        <v>54</v>
      </c>
      <c r="N16" s="12">
        <v>118</v>
      </c>
      <c r="O16" s="12">
        <v>142</v>
      </c>
      <c r="P16" s="12">
        <v>186</v>
      </c>
      <c r="Q16" s="12">
        <v>175</v>
      </c>
      <c r="R16" s="12">
        <v>29</v>
      </c>
      <c r="S16" s="12">
        <v>101</v>
      </c>
      <c r="T16" s="12">
        <v>75</v>
      </c>
      <c r="U16" s="12">
        <v>71</v>
      </c>
      <c r="V16" s="12">
        <v>213</v>
      </c>
      <c r="W16" s="12">
        <v>25</v>
      </c>
      <c r="X16" s="12">
        <v>130</v>
      </c>
      <c r="Y16" s="12">
        <v>149</v>
      </c>
      <c r="Z16" s="12">
        <v>291</v>
      </c>
      <c r="AA16" s="12">
        <v>79</v>
      </c>
      <c r="AB16" s="12">
        <v>127</v>
      </c>
      <c r="AC16" s="12">
        <v>118</v>
      </c>
      <c r="AD16" s="12">
        <v>248</v>
      </c>
      <c r="AE16" s="12">
        <v>60</v>
      </c>
      <c r="AF16" s="12">
        <v>83</v>
      </c>
    </row>
    <row r="17" spans="1:32">
      <c r="A17" s="23"/>
      <c r="B17" s="13" t="s">
        <v>1369</v>
      </c>
      <c r="C17" s="14">
        <v>0.16</v>
      </c>
      <c r="D17" s="14">
        <v>0.2</v>
      </c>
      <c r="E17" s="14">
        <v>0.12</v>
      </c>
      <c r="F17" s="14">
        <v>0.14000000000000001</v>
      </c>
      <c r="G17" s="14">
        <v>7.0000000000000007E-2</v>
      </c>
      <c r="H17" s="14">
        <v>0.21</v>
      </c>
      <c r="I17" s="14">
        <v>0.21</v>
      </c>
      <c r="J17" s="14">
        <v>0.21</v>
      </c>
      <c r="K17" s="14">
        <v>0.09</v>
      </c>
      <c r="L17" s="14">
        <v>0.12</v>
      </c>
      <c r="M17" s="14">
        <v>0.05</v>
      </c>
      <c r="N17" s="14">
        <v>0.12</v>
      </c>
      <c r="O17" s="14">
        <v>0.14000000000000001</v>
      </c>
      <c r="P17" s="14">
        <v>0.18</v>
      </c>
      <c r="Q17" s="14">
        <v>0.17</v>
      </c>
      <c r="R17" s="14">
        <v>0.06</v>
      </c>
      <c r="S17" s="14">
        <v>0.1</v>
      </c>
      <c r="T17" s="14">
        <v>0.08</v>
      </c>
      <c r="U17" s="14">
        <v>0.14000000000000001</v>
      </c>
      <c r="V17" s="14">
        <v>0.21</v>
      </c>
      <c r="W17" s="14">
        <v>0.05</v>
      </c>
      <c r="X17" s="14">
        <v>0.13</v>
      </c>
      <c r="Y17" s="14">
        <v>0.15</v>
      </c>
      <c r="Z17" s="14">
        <v>0.28999999999999998</v>
      </c>
      <c r="AA17" s="14">
        <v>7.0000000000000007E-2</v>
      </c>
      <c r="AB17" s="14">
        <v>0.12</v>
      </c>
      <c r="AC17" s="14">
        <v>0.12</v>
      </c>
      <c r="AD17" s="14">
        <v>0.25</v>
      </c>
      <c r="AE17" s="14">
        <v>0.06</v>
      </c>
      <c r="AF17" s="14">
        <v>0.08</v>
      </c>
    </row>
    <row r="18" spans="1:32">
      <c r="A18" s="23"/>
      <c r="B18" s="11" t="s">
        <v>516</v>
      </c>
      <c r="C18" s="12">
        <v>7386</v>
      </c>
      <c r="D18" s="12">
        <v>264</v>
      </c>
      <c r="E18" s="12">
        <v>396</v>
      </c>
      <c r="F18" s="12">
        <v>387</v>
      </c>
      <c r="G18" s="12">
        <v>192</v>
      </c>
      <c r="H18" s="12">
        <v>396</v>
      </c>
      <c r="I18" s="12">
        <v>466</v>
      </c>
      <c r="J18" s="12">
        <v>70</v>
      </c>
      <c r="K18" s="12">
        <v>223</v>
      </c>
      <c r="L18" s="12">
        <v>296</v>
      </c>
      <c r="M18" s="12">
        <v>241</v>
      </c>
      <c r="N18" s="12">
        <v>249</v>
      </c>
      <c r="O18" s="12">
        <v>342</v>
      </c>
      <c r="P18" s="12">
        <v>242</v>
      </c>
      <c r="Q18" s="12">
        <v>253</v>
      </c>
      <c r="R18" s="12">
        <v>172</v>
      </c>
      <c r="S18" s="12">
        <v>261</v>
      </c>
      <c r="T18" s="12">
        <v>229</v>
      </c>
      <c r="U18" s="12">
        <v>119</v>
      </c>
      <c r="V18" s="12">
        <v>299</v>
      </c>
      <c r="W18" s="12">
        <v>59</v>
      </c>
      <c r="X18" s="12">
        <v>130</v>
      </c>
      <c r="Y18" s="12">
        <v>174</v>
      </c>
      <c r="Z18" s="12">
        <v>248</v>
      </c>
      <c r="AA18" s="12">
        <v>334</v>
      </c>
      <c r="AB18" s="12">
        <v>532</v>
      </c>
      <c r="AC18" s="12">
        <v>197</v>
      </c>
      <c r="AD18" s="12">
        <v>185</v>
      </c>
      <c r="AE18" s="12">
        <v>165</v>
      </c>
      <c r="AF18" s="12">
        <v>115</v>
      </c>
    </row>
    <row r="19" spans="1:32">
      <c r="A19" s="23"/>
      <c r="B19" s="13" t="s">
        <v>517</v>
      </c>
      <c r="C19" s="14">
        <v>0.28000000000000003</v>
      </c>
      <c r="D19" s="14">
        <v>0.26</v>
      </c>
      <c r="E19" s="14">
        <v>0.38</v>
      </c>
      <c r="F19" s="14">
        <v>0.38</v>
      </c>
      <c r="G19" s="14">
        <v>0.19</v>
      </c>
      <c r="H19" s="14">
        <v>0.33</v>
      </c>
      <c r="I19" s="14">
        <v>0.31</v>
      </c>
      <c r="J19" s="14">
        <v>0.24</v>
      </c>
      <c r="K19" s="14">
        <v>0.22</v>
      </c>
      <c r="L19" s="14">
        <v>0.28999999999999998</v>
      </c>
      <c r="M19" s="14">
        <v>0.24</v>
      </c>
      <c r="N19" s="14">
        <v>0.25</v>
      </c>
      <c r="O19" s="14">
        <v>0.34</v>
      </c>
      <c r="P19" s="14">
        <v>0.24</v>
      </c>
      <c r="Q19" s="14">
        <v>0.25</v>
      </c>
      <c r="R19" s="14">
        <v>0.34</v>
      </c>
      <c r="S19" s="14">
        <v>0.26</v>
      </c>
      <c r="T19" s="14">
        <v>0.23</v>
      </c>
      <c r="U19" s="14">
        <v>0.24</v>
      </c>
      <c r="V19" s="14">
        <v>0.3</v>
      </c>
      <c r="W19" s="14">
        <v>0.12</v>
      </c>
      <c r="X19" s="14">
        <v>0.13</v>
      </c>
      <c r="Y19" s="14">
        <v>0.17</v>
      </c>
      <c r="Z19" s="14">
        <v>0.24</v>
      </c>
      <c r="AA19" s="14">
        <v>0.32</v>
      </c>
      <c r="AB19" s="14">
        <v>0.52</v>
      </c>
      <c r="AC19" s="14">
        <v>0.19</v>
      </c>
      <c r="AD19" s="14">
        <v>0.18</v>
      </c>
      <c r="AE19" s="14">
        <v>0.16</v>
      </c>
      <c r="AF19" s="14">
        <v>0.11</v>
      </c>
    </row>
    <row r="20" spans="1:32">
      <c r="A20" s="23"/>
      <c r="B20" s="11" t="s">
        <v>497</v>
      </c>
      <c r="C20" s="12">
        <v>4633</v>
      </c>
      <c r="D20" s="12">
        <v>47</v>
      </c>
      <c r="E20" s="12">
        <v>304</v>
      </c>
      <c r="F20" s="12">
        <v>134</v>
      </c>
      <c r="G20" s="12">
        <v>104</v>
      </c>
      <c r="H20" s="12">
        <v>129</v>
      </c>
      <c r="I20" s="12">
        <v>170</v>
      </c>
      <c r="J20" s="12">
        <v>41</v>
      </c>
      <c r="K20" s="12">
        <v>238</v>
      </c>
      <c r="L20" s="12">
        <v>116</v>
      </c>
      <c r="M20" s="12">
        <v>329</v>
      </c>
      <c r="N20" s="12">
        <v>263</v>
      </c>
      <c r="O20" s="12">
        <v>203</v>
      </c>
      <c r="P20" s="12">
        <v>126</v>
      </c>
      <c r="Q20" s="12">
        <v>169</v>
      </c>
      <c r="R20" s="12">
        <v>165</v>
      </c>
      <c r="S20" s="12">
        <v>280</v>
      </c>
      <c r="T20" s="12">
        <v>162</v>
      </c>
      <c r="U20" s="12">
        <v>35</v>
      </c>
      <c r="V20" s="12">
        <v>146</v>
      </c>
      <c r="W20" s="12">
        <v>93</v>
      </c>
      <c r="X20" s="12">
        <v>81</v>
      </c>
      <c r="Y20" s="12">
        <v>182</v>
      </c>
      <c r="Z20" s="12">
        <v>207</v>
      </c>
      <c r="AA20" s="12">
        <v>467</v>
      </c>
      <c r="AB20" s="12">
        <v>192</v>
      </c>
      <c r="AC20" s="12">
        <v>47</v>
      </c>
      <c r="AD20" s="12">
        <v>169</v>
      </c>
      <c r="AE20" s="12">
        <v>109</v>
      </c>
      <c r="AF20" s="12">
        <v>53</v>
      </c>
    </row>
    <row r="21" spans="1:32">
      <c r="A21" s="23"/>
      <c r="B21" s="13" t="s">
        <v>498</v>
      </c>
      <c r="C21" s="14">
        <v>0.18</v>
      </c>
      <c r="D21" s="14">
        <v>0.05</v>
      </c>
      <c r="E21" s="14">
        <v>0.28999999999999998</v>
      </c>
      <c r="F21" s="14">
        <v>0.13</v>
      </c>
      <c r="G21" s="14">
        <v>0.1</v>
      </c>
      <c r="H21" s="14">
        <v>0.1</v>
      </c>
      <c r="I21" s="14">
        <v>0.11</v>
      </c>
      <c r="J21" s="14">
        <v>0.14000000000000001</v>
      </c>
      <c r="K21" s="14">
        <v>0.24</v>
      </c>
      <c r="L21" s="14">
        <v>0.12</v>
      </c>
      <c r="M21" s="14">
        <v>0.32</v>
      </c>
      <c r="N21" s="14">
        <v>0.26</v>
      </c>
      <c r="O21" s="14">
        <v>0.2</v>
      </c>
      <c r="P21" s="14">
        <v>0.13</v>
      </c>
      <c r="Q21" s="14">
        <v>0.17</v>
      </c>
      <c r="R21" s="14">
        <v>0.33</v>
      </c>
      <c r="S21" s="14">
        <v>0.28000000000000003</v>
      </c>
      <c r="T21" s="14">
        <v>0.16</v>
      </c>
      <c r="U21" s="14">
        <v>7.0000000000000007E-2</v>
      </c>
      <c r="V21" s="14">
        <v>0.14000000000000001</v>
      </c>
      <c r="W21" s="14">
        <v>0.18</v>
      </c>
      <c r="X21" s="14">
        <v>0.08</v>
      </c>
      <c r="Y21" s="14">
        <v>0.18</v>
      </c>
      <c r="Z21" s="14">
        <v>0.2</v>
      </c>
      <c r="AA21" s="14">
        <v>0.45</v>
      </c>
      <c r="AB21" s="14">
        <v>0.19</v>
      </c>
      <c r="AC21" s="14">
        <v>0.05</v>
      </c>
      <c r="AD21" s="14">
        <v>0.17</v>
      </c>
      <c r="AE21" s="14">
        <v>0.11</v>
      </c>
      <c r="AF21" s="14">
        <v>0.05</v>
      </c>
    </row>
    <row r="22" spans="1:32">
      <c r="A22" s="23"/>
      <c r="B22" s="11" t="s">
        <v>518</v>
      </c>
      <c r="C22" s="12">
        <v>10055</v>
      </c>
      <c r="D22" s="12">
        <v>491</v>
      </c>
      <c r="E22" s="12">
        <v>217</v>
      </c>
      <c r="F22" s="12">
        <v>347</v>
      </c>
      <c r="G22" s="12">
        <v>636</v>
      </c>
      <c r="H22" s="12">
        <v>432</v>
      </c>
      <c r="I22" s="12">
        <v>552</v>
      </c>
      <c r="J22" s="12">
        <v>120</v>
      </c>
      <c r="K22" s="12">
        <v>447</v>
      </c>
      <c r="L22" s="12">
        <v>471</v>
      </c>
      <c r="M22" s="12">
        <v>388</v>
      </c>
      <c r="N22" s="12">
        <v>370</v>
      </c>
      <c r="O22" s="12">
        <v>319</v>
      </c>
      <c r="P22" s="12">
        <v>457</v>
      </c>
      <c r="Q22" s="12">
        <v>428</v>
      </c>
      <c r="R22" s="12">
        <v>135</v>
      </c>
      <c r="S22" s="12">
        <v>363</v>
      </c>
      <c r="T22" s="12">
        <v>537</v>
      </c>
      <c r="U22" s="12">
        <v>279</v>
      </c>
      <c r="V22" s="12">
        <v>352</v>
      </c>
      <c r="W22" s="12">
        <v>326</v>
      </c>
      <c r="X22" s="12">
        <v>674</v>
      </c>
      <c r="Y22" s="12">
        <v>501</v>
      </c>
      <c r="Z22" s="12">
        <v>271</v>
      </c>
      <c r="AA22" s="12">
        <v>160</v>
      </c>
      <c r="AB22" s="12">
        <v>180</v>
      </c>
      <c r="AC22" s="12">
        <v>642</v>
      </c>
      <c r="AD22" s="12">
        <v>400</v>
      </c>
      <c r="AE22" s="12">
        <v>673</v>
      </c>
      <c r="AF22" s="12">
        <v>822</v>
      </c>
    </row>
    <row r="23" spans="1:32">
      <c r="A23" s="23"/>
      <c r="B23" s="13" t="s">
        <v>519</v>
      </c>
      <c r="C23" s="14">
        <v>0.38</v>
      </c>
      <c r="D23" s="14">
        <v>0.49</v>
      </c>
      <c r="E23" s="14">
        <v>0.21</v>
      </c>
      <c r="F23" s="14">
        <v>0.35</v>
      </c>
      <c r="G23" s="14">
        <v>0.64</v>
      </c>
      <c r="H23" s="14">
        <v>0.36</v>
      </c>
      <c r="I23" s="14">
        <v>0.37</v>
      </c>
      <c r="J23" s="14">
        <v>0.41</v>
      </c>
      <c r="K23" s="14">
        <v>0.45</v>
      </c>
      <c r="L23" s="14">
        <v>0.47</v>
      </c>
      <c r="M23" s="14">
        <v>0.39</v>
      </c>
      <c r="N23" s="14">
        <v>0.37</v>
      </c>
      <c r="O23" s="14">
        <v>0.32</v>
      </c>
      <c r="P23" s="14">
        <v>0.45</v>
      </c>
      <c r="Q23" s="14">
        <v>0.41</v>
      </c>
      <c r="R23" s="14">
        <v>0.27</v>
      </c>
      <c r="S23" s="14">
        <v>0.36</v>
      </c>
      <c r="T23" s="14">
        <v>0.53</v>
      </c>
      <c r="U23" s="14">
        <v>0.55000000000000004</v>
      </c>
      <c r="V23" s="14">
        <v>0.35</v>
      </c>
      <c r="W23" s="14">
        <v>0.65</v>
      </c>
      <c r="X23" s="14">
        <v>0.66</v>
      </c>
      <c r="Y23" s="14">
        <v>0.5</v>
      </c>
      <c r="Z23" s="14">
        <v>0.27</v>
      </c>
      <c r="AA23" s="14">
        <v>0.16</v>
      </c>
      <c r="AB23" s="14">
        <v>0.17</v>
      </c>
      <c r="AC23" s="14">
        <v>0.64</v>
      </c>
      <c r="AD23" s="14">
        <v>0.4</v>
      </c>
      <c r="AE23" s="14">
        <v>0.67</v>
      </c>
      <c r="AF23" s="14">
        <v>0.76</v>
      </c>
    </row>
    <row r="24" spans="1:32">
      <c r="A24" s="23"/>
      <c r="B24" s="11" t="s">
        <v>520</v>
      </c>
      <c r="C24" s="12">
        <v>11666</v>
      </c>
      <c r="D24" s="12">
        <v>468</v>
      </c>
      <c r="E24" s="12">
        <v>524</v>
      </c>
      <c r="F24" s="12">
        <v>525</v>
      </c>
      <c r="G24" s="12">
        <v>263</v>
      </c>
      <c r="H24" s="12">
        <v>650</v>
      </c>
      <c r="I24" s="12">
        <v>782</v>
      </c>
      <c r="J24" s="12">
        <v>132</v>
      </c>
      <c r="K24" s="12">
        <v>319</v>
      </c>
      <c r="L24" s="12">
        <v>421</v>
      </c>
      <c r="M24" s="12">
        <v>295</v>
      </c>
      <c r="N24" s="12">
        <v>367</v>
      </c>
      <c r="O24" s="12">
        <v>484</v>
      </c>
      <c r="P24" s="12">
        <v>428</v>
      </c>
      <c r="Q24" s="12">
        <v>428</v>
      </c>
      <c r="R24" s="12">
        <v>201</v>
      </c>
      <c r="S24" s="12">
        <v>362</v>
      </c>
      <c r="T24" s="12">
        <v>304</v>
      </c>
      <c r="U24" s="12">
        <v>190</v>
      </c>
      <c r="V24" s="12">
        <v>512</v>
      </c>
      <c r="W24" s="12">
        <v>84</v>
      </c>
      <c r="X24" s="12">
        <v>260</v>
      </c>
      <c r="Y24" s="12">
        <v>323</v>
      </c>
      <c r="Z24" s="12">
        <v>539</v>
      </c>
      <c r="AA24" s="12">
        <v>413</v>
      </c>
      <c r="AB24" s="12">
        <v>659</v>
      </c>
      <c r="AC24" s="12">
        <v>315</v>
      </c>
      <c r="AD24" s="12">
        <v>433</v>
      </c>
      <c r="AE24" s="12">
        <v>225</v>
      </c>
      <c r="AF24" s="12">
        <v>198</v>
      </c>
    </row>
    <row r="25" spans="1:32">
      <c r="A25" s="23"/>
      <c r="B25" s="13" t="s">
        <v>521</v>
      </c>
      <c r="C25" s="14">
        <v>0.44</v>
      </c>
      <c r="D25" s="14">
        <v>0.46</v>
      </c>
      <c r="E25" s="14">
        <v>0.5</v>
      </c>
      <c r="F25" s="14">
        <v>0.52</v>
      </c>
      <c r="G25" s="14">
        <v>0.26</v>
      </c>
      <c r="H25" s="14">
        <v>0.54</v>
      </c>
      <c r="I25" s="14">
        <v>0.52</v>
      </c>
      <c r="J25" s="14">
        <v>0.45</v>
      </c>
      <c r="K25" s="14">
        <v>0.31</v>
      </c>
      <c r="L25" s="14">
        <v>0.41</v>
      </c>
      <c r="M25" s="14">
        <v>0.28999999999999998</v>
      </c>
      <c r="N25" s="14">
        <v>0.37</v>
      </c>
      <c r="O25" s="14">
        <v>0.48</v>
      </c>
      <c r="P25" s="14">
        <v>0.42</v>
      </c>
      <c r="Q25" s="14">
        <v>0.42</v>
      </c>
      <c r="R25" s="14">
        <v>0.4</v>
      </c>
      <c r="S25" s="14">
        <v>0.36</v>
      </c>
      <c r="T25" s="14">
        <v>0.31</v>
      </c>
      <c r="U25" s="14">
        <v>0.38</v>
      </c>
      <c r="V25" s="14">
        <v>0.51</v>
      </c>
      <c r="W25" s="14">
        <v>0.17</v>
      </c>
      <c r="X25" s="14">
        <v>0.26</v>
      </c>
      <c r="Y25" s="14">
        <v>0.32</v>
      </c>
      <c r="Z25" s="14">
        <v>0.53</v>
      </c>
      <c r="AA25" s="14">
        <v>0.39</v>
      </c>
      <c r="AB25" s="14">
        <v>0.64</v>
      </c>
      <c r="AC25" s="14">
        <v>0.31</v>
      </c>
      <c r="AD25" s="14">
        <v>0.43</v>
      </c>
      <c r="AE25" s="14">
        <v>0.22</v>
      </c>
      <c r="AF25" s="14">
        <v>0.19</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0-000000000000}">
  <dimension ref="A1:AF17"/>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36" customHeight="1">
      <c r="B3" s="19" t="s">
        <v>267</v>
      </c>
      <c r="C3" s="19"/>
      <c r="D3" s="19"/>
      <c r="E3" s="19"/>
      <c r="F3" s="19"/>
      <c r="H3" s="19" t="s">
        <v>268</v>
      </c>
      <c r="I3" s="19"/>
      <c r="J3" s="19"/>
      <c r="K3" s="19"/>
      <c r="L3" s="19"/>
    </row>
    <row r="4" spans="1:32" ht="27" customHeight="1">
      <c r="B4" s="19"/>
      <c r="C4" s="19"/>
      <c r="D4" s="19"/>
      <c r="E4" s="19"/>
      <c r="F4" s="19"/>
      <c r="H4" s="19"/>
      <c r="I4" s="19"/>
      <c r="J4" s="19"/>
      <c r="K4" s="19"/>
      <c r="L4" s="19"/>
    </row>
    <row r="5" spans="1:32" ht="12" customHeight="1">
      <c r="B5" s="19" t="s">
        <v>1370</v>
      </c>
      <c r="C5" s="19"/>
      <c r="D5" s="19"/>
      <c r="E5" s="19"/>
      <c r="F5" s="19"/>
      <c r="H5" s="19" t="s">
        <v>1371</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HYPERLINK("#Content!A135","&lt;&lt;Back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7847</v>
      </c>
      <c r="D10" s="10">
        <v>515</v>
      </c>
      <c r="E10" s="10">
        <v>284</v>
      </c>
      <c r="F10" s="10">
        <v>261</v>
      </c>
      <c r="G10" s="10">
        <v>692</v>
      </c>
      <c r="H10" s="10">
        <v>380</v>
      </c>
      <c r="I10" s="10">
        <v>479</v>
      </c>
      <c r="J10" s="10">
        <v>100</v>
      </c>
      <c r="K10" s="10">
        <v>492</v>
      </c>
      <c r="L10" s="10">
        <v>396</v>
      </c>
      <c r="M10" s="10">
        <v>147</v>
      </c>
      <c r="N10" s="10">
        <v>260</v>
      </c>
      <c r="O10" s="10">
        <v>230</v>
      </c>
      <c r="P10" s="10">
        <v>238</v>
      </c>
      <c r="Q10" s="10">
        <v>224</v>
      </c>
      <c r="R10" s="10">
        <v>101</v>
      </c>
      <c r="S10" s="10">
        <v>407</v>
      </c>
      <c r="T10" s="10">
        <v>330</v>
      </c>
      <c r="U10" s="10">
        <v>287</v>
      </c>
      <c r="V10" s="10">
        <v>236</v>
      </c>
      <c r="W10" s="10">
        <v>251</v>
      </c>
      <c r="X10" s="10">
        <v>761</v>
      </c>
      <c r="Y10" s="10">
        <v>452</v>
      </c>
      <c r="Z10" s="10">
        <v>218</v>
      </c>
      <c r="AA10" s="10">
        <v>123</v>
      </c>
      <c r="AB10" s="10">
        <v>133</v>
      </c>
      <c r="AC10" s="10">
        <v>405</v>
      </c>
      <c r="AD10" s="10">
        <v>252</v>
      </c>
      <c r="AE10" s="10">
        <v>597</v>
      </c>
      <c r="AF10" s="10">
        <v>702</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1109</v>
      </c>
      <c r="C12" s="12">
        <v>6130</v>
      </c>
      <c r="D12" s="12">
        <v>379</v>
      </c>
      <c r="E12" s="12">
        <v>177</v>
      </c>
      <c r="F12" s="12">
        <v>203</v>
      </c>
      <c r="G12" s="12">
        <v>562</v>
      </c>
      <c r="H12" s="12">
        <v>307</v>
      </c>
      <c r="I12" s="12">
        <v>384</v>
      </c>
      <c r="J12" s="12">
        <v>77</v>
      </c>
      <c r="K12" s="12">
        <v>371</v>
      </c>
      <c r="L12" s="12">
        <v>344</v>
      </c>
      <c r="M12" s="12">
        <v>129</v>
      </c>
      <c r="N12" s="12">
        <v>202</v>
      </c>
      <c r="O12" s="12">
        <v>158</v>
      </c>
      <c r="P12" s="12">
        <v>186</v>
      </c>
      <c r="Q12" s="12">
        <v>179</v>
      </c>
      <c r="R12" s="12">
        <v>91</v>
      </c>
      <c r="S12" s="12">
        <v>298</v>
      </c>
      <c r="T12" s="12">
        <v>293</v>
      </c>
      <c r="U12" s="12">
        <v>233</v>
      </c>
      <c r="V12" s="12">
        <v>187</v>
      </c>
      <c r="W12" s="12">
        <v>232</v>
      </c>
      <c r="X12" s="12">
        <v>611</v>
      </c>
      <c r="Y12" s="12">
        <v>355</v>
      </c>
      <c r="Z12" s="12">
        <v>162</v>
      </c>
      <c r="AA12" s="12">
        <v>91</v>
      </c>
      <c r="AB12" s="12">
        <v>97</v>
      </c>
      <c r="AC12" s="12">
        <v>363</v>
      </c>
      <c r="AD12" s="12">
        <v>175</v>
      </c>
      <c r="AE12" s="12">
        <v>517</v>
      </c>
      <c r="AF12" s="12">
        <v>612</v>
      </c>
    </row>
    <row r="13" spans="1:32">
      <c r="A13" s="23"/>
      <c r="B13" s="13" t="s">
        <v>1110</v>
      </c>
      <c r="C13" s="14">
        <v>0.78</v>
      </c>
      <c r="D13" s="14">
        <v>0.74</v>
      </c>
      <c r="E13" s="14">
        <v>0.62</v>
      </c>
      <c r="F13" s="14">
        <v>0.77</v>
      </c>
      <c r="G13" s="14">
        <v>0.81</v>
      </c>
      <c r="H13" s="14">
        <v>0.81</v>
      </c>
      <c r="I13" s="14">
        <v>0.8</v>
      </c>
      <c r="J13" s="14">
        <v>0.77</v>
      </c>
      <c r="K13" s="14">
        <v>0.75</v>
      </c>
      <c r="L13" s="14">
        <v>0.87</v>
      </c>
      <c r="M13" s="14">
        <v>0.88</v>
      </c>
      <c r="N13" s="14">
        <v>0.78</v>
      </c>
      <c r="O13" s="14">
        <v>0.69000000000000006</v>
      </c>
      <c r="P13" s="14">
        <v>0.78</v>
      </c>
      <c r="Q13" s="14">
        <v>0.8</v>
      </c>
      <c r="R13" s="14">
        <v>0.9</v>
      </c>
      <c r="S13" s="14">
        <v>0.73</v>
      </c>
      <c r="T13" s="14">
        <v>0.89</v>
      </c>
      <c r="U13" s="14">
        <v>0.81</v>
      </c>
      <c r="V13" s="14">
        <v>0.79</v>
      </c>
      <c r="W13" s="14">
        <v>0.93</v>
      </c>
      <c r="X13" s="14">
        <v>0.8</v>
      </c>
      <c r="Y13" s="14">
        <v>0.78</v>
      </c>
      <c r="Z13" s="14">
        <v>0.74</v>
      </c>
      <c r="AA13" s="14">
        <v>0.74</v>
      </c>
      <c r="AB13" s="14">
        <v>0.73</v>
      </c>
      <c r="AC13" s="14">
        <v>0.9</v>
      </c>
      <c r="AD13" s="14">
        <v>0.70000000000000007</v>
      </c>
      <c r="AE13" s="14">
        <v>0.87</v>
      </c>
      <c r="AF13" s="14">
        <v>0.87</v>
      </c>
    </row>
    <row r="14" spans="1:32">
      <c r="A14" s="23"/>
      <c r="B14" s="11" t="s">
        <v>1111</v>
      </c>
      <c r="C14" s="12">
        <v>1481</v>
      </c>
      <c r="D14" s="12">
        <v>129</v>
      </c>
      <c r="E14" s="12">
        <v>89</v>
      </c>
      <c r="F14" s="12">
        <v>49</v>
      </c>
      <c r="G14" s="12">
        <v>98</v>
      </c>
      <c r="H14" s="12">
        <v>67</v>
      </c>
      <c r="I14" s="12">
        <v>84</v>
      </c>
      <c r="J14" s="12">
        <v>17</v>
      </c>
      <c r="K14" s="12">
        <v>90</v>
      </c>
      <c r="L14" s="12">
        <v>42</v>
      </c>
      <c r="M14" s="12">
        <v>16</v>
      </c>
      <c r="N14" s="12">
        <v>53</v>
      </c>
      <c r="O14" s="12">
        <v>61</v>
      </c>
      <c r="P14" s="12">
        <v>50</v>
      </c>
      <c r="Q14" s="12">
        <v>37</v>
      </c>
      <c r="R14" s="12">
        <v>6</v>
      </c>
      <c r="S14" s="12">
        <v>74</v>
      </c>
      <c r="T14" s="12">
        <v>36</v>
      </c>
      <c r="U14" s="12">
        <v>48</v>
      </c>
      <c r="V14" s="12">
        <v>40</v>
      </c>
      <c r="W14" s="12">
        <v>11</v>
      </c>
      <c r="X14" s="12">
        <v>125</v>
      </c>
      <c r="Y14" s="12">
        <v>76</v>
      </c>
      <c r="Z14" s="12">
        <v>54</v>
      </c>
      <c r="AA14" s="12">
        <v>29</v>
      </c>
      <c r="AB14" s="12">
        <v>34</v>
      </c>
      <c r="AC14" s="12">
        <v>41</v>
      </c>
      <c r="AD14" s="12">
        <v>57</v>
      </c>
      <c r="AE14" s="12">
        <v>61</v>
      </c>
      <c r="AF14" s="12">
        <v>75</v>
      </c>
    </row>
    <row r="15" spans="1:32">
      <c r="A15" s="23"/>
      <c r="B15" s="13" t="s">
        <v>1112</v>
      </c>
      <c r="C15" s="14">
        <v>0.19</v>
      </c>
      <c r="D15" s="14">
        <v>0.25</v>
      </c>
      <c r="E15" s="14">
        <v>0.31</v>
      </c>
      <c r="F15" s="14">
        <v>0.19</v>
      </c>
      <c r="G15" s="14">
        <v>0.14000000000000001</v>
      </c>
      <c r="H15" s="14">
        <v>0.18</v>
      </c>
      <c r="I15" s="14">
        <v>0.18</v>
      </c>
      <c r="J15" s="14">
        <v>0.17</v>
      </c>
      <c r="K15" s="14">
        <v>0.18</v>
      </c>
      <c r="L15" s="14">
        <v>0.11</v>
      </c>
      <c r="M15" s="14">
        <v>0.11</v>
      </c>
      <c r="N15" s="14">
        <v>0.2</v>
      </c>
      <c r="O15" s="14">
        <v>0.26</v>
      </c>
      <c r="P15" s="14">
        <v>0.21</v>
      </c>
      <c r="Q15" s="14">
        <v>0.17</v>
      </c>
      <c r="R15" s="14">
        <v>0.05</v>
      </c>
      <c r="S15" s="14">
        <v>0.18</v>
      </c>
      <c r="T15" s="14">
        <v>0.11</v>
      </c>
      <c r="U15" s="14">
        <v>0.17</v>
      </c>
      <c r="V15" s="14">
        <v>0.17</v>
      </c>
      <c r="W15" s="14">
        <v>0.04</v>
      </c>
      <c r="X15" s="14">
        <v>0.17</v>
      </c>
      <c r="Y15" s="14">
        <v>0.17</v>
      </c>
      <c r="Z15" s="14">
        <v>0.25</v>
      </c>
      <c r="AA15" s="14">
        <v>0.23</v>
      </c>
      <c r="AB15" s="14">
        <v>0.25</v>
      </c>
      <c r="AC15" s="14">
        <v>0.1</v>
      </c>
      <c r="AD15" s="14">
        <v>0.23</v>
      </c>
      <c r="AE15" s="14">
        <v>0.1</v>
      </c>
      <c r="AF15" s="14">
        <v>0.11</v>
      </c>
    </row>
    <row r="16" spans="1:32">
      <c r="A16" s="23"/>
      <c r="B16" s="11" t="s">
        <v>497</v>
      </c>
      <c r="C16" s="12">
        <v>237</v>
      </c>
      <c r="D16" s="12">
        <v>7</v>
      </c>
      <c r="E16" s="12">
        <v>19</v>
      </c>
      <c r="F16" s="12">
        <v>10</v>
      </c>
      <c r="G16" s="12">
        <v>32</v>
      </c>
      <c r="H16" s="12">
        <v>6</v>
      </c>
      <c r="I16" s="12">
        <v>12</v>
      </c>
      <c r="J16" s="12">
        <v>6</v>
      </c>
      <c r="K16" s="12">
        <v>31</v>
      </c>
      <c r="L16" s="12">
        <v>10</v>
      </c>
      <c r="M16" s="12">
        <v>2</v>
      </c>
      <c r="N16" s="12">
        <v>5</v>
      </c>
      <c r="O16" s="12">
        <v>12</v>
      </c>
      <c r="P16" s="12">
        <v>1</v>
      </c>
      <c r="Q16" s="12">
        <v>8</v>
      </c>
      <c r="R16" s="12">
        <v>5</v>
      </c>
      <c r="S16" s="12">
        <v>35</v>
      </c>
      <c r="T16" s="12">
        <v>1</v>
      </c>
      <c r="U16" s="12">
        <v>6</v>
      </c>
      <c r="V16" s="12">
        <v>9</v>
      </c>
      <c r="W16" s="12">
        <v>8</v>
      </c>
      <c r="X16" s="12">
        <v>25</v>
      </c>
      <c r="Y16" s="12">
        <v>21</v>
      </c>
      <c r="Z16" s="12">
        <v>2</v>
      </c>
      <c r="AA16" s="12">
        <v>3</v>
      </c>
      <c r="AB16" s="12">
        <v>2</v>
      </c>
      <c r="AC16" s="12">
        <v>1</v>
      </c>
      <c r="AD16" s="12">
        <v>19</v>
      </c>
      <c r="AE16" s="12">
        <v>18</v>
      </c>
      <c r="AF16" s="12">
        <v>15</v>
      </c>
    </row>
    <row r="17" spans="1:32">
      <c r="A17" s="23"/>
      <c r="B17" s="13" t="s">
        <v>498</v>
      </c>
      <c r="C17" s="14">
        <v>0.03</v>
      </c>
      <c r="D17" s="14">
        <v>0.01</v>
      </c>
      <c r="E17" s="14">
        <v>7.0000000000000007E-2</v>
      </c>
      <c r="F17" s="14">
        <v>0.04</v>
      </c>
      <c r="G17" s="14">
        <v>0.05</v>
      </c>
      <c r="H17" s="14">
        <v>0.01</v>
      </c>
      <c r="I17" s="14">
        <v>0.02</v>
      </c>
      <c r="J17" s="14">
        <v>0.06</v>
      </c>
      <c r="K17" s="14">
        <v>7.0000000000000007E-2</v>
      </c>
      <c r="L17" s="14">
        <v>0.02</v>
      </c>
      <c r="M17" s="14">
        <v>0.01</v>
      </c>
      <c r="N17" s="14">
        <v>0.02</v>
      </c>
      <c r="O17" s="14">
        <v>0.05</v>
      </c>
      <c r="P17" s="14">
        <v>0.01</v>
      </c>
      <c r="Q17" s="14">
        <v>0.03</v>
      </c>
      <c r="R17" s="14">
        <v>0.05</v>
      </c>
      <c r="S17" s="14">
        <v>0.09</v>
      </c>
      <c r="T17" s="15" t="s">
        <v>485</v>
      </c>
      <c r="U17" s="14">
        <v>0.02</v>
      </c>
      <c r="V17" s="14">
        <v>0.04</v>
      </c>
      <c r="W17" s="14">
        <v>0.03</v>
      </c>
      <c r="X17" s="14">
        <v>0.03</v>
      </c>
      <c r="Y17" s="14">
        <v>0.05</v>
      </c>
      <c r="Z17" s="14">
        <v>0.01</v>
      </c>
      <c r="AA17" s="14">
        <v>0.03</v>
      </c>
      <c r="AB17" s="14">
        <v>0.02</v>
      </c>
      <c r="AC17" s="15" t="s">
        <v>485</v>
      </c>
      <c r="AD17" s="14">
        <v>7.0000000000000007E-2</v>
      </c>
      <c r="AE17" s="14">
        <v>0.03</v>
      </c>
      <c r="AF17" s="14">
        <v>0.02</v>
      </c>
    </row>
  </sheetData>
  <mergeCells count="9">
    <mergeCell ref="B10:B11"/>
    <mergeCell ref="A10:A17"/>
    <mergeCell ref="H4:L4"/>
    <mergeCell ref="B4:F4"/>
    <mergeCell ref="H3:L3"/>
    <mergeCell ref="C8:AF8"/>
    <mergeCell ref="B3:F3"/>
    <mergeCell ref="B5:F5"/>
    <mergeCell ref="H5:L5"/>
  </mergeCells>
  <pageMargins left="0.75" right="0.75" top="1" bottom="1" header="0.5" footer="0.5"/>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0-000000000000}">
  <dimension ref="A1:AF17"/>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36" customHeight="1">
      <c r="B3" s="19" t="s">
        <v>1372</v>
      </c>
      <c r="C3" s="19"/>
      <c r="D3" s="19"/>
      <c r="E3" s="19"/>
      <c r="F3" s="19"/>
      <c r="H3" s="19" t="s">
        <v>1373</v>
      </c>
      <c r="I3" s="19"/>
      <c r="J3" s="19"/>
      <c r="K3" s="19"/>
      <c r="L3" s="19"/>
    </row>
    <row r="4" spans="1:32" ht="27" customHeight="1">
      <c r="B4" s="19" t="s">
        <v>1374</v>
      </c>
      <c r="C4" s="19"/>
      <c r="D4" s="19"/>
      <c r="E4" s="19"/>
      <c r="F4" s="19"/>
      <c r="H4" s="19" t="s">
        <v>1375</v>
      </c>
      <c r="I4" s="19"/>
      <c r="J4" s="19"/>
      <c r="K4" s="19"/>
      <c r="L4" s="19"/>
    </row>
    <row r="5" spans="1:32" ht="36" customHeight="1">
      <c r="B5" s="19" t="s">
        <v>1376</v>
      </c>
      <c r="C5" s="19"/>
      <c r="D5" s="19"/>
      <c r="E5" s="19"/>
      <c r="F5" s="19"/>
      <c r="H5" s="19" t="s">
        <v>1377</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HYPERLINK("#Content!A136","&lt;&lt;Back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7847</v>
      </c>
      <c r="D10" s="10">
        <v>515</v>
      </c>
      <c r="E10" s="10">
        <v>284</v>
      </c>
      <c r="F10" s="10">
        <v>261</v>
      </c>
      <c r="G10" s="10">
        <v>692</v>
      </c>
      <c r="H10" s="10">
        <v>380</v>
      </c>
      <c r="I10" s="10">
        <v>479</v>
      </c>
      <c r="J10" s="10">
        <v>100</v>
      </c>
      <c r="K10" s="10">
        <v>492</v>
      </c>
      <c r="L10" s="10">
        <v>396</v>
      </c>
      <c r="M10" s="10">
        <v>147</v>
      </c>
      <c r="N10" s="10">
        <v>260</v>
      </c>
      <c r="O10" s="10">
        <v>230</v>
      </c>
      <c r="P10" s="10">
        <v>238</v>
      </c>
      <c r="Q10" s="10">
        <v>224</v>
      </c>
      <c r="R10" s="10">
        <v>101</v>
      </c>
      <c r="S10" s="10">
        <v>407</v>
      </c>
      <c r="T10" s="10">
        <v>330</v>
      </c>
      <c r="U10" s="10">
        <v>287</v>
      </c>
      <c r="V10" s="10">
        <v>236</v>
      </c>
      <c r="W10" s="10">
        <v>251</v>
      </c>
      <c r="X10" s="10">
        <v>761</v>
      </c>
      <c r="Y10" s="10">
        <v>452</v>
      </c>
      <c r="Z10" s="10">
        <v>218</v>
      </c>
      <c r="AA10" s="10">
        <v>123</v>
      </c>
      <c r="AB10" s="10">
        <v>133</v>
      </c>
      <c r="AC10" s="10">
        <v>405</v>
      </c>
      <c r="AD10" s="10">
        <v>252</v>
      </c>
      <c r="AE10" s="10">
        <v>597</v>
      </c>
      <c r="AF10" s="10">
        <v>702</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1109</v>
      </c>
      <c r="C12" s="12">
        <v>1900</v>
      </c>
      <c r="D12" s="12">
        <v>133</v>
      </c>
      <c r="E12" s="12">
        <v>83</v>
      </c>
      <c r="F12" s="12">
        <v>48</v>
      </c>
      <c r="G12" s="12">
        <v>130</v>
      </c>
      <c r="H12" s="12">
        <v>81</v>
      </c>
      <c r="I12" s="12">
        <v>100</v>
      </c>
      <c r="J12" s="12">
        <v>19</v>
      </c>
      <c r="K12" s="12">
        <v>146</v>
      </c>
      <c r="L12" s="12">
        <v>123</v>
      </c>
      <c r="M12" s="12">
        <v>28</v>
      </c>
      <c r="N12" s="12">
        <v>37</v>
      </c>
      <c r="O12" s="12">
        <v>54</v>
      </c>
      <c r="P12" s="12">
        <v>90</v>
      </c>
      <c r="Q12" s="12">
        <v>75</v>
      </c>
      <c r="R12" s="12">
        <v>20</v>
      </c>
      <c r="S12" s="12">
        <v>123</v>
      </c>
      <c r="T12" s="12">
        <v>100</v>
      </c>
      <c r="U12" s="12">
        <v>88</v>
      </c>
      <c r="V12" s="12">
        <v>73</v>
      </c>
      <c r="W12" s="12">
        <v>57</v>
      </c>
      <c r="X12" s="12">
        <v>169</v>
      </c>
      <c r="Y12" s="12">
        <v>171</v>
      </c>
      <c r="Z12" s="12">
        <v>97</v>
      </c>
      <c r="AA12" s="12">
        <v>12</v>
      </c>
      <c r="AB12" s="12">
        <v>55</v>
      </c>
      <c r="AC12" s="12">
        <v>118</v>
      </c>
      <c r="AD12" s="12">
        <v>47</v>
      </c>
      <c r="AE12" s="12">
        <v>56</v>
      </c>
      <c r="AF12" s="12">
        <v>83</v>
      </c>
    </row>
    <row r="13" spans="1:32">
      <c r="A13" s="23"/>
      <c r="B13" s="13" t="s">
        <v>1110</v>
      </c>
      <c r="C13" s="14">
        <v>0.24</v>
      </c>
      <c r="D13" s="14">
        <v>0.26</v>
      </c>
      <c r="E13" s="14">
        <v>0.28999999999999998</v>
      </c>
      <c r="F13" s="14">
        <v>0.18</v>
      </c>
      <c r="G13" s="14">
        <v>0.19</v>
      </c>
      <c r="H13" s="14">
        <v>0.21</v>
      </c>
      <c r="I13" s="14">
        <v>0.21</v>
      </c>
      <c r="J13" s="14">
        <v>0.19</v>
      </c>
      <c r="K13" s="14">
        <v>0.3</v>
      </c>
      <c r="L13" s="14">
        <v>0.31</v>
      </c>
      <c r="M13" s="14">
        <v>0.19</v>
      </c>
      <c r="N13" s="14">
        <v>0.14000000000000001</v>
      </c>
      <c r="O13" s="14">
        <v>0.23</v>
      </c>
      <c r="P13" s="14">
        <v>0.38</v>
      </c>
      <c r="Q13" s="14">
        <v>0.34</v>
      </c>
      <c r="R13" s="14">
        <v>0.2</v>
      </c>
      <c r="S13" s="14">
        <v>0.3</v>
      </c>
      <c r="T13" s="14">
        <v>0.3</v>
      </c>
      <c r="U13" s="14">
        <v>0.3</v>
      </c>
      <c r="V13" s="14">
        <v>0.31</v>
      </c>
      <c r="W13" s="14">
        <v>0.23</v>
      </c>
      <c r="X13" s="14">
        <v>0.22</v>
      </c>
      <c r="Y13" s="14">
        <v>0.38</v>
      </c>
      <c r="Z13" s="14">
        <v>0.45</v>
      </c>
      <c r="AA13" s="14">
        <v>0.1</v>
      </c>
      <c r="AB13" s="14">
        <v>0.41</v>
      </c>
      <c r="AC13" s="14">
        <v>0.28999999999999998</v>
      </c>
      <c r="AD13" s="14">
        <v>0.19</v>
      </c>
      <c r="AE13" s="14">
        <v>0.09</v>
      </c>
      <c r="AF13" s="14">
        <v>0.12</v>
      </c>
    </row>
    <row r="14" spans="1:32">
      <c r="A14" s="23"/>
      <c r="B14" s="11" t="s">
        <v>1111</v>
      </c>
      <c r="C14" s="12">
        <v>5674</v>
      </c>
      <c r="D14" s="12">
        <v>374</v>
      </c>
      <c r="E14" s="12">
        <v>183</v>
      </c>
      <c r="F14" s="12">
        <v>202</v>
      </c>
      <c r="G14" s="12">
        <v>547</v>
      </c>
      <c r="H14" s="12">
        <v>283</v>
      </c>
      <c r="I14" s="12">
        <v>362</v>
      </c>
      <c r="J14" s="12">
        <v>78</v>
      </c>
      <c r="K14" s="12">
        <v>312</v>
      </c>
      <c r="L14" s="12">
        <v>265</v>
      </c>
      <c r="M14" s="12">
        <v>115</v>
      </c>
      <c r="N14" s="12">
        <v>208</v>
      </c>
      <c r="O14" s="12">
        <v>165</v>
      </c>
      <c r="P14" s="12">
        <v>139</v>
      </c>
      <c r="Q14" s="12">
        <v>144</v>
      </c>
      <c r="R14" s="12">
        <v>77</v>
      </c>
      <c r="S14" s="12">
        <v>266</v>
      </c>
      <c r="T14" s="12">
        <v>214</v>
      </c>
      <c r="U14" s="12">
        <v>197</v>
      </c>
      <c r="V14" s="12">
        <v>160</v>
      </c>
      <c r="W14" s="12">
        <v>187</v>
      </c>
      <c r="X14" s="12">
        <v>567</v>
      </c>
      <c r="Y14" s="12">
        <v>264</v>
      </c>
      <c r="Z14" s="12">
        <v>116</v>
      </c>
      <c r="AA14" s="12">
        <v>108</v>
      </c>
      <c r="AB14" s="12">
        <v>76</v>
      </c>
      <c r="AC14" s="12">
        <v>281</v>
      </c>
      <c r="AD14" s="12">
        <v>189</v>
      </c>
      <c r="AE14" s="12">
        <v>525</v>
      </c>
      <c r="AF14" s="12">
        <v>605</v>
      </c>
    </row>
    <row r="15" spans="1:32">
      <c r="A15" s="23"/>
      <c r="B15" s="13" t="s">
        <v>1112</v>
      </c>
      <c r="C15" s="14">
        <v>0.72</v>
      </c>
      <c r="D15" s="14">
        <v>0.73</v>
      </c>
      <c r="E15" s="14">
        <v>0.64</v>
      </c>
      <c r="F15" s="14">
        <v>0.77</v>
      </c>
      <c r="G15" s="14">
        <v>0.79</v>
      </c>
      <c r="H15" s="14">
        <v>0.75</v>
      </c>
      <c r="I15" s="14">
        <v>0.75</v>
      </c>
      <c r="J15" s="14">
        <v>0.79</v>
      </c>
      <c r="K15" s="14">
        <v>0.63</v>
      </c>
      <c r="L15" s="14">
        <v>0.67</v>
      </c>
      <c r="M15" s="14">
        <v>0.79</v>
      </c>
      <c r="N15" s="14">
        <v>0.8</v>
      </c>
      <c r="O15" s="14">
        <v>0.72</v>
      </c>
      <c r="P15" s="14">
        <v>0.59</v>
      </c>
      <c r="Q15" s="14">
        <v>0.64</v>
      </c>
      <c r="R15" s="14">
        <v>0.76</v>
      </c>
      <c r="S15" s="14">
        <v>0.65</v>
      </c>
      <c r="T15" s="14">
        <v>0.65</v>
      </c>
      <c r="U15" s="14">
        <v>0.69000000000000006</v>
      </c>
      <c r="V15" s="14">
        <v>0.68</v>
      </c>
      <c r="W15" s="14">
        <v>0.74</v>
      </c>
      <c r="X15" s="14">
        <v>0.75</v>
      </c>
      <c r="Y15" s="14">
        <v>0.57999999999999996</v>
      </c>
      <c r="Z15" s="14">
        <v>0.53</v>
      </c>
      <c r="AA15" s="14">
        <v>0.88</v>
      </c>
      <c r="AB15" s="14">
        <v>0.57000000000000006</v>
      </c>
      <c r="AC15" s="14">
        <v>0.69000000000000006</v>
      </c>
      <c r="AD15" s="14">
        <v>0.75</v>
      </c>
      <c r="AE15" s="14">
        <v>0.88</v>
      </c>
      <c r="AF15" s="14">
        <v>0.86</v>
      </c>
    </row>
    <row r="16" spans="1:32">
      <c r="A16" s="23"/>
      <c r="B16" s="11" t="s">
        <v>497</v>
      </c>
      <c r="C16" s="12">
        <v>274</v>
      </c>
      <c r="D16" s="12">
        <v>8</v>
      </c>
      <c r="E16" s="12">
        <v>18</v>
      </c>
      <c r="F16" s="12">
        <v>12</v>
      </c>
      <c r="G16" s="12">
        <v>14</v>
      </c>
      <c r="H16" s="12">
        <v>16</v>
      </c>
      <c r="I16" s="12">
        <v>18</v>
      </c>
      <c r="J16" s="12">
        <v>2</v>
      </c>
      <c r="K16" s="12">
        <v>34</v>
      </c>
      <c r="L16" s="12">
        <v>8</v>
      </c>
      <c r="M16" s="12">
        <v>3</v>
      </c>
      <c r="N16" s="12">
        <v>15</v>
      </c>
      <c r="O16" s="12">
        <v>11</v>
      </c>
      <c r="P16" s="12">
        <v>8</v>
      </c>
      <c r="Q16" s="12">
        <v>5</v>
      </c>
      <c r="R16" s="12">
        <v>4</v>
      </c>
      <c r="S16" s="12">
        <v>19</v>
      </c>
      <c r="T16" s="12">
        <v>15</v>
      </c>
      <c r="U16" s="12">
        <v>2</v>
      </c>
      <c r="V16" s="12">
        <v>3</v>
      </c>
      <c r="W16" s="12">
        <v>7</v>
      </c>
      <c r="X16" s="12">
        <v>26</v>
      </c>
      <c r="Y16" s="12">
        <v>16</v>
      </c>
      <c r="Z16" s="12">
        <v>5</v>
      </c>
      <c r="AA16" s="12">
        <v>3</v>
      </c>
      <c r="AB16" s="12">
        <v>2</v>
      </c>
      <c r="AC16" s="12">
        <v>6</v>
      </c>
      <c r="AD16" s="12">
        <v>15</v>
      </c>
      <c r="AE16" s="12">
        <v>15</v>
      </c>
      <c r="AF16" s="12">
        <v>15</v>
      </c>
    </row>
    <row r="17" spans="1:32">
      <c r="A17" s="23"/>
      <c r="B17" s="13" t="s">
        <v>498</v>
      </c>
      <c r="C17" s="14">
        <v>0.04</v>
      </c>
      <c r="D17" s="14">
        <v>0.01</v>
      </c>
      <c r="E17" s="14">
        <v>7.0000000000000007E-2</v>
      </c>
      <c r="F17" s="14">
        <v>0.05</v>
      </c>
      <c r="G17" s="14">
        <v>0.02</v>
      </c>
      <c r="H17" s="14">
        <v>0.04</v>
      </c>
      <c r="I17" s="14">
        <v>0.04</v>
      </c>
      <c r="J17" s="14">
        <v>0.02</v>
      </c>
      <c r="K17" s="14">
        <v>7.0000000000000007E-2</v>
      </c>
      <c r="L17" s="14">
        <v>0.02</v>
      </c>
      <c r="M17" s="14">
        <v>0.02</v>
      </c>
      <c r="N17" s="14">
        <v>0.06</v>
      </c>
      <c r="O17" s="14">
        <v>0.05</v>
      </c>
      <c r="P17" s="14">
        <v>0.03</v>
      </c>
      <c r="Q17" s="14">
        <v>0.02</v>
      </c>
      <c r="R17" s="14">
        <v>0.04</v>
      </c>
      <c r="S17" s="14">
        <v>0.05</v>
      </c>
      <c r="T17" s="14">
        <v>0.05</v>
      </c>
      <c r="U17" s="14">
        <v>0.01</v>
      </c>
      <c r="V17" s="14">
        <v>0.01</v>
      </c>
      <c r="W17" s="14">
        <v>0.03</v>
      </c>
      <c r="X17" s="14">
        <v>0.03</v>
      </c>
      <c r="Y17" s="14">
        <v>0.04</v>
      </c>
      <c r="Z17" s="14">
        <v>0.02</v>
      </c>
      <c r="AA17" s="14">
        <v>0.02</v>
      </c>
      <c r="AB17" s="14">
        <v>0.02</v>
      </c>
      <c r="AC17" s="14">
        <v>0.02</v>
      </c>
      <c r="AD17" s="14">
        <v>0.06</v>
      </c>
      <c r="AE17" s="14">
        <v>0.03</v>
      </c>
      <c r="AF17" s="14">
        <v>0.02</v>
      </c>
    </row>
  </sheetData>
  <mergeCells count="9">
    <mergeCell ref="B10:B11"/>
    <mergeCell ref="A10:A17"/>
    <mergeCell ref="H4:L4"/>
    <mergeCell ref="B4:F4"/>
    <mergeCell ref="H3:L3"/>
    <mergeCell ref="C8:AF8"/>
    <mergeCell ref="B3:F3"/>
    <mergeCell ref="B5:F5"/>
    <mergeCell ref="H5:L5"/>
  </mergeCells>
  <pageMargins left="0.75" right="0.75" top="1" bottom="1" header="0.5" footer="0.5"/>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400-000000000000}">
  <dimension ref="A1:AF17"/>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36" customHeight="1">
      <c r="B3" s="19" t="s">
        <v>1378</v>
      </c>
      <c r="C3" s="19"/>
      <c r="D3" s="19"/>
      <c r="E3" s="19"/>
      <c r="F3" s="19"/>
      <c r="H3" s="19" t="s">
        <v>1379</v>
      </c>
      <c r="I3" s="19"/>
      <c r="J3" s="19"/>
      <c r="K3" s="19"/>
      <c r="L3" s="19"/>
    </row>
    <row r="4" spans="1:32" ht="27" customHeight="1">
      <c r="B4" s="19" t="s">
        <v>1380</v>
      </c>
      <c r="C4" s="19"/>
      <c r="D4" s="19"/>
      <c r="E4" s="19"/>
      <c r="F4" s="19"/>
      <c r="H4" s="19" t="s">
        <v>1381</v>
      </c>
      <c r="I4" s="19"/>
      <c r="J4" s="19"/>
      <c r="K4" s="19"/>
      <c r="L4" s="19"/>
    </row>
    <row r="5" spans="1:32" ht="36" customHeight="1">
      <c r="B5" s="19" t="s">
        <v>1376</v>
      </c>
      <c r="C5" s="19"/>
      <c r="D5" s="19"/>
      <c r="E5" s="19"/>
      <c r="F5" s="19"/>
      <c r="H5" s="19" t="s">
        <v>1377</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HYPERLINK("#Content!A137","&lt;&lt;Back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7847</v>
      </c>
      <c r="D10" s="10">
        <v>515</v>
      </c>
      <c r="E10" s="10">
        <v>284</v>
      </c>
      <c r="F10" s="10">
        <v>261</v>
      </c>
      <c r="G10" s="10">
        <v>692</v>
      </c>
      <c r="H10" s="10">
        <v>380</v>
      </c>
      <c r="I10" s="10">
        <v>479</v>
      </c>
      <c r="J10" s="10">
        <v>100</v>
      </c>
      <c r="K10" s="10">
        <v>492</v>
      </c>
      <c r="L10" s="10">
        <v>396</v>
      </c>
      <c r="M10" s="10">
        <v>147</v>
      </c>
      <c r="N10" s="10">
        <v>260</v>
      </c>
      <c r="O10" s="10">
        <v>230</v>
      </c>
      <c r="P10" s="10">
        <v>238</v>
      </c>
      <c r="Q10" s="10">
        <v>224</v>
      </c>
      <c r="R10" s="10">
        <v>101</v>
      </c>
      <c r="S10" s="10">
        <v>407</v>
      </c>
      <c r="T10" s="10">
        <v>330</v>
      </c>
      <c r="U10" s="10">
        <v>287</v>
      </c>
      <c r="V10" s="10">
        <v>236</v>
      </c>
      <c r="W10" s="10">
        <v>251</v>
      </c>
      <c r="X10" s="10">
        <v>761</v>
      </c>
      <c r="Y10" s="10">
        <v>452</v>
      </c>
      <c r="Z10" s="10">
        <v>218</v>
      </c>
      <c r="AA10" s="10">
        <v>123</v>
      </c>
      <c r="AB10" s="10">
        <v>133</v>
      </c>
      <c r="AC10" s="10">
        <v>405</v>
      </c>
      <c r="AD10" s="10">
        <v>252</v>
      </c>
      <c r="AE10" s="10">
        <v>597</v>
      </c>
      <c r="AF10" s="10">
        <v>702</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1109</v>
      </c>
      <c r="C12" s="12">
        <v>1454</v>
      </c>
      <c r="D12" s="12">
        <v>123</v>
      </c>
      <c r="E12" s="12">
        <v>54</v>
      </c>
      <c r="F12" s="12">
        <v>39</v>
      </c>
      <c r="G12" s="12">
        <v>104</v>
      </c>
      <c r="H12" s="12">
        <v>52</v>
      </c>
      <c r="I12" s="12">
        <v>63</v>
      </c>
      <c r="J12" s="12">
        <v>12</v>
      </c>
      <c r="K12" s="12">
        <v>109</v>
      </c>
      <c r="L12" s="12">
        <v>72</v>
      </c>
      <c r="M12" s="12">
        <v>21</v>
      </c>
      <c r="N12" s="12">
        <v>29</v>
      </c>
      <c r="O12" s="12">
        <v>48</v>
      </c>
      <c r="P12" s="12">
        <v>62</v>
      </c>
      <c r="Q12" s="12">
        <v>50</v>
      </c>
      <c r="R12" s="12">
        <v>13</v>
      </c>
      <c r="S12" s="12">
        <v>99</v>
      </c>
      <c r="T12" s="12">
        <v>99</v>
      </c>
      <c r="U12" s="12">
        <v>54</v>
      </c>
      <c r="V12" s="12">
        <v>59</v>
      </c>
      <c r="W12" s="12">
        <v>45</v>
      </c>
      <c r="X12" s="12">
        <v>112</v>
      </c>
      <c r="Y12" s="12">
        <v>123</v>
      </c>
      <c r="Z12" s="12">
        <v>85</v>
      </c>
      <c r="AA12" s="12">
        <v>17</v>
      </c>
      <c r="AB12" s="12">
        <v>55</v>
      </c>
      <c r="AC12" s="12">
        <v>69</v>
      </c>
      <c r="AD12" s="12">
        <v>58</v>
      </c>
      <c r="AE12" s="12">
        <v>43</v>
      </c>
      <c r="AF12" s="12">
        <v>76</v>
      </c>
    </row>
    <row r="13" spans="1:32">
      <c r="A13" s="23"/>
      <c r="B13" s="13" t="s">
        <v>1110</v>
      </c>
      <c r="C13" s="14">
        <v>0.19</v>
      </c>
      <c r="D13" s="14">
        <v>0.24</v>
      </c>
      <c r="E13" s="14">
        <v>0.19</v>
      </c>
      <c r="F13" s="14">
        <v>0.15</v>
      </c>
      <c r="G13" s="14">
        <v>0.15</v>
      </c>
      <c r="H13" s="14">
        <v>0.14000000000000001</v>
      </c>
      <c r="I13" s="14">
        <v>0.13</v>
      </c>
      <c r="J13" s="14">
        <v>0.12</v>
      </c>
      <c r="K13" s="14">
        <v>0.22</v>
      </c>
      <c r="L13" s="14">
        <v>0.18</v>
      </c>
      <c r="M13" s="14">
        <v>0.14000000000000001</v>
      </c>
      <c r="N13" s="14">
        <v>0.11</v>
      </c>
      <c r="O13" s="14">
        <v>0.21</v>
      </c>
      <c r="P13" s="14">
        <v>0.26</v>
      </c>
      <c r="Q13" s="14">
        <v>0.22</v>
      </c>
      <c r="R13" s="14">
        <v>0.13</v>
      </c>
      <c r="S13" s="14">
        <v>0.24</v>
      </c>
      <c r="T13" s="14">
        <v>0.3</v>
      </c>
      <c r="U13" s="14">
        <v>0.19</v>
      </c>
      <c r="V13" s="14">
        <v>0.25</v>
      </c>
      <c r="W13" s="14">
        <v>0.18</v>
      </c>
      <c r="X13" s="14">
        <v>0.15</v>
      </c>
      <c r="Y13" s="14">
        <v>0.27</v>
      </c>
      <c r="Z13" s="14">
        <v>0.39</v>
      </c>
      <c r="AA13" s="14">
        <v>0.14000000000000001</v>
      </c>
      <c r="AB13" s="14">
        <v>0.41</v>
      </c>
      <c r="AC13" s="14">
        <v>0.17</v>
      </c>
      <c r="AD13" s="14">
        <v>0.23</v>
      </c>
      <c r="AE13" s="14">
        <v>7.0000000000000007E-2</v>
      </c>
      <c r="AF13" s="14">
        <v>0.11</v>
      </c>
    </row>
    <row r="14" spans="1:32">
      <c r="A14" s="23"/>
      <c r="B14" s="11" t="s">
        <v>1111</v>
      </c>
      <c r="C14" s="12">
        <v>6129</v>
      </c>
      <c r="D14" s="12">
        <v>389</v>
      </c>
      <c r="E14" s="12">
        <v>213</v>
      </c>
      <c r="F14" s="12">
        <v>209</v>
      </c>
      <c r="G14" s="12">
        <v>572</v>
      </c>
      <c r="H14" s="12">
        <v>308</v>
      </c>
      <c r="I14" s="12">
        <v>393</v>
      </c>
      <c r="J14" s="12">
        <v>85</v>
      </c>
      <c r="K14" s="12">
        <v>343</v>
      </c>
      <c r="L14" s="12">
        <v>315</v>
      </c>
      <c r="M14" s="12">
        <v>124</v>
      </c>
      <c r="N14" s="12">
        <v>220</v>
      </c>
      <c r="O14" s="12">
        <v>174</v>
      </c>
      <c r="P14" s="12">
        <v>168</v>
      </c>
      <c r="Q14" s="12">
        <v>170</v>
      </c>
      <c r="R14" s="12">
        <v>85</v>
      </c>
      <c r="S14" s="12">
        <v>289</v>
      </c>
      <c r="T14" s="12">
        <v>209</v>
      </c>
      <c r="U14" s="12">
        <v>227</v>
      </c>
      <c r="V14" s="12">
        <v>170</v>
      </c>
      <c r="W14" s="12">
        <v>203</v>
      </c>
      <c r="X14" s="12">
        <v>637</v>
      </c>
      <c r="Y14" s="12">
        <v>319</v>
      </c>
      <c r="Z14" s="12">
        <v>126</v>
      </c>
      <c r="AA14" s="12">
        <v>102</v>
      </c>
      <c r="AB14" s="12">
        <v>73</v>
      </c>
      <c r="AC14" s="12">
        <v>330</v>
      </c>
      <c r="AD14" s="12">
        <v>160</v>
      </c>
      <c r="AE14" s="12">
        <v>535</v>
      </c>
      <c r="AF14" s="12">
        <v>599</v>
      </c>
    </row>
    <row r="15" spans="1:32">
      <c r="A15" s="23"/>
      <c r="B15" s="13" t="s">
        <v>1112</v>
      </c>
      <c r="C15" s="14">
        <v>0.78</v>
      </c>
      <c r="D15" s="14">
        <v>0.75</v>
      </c>
      <c r="E15" s="14">
        <v>0.75</v>
      </c>
      <c r="F15" s="14">
        <v>0.8</v>
      </c>
      <c r="G15" s="14">
        <v>0.83000000000000007</v>
      </c>
      <c r="H15" s="14">
        <v>0.81</v>
      </c>
      <c r="I15" s="14">
        <v>0.82000000000000006</v>
      </c>
      <c r="J15" s="14">
        <v>0.85</v>
      </c>
      <c r="K15" s="14">
        <v>0.70000000000000007</v>
      </c>
      <c r="L15" s="14">
        <v>0.8</v>
      </c>
      <c r="M15" s="14">
        <v>0.85</v>
      </c>
      <c r="N15" s="14">
        <v>0.85</v>
      </c>
      <c r="O15" s="14">
        <v>0.76</v>
      </c>
      <c r="P15" s="14">
        <v>0.71</v>
      </c>
      <c r="Q15" s="14">
        <v>0.76</v>
      </c>
      <c r="R15" s="14">
        <v>0.84</v>
      </c>
      <c r="S15" s="14">
        <v>0.71</v>
      </c>
      <c r="T15" s="14">
        <v>0.63</v>
      </c>
      <c r="U15" s="14">
        <v>0.79</v>
      </c>
      <c r="V15" s="14">
        <v>0.72</v>
      </c>
      <c r="W15" s="14">
        <v>0.81</v>
      </c>
      <c r="X15" s="14">
        <v>0.84</v>
      </c>
      <c r="Y15" s="14">
        <v>0.71</v>
      </c>
      <c r="Z15" s="14">
        <v>0.57999999999999996</v>
      </c>
      <c r="AA15" s="14">
        <v>0.83000000000000007</v>
      </c>
      <c r="AB15" s="14">
        <v>0.55000000000000004</v>
      </c>
      <c r="AC15" s="14">
        <v>0.81</v>
      </c>
      <c r="AD15" s="14">
        <v>0.64</v>
      </c>
      <c r="AE15" s="14">
        <v>0.9</v>
      </c>
      <c r="AF15" s="14">
        <v>0.85</v>
      </c>
    </row>
    <row r="16" spans="1:32">
      <c r="A16" s="23"/>
      <c r="B16" s="11" t="s">
        <v>497</v>
      </c>
      <c r="C16" s="12">
        <v>264</v>
      </c>
      <c r="D16" s="12">
        <v>4</v>
      </c>
      <c r="E16" s="12">
        <v>17</v>
      </c>
      <c r="F16" s="12">
        <v>14</v>
      </c>
      <c r="G16" s="12">
        <v>16</v>
      </c>
      <c r="H16" s="12">
        <v>20</v>
      </c>
      <c r="I16" s="12">
        <v>23</v>
      </c>
      <c r="J16" s="12">
        <v>3</v>
      </c>
      <c r="K16" s="12">
        <v>41</v>
      </c>
      <c r="L16" s="12">
        <v>9</v>
      </c>
      <c r="M16" s="12">
        <v>1</v>
      </c>
      <c r="N16" s="12">
        <v>11</v>
      </c>
      <c r="O16" s="12">
        <v>7</v>
      </c>
      <c r="P16" s="12">
        <v>7</v>
      </c>
      <c r="Q16" s="12">
        <v>4</v>
      </c>
      <c r="R16" s="12">
        <v>3</v>
      </c>
      <c r="S16" s="12">
        <v>19</v>
      </c>
      <c r="T16" s="12">
        <v>22</v>
      </c>
      <c r="U16" s="12">
        <v>6</v>
      </c>
      <c r="V16" s="12">
        <v>7</v>
      </c>
      <c r="W16" s="12">
        <v>4</v>
      </c>
      <c r="X16" s="12">
        <v>12</v>
      </c>
      <c r="Y16" s="12">
        <v>9</v>
      </c>
      <c r="Z16" s="12">
        <v>7</v>
      </c>
      <c r="AA16" s="12">
        <v>3</v>
      </c>
      <c r="AB16" s="12">
        <v>5</v>
      </c>
      <c r="AC16" s="12">
        <v>6</v>
      </c>
      <c r="AD16" s="12">
        <v>33</v>
      </c>
      <c r="AE16" s="12">
        <v>19</v>
      </c>
      <c r="AF16" s="12">
        <v>27</v>
      </c>
    </row>
    <row r="17" spans="1:32">
      <c r="A17" s="23"/>
      <c r="B17" s="13" t="s">
        <v>498</v>
      </c>
      <c r="C17" s="14">
        <v>0.03</v>
      </c>
      <c r="D17" s="14">
        <v>0.01</v>
      </c>
      <c r="E17" s="14">
        <v>0.06</v>
      </c>
      <c r="F17" s="14">
        <v>0.05</v>
      </c>
      <c r="G17" s="14">
        <v>0.02</v>
      </c>
      <c r="H17" s="14">
        <v>0.05</v>
      </c>
      <c r="I17" s="14">
        <v>0.05</v>
      </c>
      <c r="J17" s="14">
        <v>0.03</v>
      </c>
      <c r="K17" s="14">
        <v>0.08</v>
      </c>
      <c r="L17" s="14">
        <v>0.02</v>
      </c>
      <c r="M17" s="14">
        <v>0.01</v>
      </c>
      <c r="N17" s="14">
        <v>0.04</v>
      </c>
      <c r="O17" s="14">
        <v>0.03</v>
      </c>
      <c r="P17" s="14">
        <v>0.03</v>
      </c>
      <c r="Q17" s="14">
        <v>0.02</v>
      </c>
      <c r="R17" s="14">
        <v>0.03</v>
      </c>
      <c r="S17" s="14">
        <v>0.05</v>
      </c>
      <c r="T17" s="14">
        <v>7.0000000000000007E-2</v>
      </c>
      <c r="U17" s="14">
        <v>0.02</v>
      </c>
      <c r="V17" s="14">
        <v>0.03</v>
      </c>
      <c r="W17" s="14">
        <v>0.01</v>
      </c>
      <c r="X17" s="14">
        <v>0.01</v>
      </c>
      <c r="Y17" s="14">
        <v>0.02</v>
      </c>
      <c r="Z17" s="14">
        <v>0.03</v>
      </c>
      <c r="AA17" s="14">
        <v>0.03</v>
      </c>
      <c r="AB17" s="14">
        <v>0.04</v>
      </c>
      <c r="AC17" s="14">
        <v>0.02</v>
      </c>
      <c r="AD17" s="14">
        <v>0.13</v>
      </c>
      <c r="AE17" s="14">
        <v>0.03</v>
      </c>
      <c r="AF17" s="14">
        <v>0.04</v>
      </c>
    </row>
  </sheetData>
  <mergeCells count="9">
    <mergeCell ref="B10:B11"/>
    <mergeCell ref="A10:A17"/>
    <mergeCell ref="H4:L4"/>
    <mergeCell ref="B4:F4"/>
    <mergeCell ref="H3:L3"/>
    <mergeCell ref="C8:AF8"/>
    <mergeCell ref="B3:F3"/>
    <mergeCell ref="B5:F5"/>
    <mergeCell ref="H5:L5"/>
  </mergeCells>
  <pageMargins left="0.75" right="0.75" top="1" bottom="1" header="0.5" footer="0.5"/>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500-000000000000}">
  <dimension ref="A1:AF17"/>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36" customHeight="1">
      <c r="B3" s="19" t="s">
        <v>1382</v>
      </c>
      <c r="C3" s="19"/>
      <c r="D3" s="19"/>
      <c r="E3" s="19"/>
      <c r="F3" s="19"/>
      <c r="H3" s="19" t="s">
        <v>1383</v>
      </c>
      <c r="I3" s="19"/>
      <c r="J3" s="19"/>
      <c r="K3" s="19"/>
      <c r="L3" s="19"/>
    </row>
    <row r="4" spans="1:32" ht="27" customHeight="1">
      <c r="B4" s="19" t="s">
        <v>1384</v>
      </c>
      <c r="C4" s="19"/>
      <c r="D4" s="19"/>
      <c r="E4" s="19"/>
      <c r="F4" s="19"/>
      <c r="H4" s="19" t="s">
        <v>1385</v>
      </c>
      <c r="I4" s="19"/>
      <c r="J4" s="19"/>
      <c r="K4" s="19"/>
      <c r="L4" s="19"/>
    </row>
    <row r="5" spans="1:32" ht="36" customHeight="1">
      <c r="B5" s="19" t="s">
        <v>1376</v>
      </c>
      <c r="C5" s="19"/>
      <c r="D5" s="19"/>
      <c r="E5" s="19"/>
      <c r="F5" s="19"/>
      <c r="H5" s="19" t="s">
        <v>1377</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HYPERLINK("#Content!A138","&lt;&lt;Back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7847</v>
      </c>
      <c r="D10" s="10">
        <v>515</v>
      </c>
      <c r="E10" s="10">
        <v>284</v>
      </c>
      <c r="F10" s="10">
        <v>261</v>
      </c>
      <c r="G10" s="10">
        <v>692</v>
      </c>
      <c r="H10" s="10">
        <v>380</v>
      </c>
      <c r="I10" s="10">
        <v>479</v>
      </c>
      <c r="J10" s="10">
        <v>100</v>
      </c>
      <c r="K10" s="10">
        <v>492</v>
      </c>
      <c r="L10" s="10">
        <v>396</v>
      </c>
      <c r="M10" s="10">
        <v>147</v>
      </c>
      <c r="N10" s="10">
        <v>260</v>
      </c>
      <c r="O10" s="10">
        <v>230</v>
      </c>
      <c r="P10" s="10">
        <v>238</v>
      </c>
      <c r="Q10" s="10">
        <v>224</v>
      </c>
      <c r="R10" s="10">
        <v>101</v>
      </c>
      <c r="S10" s="10">
        <v>407</v>
      </c>
      <c r="T10" s="10">
        <v>330</v>
      </c>
      <c r="U10" s="10">
        <v>287</v>
      </c>
      <c r="V10" s="10">
        <v>236</v>
      </c>
      <c r="W10" s="10">
        <v>251</v>
      </c>
      <c r="X10" s="10">
        <v>761</v>
      </c>
      <c r="Y10" s="10">
        <v>452</v>
      </c>
      <c r="Z10" s="10">
        <v>218</v>
      </c>
      <c r="AA10" s="10">
        <v>123</v>
      </c>
      <c r="AB10" s="10">
        <v>133</v>
      </c>
      <c r="AC10" s="10">
        <v>405</v>
      </c>
      <c r="AD10" s="10">
        <v>252</v>
      </c>
      <c r="AE10" s="10">
        <v>597</v>
      </c>
      <c r="AF10" s="10">
        <v>702</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1109</v>
      </c>
      <c r="C12" s="12">
        <v>2390</v>
      </c>
      <c r="D12" s="12">
        <v>183</v>
      </c>
      <c r="E12" s="12">
        <v>117</v>
      </c>
      <c r="F12" s="12">
        <v>34</v>
      </c>
      <c r="G12" s="12">
        <v>183</v>
      </c>
      <c r="H12" s="12">
        <v>122</v>
      </c>
      <c r="I12" s="12">
        <v>151</v>
      </c>
      <c r="J12" s="12">
        <v>30</v>
      </c>
      <c r="K12" s="12">
        <v>177</v>
      </c>
      <c r="L12" s="12">
        <v>198</v>
      </c>
      <c r="M12" s="12">
        <v>39</v>
      </c>
      <c r="N12" s="12">
        <v>41</v>
      </c>
      <c r="O12" s="12">
        <v>59</v>
      </c>
      <c r="P12" s="12">
        <v>97</v>
      </c>
      <c r="Q12" s="12">
        <v>83</v>
      </c>
      <c r="R12" s="12">
        <v>36</v>
      </c>
      <c r="S12" s="12">
        <v>230</v>
      </c>
      <c r="T12" s="12">
        <v>66</v>
      </c>
      <c r="U12" s="12">
        <v>116</v>
      </c>
      <c r="V12" s="12">
        <v>68</v>
      </c>
      <c r="W12" s="12">
        <v>102</v>
      </c>
      <c r="X12" s="12">
        <v>233</v>
      </c>
      <c r="Y12" s="12">
        <v>168</v>
      </c>
      <c r="Z12" s="12">
        <v>100</v>
      </c>
      <c r="AA12" s="12">
        <v>20</v>
      </c>
      <c r="AB12" s="12">
        <v>69</v>
      </c>
      <c r="AC12" s="12">
        <v>157</v>
      </c>
      <c r="AD12" s="12">
        <v>61</v>
      </c>
      <c r="AE12" s="12">
        <v>93</v>
      </c>
      <c r="AF12" s="12">
        <v>173</v>
      </c>
    </row>
    <row r="13" spans="1:32">
      <c r="A13" s="23"/>
      <c r="B13" s="13" t="s">
        <v>1110</v>
      </c>
      <c r="C13" s="14">
        <v>0.3</v>
      </c>
      <c r="D13" s="14">
        <v>0.35</v>
      </c>
      <c r="E13" s="14">
        <v>0.41</v>
      </c>
      <c r="F13" s="14">
        <v>0.13</v>
      </c>
      <c r="G13" s="14">
        <v>0.26</v>
      </c>
      <c r="H13" s="14">
        <v>0.32</v>
      </c>
      <c r="I13" s="14">
        <v>0.32</v>
      </c>
      <c r="J13" s="14">
        <v>0.3</v>
      </c>
      <c r="K13" s="14">
        <v>0.36</v>
      </c>
      <c r="L13" s="14">
        <v>0.5</v>
      </c>
      <c r="M13" s="14">
        <v>0.27</v>
      </c>
      <c r="N13" s="14">
        <v>0.16</v>
      </c>
      <c r="O13" s="14">
        <v>0.26</v>
      </c>
      <c r="P13" s="14">
        <v>0.41</v>
      </c>
      <c r="Q13" s="14">
        <v>0.37</v>
      </c>
      <c r="R13" s="14">
        <v>0.35</v>
      </c>
      <c r="S13" s="14">
        <v>0.56000000000000005</v>
      </c>
      <c r="T13" s="14">
        <v>0.2</v>
      </c>
      <c r="U13" s="14">
        <v>0.4</v>
      </c>
      <c r="V13" s="14">
        <v>0.28999999999999998</v>
      </c>
      <c r="W13" s="14">
        <v>0.41</v>
      </c>
      <c r="X13" s="14">
        <v>0.31</v>
      </c>
      <c r="Y13" s="14">
        <v>0.37</v>
      </c>
      <c r="Z13" s="14">
        <v>0.46</v>
      </c>
      <c r="AA13" s="14">
        <v>0.16</v>
      </c>
      <c r="AB13" s="14">
        <v>0.51</v>
      </c>
      <c r="AC13" s="14">
        <v>0.39</v>
      </c>
      <c r="AD13" s="14">
        <v>0.24</v>
      </c>
      <c r="AE13" s="14">
        <v>0.15</v>
      </c>
      <c r="AF13" s="14">
        <v>0.25</v>
      </c>
    </row>
    <row r="14" spans="1:32">
      <c r="A14" s="23"/>
      <c r="B14" s="11" t="s">
        <v>1111</v>
      </c>
      <c r="C14" s="12">
        <v>5223</v>
      </c>
      <c r="D14" s="12">
        <v>327</v>
      </c>
      <c r="E14" s="12">
        <v>152</v>
      </c>
      <c r="F14" s="12">
        <v>217</v>
      </c>
      <c r="G14" s="12">
        <v>477</v>
      </c>
      <c r="H14" s="12">
        <v>242</v>
      </c>
      <c r="I14" s="12">
        <v>309</v>
      </c>
      <c r="J14" s="12">
        <v>67</v>
      </c>
      <c r="K14" s="12">
        <v>283</v>
      </c>
      <c r="L14" s="12">
        <v>192</v>
      </c>
      <c r="M14" s="12">
        <v>106</v>
      </c>
      <c r="N14" s="12">
        <v>210</v>
      </c>
      <c r="O14" s="12">
        <v>166</v>
      </c>
      <c r="P14" s="12">
        <v>134</v>
      </c>
      <c r="Q14" s="12">
        <v>135</v>
      </c>
      <c r="R14" s="12">
        <v>65</v>
      </c>
      <c r="S14" s="12">
        <v>161</v>
      </c>
      <c r="T14" s="12">
        <v>252</v>
      </c>
      <c r="U14" s="12">
        <v>168</v>
      </c>
      <c r="V14" s="12">
        <v>164</v>
      </c>
      <c r="W14" s="12">
        <v>143</v>
      </c>
      <c r="X14" s="12">
        <v>510</v>
      </c>
      <c r="Y14" s="12">
        <v>276</v>
      </c>
      <c r="Z14" s="12">
        <v>114</v>
      </c>
      <c r="AA14" s="12">
        <v>97</v>
      </c>
      <c r="AB14" s="12">
        <v>62</v>
      </c>
      <c r="AC14" s="12">
        <v>242</v>
      </c>
      <c r="AD14" s="12">
        <v>182</v>
      </c>
      <c r="AE14" s="12">
        <v>482</v>
      </c>
      <c r="AF14" s="12">
        <v>495</v>
      </c>
    </row>
    <row r="15" spans="1:32">
      <c r="A15" s="23"/>
      <c r="B15" s="13" t="s">
        <v>1112</v>
      </c>
      <c r="C15" s="14">
        <v>0.67</v>
      </c>
      <c r="D15" s="14">
        <v>0.64</v>
      </c>
      <c r="E15" s="14">
        <v>0.54</v>
      </c>
      <c r="F15" s="14">
        <v>0.83000000000000007</v>
      </c>
      <c r="G15" s="14">
        <v>0.69000000000000006</v>
      </c>
      <c r="H15" s="14">
        <v>0.64</v>
      </c>
      <c r="I15" s="14">
        <v>0.64</v>
      </c>
      <c r="J15" s="14">
        <v>0.67</v>
      </c>
      <c r="K15" s="14">
        <v>0.57000000000000006</v>
      </c>
      <c r="L15" s="14">
        <v>0.48</v>
      </c>
      <c r="M15" s="14">
        <v>0.72</v>
      </c>
      <c r="N15" s="14">
        <v>0.81</v>
      </c>
      <c r="O15" s="14">
        <v>0.72</v>
      </c>
      <c r="P15" s="14">
        <v>0.56000000000000005</v>
      </c>
      <c r="Q15" s="14">
        <v>0.6</v>
      </c>
      <c r="R15" s="14">
        <v>0.64</v>
      </c>
      <c r="S15" s="14">
        <v>0.4</v>
      </c>
      <c r="T15" s="14">
        <v>0.76</v>
      </c>
      <c r="U15" s="14">
        <v>0.59</v>
      </c>
      <c r="V15" s="14">
        <v>0.69000000000000006</v>
      </c>
      <c r="W15" s="14">
        <v>0.57000000000000006</v>
      </c>
      <c r="X15" s="14">
        <v>0.67</v>
      </c>
      <c r="Y15" s="14">
        <v>0.61</v>
      </c>
      <c r="Z15" s="14">
        <v>0.52</v>
      </c>
      <c r="AA15" s="14">
        <v>0.79</v>
      </c>
      <c r="AB15" s="14">
        <v>0.47</v>
      </c>
      <c r="AC15" s="14">
        <v>0.6</v>
      </c>
      <c r="AD15" s="14">
        <v>0.72</v>
      </c>
      <c r="AE15" s="14">
        <v>0.81</v>
      </c>
      <c r="AF15" s="14">
        <v>0.70000000000000007</v>
      </c>
    </row>
    <row r="16" spans="1:32">
      <c r="A16" s="23"/>
      <c r="B16" s="11" t="s">
        <v>497</v>
      </c>
      <c r="C16" s="12">
        <v>233</v>
      </c>
      <c r="D16" s="12">
        <v>4</v>
      </c>
      <c r="E16" s="12">
        <v>15</v>
      </c>
      <c r="F16" s="12">
        <v>10</v>
      </c>
      <c r="G16" s="12">
        <v>32</v>
      </c>
      <c r="H16" s="12">
        <v>16</v>
      </c>
      <c r="I16" s="12">
        <v>19</v>
      </c>
      <c r="J16" s="12">
        <v>3</v>
      </c>
      <c r="K16" s="12">
        <v>32</v>
      </c>
      <c r="L16" s="12">
        <v>6</v>
      </c>
      <c r="M16" s="12">
        <v>2</v>
      </c>
      <c r="N16" s="12">
        <v>8</v>
      </c>
      <c r="O16" s="12">
        <v>5</v>
      </c>
      <c r="P16" s="12">
        <v>6</v>
      </c>
      <c r="Q16" s="12">
        <v>6</v>
      </c>
      <c r="R16" s="12">
        <v>0</v>
      </c>
      <c r="S16" s="12">
        <v>17</v>
      </c>
      <c r="T16" s="12">
        <v>12</v>
      </c>
      <c r="U16" s="12">
        <v>3</v>
      </c>
      <c r="V16" s="12">
        <v>4</v>
      </c>
      <c r="W16" s="12">
        <v>6</v>
      </c>
      <c r="X16" s="12">
        <v>18</v>
      </c>
      <c r="Y16" s="12">
        <v>8</v>
      </c>
      <c r="Z16" s="12">
        <v>3</v>
      </c>
      <c r="AA16" s="12">
        <v>5</v>
      </c>
      <c r="AB16" s="12">
        <v>2</v>
      </c>
      <c r="AC16" s="12">
        <v>5</v>
      </c>
      <c r="AD16" s="12">
        <v>9</v>
      </c>
      <c r="AE16" s="12">
        <v>22</v>
      </c>
      <c r="AF16" s="12">
        <v>35</v>
      </c>
    </row>
    <row r="17" spans="1:32">
      <c r="A17" s="23"/>
      <c r="B17" s="13" t="s">
        <v>498</v>
      </c>
      <c r="C17" s="14">
        <v>0.03</v>
      </c>
      <c r="D17" s="14">
        <v>0.01</v>
      </c>
      <c r="E17" s="14">
        <v>0.05</v>
      </c>
      <c r="F17" s="14">
        <v>0.04</v>
      </c>
      <c r="G17" s="14">
        <v>0.05</v>
      </c>
      <c r="H17" s="14">
        <v>0.04</v>
      </c>
      <c r="I17" s="14">
        <v>0.04</v>
      </c>
      <c r="J17" s="14">
        <v>0.03</v>
      </c>
      <c r="K17" s="14">
        <v>7.0000000000000007E-2</v>
      </c>
      <c r="L17" s="14">
        <v>0.02</v>
      </c>
      <c r="M17" s="14">
        <v>0.01</v>
      </c>
      <c r="N17" s="14">
        <v>0.03</v>
      </c>
      <c r="O17" s="14">
        <v>0.02</v>
      </c>
      <c r="P17" s="14">
        <v>0.03</v>
      </c>
      <c r="Q17" s="14">
        <v>0.03</v>
      </c>
      <c r="R17" s="14">
        <v>0.01</v>
      </c>
      <c r="S17" s="14">
        <v>0.04</v>
      </c>
      <c r="T17" s="14">
        <v>0.04</v>
      </c>
      <c r="U17" s="14">
        <v>0.01</v>
      </c>
      <c r="V17" s="14">
        <v>0.02</v>
      </c>
      <c r="W17" s="14">
        <v>0.02</v>
      </c>
      <c r="X17" s="14">
        <v>0.02</v>
      </c>
      <c r="Y17" s="14">
        <v>0.02</v>
      </c>
      <c r="Z17" s="14">
        <v>0.02</v>
      </c>
      <c r="AA17" s="14">
        <v>0.05</v>
      </c>
      <c r="AB17" s="14">
        <v>0.02</v>
      </c>
      <c r="AC17" s="14">
        <v>0.01</v>
      </c>
      <c r="AD17" s="14">
        <v>0.04</v>
      </c>
      <c r="AE17" s="14">
        <v>0.04</v>
      </c>
      <c r="AF17" s="14">
        <v>0.05</v>
      </c>
    </row>
  </sheetData>
  <mergeCells count="9">
    <mergeCell ref="B10:B11"/>
    <mergeCell ref="A10:A17"/>
    <mergeCell ref="H4:L4"/>
    <mergeCell ref="B4:F4"/>
    <mergeCell ref="H3:L3"/>
    <mergeCell ref="C8:AF8"/>
    <mergeCell ref="B3:F3"/>
    <mergeCell ref="B5:F5"/>
    <mergeCell ref="H5:L5"/>
  </mergeCells>
  <pageMargins left="0.75" right="0.75" top="1" bottom="1" header="0.5" footer="0.5"/>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600-000000000000}">
  <dimension ref="A1:AF17"/>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36" customHeight="1">
      <c r="B3" s="19" t="s">
        <v>1386</v>
      </c>
      <c r="C3" s="19"/>
      <c r="D3" s="19"/>
      <c r="E3" s="19"/>
      <c r="F3" s="19"/>
      <c r="H3" s="19" t="s">
        <v>1387</v>
      </c>
      <c r="I3" s="19"/>
      <c r="J3" s="19"/>
      <c r="K3" s="19"/>
      <c r="L3" s="19"/>
    </row>
    <row r="4" spans="1:32" ht="27" customHeight="1">
      <c r="B4" s="19" t="s">
        <v>1388</v>
      </c>
      <c r="C4" s="19"/>
      <c r="D4" s="19"/>
      <c r="E4" s="19"/>
      <c r="F4" s="19"/>
      <c r="H4" s="19" t="s">
        <v>1389</v>
      </c>
      <c r="I4" s="19"/>
      <c r="J4" s="19"/>
      <c r="K4" s="19"/>
      <c r="L4" s="19"/>
    </row>
    <row r="5" spans="1:32" ht="36" customHeight="1">
      <c r="B5" s="19" t="s">
        <v>1376</v>
      </c>
      <c r="C5" s="19"/>
      <c r="D5" s="19"/>
      <c r="E5" s="19"/>
      <c r="F5" s="19"/>
      <c r="H5" s="19" t="s">
        <v>1377</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HYPERLINK("#Content!A139","&lt;&lt;Back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7847</v>
      </c>
      <c r="D10" s="10">
        <v>515</v>
      </c>
      <c r="E10" s="10">
        <v>284</v>
      </c>
      <c r="F10" s="10">
        <v>261</v>
      </c>
      <c r="G10" s="10">
        <v>692</v>
      </c>
      <c r="H10" s="10">
        <v>380</v>
      </c>
      <c r="I10" s="10">
        <v>479</v>
      </c>
      <c r="J10" s="10">
        <v>100</v>
      </c>
      <c r="K10" s="10">
        <v>492</v>
      </c>
      <c r="L10" s="10">
        <v>396</v>
      </c>
      <c r="M10" s="10">
        <v>147</v>
      </c>
      <c r="N10" s="10">
        <v>260</v>
      </c>
      <c r="O10" s="10">
        <v>230</v>
      </c>
      <c r="P10" s="10">
        <v>238</v>
      </c>
      <c r="Q10" s="10">
        <v>224</v>
      </c>
      <c r="R10" s="10">
        <v>101</v>
      </c>
      <c r="S10" s="10">
        <v>407</v>
      </c>
      <c r="T10" s="10">
        <v>330</v>
      </c>
      <c r="U10" s="10">
        <v>287</v>
      </c>
      <c r="V10" s="10">
        <v>236</v>
      </c>
      <c r="W10" s="10">
        <v>251</v>
      </c>
      <c r="X10" s="10">
        <v>761</v>
      </c>
      <c r="Y10" s="10">
        <v>452</v>
      </c>
      <c r="Z10" s="10">
        <v>218</v>
      </c>
      <c r="AA10" s="10">
        <v>123</v>
      </c>
      <c r="AB10" s="10">
        <v>133</v>
      </c>
      <c r="AC10" s="10">
        <v>405</v>
      </c>
      <c r="AD10" s="10">
        <v>252</v>
      </c>
      <c r="AE10" s="10">
        <v>597</v>
      </c>
      <c r="AF10" s="10">
        <v>702</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1109</v>
      </c>
      <c r="C12" s="12">
        <v>2650</v>
      </c>
      <c r="D12" s="12">
        <v>191</v>
      </c>
      <c r="E12" s="12">
        <v>109</v>
      </c>
      <c r="F12" s="12">
        <v>70</v>
      </c>
      <c r="G12" s="12">
        <v>254</v>
      </c>
      <c r="H12" s="12">
        <v>90</v>
      </c>
      <c r="I12" s="12">
        <v>122</v>
      </c>
      <c r="J12" s="12">
        <v>32</v>
      </c>
      <c r="K12" s="12">
        <v>178</v>
      </c>
      <c r="L12" s="12">
        <v>117</v>
      </c>
      <c r="M12" s="12">
        <v>29</v>
      </c>
      <c r="N12" s="12">
        <v>56</v>
      </c>
      <c r="O12" s="12">
        <v>71</v>
      </c>
      <c r="P12" s="12">
        <v>97</v>
      </c>
      <c r="Q12" s="12">
        <v>105</v>
      </c>
      <c r="R12" s="12">
        <v>27</v>
      </c>
      <c r="S12" s="12">
        <v>137</v>
      </c>
      <c r="T12" s="12">
        <v>125</v>
      </c>
      <c r="U12" s="12">
        <v>105</v>
      </c>
      <c r="V12" s="12">
        <v>81</v>
      </c>
      <c r="W12" s="12">
        <v>124</v>
      </c>
      <c r="X12" s="12">
        <v>356</v>
      </c>
      <c r="Y12" s="12">
        <v>231</v>
      </c>
      <c r="Z12" s="12">
        <v>90</v>
      </c>
      <c r="AA12" s="12">
        <v>15</v>
      </c>
      <c r="AB12" s="12">
        <v>55</v>
      </c>
      <c r="AC12" s="12">
        <v>129</v>
      </c>
      <c r="AD12" s="12">
        <v>69</v>
      </c>
      <c r="AE12" s="12">
        <v>219</v>
      </c>
      <c r="AF12" s="12">
        <v>179</v>
      </c>
    </row>
    <row r="13" spans="1:32">
      <c r="A13" s="23"/>
      <c r="B13" s="13" t="s">
        <v>1110</v>
      </c>
      <c r="C13" s="14">
        <v>0.34</v>
      </c>
      <c r="D13" s="14">
        <v>0.37</v>
      </c>
      <c r="E13" s="14">
        <v>0.38</v>
      </c>
      <c r="F13" s="14">
        <v>0.27</v>
      </c>
      <c r="G13" s="14">
        <v>0.37</v>
      </c>
      <c r="H13" s="14">
        <v>0.24</v>
      </c>
      <c r="I13" s="14">
        <v>0.25</v>
      </c>
      <c r="J13" s="14">
        <v>0.32</v>
      </c>
      <c r="K13" s="14">
        <v>0.36</v>
      </c>
      <c r="L13" s="14">
        <v>0.28999999999999998</v>
      </c>
      <c r="M13" s="14">
        <v>0.2</v>
      </c>
      <c r="N13" s="14">
        <v>0.22</v>
      </c>
      <c r="O13" s="14">
        <v>0.31</v>
      </c>
      <c r="P13" s="14">
        <v>0.41</v>
      </c>
      <c r="Q13" s="14">
        <v>0.47</v>
      </c>
      <c r="R13" s="14">
        <v>0.26</v>
      </c>
      <c r="S13" s="14">
        <v>0.34</v>
      </c>
      <c r="T13" s="14">
        <v>0.38</v>
      </c>
      <c r="U13" s="14">
        <v>0.36</v>
      </c>
      <c r="V13" s="14">
        <v>0.34</v>
      </c>
      <c r="W13" s="14">
        <v>0.49</v>
      </c>
      <c r="X13" s="14">
        <v>0.47</v>
      </c>
      <c r="Y13" s="14">
        <v>0.51</v>
      </c>
      <c r="Z13" s="14">
        <v>0.42</v>
      </c>
      <c r="AA13" s="14">
        <v>0.12</v>
      </c>
      <c r="AB13" s="14">
        <v>0.41</v>
      </c>
      <c r="AC13" s="14">
        <v>0.32</v>
      </c>
      <c r="AD13" s="14">
        <v>0.27</v>
      </c>
      <c r="AE13" s="14">
        <v>0.37</v>
      </c>
      <c r="AF13" s="14">
        <v>0.25</v>
      </c>
    </row>
    <row r="14" spans="1:32">
      <c r="A14" s="23"/>
      <c r="B14" s="11" t="s">
        <v>1111</v>
      </c>
      <c r="C14" s="12">
        <v>4819</v>
      </c>
      <c r="D14" s="12">
        <v>313</v>
      </c>
      <c r="E14" s="12">
        <v>145</v>
      </c>
      <c r="F14" s="12">
        <v>177</v>
      </c>
      <c r="G14" s="12">
        <v>413</v>
      </c>
      <c r="H14" s="12">
        <v>263</v>
      </c>
      <c r="I14" s="12">
        <v>326</v>
      </c>
      <c r="J14" s="12">
        <v>63</v>
      </c>
      <c r="K14" s="12">
        <v>252</v>
      </c>
      <c r="L14" s="12">
        <v>273</v>
      </c>
      <c r="M14" s="12">
        <v>116</v>
      </c>
      <c r="N14" s="12">
        <v>194</v>
      </c>
      <c r="O14" s="12">
        <v>150</v>
      </c>
      <c r="P14" s="12">
        <v>134</v>
      </c>
      <c r="Q14" s="12">
        <v>111</v>
      </c>
      <c r="R14" s="12">
        <v>70</v>
      </c>
      <c r="S14" s="12">
        <v>246</v>
      </c>
      <c r="T14" s="12">
        <v>182</v>
      </c>
      <c r="U14" s="12">
        <v>171</v>
      </c>
      <c r="V14" s="12">
        <v>147</v>
      </c>
      <c r="W14" s="12">
        <v>117</v>
      </c>
      <c r="X14" s="12">
        <v>381</v>
      </c>
      <c r="Y14" s="12">
        <v>194</v>
      </c>
      <c r="Z14" s="12">
        <v>119</v>
      </c>
      <c r="AA14" s="12">
        <v>99</v>
      </c>
      <c r="AB14" s="12">
        <v>72</v>
      </c>
      <c r="AC14" s="12">
        <v>270</v>
      </c>
      <c r="AD14" s="12">
        <v>167</v>
      </c>
      <c r="AE14" s="12">
        <v>319</v>
      </c>
      <c r="AF14" s="12">
        <v>470</v>
      </c>
    </row>
    <row r="15" spans="1:32">
      <c r="A15" s="23"/>
      <c r="B15" s="13" t="s">
        <v>1112</v>
      </c>
      <c r="C15" s="14">
        <v>0.61</v>
      </c>
      <c r="D15" s="14">
        <v>0.61</v>
      </c>
      <c r="E15" s="14">
        <v>0.51</v>
      </c>
      <c r="F15" s="14">
        <v>0.68</v>
      </c>
      <c r="G15" s="14">
        <v>0.6</v>
      </c>
      <c r="H15" s="14">
        <v>0.69000000000000006</v>
      </c>
      <c r="I15" s="14">
        <v>0.68</v>
      </c>
      <c r="J15" s="14">
        <v>0.63</v>
      </c>
      <c r="K15" s="14">
        <v>0.51</v>
      </c>
      <c r="L15" s="14">
        <v>0.69000000000000006</v>
      </c>
      <c r="M15" s="14">
        <v>0.79</v>
      </c>
      <c r="N15" s="14">
        <v>0.74</v>
      </c>
      <c r="O15" s="14">
        <v>0.65</v>
      </c>
      <c r="P15" s="14">
        <v>0.56000000000000005</v>
      </c>
      <c r="Q15" s="14">
        <v>0.5</v>
      </c>
      <c r="R15" s="14">
        <v>0.70000000000000007</v>
      </c>
      <c r="S15" s="14">
        <v>0.6</v>
      </c>
      <c r="T15" s="14">
        <v>0.55000000000000004</v>
      </c>
      <c r="U15" s="14">
        <v>0.6</v>
      </c>
      <c r="V15" s="14">
        <v>0.62</v>
      </c>
      <c r="W15" s="14">
        <v>0.47</v>
      </c>
      <c r="X15" s="14">
        <v>0.5</v>
      </c>
      <c r="Y15" s="14">
        <v>0.43</v>
      </c>
      <c r="Z15" s="14">
        <v>0.54</v>
      </c>
      <c r="AA15" s="14">
        <v>0.81</v>
      </c>
      <c r="AB15" s="14">
        <v>0.54</v>
      </c>
      <c r="AC15" s="14">
        <v>0.67</v>
      </c>
      <c r="AD15" s="14">
        <v>0.67</v>
      </c>
      <c r="AE15" s="14">
        <v>0.53</v>
      </c>
      <c r="AF15" s="14">
        <v>0.67</v>
      </c>
    </row>
    <row r="16" spans="1:32">
      <c r="A16" s="23"/>
      <c r="B16" s="11" t="s">
        <v>497</v>
      </c>
      <c r="C16" s="12">
        <v>377</v>
      </c>
      <c r="D16" s="12">
        <v>11</v>
      </c>
      <c r="E16" s="12">
        <v>30</v>
      </c>
      <c r="F16" s="12">
        <v>14</v>
      </c>
      <c r="G16" s="12">
        <v>25</v>
      </c>
      <c r="H16" s="12">
        <v>27</v>
      </c>
      <c r="I16" s="12">
        <v>31</v>
      </c>
      <c r="J16" s="12">
        <v>5</v>
      </c>
      <c r="K16" s="12">
        <v>63</v>
      </c>
      <c r="L16" s="12">
        <v>7</v>
      </c>
      <c r="M16" s="12">
        <v>2</v>
      </c>
      <c r="N16" s="12">
        <v>10</v>
      </c>
      <c r="O16" s="12">
        <v>9</v>
      </c>
      <c r="P16" s="12">
        <v>6</v>
      </c>
      <c r="Q16" s="12">
        <v>8</v>
      </c>
      <c r="R16" s="12">
        <v>4</v>
      </c>
      <c r="S16" s="12">
        <v>25</v>
      </c>
      <c r="T16" s="12">
        <v>23</v>
      </c>
      <c r="U16" s="12">
        <v>11</v>
      </c>
      <c r="V16" s="12">
        <v>8</v>
      </c>
      <c r="W16" s="12">
        <v>10</v>
      </c>
      <c r="X16" s="12">
        <v>25</v>
      </c>
      <c r="Y16" s="12">
        <v>27</v>
      </c>
      <c r="Z16" s="12">
        <v>9</v>
      </c>
      <c r="AA16" s="12">
        <v>8</v>
      </c>
      <c r="AB16" s="12">
        <v>6</v>
      </c>
      <c r="AC16" s="12">
        <v>6</v>
      </c>
      <c r="AD16" s="12">
        <v>16</v>
      </c>
      <c r="AE16" s="12">
        <v>59</v>
      </c>
      <c r="AF16" s="12">
        <v>54</v>
      </c>
    </row>
    <row r="17" spans="1:32">
      <c r="A17" s="23"/>
      <c r="B17" s="13" t="s">
        <v>498</v>
      </c>
      <c r="C17" s="14">
        <v>0.05</v>
      </c>
      <c r="D17" s="14">
        <v>0.02</v>
      </c>
      <c r="E17" s="14">
        <v>0.11</v>
      </c>
      <c r="F17" s="14">
        <v>0.05</v>
      </c>
      <c r="G17" s="14">
        <v>0.03</v>
      </c>
      <c r="H17" s="14">
        <v>7.0000000000000007E-2</v>
      </c>
      <c r="I17" s="14">
        <v>7.0000000000000007E-2</v>
      </c>
      <c r="J17" s="14">
        <v>0.05</v>
      </c>
      <c r="K17" s="14">
        <v>0.13</v>
      </c>
      <c r="L17" s="14">
        <v>0.02</v>
      </c>
      <c r="M17" s="14">
        <v>0.01</v>
      </c>
      <c r="N17" s="14">
        <v>0.04</v>
      </c>
      <c r="O17" s="14">
        <v>0.04</v>
      </c>
      <c r="P17" s="14">
        <v>0.03</v>
      </c>
      <c r="Q17" s="14">
        <v>0.03</v>
      </c>
      <c r="R17" s="14">
        <v>0.04</v>
      </c>
      <c r="S17" s="14">
        <v>0.06</v>
      </c>
      <c r="T17" s="14">
        <v>7.0000000000000007E-2</v>
      </c>
      <c r="U17" s="14">
        <v>0.04</v>
      </c>
      <c r="V17" s="14">
        <v>0.04</v>
      </c>
      <c r="W17" s="14">
        <v>0.04</v>
      </c>
      <c r="X17" s="14">
        <v>0.03</v>
      </c>
      <c r="Y17" s="14">
        <v>0.06</v>
      </c>
      <c r="Z17" s="14">
        <v>0.04</v>
      </c>
      <c r="AA17" s="14">
        <v>7.0000000000000007E-2</v>
      </c>
      <c r="AB17" s="14">
        <v>0.05</v>
      </c>
      <c r="AC17" s="14">
        <v>0.01</v>
      </c>
      <c r="AD17" s="14">
        <v>0.06</v>
      </c>
      <c r="AE17" s="14">
        <v>0.1</v>
      </c>
      <c r="AF17" s="14">
        <v>0.08</v>
      </c>
    </row>
  </sheetData>
  <mergeCells count="9">
    <mergeCell ref="B10:B11"/>
    <mergeCell ref="A10:A17"/>
    <mergeCell ref="H4:L4"/>
    <mergeCell ref="B4:F4"/>
    <mergeCell ref="H3:L3"/>
    <mergeCell ref="C8:AF8"/>
    <mergeCell ref="B3:F3"/>
    <mergeCell ref="B5:F5"/>
    <mergeCell ref="H5:L5"/>
  </mergeCells>
  <pageMargins left="0.75" right="0.75" top="1" bottom="1" header="0.5" footer="0.5"/>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700-000000000000}">
  <dimension ref="A1:AF17"/>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36" customHeight="1">
      <c r="B3" s="19" t="s">
        <v>1390</v>
      </c>
      <c r="C3" s="19"/>
      <c r="D3" s="19"/>
      <c r="E3" s="19"/>
      <c r="F3" s="19"/>
      <c r="H3" s="19" t="s">
        <v>1391</v>
      </c>
      <c r="I3" s="19"/>
      <c r="J3" s="19"/>
      <c r="K3" s="19"/>
      <c r="L3" s="19"/>
    </row>
    <row r="4" spans="1:32" ht="27" customHeight="1">
      <c r="B4" s="19" t="s">
        <v>1392</v>
      </c>
      <c r="C4" s="19"/>
      <c r="D4" s="19"/>
      <c r="E4" s="19"/>
      <c r="F4" s="19"/>
      <c r="H4" s="19" t="s">
        <v>1393</v>
      </c>
      <c r="I4" s="19"/>
      <c r="J4" s="19"/>
      <c r="K4" s="19"/>
      <c r="L4" s="19"/>
    </row>
    <row r="5" spans="1:32" ht="36" customHeight="1">
      <c r="B5" s="19" t="s">
        <v>1376</v>
      </c>
      <c r="C5" s="19"/>
      <c r="D5" s="19"/>
      <c r="E5" s="19"/>
      <c r="F5" s="19"/>
      <c r="H5" s="19" t="s">
        <v>1377</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HYPERLINK("#Content!A140","&lt;&lt;Back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7847</v>
      </c>
      <c r="D10" s="10">
        <v>515</v>
      </c>
      <c r="E10" s="10">
        <v>284</v>
      </c>
      <c r="F10" s="10">
        <v>261</v>
      </c>
      <c r="G10" s="10">
        <v>692</v>
      </c>
      <c r="H10" s="10">
        <v>380</v>
      </c>
      <c r="I10" s="10">
        <v>479</v>
      </c>
      <c r="J10" s="10">
        <v>100</v>
      </c>
      <c r="K10" s="10">
        <v>492</v>
      </c>
      <c r="L10" s="10">
        <v>396</v>
      </c>
      <c r="M10" s="10">
        <v>147</v>
      </c>
      <c r="N10" s="10">
        <v>260</v>
      </c>
      <c r="O10" s="10">
        <v>230</v>
      </c>
      <c r="P10" s="10">
        <v>238</v>
      </c>
      <c r="Q10" s="10">
        <v>224</v>
      </c>
      <c r="R10" s="10">
        <v>101</v>
      </c>
      <c r="S10" s="10">
        <v>407</v>
      </c>
      <c r="T10" s="10">
        <v>330</v>
      </c>
      <c r="U10" s="10">
        <v>287</v>
      </c>
      <c r="V10" s="10">
        <v>236</v>
      </c>
      <c r="W10" s="10">
        <v>251</v>
      </c>
      <c r="X10" s="10">
        <v>761</v>
      </c>
      <c r="Y10" s="10">
        <v>452</v>
      </c>
      <c r="Z10" s="10">
        <v>218</v>
      </c>
      <c r="AA10" s="10">
        <v>123</v>
      </c>
      <c r="AB10" s="10">
        <v>133</v>
      </c>
      <c r="AC10" s="10">
        <v>405</v>
      </c>
      <c r="AD10" s="10">
        <v>252</v>
      </c>
      <c r="AE10" s="10">
        <v>597</v>
      </c>
      <c r="AF10" s="10">
        <v>702</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1109</v>
      </c>
      <c r="C12" s="12">
        <v>2477</v>
      </c>
      <c r="D12" s="12">
        <v>189</v>
      </c>
      <c r="E12" s="12">
        <v>95</v>
      </c>
      <c r="F12" s="12">
        <v>53</v>
      </c>
      <c r="G12" s="12">
        <v>284</v>
      </c>
      <c r="H12" s="12">
        <v>75</v>
      </c>
      <c r="I12" s="12">
        <v>97</v>
      </c>
      <c r="J12" s="12">
        <v>22</v>
      </c>
      <c r="K12" s="12">
        <v>144</v>
      </c>
      <c r="L12" s="12">
        <v>135</v>
      </c>
      <c r="M12" s="12">
        <v>28</v>
      </c>
      <c r="N12" s="12">
        <v>52</v>
      </c>
      <c r="O12" s="12">
        <v>71</v>
      </c>
      <c r="P12" s="12">
        <v>100</v>
      </c>
      <c r="Q12" s="12">
        <v>88</v>
      </c>
      <c r="R12" s="12">
        <v>21</v>
      </c>
      <c r="S12" s="12">
        <v>121</v>
      </c>
      <c r="T12" s="12">
        <v>89</v>
      </c>
      <c r="U12" s="12">
        <v>128</v>
      </c>
      <c r="V12" s="12">
        <v>70</v>
      </c>
      <c r="W12" s="12">
        <v>121</v>
      </c>
      <c r="X12" s="12">
        <v>388</v>
      </c>
      <c r="Y12" s="12">
        <v>203</v>
      </c>
      <c r="Z12" s="12">
        <v>85</v>
      </c>
      <c r="AA12" s="12">
        <v>21</v>
      </c>
      <c r="AB12" s="12">
        <v>62</v>
      </c>
      <c r="AC12" s="12">
        <v>120</v>
      </c>
      <c r="AD12" s="12">
        <v>58</v>
      </c>
      <c r="AE12" s="12">
        <v>192</v>
      </c>
      <c r="AF12" s="12">
        <v>177</v>
      </c>
    </row>
    <row r="13" spans="1:32">
      <c r="A13" s="23"/>
      <c r="B13" s="13" t="s">
        <v>1110</v>
      </c>
      <c r="C13" s="14">
        <v>0.32</v>
      </c>
      <c r="D13" s="14">
        <v>0.37</v>
      </c>
      <c r="E13" s="14">
        <v>0.33</v>
      </c>
      <c r="F13" s="14">
        <v>0.2</v>
      </c>
      <c r="G13" s="14">
        <v>0.41</v>
      </c>
      <c r="H13" s="14">
        <v>0.2</v>
      </c>
      <c r="I13" s="14">
        <v>0.2</v>
      </c>
      <c r="J13" s="14">
        <v>0.23</v>
      </c>
      <c r="K13" s="14">
        <v>0.28999999999999998</v>
      </c>
      <c r="L13" s="14">
        <v>0.34</v>
      </c>
      <c r="M13" s="14">
        <v>0.19</v>
      </c>
      <c r="N13" s="14">
        <v>0.2</v>
      </c>
      <c r="O13" s="14">
        <v>0.31</v>
      </c>
      <c r="P13" s="14">
        <v>0.42</v>
      </c>
      <c r="Q13" s="14">
        <v>0.39</v>
      </c>
      <c r="R13" s="14">
        <v>0.21</v>
      </c>
      <c r="S13" s="14">
        <v>0.3</v>
      </c>
      <c r="T13" s="14">
        <v>0.27</v>
      </c>
      <c r="U13" s="14">
        <v>0.45</v>
      </c>
      <c r="V13" s="14">
        <v>0.3</v>
      </c>
      <c r="W13" s="14">
        <v>0.48</v>
      </c>
      <c r="X13" s="14">
        <v>0.51</v>
      </c>
      <c r="Y13" s="14">
        <v>0.45</v>
      </c>
      <c r="Z13" s="14">
        <v>0.39</v>
      </c>
      <c r="AA13" s="14">
        <v>0.17</v>
      </c>
      <c r="AB13" s="14">
        <v>0.47</v>
      </c>
      <c r="AC13" s="14">
        <v>0.3</v>
      </c>
      <c r="AD13" s="14">
        <v>0.23</v>
      </c>
      <c r="AE13" s="14">
        <v>0.32</v>
      </c>
      <c r="AF13" s="14">
        <v>0.25</v>
      </c>
    </row>
    <row r="14" spans="1:32">
      <c r="A14" s="23"/>
      <c r="B14" s="11" t="s">
        <v>1111</v>
      </c>
      <c r="C14" s="12">
        <v>4808</v>
      </c>
      <c r="D14" s="12">
        <v>307</v>
      </c>
      <c r="E14" s="12">
        <v>145</v>
      </c>
      <c r="F14" s="12">
        <v>179</v>
      </c>
      <c r="G14" s="12">
        <v>368</v>
      </c>
      <c r="H14" s="12">
        <v>275</v>
      </c>
      <c r="I14" s="12">
        <v>347</v>
      </c>
      <c r="J14" s="12">
        <v>72</v>
      </c>
      <c r="K14" s="12">
        <v>250</v>
      </c>
      <c r="L14" s="12">
        <v>252</v>
      </c>
      <c r="M14" s="12">
        <v>111</v>
      </c>
      <c r="N14" s="12">
        <v>189</v>
      </c>
      <c r="O14" s="12">
        <v>136</v>
      </c>
      <c r="P14" s="12">
        <v>127</v>
      </c>
      <c r="Q14" s="12">
        <v>131</v>
      </c>
      <c r="R14" s="12">
        <v>75</v>
      </c>
      <c r="S14" s="12">
        <v>234</v>
      </c>
      <c r="T14" s="12">
        <v>205</v>
      </c>
      <c r="U14" s="12">
        <v>143</v>
      </c>
      <c r="V14" s="12">
        <v>156</v>
      </c>
      <c r="W14" s="12">
        <v>121</v>
      </c>
      <c r="X14" s="12">
        <v>319</v>
      </c>
      <c r="Y14" s="12">
        <v>203</v>
      </c>
      <c r="Z14" s="12">
        <v>123</v>
      </c>
      <c r="AA14" s="12">
        <v>86</v>
      </c>
      <c r="AB14" s="12">
        <v>62</v>
      </c>
      <c r="AC14" s="12">
        <v>262</v>
      </c>
      <c r="AD14" s="12">
        <v>174</v>
      </c>
      <c r="AE14" s="12">
        <v>320</v>
      </c>
      <c r="AF14" s="12">
        <v>475</v>
      </c>
    </row>
    <row r="15" spans="1:32">
      <c r="A15" s="23"/>
      <c r="B15" s="13" t="s">
        <v>1112</v>
      </c>
      <c r="C15" s="14">
        <v>0.61</v>
      </c>
      <c r="D15" s="14">
        <v>0.6</v>
      </c>
      <c r="E15" s="14">
        <v>0.51</v>
      </c>
      <c r="F15" s="14">
        <v>0.69000000000000006</v>
      </c>
      <c r="G15" s="14">
        <v>0.53</v>
      </c>
      <c r="H15" s="14">
        <v>0.72</v>
      </c>
      <c r="I15" s="14">
        <v>0.73</v>
      </c>
      <c r="J15" s="14">
        <v>0.72</v>
      </c>
      <c r="K15" s="14">
        <v>0.51</v>
      </c>
      <c r="L15" s="14">
        <v>0.64</v>
      </c>
      <c r="M15" s="14">
        <v>0.76</v>
      </c>
      <c r="N15" s="14">
        <v>0.73</v>
      </c>
      <c r="O15" s="14">
        <v>0.59</v>
      </c>
      <c r="P15" s="14">
        <v>0.53</v>
      </c>
      <c r="Q15" s="14">
        <v>0.59</v>
      </c>
      <c r="R15" s="14">
        <v>0.74</v>
      </c>
      <c r="S15" s="14">
        <v>0.57000000000000006</v>
      </c>
      <c r="T15" s="14">
        <v>0.62</v>
      </c>
      <c r="U15" s="14">
        <v>0.5</v>
      </c>
      <c r="V15" s="14">
        <v>0.66</v>
      </c>
      <c r="W15" s="14">
        <v>0.48</v>
      </c>
      <c r="X15" s="14">
        <v>0.42</v>
      </c>
      <c r="Y15" s="14">
        <v>0.45</v>
      </c>
      <c r="Z15" s="14">
        <v>0.56000000000000005</v>
      </c>
      <c r="AA15" s="14">
        <v>0.70000000000000007</v>
      </c>
      <c r="AB15" s="14">
        <v>0.47</v>
      </c>
      <c r="AC15" s="14">
        <v>0.64</v>
      </c>
      <c r="AD15" s="14">
        <v>0.69000000000000006</v>
      </c>
      <c r="AE15" s="14">
        <v>0.54</v>
      </c>
      <c r="AF15" s="14">
        <v>0.68</v>
      </c>
    </row>
    <row r="16" spans="1:32">
      <c r="A16" s="23"/>
      <c r="B16" s="11" t="s">
        <v>497</v>
      </c>
      <c r="C16" s="12">
        <v>561</v>
      </c>
      <c r="D16" s="12">
        <v>19</v>
      </c>
      <c r="E16" s="12">
        <v>45</v>
      </c>
      <c r="F16" s="12">
        <v>30</v>
      </c>
      <c r="G16" s="12">
        <v>40</v>
      </c>
      <c r="H16" s="12">
        <v>30</v>
      </c>
      <c r="I16" s="12">
        <v>35</v>
      </c>
      <c r="J16" s="12">
        <v>5</v>
      </c>
      <c r="K16" s="12">
        <v>98</v>
      </c>
      <c r="L16" s="12">
        <v>9</v>
      </c>
      <c r="M16" s="12">
        <v>7</v>
      </c>
      <c r="N16" s="12">
        <v>19</v>
      </c>
      <c r="O16" s="12">
        <v>23</v>
      </c>
      <c r="P16" s="12">
        <v>11</v>
      </c>
      <c r="Q16" s="12">
        <v>5</v>
      </c>
      <c r="R16" s="12">
        <v>6</v>
      </c>
      <c r="S16" s="12">
        <v>52</v>
      </c>
      <c r="T16" s="12">
        <v>36</v>
      </c>
      <c r="U16" s="12">
        <v>15</v>
      </c>
      <c r="V16" s="12">
        <v>10</v>
      </c>
      <c r="W16" s="12">
        <v>9</v>
      </c>
      <c r="X16" s="12">
        <v>54</v>
      </c>
      <c r="Y16" s="12">
        <v>46</v>
      </c>
      <c r="Z16" s="12">
        <v>10</v>
      </c>
      <c r="AA16" s="12">
        <v>15</v>
      </c>
      <c r="AB16" s="12">
        <v>9</v>
      </c>
      <c r="AC16" s="12">
        <v>23</v>
      </c>
      <c r="AD16" s="12">
        <v>20</v>
      </c>
      <c r="AE16" s="12">
        <v>85</v>
      </c>
      <c r="AF16" s="12">
        <v>50</v>
      </c>
    </row>
    <row r="17" spans="1:32">
      <c r="A17" s="23"/>
      <c r="B17" s="13" t="s">
        <v>498</v>
      </c>
      <c r="C17" s="14">
        <v>7.0000000000000007E-2</v>
      </c>
      <c r="D17" s="14">
        <v>0.03</v>
      </c>
      <c r="E17" s="14">
        <v>0.16</v>
      </c>
      <c r="F17" s="14">
        <v>0.11</v>
      </c>
      <c r="G17" s="14">
        <v>0.06</v>
      </c>
      <c r="H17" s="14">
        <v>0.08</v>
      </c>
      <c r="I17" s="14">
        <v>7.0000000000000007E-2</v>
      </c>
      <c r="J17" s="14">
        <v>0.05</v>
      </c>
      <c r="K17" s="14">
        <v>0.2</v>
      </c>
      <c r="L17" s="14">
        <v>0.02</v>
      </c>
      <c r="M17" s="14">
        <v>0.05</v>
      </c>
      <c r="N17" s="14">
        <v>7.0000000000000007E-2</v>
      </c>
      <c r="O17" s="14">
        <v>0.1</v>
      </c>
      <c r="P17" s="14">
        <v>0.05</v>
      </c>
      <c r="Q17" s="14">
        <v>0.02</v>
      </c>
      <c r="R17" s="14">
        <v>0.05</v>
      </c>
      <c r="S17" s="14">
        <v>0.13</v>
      </c>
      <c r="T17" s="14">
        <v>0.11</v>
      </c>
      <c r="U17" s="14">
        <v>0.05</v>
      </c>
      <c r="V17" s="14">
        <v>0.04</v>
      </c>
      <c r="W17" s="14">
        <v>0.04</v>
      </c>
      <c r="X17" s="14">
        <v>7.0000000000000007E-2</v>
      </c>
      <c r="Y17" s="14">
        <v>0.1</v>
      </c>
      <c r="Z17" s="14">
        <v>0.05</v>
      </c>
      <c r="AA17" s="14">
        <v>0.13</v>
      </c>
      <c r="AB17" s="14">
        <v>0.06</v>
      </c>
      <c r="AC17" s="14">
        <v>0.06</v>
      </c>
      <c r="AD17" s="14">
        <v>0.08</v>
      </c>
      <c r="AE17" s="14">
        <v>0.14000000000000001</v>
      </c>
      <c r="AF17" s="14">
        <v>7.0000000000000007E-2</v>
      </c>
    </row>
  </sheetData>
  <mergeCells count="9">
    <mergeCell ref="B10:B11"/>
    <mergeCell ref="A10:A17"/>
    <mergeCell ref="H4:L4"/>
    <mergeCell ref="B4:F4"/>
    <mergeCell ref="H3:L3"/>
    <mergeCell ref="C8:AF8"/>
    <mergeCell ref="B3:F3"/>
    <mergeCell ref="B5:F5"/>
    <mergeCell ref="H5:L5"/>
  </mergeCells>
  <pageMargins left="0.75" right="0.75" top="1" bottom="1" header="0.5" footer="0.5"/>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800-000000000000}">
  <dimension ref="A1:AF19"/>
  <sheetViews>
    <sheetView workbookViewId="0">
      <pane xSplit="3" ySplit="9" topLeftCell="D13" activePane="bottomRight" state="frozen"/>
      <selection pane="bottomRight" activeCell="AE15" sqref="AE15"/>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72" customHeight="1">
      <c r="B3" s="19" t="s">
        <v>1394</v>
      </c>
      <c r="C3" s="19"/>
      <c r="D3" s="19"/>
      <c r="E3" s="19"/>
      <c r="F3" s="19"/>
      <c r="H3" s="19" t="s">
        <v>1395</v>
      </c>
      <c r="I3" s="19"/>
      <c r="J3" s="19"/>
      <c r="K3" s="19"/>
      <c r="L3" s="19"/>
    </row>
    <row r="4" spans="1:32" ht="27" customHeight="1">
      <c r="B4" s="19" t="s">
        <v>1396</v>
      </c>
      <c r="C4" s="19"/>
      <c r="D4" s="19"/>
      <c r="E4" s="19"/>
      <c r="F4" s="19"/>
      <c r="H4" s="19" t="s">
        <v>1397</v>
      </c>
      <c r="I4" s="19"/>
      <c r="J4" s="19"/>
      <c r="K4" s="19"/>
      <c r="L4" s="19"/>
    </row>
    <row r="5" spans="1:32" ht="36" customHeight="1">
      <c r="B5" s="19" t="s">
        <v>1376</v>
      </c>
      <c r="C5" s="19"/>
      <c r="D5" s="19"/>
      <c r="E5" s="19"/>
      <c r="F5" s="19"/>
      <c r="H5" s="19" t="s">
        <v>1377</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HYPERLINK("#Content!A141","&lt;&lt;Back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7847</v>
      </c>
      <c r="D10" s="10">
        <v>515</v>
      </c>
      <c r="E10" s="10">
        <v>284</v>
      </c>
      <c r="F10" s="10">
        <v>261</v>
      </c>
      <c r="G10" s="10">
        <v>692</v>
      </c>
      <c r="H10" s="10">
        <v>380</v>
      </c>
      <c r="I10" s="10">
        <v>479</v>
      </c>
      <c r="J10" s="10">
        <v>100</v>
      </c>
      <c r="K10" s="10">
        <v>492</v>
      </c>
      <c r="L10" s="10">
        <v>396</v>
      </c>
      <c r="M10" s="10">
        <v>147</v>
      </c>
      <c r="N10" s="10">
        <v>260</v>
      </c>
      <c r="O10" s="10">
        <v>230</v>
      </c>
      <c r="P10" s="10">
        <v>238</v>
      </c>
      <c r="Q10" s="10">
        <v>224</v>
      </c>
      <c r="R10" s="10">
        <v>101</v>
      </c>
      <c r="S10" s="10">
        <v>407</v>
      </c>
      <c r="T10" s="10">
        <v>330</v>
      </c>
      <c r="U10" s="10">
        <v>287</v>
      </c>
      <c r="V10" s="10">
        <v>236</v>
      </c>
      <c r="W10" s="10">
        <v>251</v>
      </c>
      <c r="X10" s="10">
        <v>761</v>
      </c>
      <c r="Y10" s="10">
        <v>452</v>
      </c>
      <c r="Z10" s="10">
        <v>218</v>
      </c>
      <c r="AA10" s="10">
        <v>123</v>
      </c>
      <c r="AB10" s="10">
        <v>133</v>
      </c>
      <c r="AC10" s="10">
        <v>405</v>
      </c>
      <c r="AD10" s="10">
        <v>252</v>
      </c>
      <c r="AE10" s="10">
        <v>597</v>
      </c>
      <c r="AF10" s="10">
        <v>702</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1398</v>
      </c>
      <c r="C12" s="12">
        <v>605</v>
      </c>
      <c r="D12" s="12">
        <v>48</v>
      </c>
      <c r="E12" s="12">
        <v>39</v>
      </c>
      <c r="F12" s="12">
        <v>18</v>
      </c>
      <c r="G12" s="12">
        <v>14</v>
      </c>
      <c r="H12" s="12">
        <v>21</v>
      </c>
      <c r="I12" s="12">
        <v>27</v>
      </c>
      <c r="J12" s="12">
        <v>6</v>
      </c>
      <c r="K12" s="12">
        <v>32</v>
      </c>
      <c r="L12" s="12">
        <v>26</v>
      </c>
      <c r="M12" s="12">
        <v>9</v>
      </c>
      <c r="N12" s="12">
        <v>8</v>
      </c>
      <c r="O12" s="12">
        <v>18</v>
      </c>
      <c r="P12" s="12">
        <v>42</v>
      </c>
      <c r="Q12" s="12">
        <v>28</v>
      </c>
      <c r="R12" s="12">
        <v>5</v>
      </c>
      <c r="S12" s="12">
        <v>25</v>
      </c>
      <c r="T12" s="12">
        <v>13</v>
      </c>
      <c r="U12" s="12">
        <v>3</v>
      </c>
      <c r="V12" s="12">
        <v>34</v>
      </c>
      <c r="W12" s="12">
        <v>2</v>
      </c>
      <c r="X12" s="12">
        <v>24</v>
      </c>
      <c r="Y12" s="12">
        <v>88</v>
      </c>
      <c r="Z12" s="12">
        <v>48</v>
      </c>
      <c r="AA12" s="12">
        <v>6</v>
      </c>
      <c r="AB12" s="12">
        <v>18</v>
      </c>
      <c r="AC12" s="12">
        <v>17</v>
      </c>
      <c r="AD12" s="12">
        <v>17</v>
      </c>
      <c r="AE12" s="12">
        <v>6</v>
      </c>
      <c r="AF12" s="12">
        <v>16</v>
      </c>
    </row>
    <row r="13" spans="1:32" ht="23.25">
      <c r="A13" s="23"/>
      <c r="B13" s="13" t="s">
        <v>1399</v>
      </c>
      <c r="C13" s="14">
        <v>0.08</v>
      </c>
      <c r="D13" s="14">
        <v>0.09</v>
      </c>
      <c r="E13" s="14">
        <v>0.14000000000000001</v>
      </c>
      <c r="F13" s="14">
        <v>7.0000000000000007E-2</v>
      </c>
      <c r="G13" s="14">
        <v>0.02</v>
      </c>
      <c r="H13" s="14">
        <v>0.05</v>
      </c>
      <c r="I13" s="14">
        <v>0.06</v>
      </c>
      <c r="J13" s="14">
        <v>0.06</v>
      </c>
      <c r="K13" s="14">
        <v>0.06</v>
      </c>
      <c r="L13" s="14">
        <v>7.0000000000000007E-2</v>
      </c>
      <c r="M13" s="14">
        <v>0.06</v>
      </c>
      <c r="N13" s="14">
        <v>0.03</v>
      </c>
      <c r="O13" s="14">
        <v>0.08</v>
      </c>
      <c r="P13" s="14">
        <v>0.18</v>
      </c>
      <c r="Q13" s="14">
        <v>0.13</v>
      </c>
      <c r="R13" s="14">
        <v>0.04</v>
      </c>
      <c r="S13" s="14">
        <v>0.06</v>
      </c>
      <c r="T13" s="14">
        <v>0.04</v>
      </c>
      <c r="U13" s="14">
        <v>0.01</v>
      </c>
      <c r="V13" s="14">
        <v>0.14000000000000001</v>
      </c>
      <c r="W13" s="14">
        <v>0.01</v>
      </c>
      <c r="X13" s="14">
        <v>0.03</v>
      </c>
      <c r="Y13" s="14">
        <v>0.19</v>
      </c>
      <c r="Z13" s="14">
        <v>0.22</v>
      </c>
      <c r="AA13" s="14">
        <v>0.05</v>
      </c>
      <c r="AB13" s="14">
        <v>0.14000000000000001</v>
      </c>
      <c r="AC13" s="14">
        <v>0.04</v>
      </c>
      <c r="AD13" s="14">
        <v>7.0000000000000007E-2</v>
      </c>
      <c r="AE13" s="14">
        <v>0.01</v>
      </c>
      <c r="AF13" s="14">
        <v>0.02</v>
      </c>
    </row>
    <row r="14" spans="1:32" ht="23.25">
      <c r="A14" s="23"/>
      <c r="B14" s="11" t="s">
        <v>1400</v>
      </c>
      <c r="C14" s="12">
        <v>1349</v>
      </c>
      <c r="D14" s="12">
        <v>95</v>
      </c>
      <c r="E14" s="12">
        <v>73</v>
      </c>
      <c r="F14" s="12">
        <v>27</v>
      </c>
      <c r="G14" s="12">
        <v>93</v>
      </c>
      <c r="H14" s="12">
        <v>70</v>
      </c>
      <c r="I14" s="12">
        <v>92</v>
      </c>
      <c r="J14" s="12">
        <v>21</v>
      </c>
      <c r="K14" s="12">
        <v>85</v>
      </c>
      <c r="L14" s="12">
        <v>71</v>
      </c>
      <c r="M14" s="12">
        <v>21</v>
      </c>
      <c r="N14" s="12">
        <v>23</v>
      </c>
      <c r="O14" s="12">
        <v>37</v>
      </c>
      <c r="P14" s="12">
        <v>48</v>
      </c>
      <c r="Q14" s="12">
        <v>45</v>
      </c>
      <c r="R14" s="12">
        <v>12</v>
      </c>
      <c r="S14" s="12">
        <v>77</v>
      </c>
      <c r="T14" s="12">
        <v>70</v>
      </c>
      <c r="U14" s="12">
        <v>59</v>
      </c>
      <c r="V14" s="12">
        <v>42</v>
      </c>
      <c r="W14" s="12">
        <v>18</v>
      </c>
      <c r="X14" s="12">
        <v>126</v>
      </c>
      <c r="Y14" s="12">
        <v>136</v>
      </c>
      <c r="Z14" s="12">
        <v>48</v>
      </c>
      <c r="AA14" s="12">
        <v>14</v>
      </c>
      <c r="AB14" s="12">
        <v>44</v>
      </c>
      <c r="AC14" s="12">
        <v>54</v>
      </c>
      <c r="AD14" s="12">
        <v>58</v>
      </c>
      <c r="AE14" s="12">
        <v>43</v>
      </c>
      <c r="AF14" s="12">
        <v>73</v>
      </c>
    </row>
    <row r="15" spans="1:32" ht="23.25">
      <c r="A15" s="23"/>
      <c r="B15" s="13" t="s">
        <v>1401</v>
      </c>
      <c r="C15" s="14">
        <v>0.17</v>
      </c>
      <c r="D15" s="14">
        <v>0.19</v>
      </c>
      <c r="E15" s="14">
        <v>0.26</v>
      </c>
      <c r="F15" s="14">
        <v>0.1</v>
      </c>
      <c r="G15" s="14">
        <v>0.14000000000000001</v>
      </c>
      <c r="H15" s="14">
        <v>0.19</v>
      </c>
      <c r="I15" s="14">
        <v>0.19</v>
      </c>
      <c r="J15" s="14">
        <v>0.21</v>
      </c>
      <c r="K15" s="14">
        <v>0.17</v>
      </c>
      <c r="L15" s="14">
        <v>0.18</v>
      </c>
      <c r="M15" s="14">
        <v>0.14000000000000001</v>
      </c>
      <c r="N15" s="14">
        <v>0.09</v>
      </c>
      <c r="O15" s="14">
        <v>0.16</v>
      </c>
      <c r="P15" s="14">
        <v>0.2</v>
      </c>
      <c r="Q15" s="14">
        <v>0.2</v>
      </c>
      <c r="R15" s="14">
        <v>0.12</v>
      </c>
      <c r="S15" s="14">
        <v>0.19</v>
      </c>
      <c r="T15" s="14">
        <v>0.21</v>
      </c>
      <c r="U15" s="14">
        <v>0.21</v>
      </c>
      <c r="V15" s="14">
        <v>0.18</v>
      </c>
      <c r="W15" s="14">
        <v>7.0000000000000007E-2</v>
      </c>
      <c r="X15" s="14">
        <v>0.17</v>
      </c>
      <c r="Y15" s="14">
        <v>0.3</v>
      </c>
      <c r="Z15" s="14">
        <v>0.22</v>
      </c>
      <c r="AA15" s="14">
        <v>0.11</v>
      </c>
      <c r="AB15" s="14">
        <v>0.33</v>
      </c>
      <c r="AC15" s="14">
        <v>0.13</v>
      </c>
      <c r="AD15" s="14">
        <v>0.23</v>
      </c>
      <c r="AE15" s="14">
        <v>7.0000000000000007E-2</v>
      </c>
      <c r="AF15" s="14">
        <v>0.1</v>
      </c>
    </row>
    <row r="16" spans="1:32">
      <c r="A16" s="23"/>
      <c r="B16" s="11" t="s">
        <v>1111</v>
      </c>
      <c r="C16" s="12">
        <v>5871</v>
      </c>
      <c r="D16" s="12">
        <v>371</v>
      </c>
      <c r="E16" s="12">
        <v>168</v>
      </c>
      <c r="F16" s="12">
        <v>215</v>
      </c>
      <c r="G16" s="12">
        <v>585</v>
      </c>
      <c r="H16" s="12">
        <v>286</v>
      </c>
      <c r="I16" s="12">
        <v>359</v>
      </c>
      <c r="J16" s="12">
        <v>72</v>
      </c>
      <c r="K16" s="12">
        <v>367</v>
      </c>
      <c r="L16" s="12">
        <v>297</v>
      </c>
      <c r="M16" s="12">
        <v>117</v>
      </c>
      <c r="N16" s="12">
        <v>229</v>
      </c>
      <c r="O16" s="12">
        <v>175</v>
      </c>
      <c r="P16" s="12">
        <v>145</v>
      </c>
      <c r="Q16" s="12">
        <v>151</v>
      </c>
      <c r="R16" s="12">
        <v>85</v>
      </c>
      <c r="S16" s="12">
        <v>305</v>
      </c>
      <c r="T16" s="12">
        <v>246</v>
      </c>
      <c r="U16" s="12">
        <v>225</v>
      </c>
      <c r="V16" s="12">
        <v>160</v>
      </c>
      <c r="W16" s="12">
        <v>229</v>
      </c>
      <c r="X16" s="12">
        <v>607</v>
      </c>
      <c r="Y16" s="12">
        <v>226</v>
      </c>
      <c r="Z16" s="12">
        <v>121</v>
      </c>
      <c r="AA16" s="12">
        <v>102</v>
      </c>
      <c r="AB16" s="12">
        <v>71</v>
      </c>
      <c r="AC16" s="12">
        <v>334</v>
      </c>
      <c r="AD16" s="12">
        <v>176</v>
      </c>
      <c r="AE16" s="12">
        <v>545</v>
      </c>
      <c r="AF16" s="12">
        <v>613</v>
      </c>
    </row>
    <row r="17" spans="1:32">
      <c r="A17" s="23"/>
      <c r="B17" s="13" t="s">
        <v>1112</v>
      </c>
      <c r="C17" s="14">
        <v>0.75</v>
      </c>
      <c r="D17" s="14">
        <v>0.72</v>
      </c>
      <c r="E17" s="14">
        <v>0.59</v>
      </c>
      <c r="F17" s="14">
        <v>0.82000000000000006</v>
      </c>
      <c r="G17" s="14">
        <v>0.84</v>
      </c>
      <c r="H17" s="14">
        <v>0.75</v>
      </c>
      <c r="I17" s="14">
        <v>0.75</v>
      </c>
      <c r="J17" s="14">
        <v>0.73</v>
      </c>
      <c r="K17" s="14">
        <v>0.75</v>
      </c>
      <c r="L17" s="14">
        <v>0.75</v>
      </c>
      <c r="M17" s="14">
        <v>0.8</v>
      </c>
      <c r="N17" s="14">
        <v>0.88</v>
      </c>
      <c r="O17" s="14">
        <v>0.76</v>
      </c>
      <c r="P17" s="14">
        <v>0.61</v>
      </c>
      <c r="Q17" s="14">
        <v>0.67</v>
      </c>
      <c r="R17" s="14">
        <v>0.84</v>
      </c>
      <c r="S17" s="14">
        <v>0.75</v>
      </c>
      <c r="T17" s="14">
        <v>0.75</v>
      </c>
      <c r="U17" s="14">
        <v>0.78</v>
      </c>
      <c r="V17" s="14">
        <v>0.68</v>
      </c>
      <c r="W17" s="14">
        <v>0.91</v>
      </c>
      <c r="X17" s="14">
        <v>0.8</v>
      </c>
      <c r="Y17" s="14">
        <v>0.5</v>
      </c>
      <c r="Z17" s="14">
        <v>0.56000000000000005</v>
      </c>
      <c r="AA17" s="14">
        <v>0.83000000000000007</v>
      </c>
      <c r="AB17" s="14">
        <v>0.53</v>
      </c>
      <c r="AC17" s="14">
        <v>0.83000000000000007</v>
      </c>
      <c r="AD17" s="14">
        <v>0.70000000000000007</v>
      </c>
      <c r="AE17" s="14">
        <v>0.92</v>
      </c>
      <c r="AF17" s="14">
        <v>0.88</v>
      </c>
    </row>
    <row r="18" spans="1:32">
      <c r="A18" s="23"/>
      <c r="B18" s="11" t="s">
        <v>497</v>
      </c>
      <c r="C18" s="12">
        <v>21</v>
      </c>
      <c r="D18" s="12">
        <v>0</v>
      </c>
      <c r="E18" s="12">
        <v>4</v>
      </c>
      <c r="F18" s="12">
        <v>2</v>
      </c>
      <c r="G18" s="12">
        <v>0</v>
      </c>
      <c r="H18" s="12">
        <v>2</v>
      </c>
      <c r="I18" s="12">
        <v>2</v>
      </c>
      <c r="J18" s="12">
        <v>0</v>
      </c>
      <c r="K18" s="12">
        <v>8</v>
      </c>
      <c r="L18" s="12">
        <v>2</v>
      </c>
      <c r="M18" s="12">
        <v>0</v>
      </c>
      <c r="N18" s="12">
        <v>0</v>
      </c>
      <c r="O18" s="12">
        <v>1</v>
      </c>
      <c r="P18" s="12">
        <v>3</v>
      </c>
      <c r="Q18" s="12">
        <v>0</v>
      </c>
      <c r="R18" s="12">
        <v>0</v>
      </c>
      <c r="S18" s="12">
        <v>1</v>
      </c>
      <c r="T18" s="12">
        <v>1</v>
      </c>
      <c r="U18" s="12">
        <v>0</v>
      </c>
      <c r="V18" s="12">
        <v>0</v>
      </c>
      <c r="W18" s="12">
        <v>2</v>
      </c>
      <c r="X18" s="12">
        <v>4</v>
      </c>
      <c r="Y18" s="12">
        <v>2</v>
      </c>
      <c r="Z18" s="12">
        <v>0</v>
      </c>
      <c r="AA18" s="12">
        <v>1</v>
      </c>
      <c r="AB18" s="12">
        <v>0</v>
      </c>
      <c r="AC18" s="12">
        <v>0</v>
      </c>
      <c r="AD18" s="12">
        <v>0</v>
      </c>
      <c r="AE18" s="12">
        <v>2</v>
      </c>
      <c r="AF18" s="12">
        <v>0</v>
      </c>
    </row>
    <row r="19" spans="1:32">
      <c r="A19" s="23"/>
      <c r="B19" s="13" t="s">
        <v>498</v>
      </c>
      <c r="C19" s="15" t="s">
        <v>485</v>
      </c>
      <c r="D19" s="15" t="s">
        <v>485</v>
      </c>
      <c r="E19" s="14">
        <v>0.01</v>
      </c>
      <c r="F19" s="14">
        <v>0.01</v>
      </c>
      <c r="G19" s="15" t="s">
        <v>485</v>
      </c>
      <c r="H19" s="14">
        <v>0.01</v>
      </c>
      <c r="I19" s="15" t="s">
        <v>485</v>
      </c>
      <c r="J19" s="15" t="s">
        <v>485</v>
      </c>
      <c r="K19" s="14">
        <v>0.02</v>
      </c>
      <c r="L19" s="15" t="s">
        <v>485</v>
      </c>
      <c r="M19" s="15" t="s">
        <v>485</v>
      </c>
      <c r="N19" s="15" t="s">
        <v>485</v>
      </c>
      <c r="O19" s="15" t="s">
        <v>485</v>
      </c>
      <c r="P19" s="14">
        <v>0.01</v>
      </c>
      <c r="Q19" s="15" t="s">
        <v>485</v>
      </c>
      <c r="R19" s="15" t="s">
        <v>485</v>
      </c>
      <c r="S19" s="15" t="s">
        <v>485</v>
      </c>
      <c r="T19" s="15" t="s">
        <v>485</v>
      </c>
      <c r="U19" s="15" t="s">
        <v>485</v>
      </c>
      <c r="V19" s="15" t="s">
        <v>485</v>
      </c>
      <c r="W19" s="14">
        <v>0.01</v>
      </c>
      <c r="X19" s="15" t="s">
        <v>485</v>
      </c>
      <c r="Y19" s="14">
        <v>0.01</v>
      </c>
      <c r="Z19" s="15" t="s">
        <v>485</v>
      </c>
      <c r="AA19" s="14">
        <v>0.01</v>
      </c>
      <c r="AB19" s="15" t="s">
        <v>485</v>
      </c>
      <c r="AC19" s="15" t="s">
        <v>485</v>
      </c>
      <c r="AD19" s="15" t="s">
        <v>485</v>
      </c>
      <c r="AE19" s="15" t="s">
        <v>485</v>
      </c>
      <c r="AF19" s="15" t="s">
        <v>485</v>
      </c>
    </row>
  </sheetData>
  <mergeCells count="9">
    <mergeCell ref="H3:L3"/>
    <mergeCell ref="C8:AF8"/>
    <mergeCell ref="B3:F3"/>
    <mergeCell ref="B5:F5"/>
    <mergeCell ref="A10:A19"/>
    <mergeCell ref="H5:L5"/>
    <mergeCell ref="B10:B11"/>
    <mergeCell ref="H4:L4"/>
    <mergeCell ref="B4:F4"/>
  </mergeCells>
  <pageMargins left="0.75" right="0.75" top="1" bottom="1" header="0.5" footer="0.5"/>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900-000000000000}">
  <dimension ref="A1:AF1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72" customHeight="1">
      <c r="B3" s="19" t="s">
        <v>1402</v>
      </c>
      <c r="C3" s="19"/>
      <c r="D3" s="19"/>
      <c r="E3" s="19"/>
      <c r="F3" s="19"/>
      <c r="H3" s="19" t="s">
        <v>1403</v>
      </c>
      <c r="I3" s="19"/>
      <c r="J3" s="19"/>
      <c r="K3" s="19"/>
      <c r="L3" s="19"/>
    </row>
    <row r="4" spans="1:32" ht="27" customHeight="1">
      <c r="B4" s="19" t="s">
        <v>1404</v>
      </c>
      <c r="C4" s="19"/>
      <c r="D4" s="19"/>
      <c r="E4" s="19"/>
      <c r="F4" s="19"/>
      <c r="H4" s="19" t="s">
        <v>1405</v>
      </c>
      <c r="I4" s="19"/>
      <c r="J4" s="19"/>
      <c r="K4" s="19"/>
      <c r="L4" s="19"/>
    </row>
    <row r="5" spans="1:32" ht="36" customHeight="1">
      <c r="B5" s="19" t="s">
        <v>1376</v>
      </c>
      <c r="C5" s="19"/>
      <c r="D5" s="19"/>
      <c r="E5" s="19"/>
      <c r="F5" s="19"/>
      <c r="H5" s="19" t="s">
        <v>1377</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HYPERLINK("#Content!A142","&lt;&lt;Back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7847</v>
      </c>
      <c r="D10" s="10">
        <v>515</v>
      </c>
      <c r="E10" s="10">
        <v>284</v>
      </c>
      <c r="F10" s="10">
        <v>261</v>
      </c>
      <c r="G10" s="10">
        <v>692</v>
      </c>
      <c r="H10" s="10">
        <v>380</v>
      </c>
      <c r="I10" s="10">
        <v>479</v>
      </c>
      <c r="J10" s="10">
        <v>100</v>
      </c>
      <c r="K10" s="10">
        <v>492</v>
      </c>
      <c r="L10" s="10">
        <v>396</v>
      </c>
      <c r="M10" s="10">
        <v>147</v>
      </c>
      <c r="N10" s="10">
        <v>260</v>
      </c>
      <c r="O10" s="10">
        <v>230</v>
      </c>
      <c r="P10" s="10">
        <v>238</v>
      </c>
      <c r="Q10" s="10">
        <v>224</v>
      </c>
      <c r="R10" s="10">
        <v>101</v>
      </c>
      <c r="S10" s="10">
        <v>407</v>
      </c>
      <c r="T10" s="10">
        <v>330</v>
      </c>
      <c r="U10" s="10">
        <v>287</v>
      </c>
      <c r="V10" s="10">
        <v>236</v>
      </c>
      <c r="W10" s="10">
        <v>251</v>
      </c>
      <c r="X10" s="10">
        <v>761</v>
      </c>
      <c r="Y10" s="10">
        <v>452</v>
      </c>
      <c r="Z10" s="10">
        <v>218</v>
      </c>
      <c r="AA10" s="10">
        <v>123</v>
      </c>
      <c r="AB10" s="10">
        <v>133</v>
      </c>
      <c r="AC10" s="10">
        <v>405</v>
      </c>
      <c r="AD10" s="10">
        <v>252</v>
      </c>
      <c r="AE10" s="10">
        <v>597</v>
      </c>
      <c r="AF10" s="10">
        <v>702</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1398</v>
      </c>
      <c r="C12" s="12">
        <v>984</v>
      </c>
      <c r="D12" s="12">
        <v>65</v>
      </c>
      <c r="E12" s="12">
        <v>56</v>
      </c>
      <c r="F12" s="12">
        <v>16</v>
      </c>
      <c r="G12" s="12">
        <v>43</v>
      </c>
      <c r="H12" s="12">
        <v>43</v>
      </c>
      <c r="I12" s="12">
        <v>53</v>
      </c>
      <c r="J12" s="12">
        <v>10</v>
      </c>
      <c r="K12" s="12">
        <v>42</v>
      </c>
      <c r="L12" s="12">
        <v>35</v>
      </c>
      <c r="M12" s="12">
        <v>15</v>
      </c>
      <c r="N12" s="12">
        <v>15</v>
      </c>
      <c r="O12" s="12">
        <v>32</v>
      </c>
      <c r="P12" s="12">
        <v>49</v>
      </c>
      <c r="Q12" s="12">
        <v>43</v>
      </c>
      <c r="R12" s="12">
        <v>6</v>
      </c>
      <c r="S12" s="12">
        <v>27</v>
      </c>
      <c r="T12" s="12">
        <v>24</v>
      </c>
      <c r="U12" s="12">
        <v>20</v>
      </c>
      <c r="V12" s="12">
        <v>31</v>
      </c>
      <c r="W12" s="12">
        <v>8</v>
      </c>
      <c r="X12" s="12">
        <v>64</v>
      </c>
      <c r="Y12" s="12">
        <v>116</v>
      </c>
      <c r="Z12" s="12">
        <v>58</v>
      </c>
      <c r="AA12" s="12">
        <v>10</v>
      </c>
      <c r="AB12" s="12">
        <v>40</v>
      </c>
      <c r="AC12" s="12">
        <v>40</v>
      </c>
      <c r="AD12" s="12">
        <v>23</v>
      </c>
      <c r="AE12" s="12">
        <v>16</v>
      </c>
      <c r="AF12" s="12">
        <v>45</v>
      </c>
    </row>
    <row r="13" spans="1:32" ht="23.25">
      <c r="A13" s="23"/>
      <c r="B13" s="13" t="s">
        <v>1399</v>
      </c>
      <c r="C13" s="14">
        <v>0.12</v>
      </c>
      <c r="D13" s="14">
        <v>0.13</v>
      </c>
      <c r="E13" s="14">
        <v>0.2</v>
      </c>
      <c r="F13" s="14">
        <v>0.06</v>
      </c>
      <c r="G13" s="14">
        <v>0.06</v>
      </c>
      <c r="H13" s="14">
        <v>0.11</v>
      </c>
      <c r="I13" s="14">
        <v>0.11</v>
      </c>
      <c r="J13" s="14">
        <v>0.1</v>
      </c>
      <c r="K13" s="14">
        <v>0.08</v>
      </c>
      <c r="L13" s="14">
        <v>0.09</v>
      </c>
      <c r="M13" s="14">
        <v>0.11</v>
      </c>
      <c r="N13" s="14">
        <v>0.06</v>
      </c>
      <c r="O13" s="14">
        <v>0.14000000000000001</v>
      </c>
      <c r="P13" s="14">
        <v>0.2</v>
      </c>
      <c r="Q13" s="14">
        <v>0.19</v>
      </c>
      <c r="R13" s="14">
        <v>0.06</v>
      </c>
      <c r="S13" s="14">
        <v>7.0000000000000007E-2</v>
      </c>
      <c r="T13" s="14">
        <v>7.0000000000000007E-2</v>
      </c>
      <c r="U13" s="14">
        <v>7.0000000000000007E-2</v>
      </c>
      <c r="V13" s="14">
        <v>0.13</v>
      </c>
      <c r="W13" s="14">
        <v>0.03</v>
      </c>
      <c r="X13" s="14">
        <v>0.08</v>
      </c>
      <c r="Y13" s="14">
        <v>0.26</v>
      </c>
      <c r="Z13" s="14">
        <v>0.27</v>
      </c>
      <c r="AA13" s="14">
        <v>0.08</v>
      </c>
      <c r="AB13" s="14">
        <v>0.3</v>
      </c>
      <c r="AC13" s="14">
        <v>0.1</v>
      </c>
      <c r="AD13" s="14">
        <v>0.09</v>
      </c>
      <c r="AE13" s="14">
        <v>0.03</v>
      </c>
      <c r="AF13" s="14">
        <v>0.06</v>
      </c>
    </row>
    <row r="14" spans="1:32" ht="23.25">
      <c r="A14" s="23"/>
      <c r="B14" s="11" t="s">
        <v>1400</v>
      </c>
      <c r="C14" s="12">
        <v>1717</v>
      </c>
      <c r="D14" s="12">
        <v>142</v>
      </c>
      <c r="E14" s="12">
        <v>97</v>
      </c>
      <c r="F14" s="12">
        <v>38</v>
      </c>
      <c r="G14" s="12">
        <v>196</v>
      </c>
      <c r="H14" s="12">
        <v>66</v>
      </c>
      <c r="I14" s="12">
        <v>89</v>
      </c>
      <c r="J14" s="12">
        <v>24</v>
      </c>
      <c r="K14" s="12">
        <v>117</v>
      </c>
      <c r="L14" s="12">
        <v>103</v>
      </c>
      <c r="M14" s="12">
        <v>19</v>
      </c>
      <c r="N14" s="12">
        <v>30</v>
      </c>
      <c r="O14" s="12">
        <v>52</v>
      </c>
      <c r="P14" s="12">
        <v>56</v>
      </c>
      <c r="Q14" s="12">
        <v>60</v>
      </c>
      <c r="R14" s="12">
        <v>18</v>
      </c>
      <c r="S14" s="12">
        <v>68</v>
      </c>
      <c r="T14" s="12">
        <v>109</v>
      </c>
      <c r="U14" s="12">
        <v>79</v>
      </c>
      <c r="V14" s="12">
        <v>46</v>
      </c>
      <c r="W14" s="12">
        <v>53</v>
      </c>
      <c r="X14" s="12">
        <v>188</v>
      </c>
      <c r="Y14" s="12">
        <v>117</v>
      </c>
      <c r="Z14" s="12">
        <v>52</v>
      </c>
      <c r="AA14" s="12">
        <v>9</v>
      </c>
      <c r="AB14" s="12">
        <v>45</v>
      </c>
      <c r="AC14" s="12">
        <v>116</v>
      </c>
      <c r="AD14" s="12">
        <v>70</v>
      </c>
      <c r="AE14" s="12">
        <v>128</v>
      </c>
      <c r="AF14" s="12">
        <v>145</v>
      </c>
    </row>
    <row r="15" spans="1:32" ht="23.25">
      <c r="A15" s="23"/>
      <c r="B15" s="13" t="s">
        <v>1401</v>
      </c>
      <c r="C15" s="14">
        <v>0.22</v>
      </c>
      <c r="D15" s="14">
        <v>0.27</v>
      </c>
      <c r="E15" s="14">
        <v>0.34</v>
      </c>
      <c r="F15" s="14">
        <v>0.15</v>
      </c>
      <c r="G15" s="14">
        <v>0.28999999999999998</v>
      </c>
      <c r="H15" s="14">
        <v>0.17</v>
      </c>
      <c r="I15" s="14">
        <v>0.19</v>
      </c>
      <c r="J15" s="14">
        <v>0.24</v>
      </c>
      <c r="K15" s="14">
        <v>0.24</v>
      </c>
      <c r="L15" s="14">
        <v>0.26</v>
      </c>
      <c r="M15" s="14">
        <v>0.13</v>
      </c>
      <c r="N15" s="14">
        <v>0.11</v>
      </c>
      <c r="O15" s="14">
        <v>0.23</v>
      </c>
      <c r="P15" s="14">
        <v>0.24</v>
      </c>
      <c r="Q15" s="14">
        <v>0.27</v>
      </c>
      <c r="R15" s="14">
        <v>0.18</v>
      </c>
      <c r="S15" s="14">
        <v>0.17</v>
      </c>
      <c r="T15" s="14">
        <v>0.33</v>
      </c>
      <c r="U15" s="14">
        <v>0.28000000000000003</v>
      </c>
      <c r="V15" s="14">
        <v>0.2</v>
      </c>
      <c r="W15" s="14">
        <v>0.21</v>
      </c>
      <c r="X15" s="14">
        <v>0.25</v>
      </c>
      <c r="Y15" s="14">
        <v>0.26</v>
      </c>
      <c r="Z15" s="14">
        <v>0.24</v>
      </c>
      <c r="AA15" s="14">
        <v>7.0000000000000007E-2</v>
      </c>
      <c r="AB15" s="14">
        <v>0.34</v>
      </c>
      <c r="AC15" s="14">
        <v>0.28999999999999998</v>
      </c>
      <c r="AD15" s="14">
        <v>0.28000000000000003</v>
      </c>
      <c r="AE15" s="14">
        <v>0.21</v>
      </c>
      <c r="AF15" s="14">
        <v>0.21</v>
      </c>
    </row>
    <row r="16" spans="1:32">
      <c r="A16" s="23"/>
      <c r="B16" s="11" t="s">
        <v>1111</v>
      </c>
      <c r="C16" s="12">
        <v>5077</v>
      </c>
      <c r="D16" s="12">
        <v>307</v>
      </c>
      <c r="E16" s="12">
        <v>128</v>
      </c>
      <c r="F16" s="12">
        <v>203</v>
      </c>
      <c r="G16" s="12">
        <v>451</v>
      </c>
      <c r="H16" s="12">
        <v>268</v>
      </c>
      <c r="I16" s="12">
        <v>332</v>
      </c>
      <c r="J16" s="12">
        <v>65</v>
      </c>
      <c r="K16" s="12">
        <v>323</v>
      </c>
      <c r="L16" s="12">
        <v>254</v>
      </c>
      <c r="M16" s="12">
        <v>110</v>
      </c>
      <c r="N16" s="12">
        <v>215</v>
      </c>
      <c r="O16" s="12">
        <v>143</v>
      </c>
      <c r="P16" s="12">
        <v>127</v>
      </c>
      <c r="Q16" s="12">
        <v>120</v>
      </c>
      <c r="R16" s="12">
        <v>77</v>
      </c>
      <c r="S16" s="12">
        <v>310</v>
      </c>
      <c r="T16" s="12">
        <v>193</v>
      </c>
      <c r="U16" s="12">
        <v>185</v>
      </c>
      <c r="V16" s="12">
        <v>159</v>
      </c>
      <c r="W16" s="12">
        <v>188</v>
      </c>
      <c r="X16" s="12">
        <v>503</v>
      </c>
      <c r="Y16" s="12">
        <v>208</v>
      </c>
      <c r="Z16" s="12">
        <v>106</v>
      </c>
      <c r="AA16" s="12">
        <v>103</v>
      </c>
      <c r="AB16" s="12">
        <v>46</v>
      </c>
      <c r="AC16" s="12">
        <v>249</v>
      </c>
      <c r="AD16" s="12">
        <v>153</v>
      </c>
      <c r="AE16" s="12">
        <v>442</v>
      </c>
      <c r="AF16" s="12">
        <v>507</v>
      </c>
    </row>
    <row r="17" spans="1:32">
      <c r="A17" s="23"/>
      <c r="B17" s="13" t="s">
        <v>1112</v>
      </c>
      <c r="C17" s="14">
        <v>0.65</v>
      </c>
      <c r="D17" s="14">
        <v>0.6</v>
      </c>
      <c r="E17" s="14">
        <v>0.45</v>
      </c>
      <c r="F17" s="14">
        <v>0.78</v>
      </c>
      <c r="G17" s="14">
        <v>0.65</v>
      </c>
      <c r="H17" s="14">
        <v>0.71</v>
      </c>
      <c r="I17" s="14">
        <v>0.69000000000000006</v>
      </c>
      <c r="J17" s="14">
        <v>0.65</v>
      </c>
      <c r="K17" s="14">
        <v>0.66</v>
      </c>
      <c r="L17" s="14">
        <v>0.64</v>
      </c>
      <c r="M17" s="14">
        <v>0.75</v>
      </c>
      <c r="N17" s="14">
        <v>0.83000000000000007</v>
      </c>
      <c r="O17" s="14">
        <v>0.62</v>
      </c>
      <c r="P17" s="14">
        <v>0.54</v>
      </c>
      <c r="Q17" s="14">
        <v>0.54</v>
      </c>
      <c r="R17" s="14">
        <v>0.76</v>
      </c>
      <c r="S17" s="14">
        <v>0.76</v>
      </c>
      <c r="T17" s="14">
        <v>0.57999999999999996</v>
      </c>
      <c r="U17" s="14">
        <v>0.64</v>
      </c>
      <c r="V17" s="14">
        <v>0.67</v>
      </c>
      <c r="W17" s="14">
        <v>0.75</v>
      </c>
      <c r="X17" s="14">
        <v>0.66</v>
      </c>
      <c r="Y17" s="14">
        <v>0.46</v>
      </c>
      <c r="Z17" s="14">
        <v>0.49</v>
      </c>
      <c r="AA17" s="14">
        <v>0.84</v>
      </c>
      <c r="AB17" s="14">
        <v>0.35</v>
      </c>
      <c r="AC17" s="14">
        <v>0.61</v>
      </c>
      <c r="AD17" s="14">
        <v>0.61</v>
      </c>
      <c r="AE17" s="14">
        <v>0.74</v>
      </c>
      <c r="AF17" s="14">
        <v>0.72</v>
      </c>
    </row>
    <row r="18" spans="1:32">
      <c r="A18" s="23"/>
      <c r="B18" s="11" t="s">
        <v>497</v>
      </c>
      <c r="C18" s="12">
        <v>69</v>
      </c>
      <c r="D18" s="12">
        <v>1</v>
      </c>
      <c r="E18" s="12">
        <v>2</v>
      </c>
      <c r="F18" s="12">
        <v>4</v>
      </c>
      <c r="G18" s="12">
        <v>1</v>
      </c>
      <c r="H18" s="12">
        <v>3</v>
      </c>
      <c r="I18" s="12">
        <v>4</v>
      </c>
      <c r="J18" s="12">
        <v>1</v>
      </c>
      <c r="K18" s="12">
        <v>10</v>
      </c>
      <c r="L18" s="12">
        <v>5</v>
      </c>
      <c r="M18" s="12">
        <v>2</v>
      </c>
      <c r="N18" s="12">
        <v>1</v>
      </c>
      <c r="O18" s="12">
        <v>3</v>
      </c>
      <c r="P18" s="12">
        <v>5</v>
      </c>
      <c r="Q18" s="12">
        <v>1</v>
      </c>
      <c r="R18" s="12">
        <v>0</v>
      </c>
      <c r="S18" s="12">
        <v>2</v>
      </c>
      <c r="T18" s="12">
        <v>5</v>
      </c>
      <c r="U18" s="12">
        <v>3</v>
      </c>
      <c r="V18" s="12">
        <v>0</v>
      </c>
      <c r="W18" s="12">
        <v>3</v>
      </c>
      <c r="X18" s="12">
        <v>6</v>
      </c>
      <c r="Y18" s="12">
        <v>11</v>
      </c>
      <c r="Z18" s="12">
        <v>1</v>
      </c>
      <c r="AA18" s="12">
        <v>1</v>
      </c>
      <c r="AB18" s="12">
        <v>2</v>
      </c>
      <c r="AC18" s="12">
        <v>0</v>
      </c>
      <c r="AD18" s="12">
        <v>5</v>
      </c>
      <c r="AE18" s="12">
        <v>11</v>
      </c>
      <c r="AF18" s="12">
        <v>6</v>
      </c>
    </row>
    <row r="19" spans="1:32">
      <c r="A19" s="23"/>
      <c r="B19" s="13" t="s">
        <v>498</v>
      </c>
      <c r="C19" s="14">
        <v>0.01</v>
      </c>
      <c r="D19" s="15" t="s">
        <v>485</v>
      </c>
      <c r="E19" s="14">
        <v>0.01</v>
      </c>
      <c r="F19" s="14">
        <v>0.01</v>
      </c>
      <c r="G19" s="15" t="s">
        <v>485</v>
      </c>
      <c r="H19" s="14">
        <v>0.01</v>
      </c>
      <c r="I19" s="14">
        <v>0.01</v>
      </c>
      <c r="J19" s="14">
        <v>0.01</v>
      </c>
      <c r="K19" s="14">
        <v>0.02</v>
      </c>
      <c r="L19" s="14">
        <v>0.01</v>
      </c>
      <c r="M19" s="14">
        <v>0.01</v>
      </c>
      <c r="N19" s="15" t="s">
        <v>485</v>
      </c>
      <c r="O19" s="14">
        <v>0.01</v>
      </c>
      <c r="P19" s="14">
        <v>0.02</v>
      </c>
      <c r="Q19" s="15" t="s">
        <v>485</v>
      </c>
      <c r="R19" s="15" t="s">
        <v>485</v>
      </c>
      <c r="S19" s="15" t="s">
        <v>485</v>
      </c>
      <c r="T19" s="14">
        <v>0.02</v>
      </c>
      <c r="U19" s="14">
        <v>0.01</v>
      </c>
      <c r="V19" s="15" t="s">
        <v>485</v>
      </c>
      <c r="W19" s="14">
        <v>0.01</v>
      </c>
      <c r="X19" s="14">
        <v>0.01</v>
      </c>
      <c r="Y19" s="14">
        <v>0.02</v>
      </c>
      <c r="Z19" s="15" t="s">
        <v>485</v>
      </c>
      <c r="AA19" s="14">
        <v>0.01</v>
      </c>
      <c r="AB19" s="14">
        <v>0.01</v>
      </c>
      <c r="AC19" s="15" t="s">
        <v>485</v>
      </c>
      <c r="AD19" s="14">
        <v>0.02</v>
      </c>
      <c r="AE19" s="14">
        <v>0.02</v>
      </c>
      <c r="AF19" s="14">
        <v>0.01</v>
      </c>
    </row>
  </sheetData>
  <mergeCells count="9">
    <mergeCell ref="H3:L3"/>
    <mergeCell ref="C8:AF8"/>
    <mergeCell ref="B3:F3"/>
    <mergeCell ref="B5:F5"/>
    <mergeCell ref="A10:A19"/>
    <mergeCell ref="H5:L5"/>
    <mergeCell ref="B10:B11"/>
    <mergeCell ref="H4:L4"/>
    <mergeCell ref="B4:F4"/>
  </mergeCells>
  <pageMargins left="0.75" right="0.75" top="1" bottom="1" header="0.5" footer="0.5"/>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A00-000000000000}">
  <dimension ref="A1:AF19"/>
  <sheetViews>
    <sheetView workbookViewId="0">
      <pane xSplit="3" ySplit="9" topLeftCell="Y18" activePane="bottomRight" state="frozen"/>
      <selection pane="bottomRight" activeCell="B9" sqref="B9:AF19"/>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72" customHeight="1">
      <c r="B3" s="19" t="s">
        <v>1406</v>
      </c>
      <c r="C3" s="19"/>
      <c r="D3" s="19"/>
      <c r="E3" s="19"/>
      <c r="F3" s="19"/>
      <c r="H3" s="19" t="s">
        <v>1407</v>
      </c>
      <c r="I3" s="19"/>
      <c r="J3" s="19"/>
      <c r="K3" s="19"/>
      <c r="L3" s="19"/>
    </row>
    <row r="4" spans="1:32" ht="27" customHeight="1">
      <c r="B4" s="19" t="s">
        <v>1408</v>
      </c>
      <c r="C4" s="19"/>
      <c r="D4" s="19"/>
      <c r="E4" s="19"/>
      <c r="F4" s="19"/>
      <c r="H4" s="19" t="s">
        <v>1409</v>
      </c>
      <c r="I4" s="19"/>
      <c r="J4" s="19"/>
      <c r="K4" s="19"/>
      <c r="L4" s="19"/>
    </row>
    <row r="5" spans="1:32" ht="36" customHeight="1">
      <c r="B5" s="19" t="s">
        <v>1376</v>
      </c>
      <c r="C5" s="19"/>
      <c r="D5" s="19"/>
      <c r="E5" s="19"/>
      <c r="F5" s="19"/>
      <c r="H5" s="19" t="s">
        <v>1377</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HYPERLINK("#Content!A143","&lt;&lt;Back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7847</v>
      </c>
      <c r="D10" s="10">
        <v>515</v>
      </c>
      <c r="E10" s="10">
        <v>284</v>
      </c>
      <c r="F10" s="10">
        <v>261</v>
      </c>
      <c r="G10" s="10">
        <v>692</v>
      </c>
      <c r="H10" s="10">
        <v>380</v>
      </c>
      <c r="I10" s="10">
        <v>479</v>
      </c>
      <c r="J10" s="10">
        <v>100</v>
      </c>
      <c r="K10" s="10">
        <v>492</v>
      </c>
      <c r="L10" s="10">
        <v>396</v>
      </c>
      <c r="M10" s="10">
        <v>147</v>
      </c>
      <c r="N10" s="10">
        <v>260</v>
      </c>
      <c r="O10" s="10">
        <v>230</v>
      </c>
      <c r="P10" s="10">
        <v>238</v>
      </c>
      <c r="Q10" s="10">
        <v>224</v>
      </c>
      <c r="R10" s="10">
        <v>101</v>
      </c>
      <c r="S10" s="10">
        <v>407</v>
      </c>
      <c r="T10" s="10">
        <v>330</v>
      </c>
      <c r="U10" s="10">
        <v>287</v>
      </c>
      <c r="V10" s="10">
        <v>236</v>
      </c>
      <c r="W10" s="10">
        <v>251</v>
      </c>
      <c r="X10" s="10">
        <v>761</v>
      </c>
      <c r="Y10" s="10">
        <v>452</v>
      </c>
      <c r="Z10" s="10">
        <v>218</v>
      </c>
      <c r="AA10" s="10">
        <v>123</v>
      </c>
      <c r="AB10" s="10">
        <v>133</v>
      </c>
      <c r="AC10" s="10">
        <v>405</v>
      </c>
      <c r="AD10" s="10">
        <v>252</v>
      </c>
      <c r="AE10" s="10">
        <v>597</v>
      </c>
      <c r="AF10" s="10">
        <v>702</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1398</v>
      </c>
      <c r="C12" s="12">
        <v>778</v>
      </c>
      <c r="D12" s="12">
        <v>42</v>
      </c>
      <c r="E12" s="12">
        <v>47</v>
      </c>
      <c r="F12" s="12">
        <v>24</v>
      </c>
      <c r="G12" s="12">
        <v>11</v>
      </c>
      <c r="H12" s="12">
        <v>31</v>
      </c>
      <c r="I12" s="12">
        <v>37</v>
      </c>
      <c r="J12" s="12">
        <v>6</v>
      </c>
      <c r="K12" s="12">
        <v>40</v>
      </c>
      <c r="L12" s="12">
        <v>47</v>
      </c>
      <c r="M12" s="12">
        <v>7</v>
      </c>
      <c r="N12" s="12">
        <v>19</v>
      </c>
      <c r="O12" s="12">
        <v>22</v>
      </c>
      <c r="P12" s="12">
        <v>44</v>
      </c>
      <c r="Q12" s="12">
        <v>39</v>
      </c>
      <c r="R12" s="12">
        <v>8</v>
      </c>
      <c r="S12" s="12">
        <v>34</v>
      </c>
      <c r="T12" s="12">
        <v>33</v>
      </c>
      <c r="U12" s="12">
        <v>26</v>
      </c>
      <c r="V12" s="12">
        <v>29</v>
      </c>
      <c r="W12" s="12">
        <v>11</v>
      </c>
      <c r="X12" s="12">
        <v>38</v>
      </c>
      <c r="Y12" s="12">
        <v>74</v>
      </c>
      <c r="Z12" s="12">
        <v>59</v>
      </c>
      <c r="AA12" s="12">
        <v>11</v>
      </c>
      <c r="AB12" s="12">
        <v>27</v>
      </c>
      <c r="AC12" s="12">
        <v>16</v>
      </c>
      <c r="AD12" s="12">
        <v>15</v>
      </c>
      <c r="AE12" s="12">
        <v>4</v>
      </c>
      <c r="AF12" s="12">
        <v>14</v>
      </c>
    </row>
    <row r="13" spans="1:32" ht="23.25">
      <c r="A13" s="23"/>
      <c r="B13" s="13" t="s">
        <v>1399</v>
      </c>
      <c r="C13" s="14">
        <v>0.1</v>
      </c>
      <c r="D13" s="14">
        <v>0.08</v>
      </c>
      <c r="E13" s="14">
        <v>0.16</v>
      </c>
      <c r="F13" s="14">
        <v>0.09</v>
      </c>
      <c r="G13" s="14">
        <v>0.02</v>
      </c>
      <c r="H13" s="14">
        <v>0.08</v>
      </c>
      <c r="I13" s="14">
        <v>0.08</v>
      </c>
      <c r="J13" s="14">
        <v>0.06</v>
      </c>
      <c r="K13" s="14">
        <v>0.08</v>
      </c>
      <c r="L13" s="14">
        <v>0.12</v>
      </c>
      <c r="M13" s="14">
        <v>0.04</v>
      </c>
      <c r="N13" s="14">
        <v>0.08</v>
      </c>
      <c r="O13" s="14">
        <v>0.1</v>
      </c>
      <c r="P13" s="14">
        <v>0.18</v>
      </c>
      <c r="Q13" s="14">
        <v>0.18</v>
      </c>
      <c r="R13" s="14">
        <v>0.08</v>
      </c>
      <c r="S13" s="14">
        <v>0.08</v>
      </c>
      <c r="T13" s="14">
        <v>0.1</v>
      </c>
      <c r="U13" s="14">
        <v>0.09</v>
      </c>
      <c r="V13" s="14">
        <v>0.12</v>
      </c>
      <c r="W13" s="14">
        <v>0.04</v>
      </c>
      <c r="X13" s="14">
        <v>0.05</v>
      </c>
      <c r="Y13" s="14">
        <v>0.16</v>
      </c>
      <c r="Z13" s="14">
        <v>0.27</v>
      </c>
      <c r="AA13" s="14">
        <v>0.09</v>
      </c>
      <c r="AB13" s="14">
        <v>0.2</v>
      </c>
      <c r="AC13" s="14">
        <v>0.04</v>
      </c>
      <c r="AD13" s="14">
        <v>0.06</v>
      </c>
      <c r="AE13" s="14">
        <v>0.01</v>
      </c>
      <c r="AF13" s="14">
        <v>0.02</v>
      </c>
    </row>
    <row r="14" spans="1:32" ht="23.25">
      <c r="A14" s="23"/>
      <c r="B14" s="11" t="s">
        <v>1400</v>
      </c>
      <c r="C14" s="12">
        <v>564</v>
      </c>
      <c r="D14" s="12">
        <v>20</v>
      </c>
      <c r="E14" s="12">
        <v>43</v>
      </c>
      <c r="F14" s="12">
        <v>12</v>
      </c>
      <c r="G14" s="12">
        <v>6</v>
      </c>
      <c r="H14" s="12">
        <v>19</v>
      </c>
      <c r="I14" s="12">
        <v>26</v>
      </c>
      <c r="J14" s="12">
        <v>7</v>
      </c>
      <c r="K14" s="12">
        <v>64</v>
      </c>
      <c r="L14" s="12">
        <v>11</v>
      </c>
      <c r="M14" s="12">
        <v>12</v>
      </c>
      <c r="N14" s="12">
        <v>11</v>
      </c>
      <c r="O14" s="12">
        <v>14</v>
      </c>
      <c r="P14" s="12">
        <v>35</v>
      </c>
      <c r="Q14" s="12">
        <v>32</v>
      </c>
      <c r="R14" s="12">
        <v>4</v>
      </c>
      <c r="S14" s="12">
        <v>25</v>
      </c>
      <c r="T14" s="12">
        <v>34</v>
      </c>
      <c r="U14" s="12">
        <v>10</v>
      </c>
      <c r="V14" s="12">
        <v>43</v>
      </c>
      <c r="W14" s="12">
        <v>20</v>
      </c>
      <c r="X14" s="12">
        <v>17</v>
      </c>
      <c r="Y14" s="12">
        <v>39</v>
      </c>
      <c r="Z14" s="12">
        <v>41</v>
      </c>
      <c r="AA14" s="12">
        <v>3</v>
      </c>
      <c r="AB14" s="12">
        <v>36</v>
      </c>
      <c r="AC14" s="12">
        <v>31</v>
      </c>
      <c r="AD14" s="12">
        <v>22</v>
      </c>
      <c r="AE14" s="12">
        <v>8</v>
      </c>
      <c r="AF14" s="12">
        <v>4</v>
      </c>
    </row>
    <row r="15" spans="1:32" ht="23.25">
      <c r="A15" s="23"/>
      <c r="B15" s="13" t="s">
        <v>1401</v>
      </c>
      <c r="C15" s="14">
        <v>7.0000000000000007E-2</v>
      </c>
      <c r="D15" s="14">
        <v>0.04</v>
      </c>
      <c r="E15" s="14">
        <v>0.15</v>
      </c>
      <c r="F15" s="14">
        <v>0.05</v>
      </c>
      <c r="G15" s="14">
        <v>0.01</v>
      </c>
      <c r="H15" s="14">
        <v>0.05</v>
      </c>
      <c r="I15" s="14">
        <v>0.05</v>
      </c>
      <c r="J15" s="14">
        <v>7.0000000000000007E-2</v>
      </c>
      <c r="K15" s="14">
        <v>0.13</v>
      </c>
      <c r="L15" s="14">
        <v>0.03</v>
      </c>
      <c r="M15" s="14">
        <v>0.09</v>
      </c>
      <c r="N15" s="14">
        <v>0.04</v>
      </c>
      <c r="O15" s="14">
        <v>0.06</v>
      </c>
      <c r="P15" s="14">
        <v>0.15</v>
      </c>
      <c r="Q15" s="14">
        <v>0.14000000000000001</v>
      </c>
      <c r="R15" s="14">
        <v>0.04</v>
      </c>
      <c r="S15" s="14">
        <v>0.06</v>
      </c>
      <c r="T15" s="14">
        <v>0.1</v>
      </c>
      <c r="U15" s="14">
        <v>0.04</v>
      </c>
      <c r="V15" s="14">
        <v>0.19</v>
      </c>
      <c r="W15" s="14">
        <v>0.08</v>
      </c>
      <c r="X15" s="14">
        <v>0.02</v>
      </c>
      <c r="Y15" s="14">
        <v>0.09</v>
      </c>
      <c r="Z15" s="14">
        <v>0.19</v>
      </c>
      <c r="AA15" s="14">
        <v>0.03</v>
      </c>
      <c r="AB15" s="14">
        <v>0.27</v>
      </c>
      <c r="AC15" s="14">
        <v>0.08</v>
      </c>
      <c r="AD15" s="14">
        <v>0.09</v>
      </c>
      <c r="AE15" s="14">
        <v>0.01</v>
      </c>
      <c r="AF15" s="14">
        <v>0.01</v>
      </c>
    </row>
    <row r="16" spans="1:32">
      <c r="A16" s="23"/>
      <c r="B16" s="11" t="s">
        <v>1111</v>
      </c>
      <c r="C16" s="12">
        <v>6473</v>
      </c>
      <c r="D16" s="12">
        <v>452</v>
      </c>
      <c r="E16" s="12">
        <v>193</v>
      </c>
      <c r="F16" s="12">
        <v>223</v>
      </c>
      <c r="G16" s="12">
        <v>667</v>
      </c>
      <c r="H16" s="12">
        <v>327</v>
      </c>
      <c r="I16" s="12">
        <v>413</v>
      </c>
      <c r="J16" s="12">
        <v>87</v>
      </c>
      <c r="K16" s="12">
        <v>381</v>
      </c>
      <c r="L16" s="12">
        <v>334</v>
      </c>
      <c r="M16" s="12">
        <v>128</v>
      </c>
      <c r="N16" s="12">
        <v>230</v>
      </c>
      <c r="O16" s="12">
        <v>192</v>
      </c>
      <c r="P16" s="12">
        <v>153</v>
      </c>
      <c r="Q16" s="12">
        <v>153</v>
      </c>
      <c r="R16" s="12">
        <v>89</v>
      </c>
      <c r="S16" s="12">
        <v>348</v>
      </c>
      <c r="T16" s="12">
        <v>260</v>
      </c>
      <c r="U16" s="12">
        <v>251</v>
      </c>
      <c r="V16" s="12">
        <v>164</v>
      </c>
      <c r="W16" s="12">
        <v>219</v>
      </c>
      <c r="X16" s="12">
        <v>706</v>
      </c>
      <c r="Y16" s="12">
        <v>334</v>
      </c>
      <c r="Z16" s="12">
        <v>118</v>
      </c>
      <c r="AA16" s="12">
        <v>107</v>
      </c>
      <c r="AB16" s="12">
        <v>69</v>
      </c>
      <c r="AC16" s="12">
        <v>357</v>
      </c>
      <c r="AD16" s="12">
        <v>211</v>
      </c>
      <c r="AE16" s="12">
        <v>581</v>
      </c>
      <c r="AF16" s="12">
        <v>684</v>
      </c>
    </row>
    <row r="17" spans="1:32">
      <c r="A17" s="23"/>
      <c r="B17" s="13" t="s">
        <v>1112</v>
      </c>
      <c r="C17" s="14">
        <v>0.83000000000000007</v>
      </c>
      <c r="D17" s="14">
        <v>0.88</v>
      </c>
      <c r="E17" s="14">
        <v>0.68</v>
      </c>
      <c r="F17" s="14">
        <v>0.85</v>
      </c>
      <c r="G17" s="14">
        <v>0.96</v>
      </c>
      <c r="H17" s="14">
        <v>0.86</v>
      </c>
      <c r="I17" s="14">
        <v>0.86</v>
      </c>
      <c r="J17" s="14">
        <v>0.87</v>
      </c>
      <c r="K17" s="14">
        <v>0.78</v>
      </c>
      <c r="L17" s="14">
        <v>0.84</v>
      </c>
      <c r="M17" s="14">
        <v>0.87</v>
      </c>
      <c r="N17" s="14">
        <v>0.88</v>
      </c>
      <c r="O17" s="14">
        <v>0.84</v>
      </c>
      <c r="P17" s="14">
        <v>0.65</v>
      </c>
      <c r="Q17" s="14">
        <v>0.68</v>
      </c>
      <c r="R17" s="14">
        <v>0.88</v>
      </c>
      <c r="S17" s="14">
        <v>0.86</v>
      </c>
      <c r="T17" s="14">
        <v>0.79</v>
      </c>
      <c r="U17" s="14">
        <v>0.87</v>
      </c>
      <c r="V17" s="14">
        <v>0.69000000000000006</v>
      </c>
      <c r="W17" s="14">
        <v>0.87</v>
      </c>
      <c r="X17" s="14">
        <v>0.93</v>
      </c>
      <c r="Y17" s="14">
        <v>0.74</v>
      </c>
      <c r="Z17" s="14">
        <v>0.54</v>
      </c>
      <c r="AA17" s="14">
        <v>0.87</v>
      </c>
      <c r="AB17" s="14">
        <v>0.52</v>
      </c>
      <c r="AC17" s="14">
        <v>0.88</v>
      </c>
      <c r="AD17" s="14">
        <v>0.84</v>
      </c>
      <c r="AE17" s="14">
        <v>0.97</v>
      </c>
      <c r="AF17" s="14">
        <v>0.97</v>
      </c>
    </row>
    <row r="18" spans="1:32">
      <c r="A18" s="23"/>
      <c r="B18" s="11" t="s">
        <v>497</v>
      </c>
      <c r="C18" s="12">
        <v>31</v>
      </c>
      <c r="D18" s="12">
        <v>2</v>
      </c>
      <c r="E18" s="12">
        <v>2</v>
      </c>
      <c r="F18" s="12">
        <v>3</v>
      </c>
      <c r="G18" s="12">
        <v>7</v>
      </c>
      <c r="H18" s="12">
        <v>3</v>
      </c>
      <c r="I18" s="12">
        <v>3</v>
      </c>
      <c r="J18" s="12">
        <v>0</v>
      </c>
      <c r="K18" s="12">
        <v>7</v>
      </c>
      <c r="L18" s="12">
        <v>3</v>
      </c>
      <c r="M18" s="12">
        <v>0</v>
      </c>
      <c r="N18" s="12">
        <v>0</v>
      </c>
      <c r="O18" s="12">
        <v>1</v>
      </c>
      <c r="P18" s="12">
        <v>5</v>
      </c>
      <c r="Q18" s="12">
        <v>0</v>
      </c>
      <c r="R18" s="12">
        <v>0</v>
      </c>
      <c r="S18" s="12">
        <v>0</v>
      </c>
      <c r="T18" s="12">
        <v>3</v>
      </c>
      <c r="U18" s="12">
        <v>0</v>
      </c>
      <c r="V18" s="12">
        <v>0</v>
      </c>
      <c r="W18" s="12">
        <v>2</v>
      </c>
      <c r="X18" s="12">
        <v>0</v>
      </c>
      <c r="Y18" s="12">
        <v>4</v>
      </c>
      <c r="Z18" s="12">
        <v>0</v>
      </c>
      <c r="AA18" s="12">
        <v>1</v>
      </c>
      <c r="AB18" s="12">
        <v>1</v>
      </c>
      <c r="AC18" s="12">
        <v>1</v>
      </c>
      <c r="AD18" s="12">
        <v>3</v>
      </c>
      <c r="AE18" s="12">
        <v>4</v>
      </c>
      <c r="AF18" s="12">
        <v>0</v>
      </c>
    </row>
    <row r="19" spans="1:32">
      <c r="A19" s="23"/>
      <c r="B19" s="13" t="s">
        <v>498</v>
      </c>
      <c r="C19" s="15" t="s">
        <v>485</v>
      </c>
      <c r="D19" s="15" t="s">
        <v>485</v>
      </c>
      <c r="E19" s="14">
        <v>0.01</v>
      </c>
      <c r="F19" s="14">
        <v>0.01</v>
      </c>
      <c r="G19" s="14">
        <v>0.01</v>
      </c>
      <c r="H19" s="14">
        <v>0.01</v>
      </c>
      <c r="I19" s="14">
        <v>0.01</v>
      </c>
      <c r="J19" s="15" t="s">
        <v>485</v>
      </c>
      <c r="K19" s="14">
        <v>0.01</v>
      </c>
      <c r="L19" s="14">
        <v>0.01</v>
      </c>
      <c r="M19" s="15" t="s">
        <v>485</v>
      </c>
      <c r="N19" s="15" t="s">
        <v>485</v>
      </c>
      <c r="O19" s="15" t="s">
        <v>485</v>
      </c>
      <c r="P19" s="14">
        <v>0.02</v>
      </c>
      <c r="Q19" s="15" t="s">
        <v>485</v>
      </c>
      <c r="R19" s="15" t="s">
        <v>485</v>
      </c>
      <c r="S19" s="15" t="s">
        <v>485</v>
      </c>
      <c r="T19" s="14">
        <v>0.01</v>
      </c>
      <c r="U19" s="15" t="s">
        <v>485</v>
      </c>
      <c r="V19" s="15" t="s">
        <v>485</v>
      </c>
      <c r="W19" s="14">
        <v>0.01</v>
      </c>
      <c r="X19" s="15" t="s">
        <v>485</v>
      </c>
      <c r="Y19" s="14">
        <v>0.01</v>
      </c>
      <c r="Z19" s="15" t="s">
        <v>485</v>
      </c>
      <c r="AA19" s="14">
        <v>0.01</v>
      </c>
      <c r="AB19" s="14">
        <v>0.01</v>
      </c>
      <c r="AC19" s="15" t="s">
        <v>485</v>
      </c>
      <c r="AD19" s="14">
        <v>0.01</v>
      </c>
      <c r="AE19" s="14">
        <v>0.01</v>
      </c>
      <c r="AF19" s="15" t="s">
        <v>485</v>
      </c>
    </row>
  </sheetData>
  <mergeCells count="9">
    <mergeCell ref="H3:L3"/>
    <mergeCell ref="C8:AF8"/>
    <mergeCell ref="B3:F3"/>
    <mergeCell ref="B5:F5"/>
    <mergeCell ref="A10:A19"/>
    <mergeCell ref="H5:L5"/>
    <mergeCell ref="B10:B11"/>
    <mergeCell ref="H4:L4"/>
    <mergeCell ref="B4:F4"/>
  </mergeCells>
  <pageMargins left="0.75" right="0.75" top="1" bottom="1" header="0.5" footer="0.5"/>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B00-000000000000}">
  <dimension ref="A1:AF1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72" customHeight="1">
      <c r="B3" s="19" t="s">
        <v>1410</v>
      </c>
      <c r="C3" s="19"/>
      <c r="D3" s="19"/>
      <c r="E3" s="19"/>
      <c r="F3" s="19"/>
      <c r="H3" s="19" t="s">
        <v>1411</v>
      </c>
      <c r="I3" s="19"/>
      <c r="J3" s="19"/>
      <c r="K3" s="19"/>
      <c r="L3" s="19"/>
    </row>
    <row r="4" spans="1:32" ht="27" customHeight="1">
      <c r="B4" s="19" t="s">
        <v>1412</v>
      </c>
      <c r="C4" s="19"/>
      <c r="D4" s="19"/>
      <c r="E4" s="19"/>
      <c r="F4" s="19"/>
      <c r="H4" s="19" t="s">
        <v>1413</v>
      </c>
      <c r="I4" s="19"/>
      <c r="J4" s="19"/>
      <c r="K4" s="19"/>
      <c r="L4" s="19"/>
    </row>
    <row r="5" spans="1:32" ht="36" customHeight="1">
      <c r="B5" s="19" t="s">
        <v>1376</v>
      </c>
      <c r="C5" s="19"/>
      <c r="D5" s="19"/>
      <c r="E5" s="19"/>
      <c r="F5" s="19"/>
      <c r="H5" s="19" t="s">
        <v>1377</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HYPERLINK("#Content!A144","&lt;&lt;Back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7847</v>
      </c>
      <c r="D10" s="10">
        <v>515</v>
      </c>
      <c r="E10" s="10">
        <v>284</v>
      </c>
      <c r="F10" s="10">
        <v>261</v>
      </c>
      <c r="G10" s="10">
        <v>692</v>
      </c>
      <c r="H10" s="10">
        <v>380</v>
      </c>
      <c r="I10" s="10">
        <v>479</v>
      </c>
      <c r="J10" s="10">
        <v>100</v>
      </c>
      <c r="K10" s="10">
        <v>492</v>
      </c>
      <c r="L10" s="10">
        <v>396</v>
      </c>
      <c r="M10" s="10">
        <v>147</v>
      </c>
      <c r="N10" s="10">
        <v>260</v>
      </c>
      <c r="O10" s="10">
        <v>230</v>
      </c>
      <c r="P10" s="10">
        <v>238</v>
      </c>
      <c r="Q10" s="10">
        <v>224</v>
      </c>
      <c r="R10" s="10">
        <v>101</v>
      </c>
      <c r="S10" s="10">
        <v>407</v>
      </c>
      <c r="T10" s="10">
        <v>330</v>
      </c>
      <c r="U10" s="10">
        <v>287</v>
      </c>
      <c r="V10" s="10">
        <v>236</v>
      </c>
      <c r="W10" s="10">
        <v>251</v>
      </c>
      <c r="X10" s="10">
        <v>761</v>
      </c>
      <c r="Y10" s="10">
        <v>452</v>
      </c>
      <c r="Z10" s="10">
        <v>218</v>
      </c>
      <c r="AA10" s="10">
        <v>123</v>
      </c>
      <c r="AB10" s="10">
        <v>133</v>
      </c>
      <c r="AC10" s="10">
        <v>405</v>
      </c>
      <c r="AD10" s="10">
        <v>252</v>
      </c>
      <c r="AE10" s="10">
        <v>597</v>
      </c>
      <c r="AF10" s="10">
        <v>702</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1398</v>
      </c>
      <c r="C12" s="12">
        <v>707</v>
      </c>
      <c r="D12" s="12">
        <v>42</v>
      </c>
      <c r="E12" s="12">
        <v>37</v>
      </c>
      <c r="F12" s="12">
        <v>17</v>
      </c>
      <c r="G12" s="12">
        <v>8</v>
      </c>
      <c r="H12" s="12">
        <v>28</v>
      </c>
      <c r="I12" s="12">
        <v>31</v>
      </c>
      <c r="J12" s="12">
        <v>3</v>
      </c>
      <c r="K12" s="12">
        <v>31</v>
      </c>
      <c r="L12" s="12">
        <v>34</v>
      </c>
      <c r="M12" s="12">
        <v>7</v>
      </c>
      <c r="N12" s="12">
        <v>19</v>
      </c>
      <c r="O12" s="12">
        <v>18</v>
      </c>
      <c r="P12" s="12">
        <v>49</v>
      </c>
      <c r="Q12" s="12">
        <v>35</v>
      </c>
      <c r="R12" s="12">
        <v>10</v>
      </c>
      <c r="S12" s="12">
        <v>31</v>
      </c>
      <c r="T12" s="12">
        <v>34</v>
      </c>
      <c r="U12" s="12">
        <v>17</v>
      </c>
      <c r="V12" s="12">
        <v>33</v>
      </c>
      <c r="W12" s="12">
        <v>12</v>
      </c>
      <c r="X12" s="12">
        <v>32</v>
      </c>
      <c r="Y12" s="12">
        <v>88</v>
      </c>
      <c r="Z12" s="12">
        <v>54</v>
      </c>
      <c r="AA12" s="12">
        <v>12</v>
      </c>
      <c r="AB12" s="12">
        <v>33</v>
      </c>
      <c r="AC12" s="12">
        <v>11</v>
      </c>
      <c r="AD12" s="12">
        <v>7</v>
      </c>
      <c r="AE12" s="12">
        <v>6</v>
      </c>
      <c r="AF12" s="12">
        <v>3</v>
      </c>
    </row>
    <row r="13" spans="1:32" ht="23.25">
      <c r="A13" s="23"/>
      <c r="B13" s="13" t="s">
        <v>1399</v>
      </c>
      <c r="C13" s="14">
        <v>0.09</v>
      </c>
      <c r="D13" s="14">
        <v>0.08</v>
      </c>
      <c r="E13" s="14">
        <v>0.13</v>
      </c>
      <c r="F13" s="14">
        <v>7.0000000000000007E-2</v>
      </c>
      <c r="G13" s="14">
        <v>0.01</v>
      </c>
      <c r="H13" s="14">
        <v>7.0000000000000007E-2</v>
      </c>
      <c r="I13" s="14">
        <v>7.0000000000000007E-2</v>
      </c>
      <c r="J13" s="14">
        <v>0.03</v>
      </c>
      <c r="K13" s="14">
        <v>0.06</v>
      </c>
      <c r="L13" s="14">
        <v>0.09</v>
      </c>
      <c r="M13" s="14">
        <v>0.05</v>
      </c>
      <c r="N13" s="14">
        <v>7.0000000000000007E-2</v>
      </c>
      <c r="O13" s="14">
        <v>0.08</v>
      </c>
      <c r="P13" s="14">
        <v>0.2</v>
      </c>
      <c r="Q13" s="14">
        <v>0.16</v>
      </c>
      <c r="R13" s="14">
        <v>0.1</v>
      </c>
      <c r="S13" s="14">
        <v>7.0000000000000007E-2</v>
      </c>
      <c r="T13" s="14">
        <v>0.1</v>
      </c>
      <c r="U13" s="14">
        <v>0.06</v>
      </c>
      <c r="V13" s="14">
        <v>0.14000000000000001</v>
      </c>
      <c r="W13" s="14">
        <v>0.05</v>
      </c>
      <c r="X13" s="14">
        <v>0.04</v>
      </c>
      <c r="Y13" s="14">
        <v>0.19</v>
      </c>
      <c r="Z13" s="14">
        <v>0.25</v>
      </c>
      <c r="AA13" s="14">
        <v>0.1</v>
      </c>
      <c r="AB13" s="14">
        <v>0.25</v>
      </c>
      <c r="AC13" s="14">
        <v>0.03</v>
      </c>
      <c r="AD13" s="14">
        <v>0.03</v>
      </c>
      <c r="AE13" s="14">
        <v>0.01</v>
      </c>
      <c r="AF13" s="15" t="s">
        <v>485</v>
      </c>
    </row>
    <row r="14" spans="1:32" ht="23.25">
      <c r="A14" s="23"/>
      <c r="B14" s="11" t="s">
        <v>1400</v>
      </c>
      <c r="C14" s="12">
        <v>521</v>
      </c>
      <c r="D14" s="12">
        <v>22</v>
      </c>
      <c r="E14" s="12">
        <v>32</v>
      </c>
      <c r="F14" s="12">
        <v>19</v>
      </c>
      <c r="G14" s="12">
        <v>12</v>
      </c>
      <c r="H14" s="12">
        <v>12</v>
      </c>
      <c r="I14" s="12">
        <v>16</v>
      </c>
      <c r="J14" s="12">
        <v>4</v>
      </c>
      <c r="K14" s="12">
        <v>43</v>
      </c>
      <c r="L14" s="12">
        <v>9</v>
      </c>
      <c r="M14" s="12">
        <v>6</v>
      </c>
      <c r="N14" s="12">
        <v>10</v>
      </c>
      <c r="O14" s="12">
        <v>13</v>
      </c>
      <c r="P14" s="12">
        <v>29</v>
      </c>
      <c r="Q14" s="12">
        <v>35</v>
      </c>
      <c r="R14" s="12">
        <v>7</v>
      </c>
      <c r="S14" s="12">
        <v>25</v>
      </c>
      <c r="T14" s="12">
        <v>34</v>
      </c>
      <c r="U14" s="12">
        <v>12</v>
      </c>
      <c r="V14" s="12">
        <v>42</v>
      </c>
      <c r="W14" s="12">
        <v>20</v>
      </c>
      <c r="X14" s="12">
        <v>26</v>
      </c>
      <c r="Y14" s="12">
        <v>25</v>
      </c>
      <c r="Z14" s="12">
        <v>37</v>
      </c>
      <c r="AA14" s="12">
        <v>7</v>
      </c>
      <c r="AB14" s="12">
        <v>29</v>
      </c>
      <c r="AC14" s="12">
        <v>23</v>
      </c>
      <c r="AD14" s="12">
        <v>28</v>
      </c>
      <c r="AE14" s="12">
        <v>8</v>
      </c>
      <c r="AF14" s="12">
        <v>12</v>
      </c>
    </row>
    <row r="15" spans="1:32" ht="23.25">
      <c r="A15" s="23"/>
      <c r="B15" s="13" t="s">
        <v>1401</v>
      </c>
      <c r="C15" s="14">
        <v>7.0000000000000007E-2</v>
      </c>
      <c r="D15" s="14">
        <v>0.04</v>
      </c>
      <c r="E15" s="14">
        <v>0.11</v>
      </c>
      <c r="F15" s="14">
        <v>7.0000000000000007E-2</v>
      </c>
      <c r="G15" s="14">
        <v>0.02</v>
      </c>
      <c r="H15" s="14">
        <v>0.03</v>
      </c>
      <c r="I15" s="14">
        <v>0.03</v>
      </c>
      <c r="J15" s="14">
        <v>0.04</v>
      </c>
      <c r="K15" s="14">
        <v>0.09</v>
      </c>
      <c r="L15" s="14">
        <v>0.02</v>
      </c>
      <c r="M15" s="14">
        <v>0.04</v>
      </c>
      <c r="N15" s="14">
        <v>0.04</v>
      </c>
      <c r="O15" s="14">
        <v>0.06</v>
      </c>
      <c r="P15" s="14">
        <v>0.12</v>
      </c>
      <c r="Q15" s="14">
        <v>0.15</v>
      </c>
      <c r="R15" s="14">
        <v>7.0000000000000007E-2</v>
      </c>
      <c r="S15" s="14">
        <v>0.06</v>
      </c>
      <c r="T15" s="14">
        <v>0.11</v>
      </c>
      <c r="U15" s="14">
        <v>0.04</v>
      </c>
      <c r="V15" s="14">
        <v>0.18</v>
      </c>
      <c r="W15" s="14">
        <v>0.08</v>
      </c>
      <c r="X15" s="14">
        <v>0.03</v>
      </c>
      <c r="Y15" s="14">
        <v>0.06</v>
      </c>
      <c r="Z15" s="14">
        <v>0.17</v>
      </c>
      <c r="AA15" s="14">
        <v>0.06</v>
      </c>
      <c r="AB15" s="14">
        <v>0.22</v>
      </c>
      <c r="AC15" s="14">
        <v>0.06</v>
      </c>
      <c r="AD15" s="14">
        <v>0.11</v>
      </c>
      <c r="AE15" s="14">
        <v>0.01</v>
      </c>
      <c r="AF15" s="14">
        <v>0.02</v>
      </c>
    </row>
    <row r="16" spans="1:32">
      <c r="A16" s="23"/>
      <c r="B16" s="11" t="s">
        <v>1111</v>
      </c>
      <c r="C16" s="12">
        <v>6572</v>
      </c>
      <c r="D16" s="12">
        <v>451</v>
      </c>
      <c r="E16" s="12">
        <v>212</v>
      </c>
      <c r="F16" s="12">
        <v>221</v>
      </c>
      <c r="G16" s="12">
        <v>669</v>
      </c>
      <c r="H16" s="12">
        <v>334</v>
      </c>
      <c r="I16" s="12">
        <v>426</v>
      </c>
      <c r="J16" s="12">
        <v>92</v>
      </c>
      <c r="K16" s="12">
        <v>407</v>
      </c>
      <c r="L16" s="12">
        <v>351</v>
      </c>
      <c r="M16" s="12">
        <v>133</v>
      </c>
      <c r="N16" s="12">
        <v>231</v>
      </c>
      <c r="O16" s="12">
        <v>198</v>
      </c>
      <c r="P16" s="12">
        <v>156</v>
      </c>
      <c r="Q16" s="12">
        <v>154</v>
      </c>
      <c r="R16" s="12">
        <v>84</v>
      </c>
      <c r="S16" s="12">
        <v>348</v>
      </c>
      <c r="T16" s="12">
        <v>258</v>
      </c>
      <c r="U16" s="12">
        <v>258</v>
      </c>
      <c r="V16" s="12">
        <v>158</v>
      </c>
      <c r="W16" s="12">
        <v>218</v>
      </c>
      <c r="X16" s="12">
        <v>698</v>
      </c>
      <c r="Y16" s="12">
        <v>338</v>
      </c>
      <c r="Z16" s="12">
        <v>126</v>
      </c>
      <c r="AA16" s="12">
        <v>104</v>
      </c>
      <c r="AB16" s="12">
        <v>71</v>
      </c>
      <c r="AC16" s="12">
        <v>369</v>
      </c>
      <c r="AD16" s="12">
        <v>215</v>
      </c>
      <c r="AE16" s="12">
        <v>578</v>
      </c>
      <c r="AF16" s="12">
        <v>686</v>
      </c>
    </row>
    <row r="17" spans="1:32">
      <c r="A17" s="23"/>
      <c r="B17" s="13" t="s">
        <v>1112</v>
      </c>
      <c r="C17" s="14">
        <v>0.84</v>
      </c>
      <c r="D17" s="14">
        <v>0.88</v>
      </c>
      <c r="E17" s="14">
        <v>0.75</v>
      </c>
      <c r="F17" s="14">
        <v>0.85</v>
      </c>
      <c r="G17" s="14">
        <v>0.97</v>
      </c>
      <c r="H17" s="14">
        <v>0.88</v>
      </c>
      <c r="I17" s="14">
        <v>0.89</v>
      </c>
      <c r="J17" s="14">
        <v>0.92</v>
      </c>
      <c r="K17" s="14">
        <v>0.83000000000000007</v>
      </c>
      <c r="L17" s="14">
        <v>0.89</v>
      </c>
      <c r="M17" s="14">
        <v>0.9</v>
      </c>
      <c r="N17" s="14">
        <v>0.89</v>
      </c>
      <c r="O17" s="14">
        <v>0.86</v>
      </c>
      <c r="P17" s="14">
        <v>0.66</v>
      </c>
      <c r="Q17" s="14">
        <v>0.69000000000000006</v>
      </c>
      <c r="R17" s="14">
        <v>0.83000000000000007</v>
      </c>
      <c r="S17" s="14">
        <v>0.86</v>
      </c>
      <c r="T17" s="14">
        <v>0.78</v>
      </c>
      <c r="U17" s="14">
        <v>0.9</v>
      </c>
      <c r="V17" s="14">
        <v>0.67</v>
      </c>
      <c r="W17" s="14">
        <v>0.87</v>
      </c>
      <c r="X17" s="14">
        <v>0.92</v>
      </c>
      <c r="Y17" s="14">
        <v>0.75</v>
      </c>
      <c r="Z17" s="14">
        <v>0.57999999999999996</v>
      </c>
      <c r="AA17" s="14">
        <v>0.84</v>
      </c>
      <c r="AB17" s="14">
        <v>0.53</v>
      </c>
      <c r="AC17" s="14">
        <v>0.91</v>
      </c>
      <c r="AD17" s="14">
        <v>0.85</v>
      </c>
      <c r="AE17" s="14">
        <v>0.97</v>
      </c>
      <c r="AF17" s="14">
        <v>0.98</v>
      </c>
    </row>
    <row r="18" spans="1:32">
      <c r="A18" s="23"/>
      <c r="B18" s="11" t="s">
        <v>497</v>
      </c>
      <c r="C18" s="12">
        <v>48</v>
      </c>
      <c r="D18" s="12">
        <v>1</v>
      </c>
      <c r="E18" s="12">
        <v>3</v>
      </c>
      <c r="F18" s="12">
        <v>4</v>
      </c>
      <c r="G18" s="12">
        <v>3</v>
      </c>
      <c r="H18" s="12">
        <v>6</v>
      </c>
      <c r="I18" s="12">
        <v>6</v>
      </c>
      <c r="J18" s="12">
        <v>1</v>
      </c>
      <c r="K18" s="12">
        <v>11</v>
      </c>
      <c r="L18" s="12">
        <v>2</v>
      </c>
      <c r="M18" s="12">
        <v>1</v>
      </c>
      <c r="N18" s="12">
        <v>1</v>
      </c>
      <c r="O18" s="12">
        <v>1</v>
      </c>
      <c r="P18" s="12">
        <v>4</v>
      </c>
      <c r="Q18" s="12">
        <v>0</v>
      </c>
      <c r="R18" s="12">
        <v>0</v>
      </c>
      <c r="S18" s="12">
        <v>4</v>
      </c>
      <c r="T18" s="12">
        <v>4</v>
      </c>
      <c r="U18" s="12">
        <v>0</v>
      </c>
      <c r="V18" s="12">
        <v>2</v>
      </c>
      <c r="W18" s="12">
        <v>1</v>
      </c>
      <c r="X18" s="12">
        <v>5</v>
      </c>
      <c r="Y18" s="12">
        <v>1</v>
      </c>
      <c r="Z18" s="12">
        <v>1</v>
      </c>
      <c r="AA18" s="12">
        <v>0</v>
      </c>
      <c r="AB18" s="12">
        <v>0</v>
      </c>
      <c r="AC18" s="12">
        <v>2</v>
      </c>
      <c r="AD18" s="12">
        <v>2</v>
      </c>
      <c r="AE18" s="12">
        <v>5</v>
      </c>
      <c r="AF18" s="12">
        <v>2</v>
      </c>
    </row>
    <row r="19" spans="1:32">
      <c r="A19" s="23"/>
      <c r="B19" s="13" t="s">
        <v>498</v>
      </c>
      <c r="C19" s="15" t="s">
        <v>485</v>
      </c>
      <c r="D19" s="15" t="s">
        <v>485</v>
      </c>
      <c r="E19" s="14">
        <v>0.01</v>
      </c>
      <c r="F19" s="14">
        <v>0.01</v>
      </c>
      <c r="G19" s="15" t="s">
        <v>485</v>
      </c>
      <c r="H19" s="14">
        <v>0.02</v>
      </c>
      <c r="I19" s="14">
        <v>0.01</v>
      </c>
      <c r="J19" s="14">
        <v>0.01</v>
      </c>
      <c r="K19" s="14">
        <v>0.02</v>
      </c>
      <c r="L19" s="15" t="s">
        <v>485</v>
      </c>
      <c r="M19" s="14">
        <v>0.01</v>
      </c>
      <c r="N19" s="15" t="s">
        <v>485</v>
      </c>
      <c r="O19" s="15" t="s">
        <v>485</v>
      </c>
      <c r="P19" s="14">
        <v>0.02</v>
      </c>
      <c r="Q19" s="15" t="s">
        <v>485</v>
      </c>
      <c r="R19" s="15" t="s">
        <v>485</v>
      </c>
      <c r="S19" s="14">
        <v>0.01</v>
      </c>
      <c r="T19" s="14">
        <v>0.01</v>
      </c>
      <c r="U19" s="15" t="s">
        <v>485</v>
      </c>
      <c r="V19" s="14">
        <v>0.01</v>
      </c>
      <c r="W19" s="15" t="s">
        <v>485</v>
      </c>
      <c r="X19" s="14">
        <v>0.01</v>
      </c>
      <c r="Y19" s="15" t="s">
        <v>485</v>
      </c>
      <c r="Z19" s="15" t="s">
        <v>485</v>
      </c>
      <c r="AA19" s="15" t="s">
        <v>485</v>
      </c>
      <c r="AB19" s="15" t="s">
        <v>485</v>
      </c>
      <c r="AC19" s="15" t="s">
        <v>485</v>
      </c>
      <c r="AD19" s="14">
        <v>0.01</v>
      </c>
      <c r="AE19" s="14">
        <v>0.01</v>
      </c>
      <c r="AF19" s="15" t="s">
        <v>485</v>
      </c>
    </row>
  </sheetData>
  <mergeCells count="9">
    <mergeCell ref="H3:L3"/>
    <mergeCell ref="C8:AF8"/>
    <mergeCell ref="B3:F3"/>
    <mergeCell ref="B5:F5"/>
    <mergeCell ref="A10:A19"/>
    <mergeCell ref="H5:L5"/>
    <mergeCell ref="B10:B11"/>
    <mergeCell ref="H4:L4"/>
    <mergeCell ref="B4:F4"/>
  </mergeCells>
  <pageMargins left="0.75" right="0.75" top="1" bottom="1" header="0.5" footer="0.5"/>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C00-000000000000}">
  <dimension ref="A1:AF1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72" customHeight="1">
      <c r="B3" s="19" t="s">
        <v>1414</v>
      </c>
      <c r="C3" s="19"/>
      <c r="D3" s="19"/>
      <c r="E3" s="19"/>
      <c r="F3" s="19"/>
      <c r="H3" s="19" t="s">
        <v>1415</v>
      </c>
      <c r="I3" s="19"/>
      <c r="J3" s="19"/>
      <c r="K3" s="19"/>
      <c r="L3" s="19"/>
    </row>
    <row r="4" spans="1:32" ht="27" customHeight="1">
      <c r="B4" s="19" t="s">
        <v>1416</v>
      </c>
      <c r="C4" s="19"/>
      <c r="D4" s="19"/>
      <c r="E4" s="19"/>
      <c r="F4" s="19"/>
      <c r="H4" s="19" t="s">
        <v>1417</v>
      </c>
      <c r="I4" s="19"/>
      <c r="J4" s="19"/>
      <c r="K4" s="19"/>
      <c r="L4" s="19"/>
    </row>
    <row r="5" spans="1:32" ht="36" customHeight="1">
      <c r="B5" s="19" t="s">
        <v>1376</v>
      </c>
      <c r="C5" s="19"/>
      <c r="D5" s="19"/>
      <c r="E5" s="19"/>
      <c r="F5" s="19"/>
      <c r="H5" s="19" t="s">
        <v>1377</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HYPERLINK("#Content!A145","&lt;&lt;Back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7847</v>
      </c>
      <c r="D10" s="10">
        <v>515</v>
      </c>
      <c r="E10" s="10">
        <v>284</v>
      </c>
      <c r="F10" s="10">
        <v>261</v>
      </c>
      <c r="G10" s="10">
        <v>692</v>
      </c>
      <c r="H10" s="10">
        <v>380</v>
      </c>
      <c r="I10" s="10">
        <v>479</v>
      </c>
      <c r="J10" s="10">
        <v>100</v>
      </c>
      <c r="K10" s="10">
        <v>492</v>
      </c>
      <c r="L10" s="10">
        <v>396</v>
      </c>
      <c r="M10" s="10">
        <v>147</v>
      </c>
      <c r="N10" s="10">
        <v>260</v>
      </c>
      <c r="O10" s="10">
        <v>230</v>
      </c>
      <c r="P10" s="10">
        <v>238</v>
      </c>
      <c r="Q10" s="10">
        <v>224</v>
      </c>
      <c r="R10" s="10">
        <v>101</v>
      </c>
      <c r="S10" s="10">
        <v>407</v>
      </c>
      <c r="T10" s="10">
        <v>330</v>
      </c>
      <c r="U10" s="10">
        <v>287</v>
      </c>
      <c r="V10" s="10">
        <v>236</v>
      </c>
      <c r="W10" s="10">
        <v>251</v>
      </c>
      <c r="X10" s="10">
        <v>761</v>
      </c>
      <c r="Y10" s="10">
        <v>452</v>
      </c>
      <c r="Z10" s="10">
        <v>218</v>
      </c>
      <c r="AA10" s="10">
        <v>123</v>
      </c>
      <c r="AB10" s="10">
        <v>133</v>
      </c>
      <c r="AC10" s="10">
        <v>405</v>
      </c>
      <c r="AD10" s="10">
        <v>252</v>
      </c>
      <c r="AE10" s="10">
        <v>597</v>
      </c>
      <c r="AF10" s="10">
        <v>702</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1398</v>
      </c>
      <c r="C12" s="12">
        <v>1522</v>
      </c>
      <c r="D12" s="12">
        <v>105</v>
      </c>
      <c r="E12" s="12">
        <v>76</v>
      </c>
      <c r="F12" s="12">
        <v>55</v>
      </c>
      <c r="G12" s="12">
        <v>126</v>
      </c>
      <c r="H12" s="12">
        <v>63</v>
      </c>
      <c r="I12" s="12">
        <v>75</v>
      </c>
      <c r="J12" s="12">
        <v>13</v>
      </c>
      <c r="K12" s="12">
        <v>67</v>
      </c>
      <c r="L12" s="12">
        <v>84</v>
      </c>
      <c r="M12" s="12">
        <v>36</v>
      </c>
      <c r="N12" s="12">
        <v>23</v>
      </c>
      <c r="O12" s="12">
        <v>60</v>
      </c>
      <c r="P12" s="12">
        <v>44</v>
      </c>
      <c r="Q12" s="12">
        <v>55</v>
      </c>
      <c r="R12" s="12">
        <v>14</v>
      </c>
      <c r="S12" s="12">
        <v>67</v>
      </c>
      <c r="T12" s="12">
        <v>65</v>
      </c>
      <c r="U12" s="12">
        <v>35</v>
      </c>
      <c r="V12" s="12">
        <v>35</v>
      </c>
      <c r="W12" s="12">
        <v>37</v>
      </c>
      <c r="X12" s="12">
        <v>128</v>
      </c>
      <c r="Y12" s="12">
        <v>116</v>
      </c>
      <c r="Z12" s="12">
        <v>68</v>
      </c>
      <c r="AA12" s="12">
        <v>18</v>
      </c>
      <c r="AB12" s="12">
        <v>49</v>
      </c>
      <c r="AC12" s="12">
        <v>66</v>
      </c>
      <c r="AD12" s="12">
        <v>60</v>
      </c>
      <c r="AE12" s="12">
        <v>72</v>
      </c>
      <c r="AF12" s="12">
        <v>92</v>
      </c>
    </row>
    <row r="13" spans="1:32" ht="23.25">
      <c r="A13" s="23"/>
      <c r="B13" s="13" t="s">
        <v>1399</v>
      </c>
      <c r="C13" s="14">
        <v>0.19</v>
      </c>
      <c r="D13" s="14">
        <v>0.2</v>
      </c>
      <c r="E13" s="14">
        <v>0.26</v>
      </c>
      <c r="F13" s="14">
        <v>0.21</v>
      </c>
      <c r="G13" s="14">
        <v>0.18</v>
      </c>
      <c r="H13" s="14">
        <v>0.17</v>
      </c>
      <c r="I13" s="14">
        <v>0.16</v>
      </c>
      <c r="J13" s="14">
        <v>0.13</v>
      </c>
      <c r="K13" s="14">
        <v>0.14000000000000001</v>
      </c>
      <c r="L13" s="14">
        <v>0.21</v>
      </c>
      <c r="M13" s="14">
        <v>0.25</v>
      </c>
      <c r="N13" s="14">
        <v>0.09</v>
      </c>
      <c r="O13" s="14">
        <v>0.26</v>
      </c>
      <c r="P13" s="14">
        <v>0.19</v>
      </c>
      <c r="Q13" s="14">
        <v>0.25</v>
      </c>
      <c r="R13" s="14">
        <v>0.14000000000000001</v>
      </c>
      <c r="S13" s="14">
        <v>0.16</v>
      </c>
      <c r="T13" s="14">
        <v>0.2</v>
      </c>
      <c r="U13" s="14">
        <v>0.12</v>
      </c>
      <c r="V13" s="14">
        <v>0.15</v>
      </c>
      <c r="W13" s="14">
        <v>0.15</v>
      </c>
      <c r="X13" s="14">
        <v>0.17</v>
      </c>
      <c r="Y13" s="14">
        <v>0.26</v>
      </c>
      <c r="Z13" s="14">
        <v>0.31</v>
      </c>
      <c r="AA13" s="14">
        <v>0.15</v>
      </c>
      <c r="AB13" s="14">
        <v>0.37</v>
      </c>
      <c r="AC13" s="14">
        <v>0.16</v>
      </c>
      <c r="AD13" s="14">
        <v>0.24</v>
      </c>
      <c r="AE13" s="14">
        <v>0.12</v>
      </c>
      <c r="AF13" s="14">
        <v>0.13</v>
      </c>
    </row>
    <row r="14" spans="1:32" ht="23.25">
      <c r="A14" s="23"/>
      <c r="B14" s="11" t="s">
        <v>1400</v>
      </c>
      <c r="C14" s="12">
        <v>1618</v>
      </c>
      <c r="D14" s="12">
        <v>112</v>
      </c>
      <c r="E14" s="12">
        <v>110</v>
      </c>
      <c r="F14" s="12">
        <v>67</v>
      </c>
      <c r="G14" s="12">
        <v>170</v>
      </c>
      <c r="H14" s="12">
        <v>47</v>
      </c>
      <c r="I14" s="12">
        <v>65</v>
      </c>
      <c r="J14" s="12">
        <v>18</v>
      </c>
      <c r="K14" s="12">
        <v>116</v>
      </c>
      <c r="L14" s="12">
        <v>106</v>
      </c>
      <c r="M14" s="12">
        <v>26</v>
      </c>
      <c r="N14" s="12">
        <v>16</v>
      </c>
      <c r="O14" s="12">
        <v>39</v>
      </c>
      <c r="P14" s="12">
        <v>65</v>
      </c>
      <c r="Q14" s="12">
        <v>72</v>
      </c>
      <c r="R14" s="12">
        <v>14</v>
      </c>
      <c r="S14" s="12">
        <v>89</v>
      </c>
      <c r="T14" s="12">
        <v>102</v>
      </c>
      <c r="U14" s="12">
        <v>80</v>
      </c>
      <c r="V14" s="12">
        <v>63</v>
      </c>
      <c r="W14" s="12">
        <v>36</v>
      </c>
      <c r="X14" s="12">
        <v>193</v>
      </c>
      <c r="Y14" s="12">
        <v>63</v>
      </c>
      <c r="Z14" s="12">
        <v>61</v>
      </c>
      <c r="AA14" s="12">
        <v>15</v>
      </c>
      <c r="AB14" s="12">
        <v>48</v>
      </c>
      <c r="AC14" s="12">
        <v>77</v>
      </c>
      <c r="AD14" s="12">
        <v>80</v>
      </c>
      <c r="AE14" s="12">
        <v>197</v>
      </c>
      <c r="AF14" s="12">
        <v>141</v>
      </c>
    </row>
    <row r="15" spans="1:32" ht="23.25">
      <c r="A15" s="23"/>
      <c r="B15" s="13" t="s">
        <v>1401</v>
      </c>
      <c r="C15" s="14">
        <v>0.21</v>
      </c>
      <c r="D15" s="14">
        <v>0.22</v>
      </c>
      <c r="E15" s="14">
        <v>0.39</v>
      </c>
      <c r="F15" s="14">
        <v>0.26</v>
      </c>
      <c r="G15" s="14">
        <v>0.25</v>
      </c>
      <c r="H15" s="14">
        <v>0.12</v>
      </c>
      <c r="I15" s="14">
        <v>0.14000000000000001</v>
      </c>
      <c r="J15" s="14">
        <v>0.18</v>
      </c>
      <c r="K15" s="14">
        <v>0.23</v>
      </c>
      <c r="L15" s="14">
        <v>0.27</v>
      </c>
      <c r="M15" s="14">
        <v>0.18</v>
      </c>
      <c r="N15" s="14">
        <v>0.06</v>
      </c>
      <c r="O15" s="14">
        <v>0.17</v>
      </c>
      <c r="P15" s="14">
        <v>0.27</v>
      </c>
      <c r="Q15" s="14">
        <v>0.32</v>
      </c>
      <c r="R15" s="14">
        <v>0.14000000000000001</v>
      </c>
      <c r="S15" s="14">
        <v>0.22</v>
      </c>
      <c r="T15" s="14">
        <v>0.31</v>
      </c>
      <c r="U15" s="14">
        <v>0.28000000000000003</v>
      </c>
      <c r="V15" s="14">
        <v>0.27</v>
      </c>
      <c r="W15" s="14">
        <v>0.14000000000000001</v>
      </c>
      <c r="X15" s="14">
        <v>0.25</v>
      </c>
      <c r="Y15" s="14">
        <v>0.14000000000000001</v>
      </c>
      <c r="Z15" s="14">
        <v>0.28000000000000003</v>
      </c>
      <c r="AA15" s="14">
        <v>0.12</v>
      </c>
      <c r="AB15" s="14">
        <v>0.36</v>
      </c>
      <c r="AC15" s="14">
        <v>0.19</v>
      </c>
      <c r="AD15" s="14">
        <v>0.32</v>
      </c>
      <c r="AE15" s="14">
        <v>0.33</v>
      </c>
      <c r="AF15" s="14">
        <v>0.2</v>
      </c>
    </row>
    <row r="16" spans="1:32">
      <c r="A16" s="23"/>
      <c r="B16" s="11" t="s">
        <v>1111</v>
      </c>
      <c r="C16" s="12">
        <v>4646</v>
      </c>
      <c r="D16" s="12">
        <v>298</v>
      </c>
      <c r="E16" s="12">
        <v>94</v>
      </c>
      <c r="F16" s="12">
        <v>136</v>
      </c>
      <c r="G16" s="12">
        <v>394</v>
      </c>
      <c r="H16" s="12">
        <v>263</v>
      </c>
      <c r="I16" s="12">
        <v>332</v>
      </c>
      <c r="J16" s="12">
        <v>69</v>
      </c>
      <c r="K16" s="12">
        <v>301</v>
      </c>
      <c r="L16" s="12">
        <v>204</v>
      </c>
      <c r="M16" s="12">
        <v>84</v>
      </c>
      <c r="N16" s="12">
        <v>221</v>
      </c>
      <c r="O16" s="12">
        <v>128</v>
      </c>
      <c r="P16" s="12">
        <v>126</v>
      </c>
      <c r="Q16" s="12">
        <v>95</v>
      </c>
      <c r="R16" s="12">
        <v>72</v>
      </c>
      <c r="S16" s="12">
        <v>247</v>
      </c>
      <c r="T16" s="12">
        <v>158</v>
      </c>
      <c r="U16" s="12">
        <v>172</v>
      </c>
      <c r="V16" s="12">
        <v>138</v>
      </c>
      <c r="W16" s="12">
        <v>177</v>
      </c>
      <c r="X16" s="12">
        <v>437</v>
      </c>
      <c r="Y16" s="12">
        <v>264</v>
      </c>
      <c r="Z16" s="12">
        <v>89</v>
      </c>
      <c r="AA16" s="12">
        <v>89</v>
      </c>
      <c r="AB16" s="12">
        <v>35</v>
      </c>
      <c r="AC16" s="12">
        <v>261</v>
      </c>
      <c r="AD16" s="12">
        <v>111</v>
      </c>
      <c r="AE16" s="12">
        <v>322</v>
      </c>
      <c r="AF16" s="12">
        <v>468</v>
      </c>
    </row>
    <row r="17" spans="1:32">
      <c r="A17" s="23"/>
      <c r="B17" s="13" t="s">
        <v>1112</v>
      </c>
      <c r="C17" s="14">
        <v>0.59</v>
      </c>
      <c r="D17" s="14">
        <v>0.57999999999999996</v>
      </c>
      <c r="E17" s="14">
        <v>0.33</v>
      </c>
      <c r="F17" s="14">
        <v>0.52</v>
      </c>
      <c r="G17" s="14">
        <v>0.57000000000000006</v>
      </c>
      <c r="H17" s="14">
        <v>0.69000000000000006</v>
      </c>
      <c r="I17" s="14">
        <v>0.69000000000000006</v>
      </c>
      <c r="J17" s="14">
        <v>0.69000000000000006</v>
      </c>
      <c r="K17" s="14">
        <v>0.61</v>
      </c>
      <c r="L17" s="14">
        <v>0.52</v>
      </c>
      <c r="M17" s="14">
        <v>0.57000000000000006</v>
      </c>
      <c r="N17" s="14">
        <v>0.85</v>
      </c>
      <c r="O17" s="14">
        <v>0.56000000000000005</v>
      </c>
      <c r="P17" s="14">
        <v>0.53</v>
      </c>
      <c r="Q17" s="14">
        <v>0.42</v>
      </c>
      <c r="R17" s="14">
        <v>0.71</v>
      </c>
      <c r="S17" s="14">
        <v>0.61</v>
      </c>
      <c r="T17" s="14">
        <v>0.48</v>
      </c>
      <c r="U17" s="14">
        <v>0.6</v>
      </c>
      <c r="V17" s="14">
        <v>0.57999999999999996</v>
      </c>
      <c r="W17" s="14">
        <v>0.71</v>
      </c>
      <c r="X17" s="14">
        <v>0.57999999999999996</v>
      </c>
      <c r="Y17" s="14">
        <v>0.57999999999999996</v>
      </c>
      <c r="Z17" s="14">
        <v>0.41</v>
      </c>
      <c r="AA17" s="14">
        <v>0.72</v>
      </c>
      <c r="AB17" s="14">
        <v>0.26</v>
      </c>
      <c r="AC17" s="14">
        <v>0.65</v>
      </c>
      <c r="AD17" s="14">
        <v>0.44</v>
      </c>
      <c r="AE17" s="14">
        <v>0.54</v>
      </c>
      <c r="AF17" s="14">
        <v>0.67</v>
      </c>
    </row>
    <row r="18" spans="1:32">
      <c r="A18" s="23"/>
      <c r="B18" s="11" t="s">
        <v>497</v>
      </c>
      <c r="C18" s="12">
        <v>60</v>
      </c>
      <c r="D18" s="12">
        <v>0</v>
      </c>
      <c r="E18" s="12">
        <v>5</v>
      </c>
      <c r="F18" s="12">
        <v>3</v>
      </c>
      <c r="G18" s="12">
        <v>2</v>
      </c>
      <c r="H18" s="12">
        <v>7</v>
      </c>
      <c r="I18" s="12">
        <v>7</v>
      </c>
      <c r="J18" s="12">
        <v>0</v>
      </c>
      <c r="K18" s="12">
        <v>8</v>
      </c>
      <c r="L18" s="12">
        <v>1</v>
      </c>
      <c r="M18" s="12">
        <v>0</v>
      </c>
      <c r="N18" s="12">
        <v>0</v>
      </c>
      <c r="O18" s="12">
        <v>3</v>
      </c>
      <c r="P18" s="12">
        <v>3</v>
      </c>
      <c r="Q18" s="12">
        <v>2</v>
      </c>
      <c r="R18" s="12">
        <v>0</v>
      </c>
      <c r="S18" s="12">
        <v>4</v>
      </c>
      <c r="T18" s="12">
        <v>5</v>
      </c>
      <c r="U18" s="12">
        <v>0</v>
      </c>
      <c r="V18" s="12">
        <v>1</v>
      </c>
      <c r="W18" s="12">
        <v>1</v>
      </c>
      <c r="X18" s="12">
        <v>2</v>
      </c>
      <c r="Y18" s="12">
        <v>9</v>
      </c>
      <c r="Z18" s="12">
        <v>0</v>
      </c>
      <c r="AA18" s="12">
        <v>1</v>
      </c>
      <c r="AB18" s="12">
        <v>1</v>
      </c>
      <c r="AC18" s="12">
        <v>1</v>
      </c>
      <c r="AD18" s="12">
        <v>0</v>
      </c>
      <c r="AE18" s="12">
        <v>5</v>
      </c>
      <c r="AF18" s="12">
        <v>1</v>
      </c>
    </row>
    <row r="19" spans="1:32">
      <c r="A19" s="23"/>
      <c r="B19" s="13" t="s">
        <v>498</v>
      </c>
      <c r="C19" s="14">
        <v>0.01</v>
      </c>
      <c r="D19" s="15" t="s">
        <v>485</v>
      </c>
      <c r="E19" s="14">
        <v>0.02</v>
      </c>
      <c r="F19" s="14">
        <v>0.01</v>
      </c>
      <c r="G19" s="15" t="s">
        <v>485</v>
      </c>
      <c r="H19" s="14">
        <v>0.02</v>
      </c>
      <c r="I19" s="14">
        <v>0.01</v>
      </c>
      <c r="J19" s="15" t="s">
        <v>485</v>
      </c>
      <c r="K19" s="14">
        <v>0.02</v>
      </c>
      <c r="L19" s="15" t="s">
        <v>485</v>
      </c>
      <c r="M19" s="15" t="s">
        <v>485</v>
      </c>
      <c r="N19" s="15" t="s">
        <v>485</v>
      </c>
      <c r="O19" s="14">
        <v>0.01</v>
      </c>
      <c r="P19" s="14">
        <v>0.01</v>
      </c>
      <c r="Q19" s="14">
        <v>0.01</v>
      </c>
      <c r="R19" s="14">
        <v>0.01</v>
      </c>
      <c r="S19" s="14">
        <v>0.01</v>
      </c>
      <c r="T19" s="14">
        <v>0.01</v>
      </c>
      <c r="U19" s="15" t="s">
        <v>485</v>
      </c>
      <c r="V19" s="15" t="s">
        <v>485</v>
      </c>
      <c r="W19" s="15" t="s">
        <v>485</v>
      </c>
      <c r="X19" s="15" t="s">
        <v>485</v>
      </c>
      <c r="Y19" s="14">
        <v>0.02</v>
      </c>
      <c r="Z19" s="15" t="s">
        <v>485</v>
      </c>
      <c r="AA19" s="14">
        <v>0.01</v>
      </c>
      <c r="AB19" s="14">
        <v>0.01</v>
      </c>
      <c r="AC19" s="15" t="s">
        <v>485</v>
      </c>
      <c r="AD19" s="15" t="s">
        <v>485</v>
      </c>
      <c r="AE19" s="14">
        <v>0.01</v>
      </c>
      <c r="AF19" s="15" t="s">
        <v>485</v>
      </c>
    </row>
  </sheetData>
  <mergeCells count="9">
    <mergeCell ref="H3:L3"/>
    <mergeCell ref="C8:AF8"/>
    <mergeCell ref="B3:F3"/>
    <mergeCell ref="B5:F5"/>
    <mergeCell ref="A10:A19"/>
    <mergeCell ref="H5:L5"/>
    <mergeCell ref="B10:B11"/>
    <mergeCell ref="H4:L4"/>
    <mergeCell ref="B4:F4"/>
  </mergeCells>
  <pageMargins left="0.75" right="0.75" top="1" bottom="1" header="0.5" footer="0.5"/>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D00-000000000000}">
  <dimension ref="A1:AF1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72" customHeight="1">
      <c r="B3" s="19" t="s">
        <v>1418</v>
      </c>
      <c r="C3" s="19"/>
      <c r="D3" s="19"/>
      <c r="E3" s="19"/>
      <c r="F3" s="19"/>
      <c r="H3" s="19" t="s">
        <v>1419</v>
      </c>
      <c r="I3" s="19"/>
      <c r="J3" s="19"/>
      <c r="K3" s="19"/>
      <c r="L3" s="19"/>
    </row>
    <row r="4" spans="1:32" ht="27" customHeight="1">
      <c r="B4" s="19" t="s">
        <v>1420</v>
      </c>
      <c r="C4" s="19"/>
      <c r="D4" s="19"/>
      <c r="E4" s="19"/>
      <c r="F4" s="19"/>
      <c r="H4" s="19" t="s">
        <v>1421</v>
      </c>
      <c r="I4" s="19"/>
      <c r="J4" s="19"/>
      <c r="K4" s="19"/>
      <c r="L4" s="19"/>
    </row>
    <row r="5" spans="1:32" ht="36" customHeight="1">
      <c r="B5" s="19" t="s">
        <v>1376</v>
      </c>
      <c r="C5" s="19"/>
      <c r="D5" s="19"/>
      <c r="E5" s="19"/>
      <c r="F5" s="19"/>
      <c r="H5" s="19" t="s">
        <v>1377</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HYPERLINK("#Content!A146","&lt;&lt;Back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7847</v>
      </c>
      <c r="D10" s="10">
        <v>515</v>
      </c>
      <c r="E10" s="10">
        <v>284</v>
      </c>
      <c r="F10" s="10">
        <v>261</v>
      </c>
      <c r="G10" s="10">
        <v>692</v>
      </c>
      <c r="H10" s="10">
        <v>380</v>
      </c>
      <c r="I10" s="10">
        <v>479</v>
      </c>
      <c r="J10" s="10">
        <v>100</v>
      </c>
      <c r="K10" s="10">
        <v>492</v>
      </c>
      <c r="L10" s="10">
        <v>396</v>
      </c>
      <c r="M10" s="10">
        <v>147</v>
      </c>
      <c r="N10" s="10">
        <v>260</v>
      </c>
      <c r="O10" s="10">
        <v>230</v>
      </c>
      <c r="P10" s="10">
        <v>238</v>
      </c>
      <c r="Q10" s="10">
        <v>224</v>
      </c>
      <c r="R10" s="10">
        <v>101</v>
      </c>
      <c r="S10" s="10">
        <v>407</v>
      </c>
      <c r="T10" s="10">
        <v>330</v>
      </c>
      <c r="U10" s="10">
        <v>287</v>
      </c>
      <c r="V10" s="10">
        <v>236</v>
      </c>
      <c r="W10" s="10">
        <v>251</v>
      </c>
      <c r="X10" s="10">
        <v>761</v>
      </c>
      <c r="Y10" s="10">
        <v>452</v>
      </c>
      <c r="Z10" s="10">
        <v>218</v>
      </c>
      <c r="AA10" s="10">
        <v>123</v>
      </c>
      <c r="AB10" s="10">
        <v>133</v>
      </c>
      <c r="AC10" s="10">
        <v>405</v>
      </c>
      <c r="AD10" s="10">
        <v>252</v>
      </c>
      <c r="AE10" s="10">
        <v>597</v>
      </c>
      <c r="AF10" s="10">
        <v>702</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1398</v>
      </c>
      <c r="C12" s="12">
        <v>1291</v>
      </c>
      <c r="D12" s="12">
        <v>53</v>
      </c>
      <c r="E12" s="12">
        <v>61</v>
      </c>
      <c r="F12" s="12">
        <v>22</v>
      </c>
      <c r="G12" s="12">
        <v>79</v>
      </c>
      <c r="H12" s="12">
        <v>41</v>
      </c>
      <c r="I12" s="12">
        <v>57</v>
      </c>
      <c r="J12" s="12">
        <v>17</v>
      </c>
      <c r="K12" s="12">
        <v>143</v>
      </c>
      <c r="L12" s="12">
        <v>72</v>
      </c>
      <c r="M12" s="12">
        <v>32</v>
      </c>
      <c r="N12" s="12">
        <v>29</v>
      </c>
      <c r="O12" s="12">
        <v>42</v>
      </c>
      <c r="P12" s="12">
        <v>42</v>
      </c>
      <c r="Q12" s="12">
        <v>74</v>
      </c>
      <c r="R12" s="12">
        <v>15</v>
      </c>
      <c r="S12" s="12">
        <v>49</v>
      </c>
      <c r="T12" s="12">
        <v>39</v>
      </c>
      <c r="U12" s="12">
        <v>12</v>
      </c>
      <c r="V12" s="12">
        <v>40</v>
      </c>
      <c r="W12" s="12">
        <v>26</v>
      </c>
      <c r="X12" s="12">
        <v>80</v>
      </c>
      <c r="Y12" s="12">
        <v>137</v>
      </c>
      <c r="Z12" s="12">
        <v>62</v>
      </c>
      <c r="AA12" s="12">
        <v>19</v>
      </c>
      <c r="AB12" s="12">
        <v>44</v>
      </c>
      <c r="AC12" s="12">
        <v>38</v>
      </c>
      <c r="AD12" s="12">
        <v>52</v>
      </c>
      <c r="AE12" s="12">
        <v>46</v>
      </c>
      <c r="AF12" s="12">
        <v>31</v>
      </c>
    </row>
    <row r="13" spans="1:32" ht="23.25">
      <c r="A13" s="23"/>
      <c r="B13" s="13" t="s">
        <v>1399</v>
      </c>
      <c r="C13" s="14">
        <v>0.16</v>
      </c>
      <c r="D13" s="14">
        <v>0.11</v>
      </c>
      <c r="E13" s="14">
        <v>0.21</v>
      </c>
      <c r="F13" s="14">
        <v>0.08</v>
      </c>
      <c r="G13" s="14">
        <v>0.11</v>
      </c>
      <c r="H13" s="14">
        <v>0.11</v>
      </c>
      <c r="I13" s="14">
        <v>0.12</v>
      </c>
      <c r="J13" s="14">
        <v>0.17</v>
      </c>
      <c r="K13" s="14">
        <v>0.28999999999999998</v>
      </c>
      <c r="L13" s="14">
        <v>0.18</v>
      </c>
      <c r="M13" s="14">
        <v>0.22</v>
      </c>
      <c r="N13" s="14">
        <v>0.11</v>
      </c>
      <c r="O13" s="14">
        <v>0.18</v>
      </c>
      <c r="P13" s="14">
        <v>0.18</v>
      </c>
      <c r="Q13" s="14">
        <v>0.33</v>
      </c>
      <c r="R13" s="14">
        <v>0.15</v>
      </c>
      <c r="S13" s="14">
        <v>0.12</v>
      </c>
      <c r="T13" s="14">
        <v>0.12</v>
      </c>
      <c r="U13" s="14">
        <v>0.04</v>
      </c>
      <c r="V13" s="14">
        <v>0.17</v>
      </c>
      <c r="W13" s="14">
        <v>0.1</v>
      </c>
      <c r="X13" s="14">
        <v>0.1</v>
      </c>
      <c r="Y13" s="14">
        <v>0.3</v>
      </c>
      <c r="Z13" s="14">
        <v>0.28000000000000003</v>
      </c>
      <c r="AA13" s="14">
        <v>0.15</v>
      </c>
      <c r="AB13" s="14">
        <v>0.33</v>
      </c>
      <c r="AC13" s="14">
        <v>0.1</v>
      </c>
      <c r="AD13" s="14">
        <v>0.21</v>
      </c>
      <c r="AE13" s="14">
        <v>0.08</v>
      </c>
      <c r="AF13" s="14">
        <v>0.04</v>
      </c>
    </row>
    <row r="14" spans="1:32" ht="23.25">
      <c r="A14" s="23"/>
      <c r="B14" s="11" t="s">
        <v>1400</v>
      </c>
      <c r="C14" s="12">
        <v>847</v>
      </c>
      <c r="D14" s="12">
        <v>42</v>
      </c>
      <c r="E14" s="12">
        <v>47</v>
      </c>
      <c r="F14" s="12">
        <v>25</v>
      </c>
      <c r="G14" s="12">
        <v>29</v>
      </c>
      <c r="H14" s="12">
        <v>38</v>
      </c>
      <c r="I14" s="12">
        <v>47</v>
      </c>
      <c r="J14" s="12">
        <v>9</v>
      </c>
      <c r="K14" s="12">
        <v>95</v>
      </c>
      <c r="L14" s="12">
        <v>37</v>
      </c>
      <c r="M14" s="12">
        <v>14</v>
      </c>
      <c r="N14" s="12">
        <v>15</v>
      </c>
      <c r="O14" s="12">
        <v>24</v>
      </c>
      <c r="P14" s="12">
        <v>51</v>
      </c>
      <c r="Q14" s="12">
        <v>39</v>
      </c>
      <c r="R14" s="12">
        <v>14</v>
      </c>
      <c r="S14" s="12">
        <v>45</v>
      </c>
      <c r="T14" s="12">
        <v>65</v>
      </c>
      <c r="U14" s="12">
        <v>23</v>
      </c>
      <c r="V14" s="12">
        <v>53</v>
      </c>
      <c r="W14" s="12">
        <v>14</v>
      </c>
      <c r="X14" s="12">
        <v>50</v>
      </c>
      <c r="Y14" s="12">
        <v>58</v>
      </c>
      <c r="Z14" s="12">
        <v>48</v>
      </c>
      <c r="AA14" s="12">
        <v>10</v>
      </c>
      <c r="AB14" s="12">
        <v>37</v>
      </c>
      <c r="AC14" s="12">
        <v>34</v>
      </c>
      <c r="AD14" s="12">
        <v>31</v>
      </c>
      <c r="AE14" s="12">
        <v>28</v>
      </c>
      <c r="AF14" s="12">
        <v>15</v>
      </c>
    </row>
    <row r="15" spans="1:32" ht="23.25">
      <c r="A15" s="23"/>
      <c r="B15" s="13" t="s">
        <v>1401</v>
      </c>
      <c r="C15" s="14">
        <v>0.11</v>
      </c>
      <c r="D15" s="14">
        <v>0.08</v>
      </c>
      <c r="E15" s="14">
        <v>0.17</v>
      </c>
      <c r="F15" s="14">
        <v>0.1</v>
      </c>
      <c r="G15" s="14">
        <v>0.04</v>
      </c>
      <c r="H15" s="14">
        <v>0.1</v>
      </c>
      <c r="I15" s="14">
        <v>0.1</v>
      </c>
      <c r="J15" s="14">
        <v>0.09</v>
      </c>
      <c r="K15" s="14">
        <v>0.19</v>
      </c>
      <c r="L15" s="14">
        <v>0.09</v>
      </c>
      <c r="M15" s="14">
        <v>0.1</v>
      </c>
      <c r="N15" s="14">
        <v>0.06</v>
      </c>
      <c r="O15" s="14">
        <v>0.1</v>
      </c>
      <c r="P15" s="14">
        <v>0.21</v>
      </c>
      <c r="Q15" s="14">
        <v>0.18</v>
      </c>
      <c r="R15" s="14">
        <v>0.14000000000000001</v>
      </c>
      <c r="S15" s="14">
        <v>0.11</v>
      </c>
      <c r="T15" s="14">
        <v>0.19</v>
      </c>
      <c r="U15" s="14">
        <v>0.08</v>
      </c>
      <c r="V15" s="14">
        <v>0.22</v>
      </c>
      <c r="W15" s="14">
        <v>0.05</v>
      </c>
      <c r="X15" s="14">
        <v>7.0000000000000007E-2</v>
      </c>
      <c r="Y15" s="14">
        <v>0.13</v>
      </c>
      <c r="Z15" s="14">
        <v>0.22</v>
      </c>
      <c r="AA15" s="14">
        <v>0.08</v>
      </c>
      <c r="AB15" s="14">
        <v>0.28000000000000003</v>
      </c>
      <c r="AC15" s="14">
        <v>0.08</v>
      </c>
      <c r="AD15" s="14">
        <v>0.12</v>
      </c>
      <c r="AE15" s="14">
        <v>0.05</v>
      </c>
      <c r="AF15" s="14">
        <v>0.02</v>
      </c>
    </row>
    <row r="16" spans="1:32">
      <c r="A16" s="23"/>
      <c r="B16" s="11" t="s">
        <v>1111</v>
      </c>
      <c r="C16" s="12">
        <v>5635</v>
      </c>
      <c r="D16" s="12">
        <v>419</v>
      </c>
      <c r="E16" s="12">
        <v>171</v>
      </c>
      <c r="F16" s="12">
        <v>208</v>
      </c>
      <c r="G16" s="12">
        <v>580</v>
      </c>
      <c r="H16" s="12">
        <v>294</v>
      </c>
      <c r="I16" s="12">
        <v>367</v>
      </c>
      <c r="J16" s="12">
        <v>73</v>
      </c>
      <c r="K16" s="12">
        <v>238</v>
      </c>
      <c r="L16" s="12">
        <v>286</v>
      </c>
      <c r="M16" s="12">
        <v>99</v>
      </c>
      <c r="N16" s="12">
        <v>215</v>
      </c>
      <c r="O16" s="12">
        <v>162</v>
      </c>
      <c r="P16" s="12">
        <v>142</v>
      </c>
      <c r="Q16" s="12">
        <v>110</v>
      </c>
      <c r="R16" s="12">
        <v>68</v>
      </c>
      <c r="S16" s="12">
        <v>310</v>
      </c>
      <c r="T16" s="12">
        <v>217</v>
      </c>
      <c r="U16" s="12">
        <v>250</v>
      </c>
      <c r="V16" s="12">
        <v>140</v>
      </c>
      <c r="W16" s="12">
        <v>208</v>
      </c>
      <c r="X16" s="12">
        <v>622</v>
      </c>
      <c r="Y16" s="12">
        <v>250</v>
      </c>
      <c r="Z16" s="12">
        <v>107</v>
      </c>
      <c r="AA16" s="12">
        <v>94</v>
      </c>
      <c r="AB16" s="12">
        <v>52</v>
      </c>
      <c r="AC16" s="12">
        <v>332</v>
      </c>
      <c r="AD16" s="12">
        <v>167</v>
      </c>
      <c r="AE16" s="12">
        <v>515</v>
      </c>
      <c r="AF16" s="12">
        <v>651</v>
      </c>
    </row>
    <row r="17" spans="1:32">
      <c r="A17" s="23"/>
      <c r="B17" s="13" t="s">
        <v>1112</v>
      </c>
      <c r="C17" s="14">
        <v>0.72</v>
      </c>
      <c r="D17" s="14">
        <v>0.81</v>
      </c>
      <c r="E17" s="14">
        <v>0.6</v>
      </c>
      <c r="F17" s="14">
        <v>0.8</v>
      </c>
      <c r="G17" s="14">
        <v>0.84</v>
      </c>
      <c r="H17" s="14">
        <v>0.77</v>
      </c>
      <c r="I17" s="14">
        <v>0.77</v>
      </c>
      <c r="J17" s="14">
        <v>0.73</v>
      </c>
      <c r="K17" s="14">
        <v>0.49</v>
      </c>
      <c r="L17" s="14">
        <v>0.72</v>
      </c>
      <c r="M17" s="14">
        <v>0.67</v>
      </c>
      <c r="N17" s="14">
        <v>0.82000000000000006</v>
      </c>
      <c r="O17" s="14">
        <v>0.71</v>
      </c>
      <c r="P17" s="14">
        <v>0.6</v>
      </c>
      <c r="Q17" s="14">
        <v>0.49</v>
      </c>
      <c r="R17" s="14">
        <v>0.67</v>
      </c>
      <c r="S17" s="14">
        <v>0.76</v>
      </c>
      <c r="T17" s="14">
        <v>0.66</v>
      </c>
      <c r="U17" s="14">
        <v>0.87</v>
      </c>
      <c r="V17" s="14">
        <v>0.59</v>
      </c>
      <c r="W17" s="14">
        <v>0.83000000000000007</v>
      </c>
      <c r="X17" s="14">
        <v>0.82000000000000006</v>
      </c>
      <c r="Y17" s="14">
        <v>0.55000000000000004</v>
      </c>
      <c r="Z17" s="14">
        <v>0.49</v>
      </c>
      <c r="AA17" s="14">
        <v>0.77</v>
      </c>
      <c r="AB17" s="14">
        <v>0.39</v>
      </c>
      <c r="AC17" s="14">
        <v>0.82000000000000006</v>
      </c>
      <c r="AD17" s="14">
        <v>0.66</v>
      </c>
      <c r="AE17" s="14">
        <v>0.86</v>
      </c>
      <c r="AF17" s="14">
        <v>0.93</v>
      </c>
    </row>
    <row r="18" spans="1:32">
      <c r="A18" s="23"/>
      <c r="B18" s="11" t="s">
        <v>497</v>
      </c>
      <c r="C18" s="12">
        <v>74</v>
      </c>
      <c r="D18" s="12">
        <v>1</v>
      </c>
      <c r="E18" s="12">
        <v>5</v>
      </c>
      <c r="F18" s="12">
        <v>5</v>
      </c>
      <c r="G18" s="12">
        <v>4</v>
      </c>
      <c r="H18" s="12">
        <v>7</v>
      </c>
      <c r="I18" s="12">
        <v>8</v>
      </c>
      <c r="J18" s="12">
        <v>1</v>
      </c>
      <c r="K18" s="12">
        <v>16</v>
      </c>
      <c r="L18" s="12">
        <v>2</v>
      </c>
      <c r="M18" s="12">
        <v>1</v>
      </c>
      <c r="N18" s="12">
        <v>1</v>
      </c>
      <c r="O18" s="12">
        <v>2</v>
      </c>
      <c r="P18" s="12">
        <v>3</v>
      </c>
      <c r="Q18" s="12">
        <v>0</v>
      </c>
      <c r="R18" s="12">
        <v>4</v>
      </c>
      <c r="S18" s="12">
        <v>3</v>
      </c>
      <c r="T18" s="12">
        <v>9</v>
      </c>
      <c r="U18" s="12">
        <v>2</v>
      </c>
      <c r="V18" s="12">
        <v>4</v>
      </c>
      <c r="W18" s="12">
        <v>4</v>
      </c>
      <c r="X18" s="12">
        <v>8</v>
      </c>
      <c r="Y18" s="12">
        <v>7</v>
      </c>
      <c r="Z18" s="12">
        <v>2</v>
      </c>
      <c r="AA18" s="12">
        <v>0</v>
      </c>
      <c r="AB18" s="12">
        <v>0</v>
      </c>
      <c r="AC18" s="12">
        <v>1</v>
      </c>
      <c r="AD18" s="12">
        <v>2</v>
      </c>
      <c r="AE18" s="12">
        <v>8</v>
      </c>
      <c r="AF18" s="12">
        <v>5</v>
      </c>
    </row>
    <row r="19" spans="1:32">
      <c r="A19" s="23"/>
      <c r="B19" s="13" t="s">
        <v>498</v>
      </c>
      <c r="C19" s="14">
        <v>0.01</v>
      </c>
      <c r="D19" s="15" t="s">
        <v>485</v>
      </c>
      <c r="E19" s="14">
        <v>0.02</v>
      </c>
      <c r="F19" s="14">
        <v>0.02</v>
      </c>
      <c r="G19" s="14">
        <v>0.01</v>
      </c>
      <c r="H19" s="14">
        <v>0.02</v>
      </c>
      <c r="I19" s="14">
        <v>0.01</v>
      </c>
      <c r="J19" s="14">
        <v>0.01</v>
      </c>
      <c r="K19" s="14">
        <v>0.03</v>
      </c>
      <c r="L19" s="14">
        <v>0.01</v>
      </c>
      <c r="M19" s="14">
        <v>0.01</v>
      </c>
      <c r="N19" s="14">
        <v>0.01</v>
      </c>
      <c r="O19" s="14">
        <v>0.01</v>
      </c>
      <c r="P19" s="14">
        <v>0.01</v>
      </c>
      <c r="Q19" s="15" t="s">
        <v>485</v>
      </c>
      <c r="R19" s="14">
        <v>0.04</v>
      </c>
      <c r="S19" s="14">
        <v>0.01</v>
      </c>
      <c r="T19" s="14">
        <v>0.03</v>
      </c>
      <c r="U19" s="14">
        <v>0.01</v>
      </c>
      <c r="V19" s="14">
        <v>0.02</v>
      </c>
      <c r="W19" s="14">
        <v>0.02</v>
      </c>
      <c r="X19" s="14">
        <v>0.01</v>
      </c>
      <c r="Y19" s="14">
        <v>0.02</v>
      </c>
      <c r="Z19" s="14">
        <v>0.01</v>
      </c>
      <c r="AA19" s="15" t="s">
        <v>485</v>
      </c>
      <c r="AB19" s="15" t="s">
        <v>485</v>
      </c>
      <c r="AC19" s="15" t="s">
        <v>485</v>
      </c>
      <c r="AD19" s="14">
        <v>0.01</v>
      </c>
      <c r="AE19" s="14">
        <v>0.01</v>
      </c>
      <c r="AF19" s="14">
        <v>0.01</v>
      </c>
    </row>
  </sheetData>
  <mergeCells count="9">
    <mergeCell ref="H3:L3"/>
    <mergeCell ref="C8:AF8"/>
    <mergeCell ref="B3:F3"/>
    <mergeCell ref="B5:F5"/>
    <mergeCell ref="A10:A19"/>
    <mergeCell ref="H5:L5"/>
    <mergeCell ref="B10:B11"/>
    <mergeCell ref="H4:L4"/>
    <mergeCell ref="B4:F4"/>
  </mergeCells>
  <pageMargins left="0.75" right="0.75" top="1" bottom="1" header="0.5" footer="0.5"/>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E00-000000000000}">
  <dimension ref="A1:AF17"/>
  <sheetViews>
    <sheetView workbookViewId="0">
      <pane xSplit="3" ySplit="9" topLeftCell="Q10" activePane="bottomRight" state="frozen"/>
      <selection pane="bottomRight" activeCell="B9" sqref="B9:AF17"/>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72" customHeight="1">
      <c r="B3" s="19" t="s">
        <v>1422</v>
      </c>
      <c r="C3" s="19"/>
      <c r="D3" s="19"/>
      <c r="E3" s="19"/>
      <c r="F3" s="19"/>
      <c r="H3" s="19" t="s">
        <v>1423</v>
      </c>
      <c r="I3" s="19"/>
      <c r="J3" s="19"/>
      <c r="K3" s="19"/>
      <c r="L3" s="19"/>
    </row>
    <row r="4" spans="1:32" ht="27" customHeight="1">
      <c r="B4" s="19" t="s">
        <v>1396</v>
      </c>
      <c r="C4" s="19"/>
      <c r="D4" s="19"/>
      <c r="E4" s="19"/>
      <c r="F4" s="19"/>
      <c r="H4" s="19" t="s">
        <v>1397</v>
      </c>
      <c r="I4" s="19"/>
      <c r="J4" s="19"/>
      <c r="K4" s="19"/>
      <c r="L4" s="19"/>
    </row>
    <row r="5" spans="1:32" ht="36" customHeight="1">
      <c r="B5" s="19" t="s">
        <v>1376</v>
      </c>
      <c r="C5" s="19"/>
      <c r="D5" s="19"/>
      <c r="E5" s="19"/>
      <c r="F5" s="19"/>
      <c r="H5" s="19" t="s">
        <v>1377</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ustomHeight="1">
      <c r="A9" s="5" t="str">
        <f>HYPERLINK("#Content!A147","&lt;&lt;Back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7847</v>
      </c>
      <c r="D10" s="10">
        <v>515</v>
      </c>
      <c r="E10" s="10">
        <v>284</v>
      </c>
      <c r="F10" s="10">
        <v>261</v>
      </c>
      <c r="G10" s="10">
        <v>692</v>
      </c>
      <c r="H10" s="10">
        <v>380</v>
      </c>
      <c r="I10" s="10">
        <v>479</v>
      </c>
      <c r="J10" s="10">
        <v>100</v>
      </c>
      <c r="K10" s="10">
        <v>492</v>
      </c>
      <c r="L10" s="10">
        <v>396</v>
      </c>
      <c r="M10" s="10">
        <v>147</v>
      </c>
      <c r="N10" s="10">
        <v>260</v>
      </c>
      <c r="O10" s="10">
        <v>230</v>
      </c>
      <c r="P10" s="10">
        <v>238</v>
      </c>
      <c r="Q10" s="10">
        <v>224</v>
      </c>
      <c r="R10" s="10">
        <v>101</v>
      </c>
      <c r="S10" s="10">
        <v>407</v>
      </c>
      <c r="T10" s="10">
        <v>330</v>
      </c>
      <c r="U10" s="10">
        <v>287</v>
      </c>
      <c r="V10" s="10">
        <v>236</v>
      </c>
      <c r="W10" s="10">
        <v>251</v>
      </c>
      <c r="X10" s="10">
        <v>761</v>
      </c>
      <c r="Y10" s="10">
        <v>452</v>
      </c>
      <c r="Z10" s="10">
        <v>218</v>
      </c>
      <c r="AA10" s="10">
        <v>123</v>
      </c>
      <c r="AB10" s="10">
        <v>133</v>
      </c>
      <c r="AC10" s="10">
        <v>405</v>
      </c>
      <c r="AD10" s="10">
        <v>252</v>
      </c>
      <c r="AE10" s="10">
        <v>597</v>
      </c>
      <c r="AF10" s="10">
        <v>702</v>
      </c>
    </row>
    <row r="11" spans="1:32">
      <c r="A11" s="22"/>
      <c r="B11" s="2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1109</v>
      </c>
      <c r="C12" s="12">
        <v>1954</v>
      </c>
      <c r="D12" s="12">
        <v>143</v>
      </c>
      <c r="E12" s="12">
        <v>112</v>
      </c>
      <c r="F12" s="12">
        <v>45</v>
      </c>
      <c r="G12" s="12">
        <v>107</v>
      </c>
      <c r="H12" s="12">
        <v>91</v>
      </c>
      <c r="I12" s="12">
        <v>119</v>
      </c>
      <c r="J12" s="12">
        <v>27</v>
      </c>
      <c r="K12" s="12">
        <v>117</v>
      </c>
      <c r="L12" s="12">
        <v>98</v>
      </c>
      <c r="M12" s="12">
        <v>30</v>
      </c>
      <c r="N12" s="12">
        <v>31</v>
      </c>
      <c r="O12" s="12">
        <v>54</v>
      </c>
      <c r="P12" s="12">
        <v>89</v>
      </c>
      <c r="Q12" s="12">
        <v>73</v>
      </c>
      <c r="R12" s="12">
        <v>16</v>
      </c>
      <c r="S12" s="12">
        <v>102</v>
      </c>
      <c r="T12" s="12">
        <v>83</v>
      </c>
      <c r="U12" s="12">
        <v>62</v>
      </c>
      <c r="V12" s="12">
        <v>76</v>
      </c>
      <c r="W12" s="12">
        <v>20</v>
      </c>
      <c r="X12" s="12">
        <v>150</v>
      </c>
      <c r="Y12" s="12">
        <v>224</v>
      </c>
      <c r="Z12" s="12">
        <v>97</v>
      </c>
      <c r="AA12" s="12">
        <v>20</v>
      </c>
      <c r="AB12" s="12">
        <v>62</v>
      </c>
      <c r="AC12" s="12">
        <v>71</v>
      </c>
      <c r="AD12" s="12">
        <v>75</v>
      </c>
      <c r="AE12" s="12">
        <v>49</v>
      </c>
      <c r="AF12" s="12">
        <v>89</v>
      </c>
    </row>
    <row r="13" spans="1:32">
      <c r="A13" s="23"/>
      <c r="B13" s="13" t="s">
        <v>1110</v>
      </c>
      <c r="C13" s="14">
        <v>0.25</v>
      </c>
      <c r="D13" s="14">
        <v>0.28000000000000003</v>
      </c>
      <c r="E13" s="14">
        <v>0.39</v>
      </c>
      <c r="F13" s="14">
        <v>0.17</v>
      </c>
      <c r="G13" s="14">
        <v>0.15</v>
      </c>
      <c r="H13" s="14">
        <v>0.24</v>
      </c>
      <c r="I13" s="14">
        <v>0.25</v>
      </c>
      <c r="J13" s="14">
        <v>0.27</v>
      </c>
      <c r="K13" s="14">
        <v>0.24</v>
      </c>
      <c r="L13" s="14">
        <v>0.25</v>
      </c>
      <c r="M13" s="14">
        <v>0.2</v>
      </c>
      <c r="N13" s="14">
        <v>0.12</v>
      </c>
      <c r="O13" s="14">
        <v>0.24</v>
      </c>
      <c r="P13" s="14">
        <v>0.38</v>
      </c>
      <c r="Q13" s="14">
        <v>0.33</v>
      </c>
      <c r="R13" s="14">
        <v>0.16</v>
      </c>
      <c r="S13" s="14">
        <v>0.25</v>
      </c>
      <c r="T13" s="14">
        <v>0.25</v>
      </c>
      <c r="U13" s="14">
        <v>0.22</v>
      </c>
      <c r="V13" s="14">
        <v>0.32</v>
      </c>
      <c r="W13" s="14">
        <v>0.08</v>
      </c>
      <c r="X13" s="14">
        <v>0.2</v>
      </c>
      <c r="Y13" s="14">
        <v>0.5</v>
      </c>
      <c r="Z13" s="14">
        <v>0.44</v>
      </c>
      <c r="AA13" s="14">
        <v>0.16</v>
      </c>
      <c r="AB13" s="14">
        <v>0.47</v>
      </c>
      <c r="AC13" s="14">
        <v>0.17</v>
      </c>
      <c r="AD13" s="14">
        <v>0.3</v>
      </c>
      <c r="AE13" s="14">
        <v>0.08</v>
      </c>
      <c r="AF13" s="14">
        <v>0.13</v>
      </c>
    </row>
    <row r="14" spans="1:32">
      <c r="A14" s="23"/>
      <c r="B14" s="11" t="s">
        <v>1111</v>
      </c>
      <c r="C14" s="12">
        <v>5871</v>
      </c>
      <c r="D14" s="12">
        <v>371</v>
      </c>
      <c r="E14" s="12">
        <v>168</v>
      </c>
      <c r="F14" s="12">
        <v>215</v>
      </c>
      <c r="G14" s="12">
        <v>585</v>
      </c>
      <c r="H14" s="12">
        <v>286</v>
      </c>
      <c r="I14" s="12">
        <v>359</v>
      </c>
      <c r="J14" s="12">
        <v>72</v>
      </c>
      <c r="K14" s="12">
        <v>367</v>
      </c>
      <c r="L14" s="12">
        <v>297</v>
      </c>
      <c r="M14" s="12">
        <v>117</v>
      </c>
      <c r="N14" s="12">
        <v>229</v>
      </c>
      <c r="O14" s="12">
        <v>175</v>
      </c>
      <c r="P14" s="12">
        <v>145</v>
      </c>
      <c r="Q14" s="12">
        <v>151</v>
      </c>
      <c r="R14" s="12">
        <v>85</v>
      </c>
      <c r="S14" s="12">
        <v>305</v>
      </c>
      <c r="T14" s="12">
        <v>246</v>
      </c>
      <c r="U14" s="12">
        <v>225</v>
      </c>
      <c r="V14" s="12">
        <v>160</v>
      </c>
      <c r="W14" s="12">
        <v>229</v>
      </c>
      <c r="X14" s="12">
        <v>607</v>
      </c>
      <c r="Y14" s="12">
        <v>226</v>
      </c>
      <c r="Z14" s="12">
        <v>121</v>
      </c>
      <c r="AA14" s="12">
        <v>102</v>
      </c>
      <c r="AB14" s="12">
        <v>71</v>
      </c>
      <c r="AC14" s="12">
        <v>334</v>
      </c>
      <c r="AD14" s="12">
        <v>176</v>
      </c>
      <c r="AE14" s="12">
        <v>545</v>
      </c>
      <c r="AF14" s="12">
        <v>613</v>
      </c>
    </row>
    <row r="15" spans="1:32">
      <c r="A15" s="23"/>
      <c r="B15" s="13" t="s">
        <v>1112</v>
      </c>
      <c r="C15" s="14">
        <v>0.75</v>
      </c>
      <c r="D15" s="14">
        <v>0.72</v>
      </c>
      <c r="E15" s="14">
        <v>0.59</v>
      </c>
      <c r="F15" s="14">
        <v>0.82000000000000006</v>
      </c>
      <c r="G15" s="14">
        <v>0.85</v>
      </c>
      <c r="H15" s="14">
        <v>0.75</v>
      </c>
      <c r="I15" s="14">
        <v>0.75</v>
      </c>
      <c r="J15" s="14">
        <v>0.73</v>
      </c>
      <c r="K15" s="14">
        <v>0.74</v>
      </c>
      <c r="L15" s="14">
        <v>0.75</v>
      </c>
      <c r="M15" s="14">
        <v>0.8</v>
      </c>
      <c r="N15" s="14">
        <v>0.88</v>
      </c>
      <c r="O15" s="14">
        <v>0.76</v>
      </c>
      <c r="P15" s="14">
        <v>0.61</v>
      </c>
      <c r="Q15" s="14">
        <v>0.67</v>
      </c>
      <c r="R15" s="14">
        <v>0.84</v>
      </c>
      <c r="S15" s="14">
        <v>0.75</v>
      </c>
      <c r="T15" s="14">
        <v>0.75</v>
      </c>
      <c r="U15" s="14">
        <v>0.78</v>
      </c>
      <c r="V15" s="14">
        <v>0.68</v>
      </c>
      <c r="W15" s="14">
        <v>0.91</v>
      </c>
      <c r="X15" s="14">
        <v>0.8</v>
      </c>
      <c r="Y15" s="14">
        <v>0.5</v>
      </c>
      <c r="Z15" s="14">
        <v>0.56000000000000005</v>
      </c>
      <c r="AA15" s="14">
        <v>0.83000000000000007</v>
      </c>
      <c r="AB15" s="14">
        <v>0.53</v>
      </c>
      <c r="AC15" s="14">
        <v>0.83000000000000007</v>
      </c>
      <c r="AD15" s="14">
        <v>0.70000000000000007</v>
      </c>
      <c r="AE15" s="14">
        <v>0.92</v>
      </c>
      <c r="AF15" s="14">
        <v>0.87</v>
      </c>
    </row>
    <row r="16" spans="1:32">
      <c r="A16" s="23"/>
      <c r="B16" s="11" t="s">
        <v>497</v>
      </c>
      <c r="C16" s="12">
        <v>21</v>
      </c>
      <c r="D16" s="12">
        <v>0</v>
      </c>
      <c r="E16" s="12">
        <v>4</v>
      </c>
      <c r="F16" s="12">
        <v>2</v>
      </c>
      <c r="G16" s="12">
        <v>0</v>
      </c>
      <c r="H16" s="12">
        <v>2</v>
      </c>
      <c r="I16" s="12">
        <v>2</v>
      </c>
      <c r="J16" s="12">
        <v>0</v>
      </c>
      <c r="K16" s="12">
        <v>8</v>
      </c>
      <c r="L16" s="12">
        <v>2</v>
      </c>
      <c r="M16" s="12">
        <v>0</v>
      </c>
      <c r="N16" s="12">
        <v>0</v>
      </c>
      <c r="O16" s="12">
        <v>1</v>
      </c>
      <c r="P16" s="12">
        <v>3</v>
      </c>
      <c r="Q16" s="12">
        <v>0</v>
      </c>
      <c r="R16" s="12">
        <v>0</v>
      </c>
      <c r="S16" s="12">
        <v>1</v>
      </c>
      <c r="T16" s="12">
        <v>1</v>
      </c>
      <c r="U16" s="12">
        <v>0</v>
      </c>
      <c r="V16" s="12">
        <v>0</v>
      </c>
      <c r="W16" s="12">
        <v>2</v>
      </c>
      <c r="X16" s="12">
        <v>4</v>
      </c>
      <c r="Y16" s="12">
        <v>2</v>
      </c>
      <c r="Z16" s="12">
        <v>0</v>
      </c>
      <c r="AA16" s="12">
        <v>1</v>
      </c>
      <c r="AB16" s="12">
        <v>0</v>
      </c>
      <c r="AC16" s="12">
        <v>0</v>
      </c>
      <c r="AD16" s="12">
        <v>0</v>
      </c>
      <c r="AE16" s="12">
        <v>2</v>
      </c>
      <c r="AF16" s="12">
        <v>0</v>
      </c>
    </row>
    <row r="17" spans="1:32">
      <c r="A17" s="23"/>
      <c r="B17" s="13" t="s">
        <v>498</v>
      </c>
      <c r="C17" s="15" t="s">
        <v>485</v>
      </c>
      <c r="D17" s="15" t="s">
        <v>485</v>
      </c>
      <c r="E17" s="14">
        <v>0.02</v>
      </c>
      <c r="F17" s="14">
        <v>0.01</v>
      </c>
      <c r="G17" s="15" t="s">
        <v>485</v>
      </c>
      <c r="H17" s="14">
        <v>0.01</v>
      </c>
      <c r="I17" s="15" t="s">
        <v>485</v>
      </c>
      <c r="J17" s="15" t="s">
        <v>485</v>
      </c>
      <c r="K17" s="14">
        <v>0.02</v>
      </c>
      <c r="L17" s="15" t="s">
        <v>485</v>
      </c>
      <c r="M17" s="15" t="s">
        <v>485</v>
      </c>
      <c r="N17" s="15" t="s">
        <v>485</v>
      </c>
      <c r="O17" s="15" t="s">
        <v>485</v>
      </c>
      <c r="P17" s="14">
        <v>0.01</v>
      </c>
      <c r="Q17" s="15" t="s">
        <v>485</v>
      </c>
      <c r="R17" s="15" t="s">
        <v>485</v>
      </c>
      <c r="S17" s="15" t="s">
        <v>485</v>
      </c>
      <c r="T17" s="15" t="s">
        <v>485</v>
      </c>
      <c r="U17" s="15" t="s">
        <v>485</v>
      </c>
      <c r="V17" s="15" t="s">
        <v>485</v>
      </c>
      <c r="W17" s="14">
        <v>0.01</v>
      </c>
      <c r="X17" s="15" t="s">
        <v>485</v>
      </c>
      <c r="Y17" s="15" t="s">
        <v>485</v>
      </c>
      <c r="Z17" s="15" t="s">
        <v>485</v>
      </c>
      <c r="AA17" s="14">
        <v>0.01</v>
      </c>
      <c r="AB17" s="15" t="s">
        <v>485</v>
      </c>
      <c r="AC17" s="15" t="s">
        <v>485</v>
      </c>
      <c r="AD17" s="15" t="s">
        <v>485</v>
      </c>
      <c r="AE17" s="15" t="s">
        <v>485</v>
      </c>
      <c r="AF17" s="15" t="s">
        <v>485</v>
      </c>
    </row>
  </sheetData>
  <mergeCells count="9">
    <mergeCell ref="B10:B11"/>
    <mergeCell ref="A10:A17"/>
    <mergeCell ref="H4:L4"/>
    <mergeCell ref="B4:F4"/>
    <mergeCell ref="H3:L3"/>
    <mergeCell ref="C8:AF8"/>
    <mergeCell ref="B3:F3"/>
    <mergeCell ref="B5:F5"/>
    <mergeCell ref="H5:L5"/>
  </mergeCells>
  <pageMargins left="0.75" right="0.75" top="1" bottom="1" header="0.5" footer="0.5"/>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F00-000000000000}">
  <dimension ref="A1:AF17"/>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72" customHeight="1">
      <c r="B3" s="19" t="s">
        <v>1424</v>
      </c>
      <c r="C3" s="19"/>
      <c r="D3" s="19"/>
      <c r="E3" s="19"/>
      <c r="F3" s="19"/>
      <c r="H3" s="19" t="s">
        <v>1425</v>
      </c>
      <c r="I3" s="19"/>
      <c r="J3" s="19"/>
      <c r="K3" s="19"/>
      <c r="L3" s="19"/>
    </row>
    <row r="4" spans="1:32" ht="27" customHeight="1">
      <c r="B4" s="19" t="s">
        <v>1404</v>
      </c>
      <c r="C4" s="19"/>
      <c r="D4" s="19"/>
      <c r="E4" s="19"/>
      <c r="F4" s="19"/>
      <c r="H4" s="19" t="s">
        <v>1405</v>
      </c>
      <c r="I4" s="19"/>
      <c r="J4" s="19"/>
      <c r="K4" s="19"/>
      <c r="L4" s="19"/>
    </row>
    <row r="5" spans="1:32" ht="36" customHeight="1">
      <c r="B5" s="19" t="s">
        <v>1376</v>
      </c>
      <c r="C5" s="19"/>
      <c r="D5" s="19"/>
      <c r="E5" s="19"/>
      <c r="F5" s="19"/>
      <c r="H5" s="19" t="s">
        <v>1377</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HYPERLINK("#Content!A148","&lt;&lt;Back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7847</v>
      </c>
      <c r="D10" s="10">
        <v>515</v>
      </c>
      <c r="E10" s="10">
        <v>284</v>
      </c>
      <c r="F10" s="10">
        <v>261</v>
      </c>
      <c r="G10" s="10">
        <v>692</v>
      </c>
      <c r="H10" s="10">
        <v>380</v>
      </c>
      <c r="I10" s="10">
        <v>479</v>
      </c>
      <c r="J10" s="10">
        <v>100</v>
      </c>
      <c r="K10" s="10">
        <v>492</v>
      </c>
      <c r="L10" s="10">
        <v>396</v>
      </c>
      <c r="M10" s="10">
        <v>147</v>
      </c>
      <c r="N10" s="10">
        <v>260</v>
      </c>
      <c r="O10" s="10">
        <v>230</v>
      </c>
      <c r="P10" s="10">
        <v>238</v>
      </c>
      <c r="Q10" s="10">
        <v>224</v>
      </c>
      <c r="R10" s="10">
        <v>101</v>
      </c>
      <c r="S10" s="10">
        <v>407</v>
      </c>
      <c r="T10" s="10">
        <v>330</v>
      </c>
      <c r="U10" s="10">
        <v>287</v>
      </c>
      <c r="V10" s="10">
        <v>236</v>
      </c>
      <c r="W10" s="10">
        <v>251</v>
      </c>
      <c r="X10" s="10">
        <v>761</v>
      </c>
      <c r="Y10" s="10">
        <v>452</v>
      </c>
      <c r="Z10" s="10">
        <v>218</v>
      </c>
      <c r="AA10" s="10">
        <v>123</v>
      </c>
      <c r="AB10" s="10">
        <v>133</v>
      </c>
      <c r="AC10" s="10">
        <v>405</v>
      </c>
      <c r="AD10" s="10">
        <v>252</v>
      </c>
      <c r="AE10" s="10">
        <v>597</v>
      </c>
      <c r="AF10" s="10">
        <v>702</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1109</v>
      </c>
      <c r="C12" s="12">
        <v>2701</v>
      </c>
      <c r="D12" s="12">
        <v>207</v>
      </c>
      <c r="E12" s="12">
        <v>154</v>
      </c>
      <c r="F12" s="12">
        <v>54</v>
      </c>
      <c r="G12" s="12">
        <v>239</v>
      </c>
      <c r="H12" s="12">
        <v>109</v>
      </c>
      <c r="I12" s="12">
        <v>143</v>
      </c>
      <c r="J12" s="12">
        <v>34</v>
      </c>
      <c r="K12" s="12">
        <v>159</v>
      </c>
      <c r="L12" s="12">
        <v>138</v>
      </c>
      <c r="M12" s="12">
        <v>35</v>
      </c>
      <c r="N12" s="12">
        <v>45</v>
      </c>
      <c r="O12" s="12">
        <v>83</v>
      </c>
      <c r="P12" s="12">
        <v>105</v>
      </c>
      <c r="Q12" s="12">
        <v>103</v>
      </c>
      <c r="R12" s="12">
        <v>24</v>
      </c>
      <c r="S12" s="12">
        <v>96</v>
      </c>
      <c r="T12" s="12">
        <v>132</v>
      </c>
      <c r="U12" s="12">
        <v>99</v>
      </c>
      <c r="V12" s="12">
        <v>78</v>
      </c>
      <c r="W12" s="12">
        <v>61</v>
      </c>
      <c r="X12" s="12">
        <v>252</v>
      </c>
      <c r="Y12" s="12">
        <v>232</v>
      </c>
      <c r="Z12" s="12">
        <v>111</v>
      </c>
      <c r="AA12" s="12">
        <v>19</v>
      </c>
      <c r="AB12" s="12">
        <v>85</v>
      </c>
      <c r="AC12" s="12">
        <v>156</v>
      </c>
      <c r="AD12" s="12">
        <v>93</v>
      </c>
      <c r="AE12" s="12">
        <v>143</v>
      </c>
      <c r="AF12" s="12">
        <v>190</v>
      </c>
    </row>
    <row r="13" spans="1:32">
      <c r="A13" s="23"/>
      <c r="B13" s="13" t="s">
        <v>1110</v>
      </c>
      <c r="C13" s="14">
        <v>0.34</v>
      </c>
      <c r="D13" s="14">
        <v>0.4</v>
      </c>
      <c r="E13" s="14">
        <v>0.54</v>
      </c>
      <c r="F13" s="14">
        <v>0.21</v>
      </c>
      <c r="G13" s="14">
        <v>0.35</v>
      </c>
      <c r="H13" s="14">
        <v>0.28999999999999998</v>
      </c>
      <c r="I13" s="14">
        <v>0.3</v>
      </c>
      <c r="J13" s="14">
        <v>0.34</v>
      </c>
      <c r="K13" s="14">
        <v>0.32</v>
      </c>
      <c r="L13" s="14">
        <v>0.35</v>
      </c>
      <c r="M13" s="14">
        <v>0.24</v>
      </c>
      <c r="N13" s="14">
        <v>0.17</v>
      </c>
      <c r="O13" s="14">
        <v>0.36</v>
      </c>
      <c r="P13" s="14">
        <v>0.44</v>
      </c>
      <c r="Q13" s="14">
        <v>0.46</v>
      </c>
      <c r="R13" s="14">
        <v>0.23</v>
      </c>
      <c r="S13" s="14">
        <v>0.24</v>
      </c>
      <c r="T13" s="14">
        <v>0.4</v>
      </c>
      <c r="U13" s="14">
        <v>0.35</v>
      </c>
      <c r="V13" s="14">
        <v>0.33</v>
      </c>
      <c r="W13" s="14">
        <v>0.24</v>
      </c>
      <c r="X13" s="14">
        <v>0.33</v>
      </c>
      <c r="Y13" s="14">
        <v>0.51</v>
      </c>
      <c r="Z13" s="14">
        <v>0.51</v>
      </c>
      <c r="AA13" s="14">
        <v>0.15</v>
      </c>
      <c r="AB13" s="14">
        <v>0.64</v>
      </c>
      <c r="AC13" s="14">
        <v>0.38</v>
      </c>
      <c r="AD13" s="14">
        <v>0.37</v>
      </c>
      <c r="AE13" s="14">
        <v>0.24</v>
      </c>
      <c r="AF13" s="14">
        <v>0.27</v>
      </c>
    </row>
    <row r="14" spans="1:32">
      <c r="A14" s="23"/>
      <c r="B14" s="11" t="s">
        <v>1111</v>
      </c>
      <c r="C14" s="12">
        <v>5077</v>
      </c>
      <c r="D14" s="12">
        <v>307</v>
      </c>
      <c r="E14" s="12">
        <v>128</v>
      </c>
      <c r="F14" s="12">
        <v>203</v>
      </c>
      <c r="G14" s="12">
        <v>451</v>
      </c>
      <c r="H14" s="12">
        <v>268</v>
      </c>
      <c r="I14" s="12">
        <v>332</v>
      </c>
      <c r="J14" s="12">
        <v>65</v>
      </c>
      <c r="K14" s="12">
        <v>323</v>
      </c>
      <c r="L14" s="12">
        <v>254</v>
      </c>
      <c r="M14" s="12">
        <v>110</v>
      </c>
      <c r="N14" s="12">
        <v>215</v>
      </c>
      <c r="O14" s="12">
        <v>143</v>
      </c>
      <c r="P14" s="12">
        <v>127</v>
      </c>
      <c r="Q14" s="12">
        <v>120</v>
      </c>
      <c r="R14" s="12">
        <v>77</v>
      </c>
      <c r="S14" s="12">
        <v>310</v>
      </c>
      <c r="T14" s="12">
        <v>193</v>
      </c>
      <c r="U14" s="12">
        <v>185</v>
      </c>
      <c r="V14" s="12">
        <v>159</v>
      </c>
      <c r="W14" s="12">
        <v>188</v>
      </c>
      <c r="X14" s="12">
        <v>503</v>
      </c>
      <c r="Y14" s="12">
        <v>208</v>
      </c>
      <c r="Z14" s="12">
        <v>106</v>
      </c>
      <c r="AA14" s="12">
        <v>103</v>
      </c>
      <c r="AB14" s="12">
        <v>46</v>
      </c>
      <c r="AC14" s="12">
        <v>249</v>
      </c>
      <c r="AD14" s="12">
        <v>153</v>
      </c>
      <c r="AE14" s="12">
        <v>442</v>
      </c>
      <c r="AF14" s="12">
        <v>507</v>
      </c>
    </row>
    <row r="15" spans="1:32">
      <c r="A15" s="23"/>
      <c r="B15" s="13" t="s">
        <v>1112</v>
      </c>
      <c r="C15" s="14">
        <v>0.65</v>
      </c>
      <c r="D15" s="14">
        <v>0.6</v>
      </c>
      <c r="E15" s="14">
        <v>0.45</v>
      </c>
      <c r="F15" s="14">
        <v>0.78</v>
      </c>
      <c r="G15" s="14">
        <v>0.65</v>
      </c>
      <c r="H15" s="14">
        <v>0.70000000000000007</v>
      </c>
      <c r="I15" s="14">
        <v>0.69000000000000006</v>
      </c>
      <c r="J15" s="14">
        <v>0.65</v>
      </c>
      <c r="K15" s="14">
        <v>0.66</v>
      </c>
      <c r="L15" s="14">
        <v>0.64</v>
      </c>
      <c r="M15" s="14">
        <v>0.75</v>
      </c>
      <c r="N15" s="14">
        <v>0.83000000000000007</v>
      </c>
      <c r="O15" s="14">
        <v>0.62</v>
      </c>
      <c r="P15" s="14">
        <v>0.54</v>
      </c>
      <c r="Q15" s="14">
        <v>0.54</v>
      </c>
      <c r="R15" s="14">
        <v>0.76</v>
      </c>
      <c r="S15" s="14">
        <v>0.76</v>
      </c>
      <c r="T15" s="14">
        <v>0.57999999999999996</v>
      </c>
      <c r="U15" s="14">
        <v>0.64</v>
      </c>
      <c r="V15" s="14">
        <v>0.67</v>
      </c>
      <c r="W15" s="14">
        <v>0.75</v>
      </c>
      <c r="X15" s="14">
        <v>0.66</v>
      </c>
      <c r="Y15" s="14">
        <v>0.46</v>
      </c>
      <c r="Z15" s="14">
        <v>0.49</v>
      </c>
      <c r="AA15" s="14">
        <v>0.84</v>
      </c>
      <c r="AB15" s="14">
        <v>0.35</v>
      </c>
      <c r="AC15" s="14">
        <v>0.62</v>
      </c>
      <c r="AD15" s="14">
        <v>0.61</v>
      </c>
      <c r="AE15" s="14">
        <v>0.74</v>
      </c>
      <c r="AF15" s="14">
        <v>0.72</v>
      </c>
    </row>
    <row r="16" spans="1:32">
      <c r="A16" s="23"/>
      <c r="B16" s="11" t="s">
        <v>497</v>
      </c>
      <c r="C16" s="12">
        <v>69</v>
      </c>
      <c r="D16" s="12">
        <v>1</v>
      </c>
      <c r="E16" s="12">
        <v>2</v>
      </c>
      <c r="F16" s="12">
        <v>4</v>
      </c>
      <c r="G16" s="12">
        <v>1</v>
      </c>
      <c r="H16" s="12">
        <v>3</v>
      </c>
      <c r="I16" s="12">
        <v>4</v>
      </c>
      <c r="J16" s="12">
        <v>1</v>
      </c>
      <c r="K16" s="12">
        <v>10</v>
      </c>
      <c r="L16" s="12">
        <v>5</v>
      </c>
      <c r="M16" s="12">
        <v>2</v>
      </c>
      <c r="N16" s="12">
        <v>1</v>
      </c>
      <c r="O16" s="12">
        <v>3</v>
      </c>
      <c r="P16" s="12">
        <v>5</v>
      </c>
      <c r="Q16" s="12">
        <v>1</v>
      </c>
      <c r="R16" s="12">
        <v>0</v>
      </c>
      <c r="S16" s="12">
        <v>2</v>
      </c>
      <c r="T16" s="12">
        <v>5</v>
      </c>
      <c r="U16" s="12">
        <v>3</v>
      </c>
      <c r="V16" s="12">
        <v>0</v>
      </c>
      <c r="W16" s="12">
        <v>3</v>
      </c>
      <c r="X16" s="12">
        <v>6</v>
      </c>
      <c r="Y16" s="12">
        <v>11</v>
      </c>
      <c r="Z16" s="12">
        <v>1</v>
      </c>
      <c r="AA16" s="12">
        <v>1</v>
      </c>
      <c r="AB16" s="12">
        <v>2</v>
      </c>
      <c r="AC16" s="12">
        <v>0</v>
      </c>
      <c r="AD16" s="12">
        <v>5</v>
      </c>
      <c r="AE16" s="12">
        <v>11</v>
      </c>
      <c r="AF16" s="12">
        <v>6</v>
      </c>
    </row>
    <row r="17" spans="1:32">
      <c r="A17" s="23"/>
      <c r="B17" s="13" t="s">
        <v>498</v>
      </c>
      <c r="C17" s="14">
        <v>0.01</v>
      </c>
      <c r="D17" s="15" t="s">
        <v>485</v>
      </c>
      <c r="E17" s="14">
        <v>0.01</v>
      </c>
      <c r="F17" s="14">
        <v>0.01</v>
      </c>
      <c r="G17" s="15" t="s">
        <v>485</v>
      </c>
      <c r="H17" s="14">
        <v>0.01</v>
      </c>
      <c r="I17" s="14">
        <v>0.01</v>
      </c>
      <c r="J17" s="14">
        <v>0.01</v>
      </c>
      <c r="K17" s="14">
        <v>0.02</v>
      </c>
      <c r="L17" s="14">
        <v>0.01</v>
      </c>
      <c r="M17" s="14">
        <v>0.01</v>
      </c>
      <c r="N17" s="15" t="s">
        <v>485</v>
      </c>
      <c r="O17" s="14">
        <v>0.02</v>
      </c>
      <c r="P17" s="14">
        <v>0.02</v>
      </c>
      <c r="Q17" s="15" t="s">
        <v>485</v>
      </c>
      <c r="R17" s="14">
        <v>0.01</v>
      </c>
      <c r="S17" s="15" t="s">
        <v>485</v>
      </c>
      <c r="T17" s="14">
        <v>0.02</v>
      </c>
      <c r="U17" s="14">
        <v>0.01</v>
      </c>
      <c r="V17" s="15" t="s">
        <v>485</v>
      </c>
      <c r="W17" s="14">
        <v>0.01</v>
      </c>
      <c r="X17" s="14">
        <v>0.01</v>
      </c>
      <c r="Y17" s="14">
        <v>0.03</v>
      </c>
      <c r="Z17" s="15" t="s">
        <v>485</v>
      </c>
      <c r="AA17" s="14">
        <v>0.01</v>
      </c>
      <c r="AB17" s="14">
        <v>0.01</v>
      </c>
      <c r="AC17" s="15" t="s">
        <v>485</v>
      </c>
      <c r="AD17" s="14">
        <v>0.02</v>
      </c>
      <c r="AE17" s="14">
        <v>0.02</v>
      </c>
      <c r="AF17" s="14">
        <v>0.01</v>
      </c>
    </row>
  </sheetData>
  <mergeCells count="9">
    <mergeCell ref="B10:B11"/>
    <mergeCell ref="A10:A17"/>
    <mergeCell ref="H4:L4"/>
    <mergeCell ref="B4:F4"/>
    <mergeCell ref="H3:L3"/>
    <mergeCell ref="C8:AF8"/>
    <mergeCell ref="B3:F3"/>
    <mergeCell ref="B5:F5"/>
    <mergeCell ref="H5:L5"/>
  </mergeCells>
  <pageMargins left="0.75" right="0.75" top="1" bottom="1" header="0.5" footer="0.5"/>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000-000000000000}">
  <dimension ref="A1:AF17"/>
  <sheetViews>
    <sheetView tabSelected="1" workbookViewId="0">
      <pane xSplit="3" ySplit="9" topLeftCell="D10" activePane="bottomRight" state="frozen"/>
      <selection pane="bottomRight" activeCell="H4" sqref="H4:L4"/>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72" customHeight="1">
      <c r="B3" s="19" t="s">
        <v>1426</v>
      </c>
      <c r="C3" s="19"/>
      <c r="D3" s="19"/>
      <c r="E3" s="19"/>
      <c r="F3" s="19"/>
      <c r="H3" s="19" t="s">
        <v>1427</v>
      </c>
      <c r="I3" s="19"/>
      <c r="J3" s="19"/>
      <c r="K3" s="19"/>
      <c r="L3" s="19"/>
    </row>
    <row r="4" spans="1:32" ht="27" customHeight="1">
      <c r="B4" s="19" t="s">
        <v>1408</v>
      </c>
      <c r="C4" s="19"/>
      <c r="D4" s="19"/>
      <c r="E4" s="19"/>
      <c r="F4" s="19"/>
      <c r="H4" s="19" t="s">
        <v>1409</v>
      </c>
      <c r="I4" s="19"/>
      <c r="J4" s="19"/>
      <c r="K4" s="19"/>
      <c r="L4" s="19"/>
    </row>
    <row r="5" spans="1:32" ht="36" customHeight="1">
      <c r="B5" s="19" t="s">
        <v>1376</v>
      </c>
      <c r="C5" s="19"/>
      <c r="D5" s="19"/>
      <c r="E5" s="19"/>
      <c r="F5" s="19"/>
      <c r="H5" s="19" t="s">
        <v>1377</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HYPERLINK("#Content!A149","&lt;&lt;Back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7847</v>
      </c>
      <c r="D10" s="10">
        <v>515</v>
      </c>
      <c r="E10" s="10">
        <v>284</v>
      </c>
      <c r="F10" s="10">
        <v>261</v>
      </c>
      <c r="G10" s="10">
        <v>692</v>
      </c>
      <c r="H10" s="10">
        <v>380</v>
      </c>
      <c r="I10" s="10">
        <v>479</v>
      </c>
      <c r="J10" s="10">
        <v>100</v>
      </c>
      <c r="K10" s="10">
        <v>492</v>
      </c>
      <c r="L10" s="10">
        <v>396</v>
      </c>
      <c r="M10" s="10">
        <v>147</v>
      </c>
      <c r="N10" s="10">
        <v>260</v>
      </c>
      <c r="O10" s="10">
        <v>230</v>
      </c>
      <c r="P10" s="10">
        <v>238</v>
      </c>
      <c r="Q10" s="10">
        <v>224</v>
      </c>
      <c r="R10" s="10">
        <v>101</v>
      </c>
      <c r="S10" s="10">
        <v>407</v>
      </c>
      <c r="T10" s="10">
        <v>330</v>
      </c>
      <c r="U10" s="10">
        <v>287</v>
      </c>
      <c r="V10" s="10">
        <v>236</v>
      </c>
      <c r="W10" s="10">
        <v>251</v>
      </c>
      <c r="X10" s="10">
        <v>761</v>
      </c>
      <c r="Y10" s="10">
        <v>452</v>
      </c>
      <c r="Z10" s="10">
        <v>218</v>
      </c>
      <c r="AA10" s="10">
        <v>123</v>
      </c>
      <c r="AB10" s="10">
        <v>133</v>
      </c>
      <c r="AC10" s="10">
        <v>405</v>
      </c>
      <c r="AD10" s="10">
        <v>252</v>
      </c>
      <c r="AE10" s="10">
        <v>597</v>
      </c>
      <c r="AF10" s="10">
        <v>702</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1109</v>
      </c>
      <c r="C12" s="12">
        <v>1343</v>
      </c>
      <c r="D12" s="12">
        <v>62</v>
      </c>
      <c r="E12" s="12">
        <v>90</v>
      </c>
      <c r="F12" s="12">
        <v>36</v>
      </c>
      <c r="G12" s="12">
        <v>18</v>
      </c>
      <c r="H12" s="12">
        <v>50</v>
      </c>
      <c r="I12" s="12">
        <v>63</v>
      </c>
      <c r="J12" s="12">
        <v>13</v>
      </c>
      <c r="K12" s="12">
        <v>103</v>
      </c>
      <c r="L12" s="12">
        <v>59</v>
      </c>
      <c r="M12" s="12">
        <v>19</v>
      </c>
      <c r="N12" s="12">
        <v>30</v>
      </c>
      <c r="O12" s="12">
        <v>36</v>
      </c>
      <c r="P12" s="12">
        <v>79</v>
      </c>
      <c r="Q12" s="12">
        <v>71</v>
      </c>
      <c r="R12" s="12">
        <v>12</v>
      </c>
      <c r="S12" s="12">
        <v>59</v>
      </c>
      <c r="T12" s="12">
        <v>67</v>
      </c>
      <c r="U12" s="12">
        <v>36</v>
      </c>
      <c r="V12" s="12">
        <v>73</v>
      </c>
      <c r="W12" s="12">
        <v>31</v>
      </c>
      <c r="X12" s="12">
        <v>55</v>
      </c>
      <c r="Y12" s="12">
        <v>113</v>
      </c>
      <c r="Z12" s="12">
        <v>100</v>
      </c>
      <c r="AA12" s="12">
        <v>14</v>
      </c>
      <c r="AB12" s="12">
        <v>64</v>
      </c>
      <c r="AC12" s="12">
        <v>47</v>
      </c>
      <c r="AD12" s="12">
        <v>38</v>
      </c>
      <c r="AE12" s="12">
        <v>12</v>
      </c>
      <c r="AF12" s="12">
        <v>18</v>
      </c>
    </row>
    <row r="13" spans="1:32">
      <c r="A13" s="23"/>
      <c r="B13" s="13" t="s">
        <v>1110</v>
      </c>
      <c r="C13" s="14">
        <v>0.17</v>
      </c>
      <c r="D13" s="14">
        <v>0.12</v>
      </c>
      <c r="E13" s="14">
        <v>0.31</v>
      </c>
      <c r="F13" s="14">
        <v>0.14000000000000001</v>
      </c>
      <c r="G13" s="14">
        <v>0.03</v>
      </c>
      <c r="H13" s="14">
        <v>0.13</v>
      </c>
      <c r="I13" s="14">
        <v>0.13</v>
      </c>
      <c r="J13" s="14">
        <v>0.13</v>
      </c>
      <c r="K13" s="14">
        <v>0.21</v>
      </c>
      <c r="L13" s="14">
        <v>0.15</v>
      </c>
      <c r="M13" s="14">
        <v>0.13</v>
      </c>
      <c r="N13" s="14">
        <v>0.12</v>
      </c>
      <c r="O13" s="14">
        <v>0.16</v>
      </c>
      <c r="P13" s="14">
        <v>0.33</v>
      </c>
      <c r="Q13" s="14">
        <v>0.32</v>
      </c>
      <c r="R13" s="14">
        <v>0.12</v>
      </c>
      <c r="S13" s="14">
        <v>0.14000000000000001</v>
      </c>
      <c r="T13" s="14">
        <v>0.2</v>
      </c>
      <c r="U13" s="14">
        <v>0.13</v>
      </c>
      <c r="V13" s="14">
        <v>0.31</v>
      </c>
      <c r="W13" s="14">
        <v>0.12</v>
      </c>
      <c r="X13" s="14">
        <v>7.0000000000000007E-2</v>
      </c>
      <c r="Y13" s="14">
        <v>0.25</v>
      </c>
      <c r="Z13" s="14">
        <v>0.46</v>
      </c>
      <c r="AA13" s="14">
        <v>0.12</v>
      </c>
      <c r="AB13" s="14">
        <v>0.48</v>
      </c>
      <c r="AC13" s="14">
        <v>0.12</v>
      </c>
      <c r="AD13" s="14">
        <v>0.15</v>
      </c>
      <c r="AE13" s="14">
        <v>0.02</v>
      </c>
      <c r="AF13" s="14">
        <v>0.03</v>
      </c>
    </row>
    <row r="14" spans="1:32">
      <c r="A14" s="23"/>
      <c r="B14" s="11" t="s">
        <v>1111</v>
      </c>
      <c r="C14" s="12">
        <v>6473</v>
      </c>
      <c r="D14" s="12">
        <v>452</v>
      </c>
      <c r="E14" s="12">
        <v>193</v>
      </c>
      <c r="F14" s="12">
        <v>223</v>
      </c>
      <c r="G14" s="12">
        <v>667</v>
      </c>
      <c r="H14" s="12">
        <v>327</v>
      </c>
      <c r="I14" s="12">
        <v>413</v>
      </c>
      <c r="J14" s="12">
        <v>87</v>
      </c>
      <c r="K14" s="12">
        <v>381</v>
      </c>
      <c r="L14" s="12">
        <v>334</v>
      </c>
      <c r="M14" s="12">
        <v>128</v>
      </c>
      <c r="N14" s="12">
        <v>230</v>
      </c>
      <c r="O14" s="12">
        <v>192</v>
      </c>
      <c r="P14" s="12">
        <v>153</v>
      </c>
      <c r="Q14" s="12">
        <v>153</v>
      </c>
      <c r="R14" s="12">
        <v>89</v>
      </c>
      <c r="S14" s="12">
        <v>348</v>
      </c>
      <c r="T14" s="12">
        <v>260</v>
      </c>
      <c r="U14" s="12">
        <v>251</v>
      </c>
      <c r="V14" s="12">
        <v>164</v>
      </c>
      <c r="W14" s="12">
        <v>219</v>
      </c>
      <c r="X14" s="12">
        <v>706</v>
      </c>
      <c r="Y14" s="12">
        <v>334</v>
      </c>
      <c r="Z14" s="12">
        <v>118</v>
      </c>
      <c r="AA14" s="12">
        <v>107</v>
      </c>
      <c r="AB14" s="12">
        <v>69</v>
      </c>
      <c r="AC14" s="12">
        <v>357</v>
      </c>
      <c r="AD14" s="12">
        <v>211</v>
      </c>
      <c r="AE14" s="12">
        <v>581</v>
      </c>
      <c r="AF14" s="12">
        <v>684</v>
      </c>
    </row>
    <row r="15" spans="1:32">
      <c r="A15" s="23"/>
      <c r="B15" s="13" t="s">
        <v>1112</v>
      </c>
      <c r="C15" s="14">
        <v>0.83000000000000007</v>
      </c>
      <c r="D15" s="14">
        <v>0.88</v>
      </c>
      <c r="E15" s="14">
        <v>0.68</v>
      </c>
      <c r="F15" s="14">
        <v>0.85</v>
      </c>
      <c r="G15" s="14">
        <v>0.96</v>
      </c>
      <c r="H15" s="14">
        <v>0.86</v>
      </c>
      <c r="I15" s="14">
        <v>0.86</v>
      </c>
      <c r="J15" s="14">
        <v>0.87</v>
      </c>
      <c r="K15" s="14">
        <v>0.78</v>
      </c>
      <c r="L15" s="14">
        <v>0.84</v>
      </c>
      <c r="M15" s="14">
        <v>0.87</v>
      </c>
      <c r="N15" s="14">
        <v>0.88</v>
      </c>
      <c r="O15" s="14">
        <v>0.84</v>
      </c>
      <c r="P15" s="14">
        <v>0.65</v>
      </c>
      <c r="Q15" s="14">
        <v>0.68</v>
      </c>
      <c r="R15" s="14">
        <v>0.88</v>
      </c>
      <c r="S15" s="14">
        <v>0.86</v>
      </c>
      <c r="T15" s="14">
        <v>0.79</v>
      </c>
      <c r="U15" s="14">
        <v>0.87</v>
      </c>
      <c r="V15" s="14">
        <v>0.69000000000000006</v>
      </c>
      <c r="W15" s="14">
        <v>0.87</v>
      </c>
      <c r="X15" s="14">
        <v>0.93</v>
      </c>
      <c r="Y15" s="14">
        <v>0.74</v>
      </c>
      <c r="Z15" s="14">
        <v>0.54</v>
      </c>
      <c r="AA15" s="14">
        <v>0.87</v>
      </c>
      <c r="AB15" s="14">
        <v>0.52</v>
      </c>
      <c r="AC15" s="14">
        <v>0.88</v>
      </c>
      <c r="AD15" s="14">
        <v>0.84</v>
      </c>
      <c r="AE15" s="14">
        <v>0.97</v>
      </c>
      <c r="AF15" s="14">
        <v>0.97</v>
      </c>
    </row>
    <row r="16" spans="1:32">
      <c r="A16" s="23"/>
      <c r="B16" s="11" t="s">
        <v>497</v>
      </c>
      <c r="C16" s="12">
        <v>31</v>
      </c>
      <c r="D16" s="12">
        <v>2</v>
      </c>
      <c r="E16" s="12">
        <v>2</v>
      </c>
      <c r="F16" s="12">
        <v>3</v>
      </c>
      <c r="G16" s="12">
        <v>7</v>
      </c>
      <c r="H16" s="12">
        <v>3</v>
      </c>
      <c r="I16" s="12">
        <v>3</v>
      </c>
      <c r="J16" s="12">
        <v>0</v>
      </c>
      <c r="K16" s="12">
        <v>7</v>
      </c>
      <c r="L16" s="12">
        <v>3</v>
      </c>
      <c r="M16" s="12">
        <v>0</v>
      </c>
      <c r="N16" s="12">
        <v>0</v>
      </c>
      <c r="O16" s="12">
        <v>1</v>
      </c>
      <c r="P16" s="12">
        <v>5</v>
      </c>
      <c r="Q16" s="12">
        <v>0</v>
      </c>
      <c r="R16" s="12">
        <v>0</v>
      </c>
      <c r="S16" s="12">
        <v>0</v>
      </c>
      <c r="T16" s="12">
        <v>3</v>
      </c>
      <c r="U16" s="12">
        <v>0</v>
      </c>
      <c r="V16" s="12">
        <v>0</v>
      </c>
      <c r="W16" s="12">
        <v>2</v>
      </c>
      <c r="X16" s="12">
        <v>0</v>
      </c>
      <c r="Y16" s="12">
        <v>4</v>
      </c>
      <c r="Z16" s="12">
        <v>0</v>
      </c>
      <c r="AA16" s="12">
        <v>1</v>
      </c>
      <c r="AB16" s="12">
        <v>1</v>
      </c>
      <c r="AC16" s="12">
        <v>1</v>
      </c>
      <c r="AD16" s="12">
        <v>3</v>
      </c>
      <c r="AE16" s="12">
        <v>4</v>
      </c>
      <c r="AF16" s="12">
        <v>0</v>
      </c>
    </row>
    <row r="17" spans="1:32">
      <c r="A17" s="23"/>
      <c r="B17" s="13" t="s">
        <v>498</v>
      </c>
      <c r="C17" s="15" t="s">
        <v>485</v>
      </c>
      <c r="D17" s="15" t="s">
        <v>485</v>
      </c>
      <c r="E17" s="14">
        <v>0.01</v>
      </c>
      <c r="F17" s="14">
        <v>0.01</v>
      </c>
      <c r="G17" s="14">
        <v>0.01</v>
      </c>
      <c r="H17" s="14">
        <v>0.01</v>
      </c>
      <c r="I17" s="14">
        <v>0.01</v>
      </c>
      <c r="J17" s="15" t="s">
        <v>485</v>
      </c>
      <c r="K17" s="14">
        <v>0.01</v>
      </c>
      <c r="L17" s="14">
        <v>0.01</v>
      </c>
      <c r="M17" s="15" t="s">
        <v>485</v>
      </c>
      <c r="N17" s="15" t="s">
        <v>485</v>
      </c>
      <c r="O17" s="15" t="s">
        <v>485</v>
      </c>
      <c r="P17" s="14">
        <v>0.02</v>
      </c>
      <c r="Q17" s="15" t="s">
        <v>485</v>
      </c>
      <c r="R17" s="15" t="s">
        <v>485</v>
      </c>
      <c r="S17" s="15" t="s">
        <v>485</v>
      </c>
      <c r="T17" s="14">
        <v>0.01</v>
      </c>
      <c r="U17" s="15" t="s">
        <v>485</v>
      </c>
      <c r="V17" s="15" t="s">
        <v>485</v>
      </c>
      <c r="W17" s="14">
        <v>0.01</v>
      </c>
      <c r="X17" s="15" t="s">
        <v>485</v>
      </c>
      <c r="Y17" s="14">
        <v>0.01</v>
      </c>
      <c r="Z17" s="15" t="s">
        <v>485</v>
      </c>
      <c r="AA17" s="14">
        <v>0.01</v>
      </c>
      <c r="AB17" s="15" t="s">
        <v>485</v>
      </c>
      <c r="AC17" s="15" t="s">
        <v>485</v>
      </c>
      <c r="AD17" s="14">
        <v>0.01</v>
      </c>
      <c r="AE17" s="14">
        <v>0.01</v>
      </c>
      <c r="AF17" s="15" t="s">
        <v>485</v>
      </c>
    </row>
  </sheetData>
  <mergeCells count="9">
    <mergeCell ref="B10:B11"/>
    <mergeCell ref="A10:A17"/>
    <mergeCell ref="H4:L4"/>
    <mergeCell ref="B4:F4"/>
    <mergeCell ref="H3:L3"/>
    <mergeCell ref="C8:AF8"/>
    <mergeCell ref="B3:F3"/>
    <mergeCell ref="B5:F5"/>
    <mergeCell ref="H5:L5"/>
  </mergeCells>
  <pageMargins left="0.75" right="0.75" top="1" bottom="1" header="0.5" footer="0.5"/>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100-000000000000}">
  <dimension ref="A1:AF17"/>
  <sheetViews>
    <sheetView workbookViewId="0">
      <pane xSplit="3" ySplit="9" topLeftCell="Q10" activePane="bottomRight" state="frozen"/>
      <selection pane="bottomRight" activeCell="H4" sqref="H4:L4"/>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72" customHeight="1">
      <c r="B3" s="19" t="s">
        <v>1428</v>
      </c>
      <c r="C3" s="19"/>
      <c r="D3" s="19"/>
      <c r="E3" s="19"/>
      <c r="F3" s="19"/>
      <c r="H3" s="19" t="s">
        <v>1429</v>
      </c>
      <c r="I3" s="19"/>
      <c r="J3" s="19"/>
      <c r="K3" s="19"/>
      <c r="L3" s="19"/>
    </row>
    <row r="4" spans="1:32" ht="27" customHeight="1">
      <c r="B4" s="19" t="s">
        <v>1412</v>
      </c>
      <c r="C4" s="19"/>
      <c r="D4" s="19"/>
      <c r="E4" s="19"/>
      <c r="F4" s="19"/>
      <c r="H4" s="19" t="s">
        <v>1413</v>
      </c>
      <c r="I4" s="19"/>
      <c r="J4" s="19"/>
      <c r="K4" s="19"/>
      <c r="L4" s="19"/>
    </row>
    <row r="5" spans="1:32" ht="36" customHeight="1">
      <c r="B5" s="19" t="s">
        <v>1376</v>
      </c>
      <c r="C5" s="19"/>
      <c r="D5" s="19"/>
      <c r="E5" s="19"/>
      <c r="F5" s="19"/>
      <c r="H5" s="19" t="s">
        <v>1377</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HYPERLINK("#Content!A150","&lt;&lt;Back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7847</v>
      </c>
      <c r="D10" s="10">
        <v>515</v>
      </c>
      <c r="E10" s="10">
        <v>284</v>
      </c>
      <c r="F10" s="10">
        <v>261</v>
      </c>
      <c r="G10" s="10">
        <v>692</v>
      </c>
      <c r="H10" s="10">
        <v>380</v>
      </c>
      <c r="I10" s="10">
        <v>479</v>
      </c>
      <c r="J10" s="10">
        <v>100</v>
      </c>
      <c r="K10" s="10">
        <v>492</v>
      </c>
      <c r="L10" s="10">
        <v>396</v>
      </c>
      <c r="M10" s="10">
        <v>147</v>
      </c>
      <c r="N10" s="10">
        <v>260</v>
      </c>
      <c r="O10" s="10">
        <v>230</v>
      </c>
      <c r="P10" s="10">
        <v>238</v>
      </c>
      <c r="Q10" s="10">
        <v>224</v>
      </c>
      <c r="R10" s="10">
        <v>101</v>
      </c>
      <c r="S10" s="10">
        <v>407</v>
      </c>
      <c r="T10" s="10">
        <v>330</v>
      </c>
      <c r="U10" s="10">
        <v>287</v>
      </c>
      <c r="V10" s="10">
        <v>236</v>
      </c>
      <c r="W10" s="10">
        <v>251</v>
      </c>
      <c r="X10" s="10">
        <v>761</v>
      </c>
      <c r="Y10" s="10">
        <v>452</v>
      </c>
      <c r="Z10" s="10">
        <v>218</v>
      </c>
      <c r="AA10" s="10">
        <v>123</v>
      </c>
      <c r="AB10" s="10">
        <v>133</v>
      </c>
      <c r="AC10" s="10">
        <v>405</v>
      </c>
      <c r="AD10" s="10">
        <v>252</v>
      </c>
      <c r="AE10" s="10">
        <v>597</v>
      </c>
      <c r="AF10" s="10">
        <v>702</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1109</v>
      </c>
      <c r="C12" s="12">
        <v>1227</v>
      </c>
      <c r="D12" s="12">
        <v>63</v>
      </c>
      <c r="E12" s="12">
        <v>69</v>
      </c>
      <c r="F12" s="12">
        <v>36</v>
      </c>
      <c r="G12" s="12">
        <v>20</v>
      </c>
      <c r="H12" s="12">
        <v>40</v>
      </c>
      <c r="I12" s="12">
        <v>47</v>
      </c>
      <c r="J12" s="12">
        <v>7</v>
      </c>
      <c r="K12" s="12">
        <v>74</v>
      </c>
      <c r="L12" s="12">
        <v>43</v>
      </c>
      <c r="M12" s="12">
        <v>13</v>
      </c>
      <c r="N12" s="12">
        <v>29</v>
      </c>
      <c r="O12" s="12">
        <v>31</v>
      </c>
      <c r="P12" s="12">
        <v>78</v>
      </c>
      <c r="Q12" s="12">
        <v>70</v>
      </c>
      <c r="R12" s="12">
        <v>17</v>
      </c>
      <c r="S12" s="12">
        <v>55</v>
      </c>
      <c r="T12" s="12">
        <v>69</v>
      </c>
      <c r="U12" s="12">
        <v>29</v>
      </c>
      <c r="V12" s="12">
        <v>76</v>
      </c>
      <c r="W12" s="12">
        <v>32</v>
      </c>
      <c r="X12" s="12">
        <v>58</v>
      </c>
      <c r="Y12" s="12">
        <v>113</v>
      </c>
      <c r="Z12" s="12">
        <v>91</v>
      </c>
      <c r="AA12" s="12">
        <v>19</v>
      </c>
      <c r="AB12" s="12">
        <v>62</v>
      </c>
      <c r="AC12" s="12">
        <v>33</v>
      </c>
      <c r="AD12" s="12">
        <v>35</v>
      </c>
      <c r="AE12" s="12">
        <v>14</v>
      </c>
      <c r="AF12" s="12">
        <v>15</v>
      </c>
    </row>
    <row r="13" spans="1:32">
      <c r="A13" s="23"/>
      <c r="B13" s="13" t="s">
        <v>1110</v>
      </c>
      <c r="C13" s="14">
        <v>0.16</v>
      </c>
      <c r="D13" s="14">
        <v>0.12</v>
      </c>
      <c r="E13" s="14">
        <v>0.24</v>
      </c>
      <c r="F13" s="14">
        <v>0.14000000000000001</v>
      </c>
      <c r="G13" s="14">
        <v>0.03</v>
      </c>
      <c r="H13" s="14">
        <v>0.1</v>
      </c>
      <c r="I13" s="14">
        <v>0.1</v>
      </c>
      <c r="J13" s="14">
        <v>7.0000000000000007E-2</v>
      </c>
      <c r="K13" s="14">
        <v>0.15</v>
      </c>
      <c r="L13" s="14">
        <v>0.11</v>
      </c>
      <c r="M13" s="14">
        <v>0.09</v>
      </c>
      <c r="N13" s="14">
        <v>0.11</v>
      </c>
      <c r="O13" s="14">
        <v>0.14000000000000001</v>
      </c>
      <c r="P13" s="14">
        <v>0.33</v>
      </c>
      <c r="Q13" s="14">
        <v>0.31</v>
      </c>
      <c r="R13" s="14">
        <v>0.17</v>
      </c>
      <c r="S13" s="14">
        <v>0.14000000000000001</v>
      </c>
      <c r="T13" s="14">
        <v>0.21</v>
      </c>
      <c r="U13" s="14">
        <v>0.1</v>
      </c>
      <c r="V13" s="14">
        <v>0.32</v>
      </c>
      <c r="W13" s="14">
        <v>0.13</v>
      </c>
      <c r="X13" s="14">
        <v>7.0000000000000007E-2</v>
      </c>
      <c r="Y13" s="14">
        <v>0.25</v>
      </c>
      <c r="Z13" s="14">
        <v>0.42</v>
      </c>
      <c r="AA13" s="14">
        <v>0.16</v>
      </c>
      <c r="AB13" s="14">
        <v>0.47</v>
      </c>
      <c r="AC13" s="14">
        <v>0.08</v>
      </c>
      <c r="AD13" s="14">
        <v>0.14000000000000001</v>
      </c>
      <c r="AE13" s="14">
        <v>0.02</v>
      </c>
      <c r="AF13" s="14">
        <v>0.02</v>
      </c>
    </row>
    <row r="14" spans="1:32">
      <c r="A14" s="23"/>
      <c r="B14" s="11" t="s">
        <v>1111</v>
      </c>
      <c r="C14" s="12">
        <v>6572</v>
      </c>
      <c r="D14" s="12">
        <v>451</v>
      </c>
      <c r="E14" s="12">
        <v>212</v>
      </c>
      <c r="F14" s="12">
        <v>221</v>
      </c>
      <c r="G14" s="12">
        <v>669</v>
      </c>
      <c r="H14" s="12">
        <v>334</v>
      </c>
      <c r="I14" s="12">
        <v>426</v>
      </c>
      <c r="J14" s="12">
        <v>92</v>
      </c>
      <c r="K14" s="12">
        <v>407</v>
      </c>
      <c r="L14" s="12">
        <v>351</v>
      </c>
      <c r="M14" s="12">
        <v>133</v>
      </c>
      <c r="N14" s="12">
        <v>231</v>
      </c>
      <c r="O14" s="12">
        <v>198</v>
      </c>
      <c r="P14" s="12">
        <v>156</v>
      </c>
      <c r="Q14" s="12">
        <v>154</v>
      </c>
      <c r="R14" s="12">
        <v>84</v>
      </c>
      <c r="S14" s="12">
        <v>348</v>
      </c>
      <c r="T14" s="12">
        <v>258</v>
      </c>
      <c r="U14" s="12">
        <v>258</v>
      </c>
      <c r="V14" s="12">
        <v>158</v>
      </c>
      <c r="W14" s="12">
        <v>218</v>
      </c>
      <c r="X14" s="12">
        <v>698</v>
      </c>
      <c r="Y14" s="12">
        <v>338</v>
      </c>
      <c r="Z14" s="12">
        <v>126</v>
      </c>
      <c r="AA14" s="12">
        <v>104</v>
      </c>
      <c r="AB14" s="12">
        <v>71</v>
      </c>
      <c r="AC14" s="12">
        <v>369</v>
      </c>
      <c r="AD14" s="12">
        <v>215</v>
      </c>
      <c r="AE14" s="12">
        <v>578</v>
      </c>
      <c r="AF14" s="12">
        <v>686</v>
      </c>
    </row>
    <row r="15" spans="1:32">
      <c r="A15" s="23"/>
      <c r="B15" s="13" t="s">
        <v>1112</v>
      </c>
      <c r="C15" s="14">
        <v>0.84</v>
      </c>
      <c r="D15" s="14">
        <v>0.88</v>
      </c>
      <c r="E15" s="14">
        <v>0.75</v>
      </c>
      <c r="F15" s="14">
        <v>0.85</v>
      </c>
      <c r="G15" s="14">
        <v>0.97</v>
      </c>
      <c r="H15" s="14">
        <v>0.88</v>
      </c>
      <c r="I15" s="14">
        <v>0.89</v>
      </c>
      <c r="J15" s="14">
        <v>0.92</v>
      </c>
      <c r="K15" s="14">
        <v>0.83000000000000007</v>
      </c>
      <c r="L15" s="14">
        <v>0.89</v>
      </c>
      <c r="M15" s="14">
        <v>0.9</v>
      </c>
      <c r="N15" s="14">
        <v>0.89</v>
      </c>
      <c r="O15" s="14">
        <v>0.86</v>
      </c>
      <c r="P15" s="14">
        <v>0.66</v>
      </c>
      <c r="Q15" s="14">
        <v>0.69000000000000006</v>
      </c>
      <c r="R15" s="14">
        <v>0.83000000000000007</v>
      </c>
      <c r="S15" s="14">
        <v>0.85</v>
      </c>
      <c r="T15" s="14">
        <v>0.78</v>
      </c>
      <c r="U15" s="14">
        <v>0.9</v>
      </c>
      <c r="V15" s="14">
        <v>0.67</v>
      </c>
      <c r="W15" s="14">
        <v>0.87</v>
      </c>
      <c r="X15" s="14">
        <v>0.92</v>
      </c>
      <c r="Y15" s="14">
        <v>0.75</v>
      </c>
      <c r="Z15" s="14">
        <v>0.57999999999999996</v>
      </c>
      <c r="AA15" s="14">
        <v>0.84</v>
      </c>
      <c r="AB15" s="14">
        <v>0.53</v>
      </c>
      <c r="AC15" s="14">
        <v>0.91</v>
      </c>
      <c r="AD15" s="14">
        <v>0.85</v>
      </c>
      <c r="AE15" s="14">
        <v>0.97</v>
      </c>
      <c r="AF15" s="14">
        <v>0.98</v>
      </c>
    </row>
    <row r="16" spans="1:32">
      <c r="A16" s="23"/>
      <c r="B16" s="11" t="s">
        <v>497</v>
      </c>
      <c r="C16" s="12">
        <v>48</v>
      </c>
      <c r="D16" s="12">
        <v>1</v>
      </c>
      <c r="E16" s="12">
        <v>3</v>
      </c>
      <c r="F16" s="12">
        <v>4</v>
      </c>
      <c r="G16" s="12">
        <v>3</v>
      </c>
      <c r="H16" s="12">
        <v>6</v>
      </c>
      <c r="I16" s="12">
        <v>6</v>
      </c>
      <c r="J16" s="12">
        <v>1</v>
      </c>
      <c r="K16" s="12">
        <v>11</v>
      </c>
      <c r="L16" s="12">
        <v>2</v>
      </c>
      <c r="M16" s="12">
        <v>1</v>
      </c>
      <c r="N16" s="12">
        <v>1</v>
      </c>
      <c r="O16" s="12">
        <v>1</v>
      </c>
      <c r="P16" s="12">
        <v>4</v>
      </c>
      <c r="Q16" s="12">
        <v>0</v>
      </c>
      <c r="R16" s="12">
        <v>0</v>
      </c>
      <c r="S16" s="12">
        <v>4</v>
      </c>
      <c r="T16" s="12">
        <v>4</v>
      </c>
      <c r="U16" s="12">
        <v>0</v>
      </c>
      <c r="V16" s="12">
        <v>2</v>
      </c>
      <c r="W16" s="12">
        <v>1</v>
      </c>
      <c r="X16" s="12">
        <v>5</v>
      </c>
      <c r="Y16" s="12">
        <v>1</v>
      </c>
      <c r="Z16" s="12">
        <v>1</v>
      </c>
      <c r="AA16" s="12">
        <v>0</v>
      </c>
      <c r="AB16" s="12">
        <v>0</v>
      </c>
      <c r="AC16" s="12">
        <v>2</v>
      </c>
      <c r="AD16" s="12">
        <v>2</v>
      </c>
      <c r="AE16" s="12">
        <v>5</v>
      </c>
      <c r="AF16" s="12">
        <v>2</v>
      </c>
    </row>
    <row r="17" spans="1:32">
      <c r="A17" s="23"/>
      <c r="B17" s="13" t="s">
        <v>498</v>
      </c>
      <c r="C17" s="15" t="s">
        <v>485</v>
      </c>
      <c r="D17" s="15" t="s">
        <v>485</v>
      </c>
      <c r="E17" s="14">
        <v>0.01</v>
      </c>
      <c r="F17" s="14">
        <v>0.01</v>
      </c>
      <c r="G17" s="15" t="s">
        <v>485</v>
      </c>
      <c r="H17" s="14">
        <v>0.02</v>
      </c>
      <c r="I17" s="14">
        <v>0.01</v>
      </c>
      <c r="J17" s="14">
        <v>0.01</v>
      </c>
      <c r="K17" s="14">
        <v>0.02</v>
      </c>
      <c r="L17" s="15" t="s">
        <v>485</v>
      </c>
      <c r="M17" s="14">
        <v>0.01</v>
      </c>
      <c r="N17" s="15" t="s">
        <v>485</v>
      </c>
      <c r="O17" s="15" t="s">
        <v>485</v>
      </c>
      <c r="P17" s="14">
        <v>0.01</v>
      </c>
      <c r="Q17" s="15" t="s">
        <v>485</v>
      </c>
      <c r="R17" s="15" t="s">
        <v>485</v>
      </c>
      <c r="S17" s="14">
        <v>0.01</v>
      </c>
      <c r="T17" s="14">
        <v>0.01</v>
      </c>
      <c r="U17" s="15" t="s">
        <v>485</v>
      </c>
      <c r="V17" s="14">
        <v>0.01</v>
      </c>
      <c r="W17" s="15" t="s">
        <v>485</v>
      </c>
      <c r="X17" s="14">
        <v>0.01</v>
      </c>
      <c r="Y17" s="15" t="s">
        <v>485</v>
      </c>
      <c r="Z17" s="15" t="s">
        <v>485</v>
      </c>
      <c r="AA17" s="15" t="s">
        <v>485</v>
      </c>
      <c r="AB17" s="15" t="s">
        <v>485</v>
      </c>
      <c r="AC17" s="14">
        <v>0.01</v>
      </c>
      <c r="AD17" s="14">
        <v>0.01</v>
      </c>
      <c r="AE17" s="14">
        <v>0.01</v>
      </c>
      <c r="AF17" s="15" t="s">
        <v>485</v>
      </c>
    </row>
  </sheetData>
  <mergeCells count="9">
    <mergeCell ref="B10:B11"/>
    <mergeCell ref="A10:A17"/>
    <mergeCell ref="H4:L4"/>
    <mergeCell ref="B4:F4"/>
    <mergeCell ref="H3:L3"/>
    <mergeCell ref="C8:AF8"/>
    <mergeCell ref="B3:F3"/>
    <mergeCell ref="B5:F5"/>
    <mergeCell ref="H5:L5"/>
  </mergeCells>
  <pageMargins left="0.75" right="0.75" top="1" bottom="1" header="0.5" footer="0.5"/>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200-000000000000}">
  <dimension ref="A1:AF17"/>
  <sheetViews>
    <sheetView workbookViewId="0">
      <pane xSplit="3" ySplit="9" topLeftCell="D10" activePane="bottomRight" state="frozen"/>
      <selection pane="bottomRight" activeCell="H4" sqref="H4:L4"/>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72" customHeight="1">
      <c r="B3" s="19" t="s">
        <v>1430</v>
      </c>
      <c r="C3" s="19"/>
      <c r="D3" s="19"/>
      <c r="E3" s="19"/>
      <c r="F3" s="19"/>
      <c r="H3" s="19" t="s">
        <v>1431</v>
      </c>
      <c r="I3" s="19"/>
      <c r="J3" s="19"/>
      <c r="K3" s="19"/>
      <c r="L3" s="19"/>
    </row>
    <row r="4" spans="1:32" ht="27" customHeight="1">
      <c r="B4" s="19" t="s">
        <v>1416</v>
      </c>
      <c r="C4" s="19"/>
      <c r="D4" s="19"/>
      <c r="E4" s="19"/>
      <c r="F4" s="19"/>
      <c r="H4" s="19" t="s">
        <v>1417</v>
      </c>
      <c r="I4" s="19"/>
      <c r="J4" s="19"/>
      <c r="K4" s="19"/>
      <c r="L4" s="19"/>
    </row>
    <row r="5" spans="1:32" ht="36" customHeight="1">
      <c r="B5" s="19" t="s">
        <v>1376</v>
      </c>
      <c r="C5" s="19"/>
      <c r="D5" s="19"/>
      <c r="E5" s="19"/>
      <c r="F5" s="19"/>
      <c r="H5" s="19" t="s">
        <v>1377</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HYPERLINK("#Content!A151","&lt;&lt;Back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7847</v>
      </c>
      <c r="D10" s="10">
        <v>515</v>
      </c>
      <c r="E10" s="10">
        <v>284</v>
      </c>
      <c r="F10" s="10">
        <v>261</v>
      </c>
      <c r="G10" s="10">
        <v>692</v>
      </c>
      <c r="H10" s="10">
        <v>380</v>
      </c>
      <c r="I10" s="10">
        <v>479</v>
      </c>
      <c r="J10" s="10">
        <v>100</v>
      </c>
      <c r="K10" s="10">
        <v>492</v>
      </c>
      <c r="L10" s="10">
        <v>396</v>
      </c>
      <c r="M10" s="10">
        <v>147</v>
      </c>
      <c r="N10" s="10">
        <v>260</v>
      </c>
      <c r="O10" s="10">
        <v>230</v>
      </c>
      <c r="P10" s="10">
        <v>238</v>
      </c>
      <c r="Q10" s="10">
        <v>224</v>
      </c>
      <c r="R10" s="10">
        <v>101</v>
      </c>
      <c r="S10" s="10">
        <v>407</v>
      </c>
      <c r="T10" s="10">
        <v>330</v>
      </c>
      <c r="U10" s="10">
        <v>287</v>
      </c>
      <c r="V10" s="10">
        <v>236</v>
      </c>
      <c r="W10" s="10">
        <v>251</v>
      </c>
      <c r="X10" s="10">
        <v>761</v>
      </c>
      <c r="Y10" s="10">
        <v>452</v>
      </c>
      <c r="Z10" s="10">
        <v>218</v>
      </c>
      <c r="AA10" s="10">
        <v>123</v>
      </c>
      <c r="AB10" s="10">
        <v>133</v>
      </c>
      <c r="AC10" s="10">
        <v>405</v>
      </c>
      <c r="AD10" s="10">
        <v>252</v>
      </c>
      <c r="AE10" s="10">
        <v>597</v>
      </c>
      <c r="AF10" s="10">
        <v>702</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1109</v>
      </c>
      <c r="C12" s="12">
        <v>3141</v>
      </c>
      <c r="D12" s="12">
        <v>217</v>
      </c>
      <c r="E12" s="12">
        <v>185</v>
      </c>
      <c r="F12" s="12">
        <v>122</v>
      </c>
      <c r="G12" s="12">
        <v>296</v>
      </c>
      <c r="H12" s="12">
        <v>110</v>
      </c>
      <c r="I12" s="12">
        <v>140</v>
      </c>
      <c r="J12" s="12">
        <v>30</v>
      </c>
      <c r="K12" s="12">
        <v>183</v>
      </c>
      <c r="L12" s="12">
        <v>191</v>
      </c>
      <c r="M12" s="12">
        <v>63</v>
      </c>
      <c r="N12" s="12">
        <v>39</v>
      </c>
      <c r="O12" s="12">
        <v>99</v>
      </c>
      <c r="P12" s="12">
        <v>109</v>
      </c>
      <c r="Q12" s="12">
        <v>127</v>
      </c>
      <c r="R12" s="12">
        <v>28</v>
      </c>
      <c r="S12" s="12">
        <v>156</v>
      </c>
      <c r="T12" s="12">
        <v>167</v>
      </c>
      <c r="U12" s="12">
        <v>115</v>
      </c>
      <c r="V12" s="12">
        <v>98</v>
      </c>
      <c r="W12" s="12">
        <v>73</v>
      </c>
      <c r="X12" s="12">
        <v>322</v>
      </c>
      <c r="Y12" s="12">
        <v>179</v>
      </c>
      <c r="Z12" s="12">
        <v>129</v>
      </c>
      <c r="AA12" s="12">
        <v>33</v>
      </c>
      <c r="AB12" s="12">
        <v>97</v>
      </c>
      <c r="AC12" s="12">
        <v>143</v>
      </c>
      <c r="AD12" s="12">
        <v>140</v>
      </c>
      <c r="AE12" s="12">
        <v>270</v>
      </c>
      <c r="AF12" s="12">
        <v>234</v>
      </c>
    </row>
    <row r="13" spans="1:32">
      <c r="A13" s="23"/>
      <c r="B13" s="13" t="s">
        <v>1110</v>
      </c>
      <c r="C13" s="14">
        <v>0.4</v>
      </c>
      <c r="D13" s="14">
        <v>0.42</v>
      </c>
      <c r="E13" s="14">
        <v>0.65</v>
      </c>
      <c r="F13" s="14">
        <v>0.47</v>
      </c>
      <c r="G13" s="14">
        <v>0.43</v>
      </c>
      <c r="H13" s="14">
        <v>0.28999999999999998</v>
      </c>
      <c r="I13" s="14">
        <v>0.28999999999999998</v>
      </c>
      <c r="J13" s="14">
        <v>0.3</v>
      </c>
      <c r="K13" s="14">
        <v>0.37</v>
      </c>
      <c r="L13" s="14">
        <v>0.48</v>
      </c>
      <c r="M13" s="14">
        <v>0.43</v>
      </c>
      <c r="N13" s="14">
        <v>0.15</v>
      </c>
      <c r="O13" s="14">
        <v>0.43</v>
      </c>
      <c r="P13" s="14">
        <v>0.46</v>
      </c>
      <c r="Q13" s="14">
        <v>0.57000000000000006</v>
      </c>
      <c r="R13" s="14">
        <v>0.28000000000000003</v>
      </c>
      <c r="S13" s="14">
        <v>0.38</v>
      </c>
      <c r="T13" s="14">
        <v>0.51</v>
      </c>
      <c r="U13" s="14">
        <v>0.4</v>
      </c>
      <c r="V13" s="14">
        <v>0.41</v>
      </c>
      <c r="W13" s="14">
        <v>0.28999999999999998</v>
      </c>
      <c r="X13" s="14">
        <v>0.42</v>
      </c>
      <c r="Y13" s="14">
        <v>0.4</v>
      </c>
      <c r="Z13" s="14">
        <v>0.59</v>
      </c>
      <c r="AA13" s="14">
        <v>0.27</v>
      </c>
      <c r="AB13" s="14">
        <v>0.73</v>
      </c>
      <c r="AC13" s="14">
        <v>0.35</v>
      </c>
      <c r="AD13" s="14">
        <v>0.56000000000000005</v>
      </c>
      <c r="AE13" s="14">
        <v>0.45</v>
      </c>
      <c r="AF13" s="14">
        <v>0.33</v>
      </c>
    </row>
    <row r="14" spans="1:32">
      <c r="A14" s="23"/>
      <c r="B14" s="11" t="s">
        <v>1111</v>
      </c>
      <c r="C14" s="12">
        <v>4646</v>
      </c>
      <c r="D14" s="12">
        <v>298</v>
      </c>
      <c r="E14" s="12">
        <v>94</v>
      </c>
      <c r="F14" s="12">
        <v>136</v>
      </c>
      <c r="G14" s="12">
        <v>394</v>
      </c>
      <c r="H14" s="12">
        <v>263</v>
      </c>
      <c r="I14" s="12">
        <v>332</v>
      </c>
      <c r="J14" s="12">
        <v>69</v>
      </c>
      <c r="K14" s="12">
        <v>301</v>
      </c>
      <c r="L14" s="12">
        <v>204</v>
      </c>
      <c r="M14" s="12">
        <v>84</v>
      </c>
      <c r="N14" s="12">
        <v>221</v>
      </c>
      <c r="O14" s="12">
        <v>128</v>
      </c>
      <c r="P14" s="12">
        <v>126</v>
      </c>
      <c r="Q14" s="12">
        <v>95</v>
      </c>
      <c r="R14" s="12">
        <v>72</v>
      </c>
      <c r="S14" s="12">
        <v>247</v>
      </c>
      <c r="T14" s="12">
        <v>158</v>
      </c>
      <c r="U14" s="12">
        <v>172</v>
      </c>
      <c r="V14" s="12">
        <v>138</v>
      </c>
      <c r="W14" s="12">
        <v>177</v>
      </c>
      <c r="X14" s="12">
        <v>437</v>
      </c>
      <c r="Y14" s="12">
        <v>264</v>
      </c>
      <c r="Z14" s="12">
        <v>89</v>
      </c>
      <c r="AA14" s="12">
        <v>89</v>
      </c>
      <c r="AB14" s="12">
        <v>35</v>
      </c>
      <c r="AC14" s="12">
        <v>261</v>
      </c>
      <c r="AD14" s="12">
        <v>111</v>
      </c>
      <c r="AE14" s="12">
        <v>322</v>
      </c>
      <c r="AF14" s="12">
        <v>468</v>
      </c>
    </row>
    <row r="15" spans="1:32">
      <c r="A15" s="23"/>
      <c r="B15" s="13" t="s">
        <v>1112</v>
      </c>
      <c r="C15" s="14">
        <v>0.59</v>
      </c>
      <c r="D15" s="14">
        <v>0.57999999999999996</v>
      </c>
      <c r="E15" s="14">
        <v>0.33</v>
      </c>
      <c r="F15" s="14">
        <v>0.52</v>
      </c>
      <c r="G15" s="14">
        <v>0.57000000000000006</v>
      </c>
      <c r="H15" s="14">
        <v>0.69000000000000006</v>
      </c>
      <c r="I15" s="14">
        <v>0.69000000000000006</v>
      </c>
      <c r="J15" s="14">
        <v>0.70000000000000007</v>
      </c>
      <c r="K15" s="14">
        <v>0.61</v>
      </c>
      <c r="L15" s="14">
        <v>0.52</v>
      </c>
      <c r="M15" s="14">
        <v>0.57000000000000006</v>
      </c>
      <c r="N15" s="14">
        <v>0.85</v>
      </c>
      <c r="O15" s="14">
        <v>0.56000000000000005</v>
      </c>
      <c r="P15" s="14">
        <v>0.53</v>
      </c>
      <c r="Q15" s="14">
        <v>0.42</v>
      </c>
      <c r="R15" s="14">
        <v>0.71</v>
      </c>
      <c r="S15" s="14">
        <v>0.61</v>
      </c>
      <c r="T15" s="14">
        <v>0.48</v>
      </c>
      <c r="U15" s="14">
        <v>0.6</v>
      </c>
      <c r="V15" s="14">
        <v>0.59</v>
      </c>
      <c r="W15" s="14">
        <v>0.71</v>
      </c>
      <c r="X15" s="14">
        <v>0.57999999999999996</v>
      </c>
      <c r="Y15" s="14">
        <v>0.57999999999999996</v>
      </c>
      <c r="Z15" s="14">
        <v>0.41</v>
      </c>
      <c r="AA15" s="14">
        <v>0.72</v>
      </c>
      <c r="AB15" s="14">
        <v>0.26</v>
      </c>
      <c r="AC15" s="14">
        <v>0.65</v>
      </c>
      <c r="AD15" s="14">
        <v>0.44</v>
      </c>
      <c r="AE15" s="14">
        <v>0.54</v>
      </c>
      <c r="AF15" s="14">
        <v>0.67</v>
      </c>
    </row>
    <row r="16" spans="1:32">
      <c r="A16" s="23"/>
      <c r="B16" s="11" t="s">
        <v>497</v>
      </c>
      <c r="C16" s="12">
        <v>60</v>
      </c>
      <c r="D16" s="12">
        <v>0</v>
      </c>
      <c r="E16" s="12">
        <v>5</v>
      </c>
      <c r="F16" s="12">
        <v>3</v>
      </c>
      <c r="G16" s="12">
        <v>2</v>
      </c>
      <c r="H16" s="12">
        <v>7</v>
      </c>
      <c r="I16" s="12">
        <v>7</v>
      </c>
      <c r="J16" s="12">
        <v>0</v>
      </c>
      <c r="K16" s="12">
        <v>8</v>
      </c>
      <c r="L16" s="12">
        <v>1</v>
      </c>
      <c r="M16" s="12">
        <v>0</v>
      </c>
      <c r="N16" s="12">
        <v>0</v>
      </c>
      <c r="O16" s="12">
        <v>3</v>
      </c>
      <c r="P16" s="12">
        <v>3</v>
      </c>
      <c r="Q16" s="12">
        <v>2</v>
      </c>
      <c r="R16" s="12">
        <v>0</v>
      </c>
      <c r="S16" s="12">
        <v>4</v>
      </c>
      <c r="T16" s="12">
        <v>5</v>
      </c>
      <c r="U16" s="12">
        <v>0</v>
      </c>
      <c r="V16" s="12">
        <v>1</v>
      </c>
      <c r="W16" s="12">
        <v>1</v>
      </c>
      <c r="X16" s="12">
        <v>2</v>
      </c>
      <c r="Y16" s="12">
        <v>9</v>
      </c>
      <c r="Z16" s="12">
        <v>0</v>
      </c>
      <c r="AA16" s="12">
        <v>1</v>
      </c>
      <c r="AB16" s="12">
        <v>1</v>
      </c>
      <c r="AC16" s="12">
        <v>1</v>
      </c>
      <c r="AD16" s="12">
        <v>0</v>
      </c>
      <c r="AE16" s="12">
        <v>5</v>
      </c>
      <c r="AF16" s="12">
        <v>1</v>
      </c>
    </row>
    <row r="17" spans="1:32">
      <c r="A17" s="23"/>
      <c r="B17" s="13" t="s">
        <v>498</v>
      </c>
      <c r="C17" s="14">
        <v>0.01</v>
      </c>
      <c r="D17" s="15" t="s">
        <v>485</v>
      </c>
      <c r="E17" s="14">
        <v>0.02</v>
      </c>
      <c r="F17" s="14">
        <v>0.01</v>
      </c>
      <c r="G17" s="15" t="s">
        <v>485</v>
      </c>
      <c r="H17" s="14">
        <v>0.02</v>
      </c>
      <c r="I17" s="14">
        <v>0.02</v>
      </c>
      <c r="J17" s="15" t="s">
        <v>485</v>
      </c>
      <c r="K17" s="14">
        <v>0.02</v>
      </c>
      <c r="L17" s="15" t="s">
        <v>485</v>
      </c>
      <c r="M17" s="15" t="s">
        <v>485</v>
      </c>
      <c r="N17" s="15" t="s">
        <v>485</v>
      </c>
      <c r="O17" s="14">
        <v>0.01</v>
      </c>
      <c r="P17" s="14">
        <v>0.01</v>
      </c>
      <c r="Q17" s="14">
        <v>0.01</v>
      </c>
      <c r="R17" s="14">
        <v>0.01</v>
      </c>
      <c r="S17" s="14">
        <v>0.01</v>
      </c>
      <c r="T17" s="14">
        <v>0.01</v>
      </c>
      <c r="U17" s="15" t="s">
        <v>485</v>
      </c>
      <c r="V17" s="15" t="s">
        <v>485</v>
      </c>
      <c r="W17" s="15" t="s">
        <v>485</v>
      </c>
      <c r="X17" s="15" t="s">
        <v>485</v>
      </c>
      <c r="Y17" s="14">
        <v>0.02</v>
      </c>
      <c r="Z17" s="15" t="s">
        <v>485</v>
      </c>
      <c r="AA17" s="14">
        <v>0.01</v>
      </c>
      <c r="AB17" s="14">
        <v>0.01</v>
      </c>
      <c r="AC17" s="15" t="s">
        <v>485</v>
      </c>
      <c r="AD17" s="15" t="s">
        <v>485</v>
      </c>
      <c r="AE17" s="14">
        <v>0.01</v>
      </c>
      <c r="AF17" s="15" t="s">
        <v>485</v>
      </c>
    </row>
  </sheetData>
  <mergeCells count="9">
    <mergeCell ref="B10:B11"/>
    <mergeCell ref="A10:A17"/>
    <mergeCell ref="H4:L4"/>
    <mergeCell ref="B4:F4"/>
    <mergeCell ref="H3:L3"/>
    <mergeCell ref="C8:AF8"/>
    <mergeCell ref="B3:F3"/>
    <mergeCell ref="B5:F5"/>
    <mergeCell ref="H5:L5"/>
  </mergeCells>
  <pageMargins left="0.75" right="0.75" top="1" bottom="1" header="0.5" footer="0.5"/>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300-000000000000}">
  <dimension ref="A1:AF17"/>
  <sheetViews>
    <sheetView workbookViewId="0">
      <pane xSplit="3" ySplit="9" topLeftCell="D10" activePane="bottomRight" state="frozen"/>
      <selection pane="bottomRight" activeCell="H4" sqref="H4:L4"/>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72" customHeight="1">
      <c r="B3" s="19" t="s">
        <v>1432</v>
      </c>
      <c r="C3" s="19"/>
      <c r="D3" s="19"/>
      <c r="E3" s="19"/>
      <c r="F3" s="19"/>
      <c r="H3" s="19" t="s">
        <v>1433</v>
      </c>
      <c r="I3" s="19"/>
      <c r="J3" s="19"/>
      <c r="K3" s="19"/>
      <c r="L3" s="19"/>
    </row>
    <row r="4" spans="1:32" ht="27" customHeight="1">
      <c r="B4" s="19" t="s">
        <v>1420</v>
      </c>
      <c r="C4" s="19"/>
      <c r="D4" s="19"/>
      <c r="E4" s="19"/>
      <c r="F4" s="19"/>
      <c r="H4" s="19" t="s">
        <v>1421</v>
      </c>
      <c r="I4" s="19"/>
      <c r="J4" s="19"/>
      <c r="K4" s="19"/>
      <c r="L4" s="19"/>
    </row>
    <row r="5" spans="1:32" ht="36" customHeight="1">
      <c r="B5" s="19" t="s">
        <v>1376</v>
      </c>
      <c r="C5" s="19"/>
      <c r="D5" s="19"/>
      <c r="E5" s="19"/>
      <c r="F5" s="19"/>
      <c r="H5" s="19" t="s">
        <v>1377</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HYPERLINK("#Content!A152","&lt;&lt;Back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7847</v>
      </c>
      <c r="D10" s="10">
        <v>515</v>
      </c>
      <c r="E10" s="10">
        <v>284</v>
      </c>
      <c r="F10" s="10">
        <v>261</v>
      </c>
      <c r="G10" s="10">
        <v>692</v>
      </c>
      <c r="H10" s="10">
        <v>380</v>
      </c>
      <c r="I10" s="10">
        <v>479</v>
      </c>
      <c r="J10" s="10">
        <v>100</v>
      </c>
      <c r="K10" s="10">
        <v>492</v>
      </c>
      <c r="L10" s="10">
        <v>396</v>
      </c>
      <c r="M10" s="10">
        <v>147</v>
      </c>
      <c r="N10" s="10">
        <v>260</v>
      </c>
      <c r="O10" s="10">
        <v>230</v>
      </c>
      <c r="P10" s="10">
        <v>238</v>
      </c>
      <c r="Q10" s="10">
        <v>224</v>
      </c>
      <c r="R10" s="10">
        <v>101</v>
      </c>
      <c r="S10" s="10">
        <v>407</v>
      </c>
      <c r="T10" s="10">
        <v>330</v>
      </c>
      <c r="U10" s="10">
        <v>287</v>
      </c>
      <c r="V10" s="10">
        <v>236</v>
      </c>
      <c r="W10" s="10">
        <v>251</v>
      </c>
      <c r="X10" s="10">
        <v>761</v>
      </c>
      <c r="Y10" s="10">
        <v>452</v>
      </c>
      <c r="Z10" s="10">
        <v>218</v>
      </c>
      <c r="AA10" s="10">
        <v>123</v>
      </c>
      <c r="AB10" s="10">
        <v>133</v>
      </c>
      <c r="AC10" s="10">
        <v>405</v>
      </c>
      <c r="AD10" s="10">
        <v>252</v>
      </c>
      <c r="AE10" s="10">
        <v>597</v>
      </c>
      <c r="AF10" s="10">
        <v>702</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1109</v>
      </c>
      <c r="C12" s="12">
        <v>2138</v>
      </c>
      <c r="D12" s="12">
        <v>95</v>
      </c>
      <c r="E12" s="12">
        <v>108</v>
      </c>
      <c r="F12" s="12">
        <v>48</v>
      </c>
      <c r="G12" s="12">
        <v>107</v>
      </c>
      <c r="H12" s="12">
        <v>79</v>
      </c>
      <c r="I12" s="12">
        <v>104</v>
      </c>
      <c r="J12" s="12">
        <v>26</v>
      </c>
      <c r="K12" s="12">
        <v>238</v>
      </c>
      <c r="L12" s="12">
        <v>108</v>
      </c>
      <c r="M12" s="12">
        <v>47</v>
      </c>
      <c r="N12" s="12">
        <v>44</v>
      </c>
      <c r="O12" s="12">
        <v>66</v>
      </c>
      <c r="P12" s="12">
        <v>93</v>
      </c>
      <c r="Q12" s="12">
        <v>113</v>
      </c>
      <c r="R12" s="12">
        <v>30</v>
      </c>
      <c r="S12" s="12">
        <v>94</v>
      </c>
      <c r="T12" s="12">
        <v>104</v>
      </c>
      <c r="U12" s="12">
        <v>35</v>
      </c>
      <c r="V12" s="12">
        <v>93</v>
      </c>
      <c r="W12" s="12">
        <v>40</v>
      </c>
      <c r="X12" s="12">
        <v>130</v>
      </c>
      <c r="Y12" s="12">
        <v>195</v>
      </c>
      <c r="Z12" s="12">
        <v>110</v>
      </c>
      <c r="AA12" s="12">
        <v>28</v>
      </c>
      <c r="AB12" s="12">
        <v>81</v>
      </c>
      <c r="AC12" s="12">
        <v>72</v>
      </c>
      <c r="AD12" s="12">
        <v>83</v>
      </c>
      <c r="AE12" s="12">
        <v>74</v>
      </c>
      <c r="AF12" s="12">
        <v>47</v>
      </c>
    </row>
    <row r="13" spans="1:32">
      <c r="A13" s="23"/>
      <c r="B13" s="13" t="s">
        <v>1110</v>
      </c>
      <c r="C13" s="14">
        <v>0.27</v>
      </c>
      <c r="D13" s="14">
        <v>0.19</v>
      </c>
      <c r="E13" s="14">
        <v>0.38</v>
      </c>
      <c r="F13" s="14">
        <v>0.18</v>
      </c>
      <c r="G13" s="14">
        <v>0.15</v>
      </c>
      <c r="H13" s="14">
        <v>0.21</v>
      </c>
      <c r="I13" s="14">
        <v>0.22</v>
      </c>
      <c r="J13" s="14">
        <v>0.26</v>
      </c>
      <c r="K13" s="14">
        <v>0.49</v>
      </c>
      <c r="L13" s="14">
        <v>0.27</v>
      </c>
      <c r="M13" s="14">
        <v>0.32</v>
      </c>
      <c r="N13" s="14">
        <v>0.17</v>
      </c>
      <c r="O13" s="14">
        <v>0.28999999999999998</v>
      </c>
      <c r="P13" s="14">
        <v>0.39</v>
      </c>
      <c r="Q13" s="14">
        <v>0.51</v>
      </c>
      <c r="R13" s="14">
        <v>0.28999999999999998</v>
      </c>
      <c r="S13" s="14">
        <v>0.23</v>
      </c>
      <c r="T13" s="14">
        <v>0.31</v>
      </c>
      <c r="U13" s="14">
        <v>0.12</v>
      </c>
      <c r="V13" s="14">
        <v>0.39</v>
      </c>
      <c r="W13" s="14">
        <v>0.16</v>
      </c>
      <c r="X13" s="14">
        <v>0.17</v>
      </c>
      <c r="Y13" s="14">
        <v>0.43</v>
      </c>
      <c r="Z13" s="14">
        <v>0.5</v>
      </c>
      <c r="AA13" s="14">
        <v>0.23</v>
      </c>
      <c r="AB13" s="14">
        <v>0.61</v>
      </c>
      <c r="AC13" s="14">
        <v>0.18</v>
      </c>
      <c r="AD13" s="14">
        <v>0.33</v>
      </c>
      <c r="AE13" s="14">
        <v>0.13</v>
      </c>
      <c r="AF13" s="14">
        <v>0.06</v>
      </c>
    </row>
    <row r="14" spans="1:32">
      <c r="A14" s="23"/>
      <c r="B14" s="11" t="s">
        <v>1111</v>
      </c>
      <c r="C14" s="12">
        <v>5635</v>
      </c>
      <c r="D14" s="12">
        <v>419</v>
      </c>
      <c r="E14" s="12">
        <v>171</v>
      </c>
      <c r="F14" s="12">
        <v>208</v>
      </c>
      <c r="G14" s="12">
        <v>580</v>
      </c>
      <c r="H14" s="12">
        <v>294</v>
      </c>
      <c r="I14" s="12">
        <v>367</v>
      </c>
      <c r="J14" s="12">
        <v>73</v>
      </c>
      <c r="K14" s="12">
        <v>238</v>
      </c>
      <c r="L14" s="12">
        <v>286</v>
      </c>
      <c r="M14" s="12">
        <v>99</v>
      </c>
      <c r="N14" s="12">
        <v>215</v>
      </c>
      <c r="O14" s="12">
        <v>162</v>
      </c>
      <c r="P14" s="12">
        <v>142</v>
      </c>
      <c r="Q14" s="12">
        <v>110</v>
      </c>
      <c r="R14" s="12">
        <v>68</v>
      </c>
      <c r="S14" s="12">
        <v>310</v>
      </c>
      <c r="T14" s="12">
        <v>217</v>
      </c>
      <c r="U14" s="12">
        <v>250</v>
      </c>
      <c r="V14" s="12">
        <v>140</v>
      </c>
      <c r="W14" s="12">
        <v>208</v>
      </c>
      <c r="X14" s="12">
        <v>622</v>
      </c>
      <c r="Y14" s="12">
        <v>250</v>
      </c>
      <c r="Z14" s="12">
        <v>107</v>
      </c>
      <c r="AA14" s="12">
        <v>94</v>
      </c>
      <c r="AB14" s="12">
        <v>52</v>
      </c>
      <c r="AC14" s="12">
        <v>332</v>
      </c>
      <c r="AD14" s="12">
        <v>167</v>
      </c>
      <c r="AE14" s="12">
        <v>515</v>
      </c>
      <c r="AF14" s="12">
        <v>651</v>
      </c>
    </row>
    <row r="15" spans="1:32">
      <c r="A15" s="23"/>
      <c r="B15" s="13" t="s">
        <v>1112</v>
      </c>
      <c r="C15" s="14">
        <v>0.72</v>
      </c>
      <c r="D15" s="14">
        <v>0.81</v>
      </c>
      <c r="E15" s="14">
        <v>0.6</v>
      </c>
      <c r="F15" s="14">
        <v>0.8</v>
      </c>
      <c r="G15" s="14">
        <v>0.84</v>
      </c>
      <c r="H15" s="14">
        <v>0.77</v>
      </c>
      <c r="I15" s="14">
        <v>0.77</v>
      </c>
      <c r="J15" s="14">
        <v>0.73</v>
      </c>
      <c r="K15" s="14">
        <v>0.48</v>
      </c>
      <c r="L15" s="14">
        <v>0.72</v>
      </c>
      <c r="M15" s="14">
        <v>0.67</v>
      </c>
      <c r="N15" s="14">
        <v>0.82000000000000006</v>
      </c>
      <c r="O15" s="14">
        <v>0.70000000000000007</v>
      </c>
      <c r="P15" s="14">
        <v>0.6</v>
      </c>
      <c r="Q15" s="14">
        <v>0.49</v>
      </c>
      <c r="R15" s="14">
        <v>0.67</v>
      </c>
      <c r="S15" s="14">
        <v>0.76</v>
      </c>
      <c r="T15" s="14">
        <v>0.66</v>
      </c>
      <c r="U15" s="14">
        <v>0.87</v>
      </c>
      <c r="V15" s="14">
        <v>0.59</v>
      </c>
      <c r="W15" s="14">
        <v>0.83000000000000007</v>
      </c>
      <c r="X15" s="14">
        <v>0.82000000000000006</v>
      </c>
      <c r="Y15" s="14">
        <v>0.55000000000000004</v>
      </c>
      <c r="Z15" s="14">
        <v>0.49</v>
      </c>
      <c r="AA15" s="14">
        <v>0.77</v>
      </c>
      <c r="AB15" s="14">
        <v>0.39</v>
      </c>
      <c r="AC15" s="14">
        <v>0.82000000000000006</v>
      </c>
      <c r="AD15" s="14">
        <v>0.66</v>
      </c>
      <c r="AE15" s="14">
        <v>0.86</v>
      </c>
      <c r="AF15" s="14">
        <v>0.93</v>
      </c>
    </row>
    <row r="16" spans="1:32">
      <c r="A16" s="23"/>
      <c r="B16" s="11" t="s">
        <v>497</v>
      </c>
      <c r="C16" s="12">
        <v>74</v>
      </c>
      <c r="D16" s="12">
        <v>1</v>
      </c>
      <c r="E16" s="12">
        <v>5</v>
      </c>
      <c r="F16" s="12">
        <v>5</v>
      </c>
      <c r="G16" s="12">
        <v>4</v>
      </c>
      <c r="H16" s="12">
        <v>7</v>
      </c>
      <c r="I16" s="12">
        <v>8</v>
      </c>
      <c r="J16" s="12">
        <v>1</v>
      </c>
      <c r="K16" s="12">
        <v>16</v>
      </c>
      <c r="L16" s="12">
        <v>2</v>
      </c>
      <c r="M16" s="12">
        <v>1</v>
      </c>
      <c r="N16" s="12">
        <v>1</v>
      </c>
      <c r="O16" s="12">
        <v>2</v>
      </c>
      <c r="P16" s="12">
        <v>3</v>
      </c>
      <c r="Q16" s="12">
        <v>0</v>
      </c>
      <c r="R16" s="12">
        <v>4</v>
      </c>
      <c r="S16" s="12">
        <v>3</v>
      </c>
      <c r="T16" s="12">
        <v>9</v>
      </c>
      <c r="U16" s="12">
        <v>2</v>
      </c>
      <c r="V16" s="12">
        <v>4</v>
      </c>
      <c r="W16" s="12">
        <v>4</v>
      </c>
      <c r="X16" s="12">
        <v>8</v>
      </c>
      <c r="Y16" s="12">
        <v>7</v>
      </c>
      <c r="Z16" s="12">
        <v>2</v>
      </c>
      <c r="AA16" s="12">
        <v>0</v>
      </c>
      <c r="AB16" s="12">
        <v>0</v>
      </c>
      <c r="AC16" s="12">
        <v>1</v>
      </c>
      <c r="AD16" s="12">
        <v>2</v>
      </c>
      <c r="AE16" s="12">
        <v>8</v>
      </c>
      <c r="AF16" s="12">
        <v>5</v>
      </c>
    </row>
    <row r="17" spans="1:32">
      <c r="A17" s="23"/>
      <c r="B17" s="13" t="s">
        <v>498</v>
      </c>
      <c r="C17" s="14">
        <v>0.01</v>
      </c>
      <c r="D17" s="15" t="s">
        <v>485</v>
      </c>
      <c r="E17" s="14">
        <v>0.02</v>
      </c>
      <c r="F17" s="14">
        <v>0.02</v>
      </c>
      <c r="G17" s="14">
        <v>0.01</v>
      </c>
      <c r="H17" s="14">
        <v>0.02</v>
      </c>
      <c r="I17" s="14">
        <v>0.01</v>
      </c>
      <c r="J17" s="14">
        <v>0.01</v>
      </c>
      <c r="K17" s="14">
        <v>0.03</v>
      </c>
      <c r="L17" s="14">
        <v>0.01</v>
      </c>
      <c r="M17" s="14">
        <v>0.01</v>
      </c>
      <c r="N17" s="14">
        <v>0.01</v>
      </c>
      <c r="O17" s="14">
        <v>0.01</v>
      </c>
      <c r="P17" s="14">
        <v>0.01</v>
      </c>
      <c r="Q17" s="15" t="s">
        <v>485</v>
      </c>
      <c r="R17" s="14">
        <v>0.04</v>
      </c>
      <c r="S17" s="14">
        <v>0.01</v>
      </c>
      <c r="T17" s="14">
        <v>0.03</v>
      </c>
      <c r="U17" s="14">
        <v>0.01</v>
      </c>
      <c r="V17" s="14">
        <v>0.02</v>
      </c>
      <c r="W17" s="14">
        <v>0.01</v>
      </c>
      <c r="X17" s="14">
        <v>0.01</v>
      </c>
      <c r="Y17" s="14">
        <v>0.02</v>
      </c>
      <c r="Z17" s="14">
        <v>0.01</v>
      </c>
      <c r="AA17" s="15" t="s">
        <v>485</v>
      </c>
      <c r="AB17" s="15" t="s">
        <v>485</v>
      </c>
      <c r="AC17" s="15" t="s">
        <v>485</v>
      </c>
      <c r="AD17" s="14">
        <v>0.01</v>
      </c>
      <c r="AE17" s="14">
        <v>0.01</v>
      </c>
      <c r="AF17" s="14">
        <v>0.01</v>
      </c>
    </row>
  </sheetData>
  <mergeCells count="9">
    <mergeCell ref="B10:B11"/>
    <mergeCell ref="A10:A17"/>
    <mergeCell ref="H4:L4"/>
    <mergeCell ref="B4:F4"/>
    <mergeCell ref="H3:L3"/>
    <mergeCell ref="C8:AF8"/>
    <mergeCell ref="B3:F3"/>
    <mergeCell ref="B5:F5"/>
    <mergeCell ref="H5:L5"/>
  </mergeCells>
  <pageMargins left="0.75" right="0.75" top="1" bottom="1" header="0.5" footer="0.5"/>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400-000000000000}">
  <dimension ref="A1:AF21"/>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36" customHeight="1">
      <c r="B3" s="19" t="s">
        <v>1434</v>
      </c>
      <c r="C3" s="19"/>
      <c r="D3" s="19"/>
      <c r="E3" s="19"/>
      <c r="F3" s="19"/>
      <c r="H3" s="19" t="s">
        <v>1435</v>
      </c>
      <c r="I3" s="19"/>
      <c r="J3" s="19"/>
      <c r="K3" s="19"/>
      <c r="L3" s="19"/>
    </row>
    <row r="4" spans="1:32" ht="27" customHeight="1">
      <c r="B4" s="19" t="s">
        <v>1436</v>
      </c>
      <c r="C4" s="19"/>
      <c r="D4" s="19"/>
      <c r="E4" s="19"/>
      <c r="F4" s="19"/>
      <c r="H4" s="19" t="s">
        <v>1437</v>
      </c>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HYPERLINK("#Content!A153","&lt;&lt;Back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1438</v>
      </c>
      <c r="C12" s="12">
        <v>1067</v>
      </c>
      <c r="D12" s="12">
        <v>72</v>
      </c>
      <c r="E12" s="12">
        <v>26</v>
      </c>
      <c r="F12" s="12">
        <v>49</v>
      </c>
      <c r="G12" s="12">
        <v>28</v>
      </c>
      <c r="H12" s="12">
        <v>52</v>
      </c>
      <c r="I12" s="12">
        <v>57</v>
      </c>
      <c r="J12" s="12">
        <v>5</v>
      </c>
      <c r="K12" s="12">
        <v>39</v>
      </c>
      <c r="L12" s="12">
        <v>33</v>
      </c>
      <c r="M12" s="12">
        <v>61</v>
      </c>
      <c r="N12" s="12">
        <v>28</v>
      </c>
      <c r="O12" s="12">
        <v>9</v>
      </c>
      <c r="P12" s="12">
        <v>59</v>
      </c>
      <c r="Q12" s="12">
        <v>50</v>
      </c>
      <c r="R12" s="12">
        <v>22</v>
      </c>
      <c r="S12" s="12">
        <v>51</v>
      </c>
      <c r="T12" s="12">
        <v>24</v>
      </c>
      <c r="U12" s="12">
        <v>9</v>
      </c>
      <c r="V12" s="12">
        <v>59</v>
      </c>
      <c r="W12" s="12">
        <v>5</v>
      </c>
      <c r="X12" s="12">
        <v>76</v>
      </c>
      <c r="Y12" s="12">
        <v>109</v>
      </c>
      <c r="Z12" s="12">
        <v>58</v>
      </c>
      <c r="AA12" s="12">
        <v>6</v>
      </c>
      <c r="AB12" s="12">
        <v>65</v>
      </c>
      <c r="AC12" s="12">
        <v>70</v>
      </c>
      <c r="AD12" s="12">
        <v>32</v>
      </c>
      <c r="AE12" s="12">
        <v>26</v>
      </c>
      <c r="AF12" s="12">
        <v>44</v>
      </c>
    </row>
    <row r="13" spans="1:32">
      <c r="A13" s="23"/>
      <c r="B13" s="13" t="s">
        <v>1439</v>
      </c>
      <c r="C13" s="14">
        <v>0.04</v>
      </c>
      <c r="D13" s="14">
        <v>7.0000000000000007E-2</v>
      </c>
      <c r="E13" s="14">
        <v>0.02</v>
      </c>
      <c r="F13" s="14">
        <v>0.05</v>
      </c>
      <c r="G13" s="14">
        <v>0.03</v>
      </c>
      <c r="H13" s="14">
        <v>0.04</v>
      </c>
      <c r="I13" s="14">
        <v>0.04</v>
      </c>
      <c r="J13" s="14">
        <v>0.02</v>
      </c>
      <c r="K13" s="14">
        <v>0.04</v>
      </c>
      <c r="L13" s="14">
        <v>0.03</v>
      </c>
      <c r="M13" s="14">
        <v>0.06</v>
      </c>
      <c r="N13" s="14">
        <v>0.03</v>
      </c>
      <c r="O13" s="14">
        <v>0.01</v>
      </c>
      <c r="P13" s="14">
        <v>0.06</v>
      </c>
      <c r="Q13" s="14">
        <v>0.05</v>
      </c>
      <c r="R13" s="14">
        <v>0.04</v>
      </c>
      <c r="S13" s="14">
        <v>0.05</v>
      </c>
      <c r="T13" s="14">
        <v>0.02</v>
      </c>
      <c r="U13" s="14">
        <v>0.02</v>
      </c>
      <c r="V13" s="14">
        <v>0.06</v>
      </c>
      <c r="W13" s="14">
        <v>0.01</v>
      </c>
      <c r="X13" s="14">
        <v>7.0000000000000007E-2</v>
      </c>
      <c r="Y13" s="14">
        <v>0.11</v>
      </c>
      <c r="Z13" s="14">
        <v>0.06</v>
      </c>
      <c r="AA13" s="15" t="s">
        <v>485</v>
      </c>
      <c r="AB13" s="14">
        <v>0.06</v>
      </c>
      <c r="AC13" s="14">
        <v>7.0000000000000007E-2</v>
      </c>
      <c r="AD13" s="14">
        <v>0.03</v>
      </c>
      <c r="AE13" s="14">
        <v>0.03</v>
      </c>
      <c r="AF13" s="14">
        <v>0.04</v>
      </c>
    </row>
    <row r="14" spans="1:32">
      <c r="A14" s="23"/>
      <c r="B14" s="11" t="s">
        <v>1440</v>
      </c>
      <c r="C14" s="12">
        <v>4036</v>
      </c>
      <c r="D14" s="12">
        <v>206</v>
      </c>
      <c r="E14" s="12">
        <v>164</v>
      </c>
      <c r="F14" s="12">
        <v>269</v>
      </c>
      <c r="G14" s="12">
        <v>292</v>
      </c>
      <c r="H14" s="12">
        <v>228</v>
      </c>
      <c r="I14" s="12">
        <v>301</v>
      </c>
      <c r="J14" s="12">
        <v>72</v>
      </c>
      <c r="K14" s="12">
        <v>141</v>
      </c>
      <c r="L14" s="12">
        <v>109</v>
      </c>
      <c r="M14" s="12">
        <v>179</v>
      </c>
      <c r="N14" s="12">
        <v>65</v>
      </c>
      <c r="O14" s="12">
        <v>87</v>
      </c>
      <c r="P14" s="12">
        <v>185</v>
      </c>
      <c r="Q14" s="12">
        <v>100</v>
      </c>
      <c r="R14" s="12">
        <v>70</v>
      </c>
      <c r="S14" s="12">
        <v>200</v>
      </c>
      <c r="T14" s="12">
        <v>209</v>
      </c>
      <c r="U14" s="12">
        <v>56</v>
      </c>
      <c r="V14" s="12">
        <v>229</v>
      </c>
      <c r="W14" s="12">
        <v>54</v>
      </c>
      <c r="X14" s="12">
        <v>404</v>
      </c>
      <c r="Y14" s="12">
        <v>145</v>
      </c>
      <c r="Z14" s="12">
        <v>119</v>
      </c>
      <c r="AA14" s="12">
        <v>17</v>
      </c>
      <c r="AB14" s="12">
        <v>262</v>
      </c>
      <c r="AC14" s="12">
        <v>159</v>
      </c>
      <c r="AD14" s="12">
        <v>210</v>
      </c>
      <c r="AE14" s="12">
        <v>176</v>
      </c>
      <c r="AF14" s="12">
        <v>233</v>
      </c>
    </row>
    <row r="15" spans="1:32">
      <c r="A15" s="23"/>
      <c r="B15" s="13" t="s">
        <v>1441</v>
      </c>
      <c r="C15" s="14">
        <v>0.15</v>
      </c>
      <c r="D15" s="14">
        <v>0.2</v>
      </c>
      <c r="E15" s="14">
        <v>0.16</v>
      </c>
      <c r="F15" s="14">
        <v>0.27</v>
      </c>
      <c r="G15" s="14">
        <v>0.28999999999999998</v>
      </c>
      <c r="H15" s="14">
        <v>0.19</v>
      </c>
      <c r="I15" s="14">
        <v>0.2</v>
      </c>
      <c r="J15" s="14">
        <v>0.24</v>
      </c>
      <c r="K15" s="14">
        <v>0.14000000000000001</v>
      </c>
      <c r="L15" s="14">
        <v>0.11</v>
      </c>
      <c r="M15" s="14">
        <v>0.18</v>
      </c>
      <c r="N15" s="14">
        <v>0.06</v>
      </c>
      <c r="O15" s="14">
        <v>0.08</v>
      </c>
      <c r="P15" s="14">
        <v>0.18</v>
      </c>
      <c r="Q15" s="14">
        <v>0.1</v>
      </c>
      <c r="R15" s="14">
        <v>0.14000000000000001</v>
      </c>
      <c r="S15" s="14">
        <v>0.2</v>
      </c>
      <c r="T15" s="14">
        <v>0.21</v>
      </c>
      <c r="U15" s="14">
        <v>0.11</v>
      </c>
      <c r="V15" s="14">
        <v>0.23</v>
      </c>
      <c r="W15" s="14">
        <v>0.11</v>
      </c>
      <c r="X15" s="14">
        <v>0.4</v>
      </c>
      <c r="Y15" s="14">
        <v>0.14000000000000001</v>
      </c>
      <c r="Z15" s="14">
        <v>0.12</v>
      </c>
      <c r="AA15" s="14">
        <v>0.02</v>
      </c>
      <c r="AB15" s="14">
        <v>0.26</v>
      </c>
      <c r="AC15" s="14">
        <v>0.16</v>
      </c>
      <c r="AD15" s="14">
        <v>0.21</v>
      </c>
      <c r="AE15" s="14">
        <v>0.17</v>
      </c>
      <c r="AF15" s="14">
        <v>0.22</v>
      </c>
    </row>
    <row r="16" spans="1:32">
      <c r="A16" s="23"/>
      <c r="B16" s="11" t="s">
        <v>1442</v>
      </c>
      <c r="C16" s="12">
        <v>21041</v>
      </c>
      <c r="D16" s="12">
        <v>721</v>
      </c>
      <c r="E16" s="12">
        <v>836</v>
      </c>
      <c r="F16" s="12">
        <v>668</v>
      </c>
      <c r="G16" s="12">
        <v>668</v>
      </c>
      <c r="H16" s="12">
        <v>922</v>
      </c>
      <c r="I16" s="12">
        <v>1136</v>
      </c>
      <c r="J16" s="12">
        <v>214</v>
      </c>
      <c r="K16" s="12">
        <v>803</v>
      </c>
      <c r="L16" s="12">
        <v>849</v>
      </c>
      <c r="M16" s="12">
        <v>770</v>
      </c>
      <c r="N16" s="12">
        <v>902</v>
      </c>
      <c r="O16" s="12">
        <v>902</v>
      </c>
      <c r="P16" s="12">
        <v>761</v>
      </c>
      <c r="Q16" s="12">
        <v>871</v>
      </c>
      <c r="R16" s="12">
        <v>404</v>
      </c>
      <c r="S16" s="12">
        <v>716</v>
      </c>
      <c r="T16" s="12">
        <v>765</v>
      </c>
      <c r="U16" s="12">
        <v>436</v>
      </c>
      <c r="V16" s="12">
        <v>709</v>
      </c>
      <c r="W16" s="12">
        <v>441</v>
      </c>
      <c r="X16" s="12">
        <v>523</v>
      </c>
      <c r="Y16" s="12">
        <v>742</v>
      </c>
      <c r="Z16" s="12">
        <v>840</v>
      </c>
      <c r="AA16" s="12">
        <v>1016</v>
      </c>
      <c r="AB16" s="12">
        <v>691</v>
      </c>
      <c r="AC16" s="12">
        <v>767</v>
      </c>
      <c r="AD16" s="12">
        <v>729</v>
      </c>
      <c r="AE16" s="12">
        <v>780</v>
      </c>
      <c r="AF16" s="12">
        <v>778</v>
      </c>
    </row>
    <row r="17" spans="1:32">
      <c r="A17" s="23"/>
      <c r="B17" s="13" t="s">
        <v>1443</v>
      </c>
      <c r="C17" s="14">
        <v>0.8</v>
      </c>
      <c r="D17" s="14">
        <v>0.72</v>
      </c>
      <c r="E17" s="14">
        <v>0.8</v>
      </c>
      <c r="F17" s="14">
        <v>0.66</v>
      </c>
      <c r="G17" s="14">
        <v>0.67</v>
      </c>
      <c r="H17" s="14">
        <v>0.76</v>
      </c>
      <c r="I17" s="14">
        <v>0.75</v>
      </c>
      <c r="J17" s="14">
        <v>0.73</v>
      </c>
      <c r="K17" s="14">
        <v>0.8</v>
      </c>
      <c r="L17" s="14">
        <v>0.84</v>
      </c>
      <c r="M17" s="14">
        <v>0.76</v>
      </c>
      <c r="N17" s="14">
        <v>0.9</v>
      </c>
      <c r="O17" s="14">
        <v>0.9</v>
      </c>
      <c r="P17" s="14">
        <v>0.75</v>
      </c>
      <c r="Q17" s="14">
        <v>0.85</v>
      </c>
      <c r="R17" s="14">
        <v>0.81</v>
      </c>
      <c r="S17" s="14">
        <v>0.71</v>
      </c>
      <c r="T17" s="14">
        <v>0.76</v>
      </c>
      <c r="U17" s="14">
        <v>0.87</v>
      </c>
      <c r="V17" s="14">
        <v>0.70000000000000007</v>
      </c>
      <c r="W17" s="14">
        <v>0.88</v>
      </c>
      <c r="X17" s="14">
        <v>0.52</v>
      </c>
      <c r="Y17" s="14">
        <v>0.74</v>
      </c>
      <c r="Z17" s="14">
        <v>0.82000000000000006</v>
      </c>
      <c r="AA17" s="14">
        <v>0.98</v>
      </c>
      <c r="AB17" s="14">
        <v>0.67</v>
      </c>
      <c r="AC17" s="14">
        <v>0.76</v>
      </c>
      <c r="AD17" s="14">
        <v>0.73</v>
      </c>
      <c r="AE17" s="14">
        <v>0.77</v>
      </c>
      <c r="AF17" s="14">
        <v>0.72</v>
      </c>
    </row>
    <row r="18" spans="1:32">
      <c r="A18" s="23"/>
      <c r="B18" s="11" t="s">
        <v>497</v>
      </c>
      <c r="C18" s="12">
        <v>210</v>
      </c>
      <c r="D18" s="12">
        <v>6</v>
      </c>
      <c r="E18" s="12">
        <v>18</v>
      </c>
      <c r="F18" s="12">
        <v>21</v>
      </c>
      <c r="G18" s="12">
        <v>15</v>
      </c>
      <c r="H18" s="12">
        <v>8</v>
      </c>
      <c r="I18" s="12">
        <v>11</v>
      </c>
      <c r="J18" s="12">
        <v>3</v>
      </c>
      <c r="K18" s="12">
        <v>20</v>
      </c>
      <c r="L18" s="12">
        <v>16</v>
      </c>
      <c r="M18" s="12">
        <v>1</v>
      </c>
      <c r="N18" s="12">
        <v>5</v>
      </c>
      <c r="O18" s="12">
        <v>8</v>
      </c>
      <c r="P18" s="12">
        <v>7</v>
      </c>
      <c r="Q18" s="12">
        <v>3</v>
      </c>
      <c r="R18" s="12">
        <v>6</v>
      </c>
      <c r="S18" s="12">
        <v>38</v>
      </c>
      <c r="T18" s="12">
        <v>5</v>
      </c>
      <c r="U18" s="12">
        <v>2</v>
      </c>
      <c r="V18" s="12">
        <v>14</v>
      </c>
      <c r="W18" s="12">
        <v>3</v>
      </c>
      <c r="X18" s="12">
        <v>13</v>
      </c>
      <c r="Y18" s="12">
        <v>10</v>
      </c>
      <c r="Z18" s="12">
        <v>1</v>
      </c>
      <c r="AA18" s="12">
        <v>1</v>
      </c>
      <c r="AB18" s="12">
        <v>13</v>
      </c>
      <c r="AC18" s="12">
        <v>9</v>
      </c>
      <c r="AD18" s="12">
        <v>32</v>
      </c>
      <c r="AE18" s="12">
        <v>27</v>
      </c>
      <c r="AF18" s="12">
        <v>18</v>
      </c>
    </row>
    <row r="19" spans="1:32">
      <c r="A19" s="23"/>
      <c r="B19" s="13" t="s">
        <v>498</v>
      </c>
      <c r="C19" s="14">
        <v>0.01</v>
      </c>
      <c r="D19" s="14">
        <v>0.01</v>
      </c>
      <c r="E19" s="14">
        <v>0.02</v>
      </c>
      <c r="F19" s="14">
        <v>0.02</v>
      </c>
      <c r="G19" s="14">
        <v>0.01</v>
      </c>
      <c r="H19" s="14">
        <v>0.01</v>
      </c>
      <c r="I19" s="14">
        <v>0.01</v>
      </c>
      <c r="J19" s="14">
        <v>0.01</v>
      </c>
      <c r="K19" s="14">
        <v>0.02</v>
      </c>
      <c r="L19" s="14">
        <v>0.02</v>
      </c>
      <c r="M19" s="15" t="s">
        <v>485</v>
      </c>
      <c r="N19" s="14">
        <v>0.01</v>
      </c>
      <c r="O19" s="14">
        <v>0.01</v>
      </c>
      <c r="P19" s="14">
        <v>0.01</v>
      </c>
      <c r="Q19" s="15" t="s">
        <v>485</v>
      </c>
      <c r="R19" s="14">
        <v>0.01</v>
      </c>
      <c r="S19" s="14">
        <v>0.04</v>
      </c>
      <c r="T19" s="14">
        <v>0.01</v>
      </c>
      <c r="U19" s="15" t="s">
        <v>485</v>
      </c>
      <c r="V19" s="14">
        <v>0.01</v>
      </c>
      <c r="W19" s="15" t="s">
        <v>485</v>
      </c>
      <c r="X19" s="14">
        <v>0.01</v>
      </c>
      <c r="Y19" s="14">
        <v>0.01</v>
      </c>
      <c r="Z19" s="15" t="s">
        <v>485</v>
      </c>
      <c r="AA19" s="15" t="s">
        <v>485</v>
      </c>
      <c r="AB19" s="14">
        <v>0.01</v>
      </c>
      <c r="AC19" s="14">
        <v>0.01</v>
      </c>
      <c r="AD19" s="14">
        <v>0.03</v>
      </c>
      <c r="AE19" s="14">
        <v>0.03</v>
      </c>
      <c r="AF19" s="14">
        <v>0.02</v>
      </c>
    </row>
    <row r="20" spans="1:32">
      <c r="A20" s="23"/>
      <c r="B20" s="11" t="s">
        <v>1444</v>
      </c>
      <c r="C20" s="12">
        <v>5103</v>
      </c>
      <c r="D20" s="12">
        <v>278</v>
      </c>
      <c r="E20" s="12">
        <v>190</v>
      </c>
      <c r="F20" s="12">
        <v>318</v>
      </c>
      <c r="G20" s="12">
        <v>320</v>
      </c>
      <c r="H20" s="12">
        <v>280</v>
      </c>
      <c r="I20" s="12">
        <v>358</v>
      </c>
      <c r="J20" s="12">
        <v>77</v>
      </c>
      <c r="K20" s="12">
        <v>180</v>
      </c>
      <c r="L20" s="12">
        <v>142</v>
      </c>
      <c r="M20" s="12">
        <v>240</v>
      </c>
      <c r="N20" s="12">
        <v>93</v>
      </c>
      <c r="O20" s="12">
        <v>96</v>
      </c>
      <c r="P20" s="12">
        <v>244</v>
      </c>
      <c r="Q20" s="12">
        <v>150</v>
      </c>
      <c r="R20" s="12">
        <v>92</v>
      </c>
      <c r="S20" s="12">
        <v>251</v>
      </c>
      <c r="T20" s="12">
        <v>233</v>
      </c>
      <c r="U20" s="12">
        <v>65</v>
      </c>
      <c r="V20" s="12">
        <v>288</v>
      </c>
      <c r="W20" s="12">
        <v>59</v>
      </c>
      <c r="X20" s="12">
        <v>480</v>
      </c>
      <c r="Y20" s="12">
        <v>254</v>
      </c>
      <c r="Z20" s="12">
        <v>177</v>
      </c>
      <c r="AA20" s="12">
        <v>23</v>
      </c>
      <c r="AB20" s="12">
        <v>327</v>
      </c>
      <c r="AC20" s="12">
        <v>229</v>
      </c>
      <c r="AD20" s="12">
        <v>242</v>
      </c>
      <c r="AE20" s="12">
        <v>202</v>
      </c>
      <c r="AF20" s="12">
        <v>277</v>
      </c>
    </row>
    <row r="21" spans="1:32">
      <c r="A21" s="23"/>
      <c r="B21" s="13" t="s">
        <v>1444</v>
      </c>
      <c r="C21" s="14">
        <v>0.19</v>
      </c>
      <c r="D21" s="14">
        <v>0.27</v>
      </c>
      <c r="E21" s="14">
        <v>0.18</v>
      </c>
      <c r="F21" s="14">
        <v>0.32</v>
      </c>
      <c r="G21" s="14">
        <v>0.32</v>
      </c>
      <c r="H21" s="14">
        <v>0.23</v>
      </c>
      <c r="I21" s="14">
        <v>0.24</v>
      </c>
      <c r="J21" s="14">
        <v>0.26</v>
      </c>
      <c r="K21" s="14">
        <v>0.18</v>
      </c>
      <c r="L21" s="14">
        <v>0.14000000000000001</v>
      </c>
      <c r="M21" s="14">
        <v>0.24</v>
      </c>
      <c r="N21" s="14">
        <v>0.09</v>
      </c>
      <c r="O21" s="14">
        <v>0.09</v>
      </c>
      <c r="P21" s="14">
        <v>0.24</v>
      </c>
      <c r="Q21" s="14">
        <v>0.15</v>
      </c>
      <c r="R21" s="14">
        <v>0.18</v>
      </c>
      <c r="S21" s="14">
        <v>0.25</v>
      </c>
      <c r="T21" s="14">
        <v>0.23</v>
      </c>
      <c r="U21" s="14">
        <v>0.13</v>
      </c>
      <c r="V21" s="14">
        <v>0.28999999999999998</v>
      </c>
      <c r="W21" s="14">
        <v>0.12</v>
      </c>
      <c r="X21" s="14">
        <v>0.47</v>
      </c>
      <c r="Y21" s="14">
        <v>0.25</v>
      </c>
      <c r="Z21" s="14">
        <v>0.18</v>
      </c>
      <c r="AA21" s="14">
        <v>0.02</v>
      </c>
      <c r="AB21" s="14">
        <v>0.32</v>
      </c>
      <c r="AC21" s="14">
        <v>0.23</v>
      </c>
      <c r="AD21" s="14">
        <v>0.24</v>
      </c>
      <c r="AE21" s="14">
        <v>0.2</v>
      </c>
      <c r="AF21" s="14">
        <v>0.26</v>
      </c>
    </row>
  </sheetData>
  <mergeCells count="10">
    <mergeCell ref="A20:A21"/>
    <mergeCell ref="H5:L5"/>
    <mergeCell ref="B10:B11"/>
    <mergeCell ref="H4:L4"/>
    <mergeCell ref="B4:F4"/>
    <mergeCell ref="H3:L3"/>
    <mergeCell ref="C8:AF8"/>
    <mergeCell ref="B3:F3"/>
    <mergeCell ref="B5:F5"/>
    <mergeCell ref="A10:A19"/>
  </mergeCells>
  <pageMargins left="0.75" right="0.75" top="1" bottom="1" header="0.5" footer="0.5"/>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500-000000000000}">
  <dimension ref="A1:AF21"/>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36" customHeight="1">
      <c r="B3" s="19" t="s">
        <v>1445</v>
      </c>
      <c r="C3" s="19"/>
      <c r="D3" s="19"/>
      <c r="E3" s="19"/>
      <c r="F3" s="19"/>
      <c r="H3" s="19" t="s">
        <v>1446</v>
      </c>
      <c r="I3" s="19"/>
      <c r="J3" s="19"/>
      <c r="K3" s="19"/>
      <c r="L3" s="19"/>
    </row>
    <row r="4" spans="1:32" ht="27" customHeight="1">
      <c r="B4" s="19" t="s">
        <v>1447</v>
      </c>
      <c r="C4" s="19"/>
      <c r="D4" s="19"/>
      <c r="E4" s="19"/>
      <c r="F4" s="19"/>
      <c r="H4" s="19" t="s">
        <v>1448</v>
      </c>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HYPERLINK("#Content!A154","&lt;&lt;Back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1438</v>
      </c>
      <c r="C12" s="12">
        <v>1179</v>
      </c>
      <c r="D12" s="12">
        <v>70</v>
      </c>
      <c r="E12" s="12">
        <v>35</v>
      </c>
      <c r="F12" s="12">
        <v>86</v>
      </c>
      <c r="G12" s="12">
        <v>23</v>
      </c>
      <c r="H12" s="12">
        <v>51</v>
      </c>
      <c r="I12" s="12">
        <v>57</v>
      </c>
      <c r="J12" s="12">
        <v>5</v>
      </c>
      <c r="K12" s="12">
        <v>60</v>
      </c>
      <c r="L12" s="12">
        <v>32</v>
      </c>
      <c r="M12" s="12">
        <v>77</v>
      </c>
      <c r="N12" s="12">
        <v>25</v>
      </c>
      <c r="O12" s="12">
        <v>15</v>
      </c>
      <c r="P12" s="12">
        <v>101</v>
      </c>
      <c r="Q12" s="12">
        <v>53</v>
      </c>
      <c r="R12" s="12">
        <v>23</v>
      </c>
      <c r="S12" s="12">
        <v>85</v>
      </c>
      <c r="T12" s="12">
        <v>38</v>
      </c>
      <c r="U12" s="12">
        <v>6</v>
      </c>
      <c r="V12" s="12">
        <v>105</v>
      </c>
      <c r="W12" s="12">
        <v>14</v>
      </c>
      <c r="X12" s="12">
        <v>69</v>
      </c>
      <c r="Y12" s="12">
        <v>119</v>
      </c>
      <c r="Z12" s="12">
        <v>53</v>
      </c>
      <c r="AA12" s="12">
        <v>5</v>
      </c>
      <c r="AB12" s="12">
        <v>73</v>
      </c>
      <c r="AC12" s="12">
        <v>60</v>
      </c>
      <c r="AD12" s="12">
        <v>63</v>
      </c>
      <c r="AE12" s="12">
        <v>31</v>
      </c>
      <c r="AF12" s="12">
        <v>48</v>
      </c>
    </row>
    <row r="13" spans="1:32">
      <c r="A13" s="23"/>
      <c r="B13" s="13" t="s">
        <v>1439</v>
      </c>
      <c r="C13" s="14">
        <v>0.05</v>
      </c>
      <c r="D13" s="14">
        <v>7.0000000000000007E-2</v>
      </c>
      <c r="E13" s="14">
        <v>0.03</v>
      </c>
      <c r="F13" s="14">
        <v>0.09</v>
      </c>
      <c r="G13" s="14">
        <v>0.02</v>
      </c>
      <c r="H13" s="14">
        <v>0.04</v>
      </c>
      <c r="I13" s="14">
        <v>0.04</v>
      </c>
      <c r="J13" s="14">
        <v>0.02</v>
      </c>
      <c r="K13" s="14">
        <v>0.06</v>
      </c>
      <c r="L13" s="14">
        <v>0.03</v>
      </c>
      <c r="M13" s="14">
        <v>0.08</v>
      </c>
      <c r="N13" s="14">
        <v>0.03</v>
      </c>
      <c r="O13" s="14">
        <v>0.02</v>
      </c>
      <c r="P13" s="14">
        <v>0.1</v>
      </c>
      <c r="Q13" s="14">
        <v>0.05</v>
      </c>
      <c r="R13" s="14">
        <v>0.05</v>
      </c>
      <c r="S13" s="14">
        <v>0.08</v>
      </c>
      <c r="T13" s="14">
        <v>0.04</v>
      </c>
      <c r="U13" s="14">
        <v>0.01</v>
      </c>
      <c r="V13" s="14">
        <v>0.1</v>
      </c>
      <c r="W13" s="14">
        <v>0.03</v>
      </c>
      <c r="X13" s="14">
        <v>7.0000000000000007E-2</v>
      </c>
      <c r="Y13" s="14">
        <v>0.12</v>
      </c>
      <c r="Z13" s="14">
        <v>0.05</v>
      </c>
      <c r="AA13" s="14">
        <v>0.01</v>
      </c>
      <c r="AB13" s="14">
        <v>7.0000000000000007E-2</v>
      </c>
      <c r="AC13" s="14">
        <v>0.06</v>
      </c>
      <c r="AD13" s="14">
        <v>0.06</v>
      </c>
      <c r="AE13" s="14">
        <v>0.03</v>
      </c>
      <c r="AF13" s="14">
        <v>0.05</v>
      </c>
    </row>
    <row r="14" spans="1:32">
      <c r="A14" s="23"/>
      <c r="B14" s="11" t="s">
        <v>1440</v>
      </c>
      <c r="C14" s="12">
        <v>5385</v>
      </c>
      <c r="D14" s="12">
        <v>185</v>
      </c>
      <c r="E14" s="12">
        <v>339</v>
      </c>
      <c r="F14" s="12">
        <v>465</v>
      </c>
      <c r="G14" s="12">
        <v>141</v>
      </c>
      <c r="H14" s="12">
        <v>221</v>
      </c>
      <c r="I14" s="12">
        <v>293</v>
      </c>
      <c r="J14" s="12">
        <v>72</v>
      </c>
      <c r="K14" s="12">
        <v>269</v>
      </c>
      <c r="L14" s="12">
        <v>183</v>
      </c>
      <c r="M14" s="12">
        <v>333</v>
      </c>
      <c r="N14" s="12">
        <v>112</v>
      </c>
      <c r="O14" s="12">
        <v>90</v>
      </c>
      <c r="P14" s="12">
        <v>427</v>
      </c>
      <c r="Q14" s="12">
        <v>225</v>
      </c>
      <c r="R14" s="12">
        <v>96</v>
      </c>
      <c r="S14" s="12">
        <v>414</v>
      </c>
      <c r="T14" s="12">
        <v>314</v>
      </c>
      <c r="U14" s="12">
        <v>86</v>
      </c>
      <c r="V14" s="12">
        <v>459</v>
      </c>
      <c r="W14" s="12">
        <v>77</v>
      </c>
      <c r="X14" s="12">
        <v>232</v>
      </c>
      <c r="Y14" s="12">
        <v>248</v>
      </c>
      <c r="Z14" s="12">
        <v>221</v>
      </c>
      <c r="AA14" s="12">
        <v>94</v>
      </c>
      <c r="AB14" s="12">
        <v>371</v>
      </c>
      <c r="AC14" s="12">
        <v>242</v>
      </c>
      <c r="AD14" s="12">
        <v>359</v>
      </c>
      <c r="AE14" s="12">
        <v>167</v>
      </c>
      <c r="AF14" s="12">
        <v>239</v>
      </c>
    </row>
    <row r="15" spans="1:32">
      <c r="A15" s="23"/>
      <c r="B15" s="13" t="s">
        <v>1441</v>
      </c>
      <c r="C15" s="14">
        <v>0.2</v>
      </c>
      <c r="D15" s="14">
        <v>0.18</v>
      </c>
      <c r="E15" s="14">
        <v>0.33</v>
      </c>
      <c r="F15" s="14">
        <v>0.46</v>
      </c>
      <c r="G15" s="14">
        <v>0.14000000000000001</v>
      </c>
      <c r="H15" s="14">
        <v>0.18</v>
      </c>
      <c r="I15" s="14">
        <v>0.2</v>
      </c>
      <c r="J15" s="14">
        <v>0.24</v>
      </c>
      <c r="K15" s="14">
        <v>0.27</v>
      </c>
      <c r="L15" s="14">
        <v>0.18</v>
      </c>
      <c r="M15" s="14">
        <v>0.33</v>
      </c>
      <c r="N15" s="14">
        <v>0.11</v>
      </c>
      <c r="O15" s="14">
        <v>0.09</v>
      </c>
      <c r="P15" s="14">
        <v>0.42</v>
      </c>
      <c r="Q15" s="14">
        <v>0.22</v>
      </c>
      <c r="R15" s="14">
        <v>0.19</v>
      </c>
      <c r="S15" s="14">
        <v>0.41</v>
      </c>
      <c r="T15" s="14">
        <v>0.31</v>
      </c>
      <c r="U15" s="14">
        <v>0.17</v>
      </c>
      <c r="V15" s="14">
        <v>0.46</v>
      </c>
      <c r="W15" s="14">
        <v>0.15</v>
      </c>
      <c r="X15" s="14">
        <v>0.23</v>
      </c>
      <c r="Y15" s="14">
        <v>0.25</v>
      </c>
      <c r="Z15" s="14">
        <v>0.22</v>
      </c>
      <c r="AA15" s="14">
        <v>0.09</v>
      </c>
      <c r="AB15" s="14">
        <v>0.36</v>
      </c>
      <c r="AC15" s="14">
        <v>0.24</v>
      </c>
      <c r="AD15" s="14">
        <v>0.36</v>
      </c>
      <c r="AE15" s="14">
        <v>0.17</v>
      </c>
      <c r="AF15" s="14">
        <v>0.22</v>
      </c>
    </row>
    <row r="16" spans="1:32">
      <c r="A16" s="23"/>
      <c r="B16" s="11" t="s">
        <v>1442</v>
      </c>
      <c r="C16" s="12">
        <v>19480</v>
      </c>
      <c r="D16" s="12">
        <v>745</v>
      </c>
      <c r="E16" s="12">
        <v>647</v>
      </c>
      <c r="F16" s="12">
        <v>426</v>
      </c>
      <c r="G16" s="12">
        <v>831</v>
      </c>
      <c r="H16" s="12">
        <v>921</v>
      </c>
      <c r="I16" s="12">
        <v>1133</v>
      </c>
      <c r="J16" s="12">
        <v>212</v>
      </c>
      <c r="K16" s="12">
        <v>645</v>
      </c>
      <c r="L16" s="12">
        <v>769</v>
      </c>
      <c r="M16" s="12">
        <v>597</v>
      </c>
      <c r="N16" s="12">
        <v>849</v>
      </c>
      <c r="O16" s="12">
        <v>889</v>
      </c>
      <c r="P16" s="12">
        <v>478</v>
      </c>
      <c r="Q16" s="12">
        <v>740</v>
      </c>
      <c r="R16" s="12">
        <v>375</v>
      </c>
      <c r="S16" s="12">
        <v>480</v>
      </c>
      <c r="T16" s="12">
        <v>645</v>
      </c>
      <c r="U16" s="12">
        <v>409</v>
      </c>
      <c r="V16" s="12">
        <v>438</v>
      </c>
      <c r="W16" s="12">
        <v>407</v>
      </c>
      <c r="X16" s="12">
        <v>702</v>
      </c>
      <c r="Y16" s="12">
        <v>627</v>
      </c>
      <c r="Z16" s="12">
        <v>732</v>
      </c>
      <c r="AA16" s="12">
        <v>937</v>
      </c>
      <c r="AB16" s="12">
        <v>576</v>
      </c>
      <c r="AC16" s="12">
        <v>692</v>
      </c>
      <c r="AD16" s="12">
        <v>566</v>
      </c>
      <c r="AE16" s="12">
        <v>786</v>
      </c>
      <c r="AF16" s="12">
        <v>771</v>
      </c>
    </row>
    <row r="17" spans="1:32">
      <c r="A17" s="23"/>
      <c r="B17" s="13" t="s">
        <v>1443</v>
      </c>
      <c r="C17" s="14">
        <v>0.74</v>
      </c>
      <c r="D17" s="14">
        <v>0.74</v>
      </c>
      <c r="E17" s="14">
        <v>0.62</v>
      </c>
      <c r="F17" s="14">
        <v>0.42</v>
      </c>
      <c r="G17" s="14">
        <v>0.83000000000000007</v>
      </c>
      <c r="H17" s="14">
        <v>0.76</v>
      </c>
      <c r="I17" s="14">
        <v>0.75</v>
      </c>
      <c r="J17" s="14">
        <v>0.72</v>
      </c>
      <c r="K17" s="14">
        <v>0.64</v>
      </c>
      <c r="L17" s="14">
        <v>0.77</v>
      </c>
      <c r="M17" s="14">
        <v>0.59</v>
      </c>
      <c r="N17" s="14">
        <v>0.85</v>
      </c>
      <c r="O17" s="14">
        <v>0.88</v>
      </c>
      <c r="P17" s="14">
        <v>0.47</v>
      </c>
      <c r="Q17" s="14">
        <v>0.72</v>
      </c>
      <c r="R17" s="14">
        <v>0.75</v>
      </c>
      <c r="S17" s="14">
        <v>0.48</v>
      </c>
      <c r="T17" s="14">
        <v>0.64</v>
      </c>
      <c r="U17" s="14">
        <v>0.81</v>
      </c>
      <c r="V17" s="14">
        <v>0.43</v>
      </c>
      <c r="W17" s="14">
        <v>0.81</v>
      </c>
      <c r="X17" s="14">
        <v>0.69000000000000006</v>
      </c>
      <c r="Y17" s="14">
        <v>0.62</v>
      </c>
      <c r="Z17" s="14">
        <v>0.72</v>
      </c>
      <c r="AA17" s="14">
        <v>0.9</v>
      </c>
      <c r="AB17" s="14">
        <v>0.56000000000000005</v>
      </c>
      <c r="AC17" s="14">
        <v>0.69000000000000006</v>
      </c>
      <c r="AD17" s="14">
        <v>0.57000000000000006</v>
      </c>
      <c r="AE17" s="14">
        <v>0.78</v>
      </c>
      <c r="AF17" s="14">
        <v>0.72</v>
      </c>
    </row>
    <row r="18" spans="1:32">
      <c r="A18" s="23"/>
      <c r="B18" s="11" t="s">
        <v>497</v>
      </c>
      <c r="C18" s="12">
        <v>310</v>
      </c>
      <c r="D18" s="12">
        <v>6</v>
      </c>
      <c r="E18" s="12">
        <v>23</v>
      </c>
      <c r="F18" s="12">
        <v>29</v>
      </c>
      <c r="G18" s="12">
        <v>8</v>
      </c>
      <c r="H18" s="12">
        <v>16</v>
      </c>
      <c r="I18" s="12">
        <v>21</v>
      </c>
      <c r="J18" s="12">
        <v>5</v>
      </c>
      <c r="K18" s="12">
        <v>30</v>
      </c>
      <c r="L18" s="12">
        <v>23</v>
      </c>
      <c r="M18" s="12">
        <v>3</v>
      </c>
      <c r="N18" s="12">
        <v>14</v>
      </c>
      <c r="O18" s="12">
        <v>12</v>
      </c>
      <c r="P18" s="12">
        <v>5</v>
      </c>
      <c r="Q18" s="12">
        <v>5</v>
      </c>
      <c r="R18" s="12">
        <v>8</v>
      </c>
      <c r="S18" s="12">
        <v>27</v>
      </c>
      <c r="T18" s="12">
        <v>8</v>
      </c>
      <c r="U18" s="12">
        <v>2</v>
      </c>
      <c r="V18" s="12">
        <v>9</v>
      </c>
      <c r="W18" s="12">
        <v>6</v>
      </c>
      <c r="X18" s="12">
        <v>13</v>
      </c>
      <c r="Y18" s="12">
        <v>13</v>
      </c>
      <c r="Z18" s="12">
        <v>10</v>
      </c>
      <c r="AA18" s="12">
        <v>4</v>
      </c>
      <c r="AB18" s="12">
        <v>11</v>
      </c>
      <c r="AC18" s="12">
        <v>10</v>
      </c>
      <c r="AD18" s="12">
        <v>14</v>
      </c>
      <c r="AE18" s="12">
        <v>25</v>
      </c>
      <c r="AF18" s="12">
        <v>15</v>
      </c>
    </row>
    <row r="19" spans="1:32">
      <c r="A19" s="23"/>
      <c r="B19" s="13" t="s">
        <v>498</v>
      </c>
      <c r="C19" s="14">
        <v>0.01</v>
      </c>
      <c r="D19" s="14">
        <v>0.01</v>
      </c>
      <c r="E19" s="14">
        <v>0.02</v>
      </c>
      <c r="F19" s="14">
        <v>0.03</v>
      </c>
      <c r="G19" s="14">
        <v>0.01</v>
      </c>
      <c r="H19" s="14">
        <v>0.02</v>
      </c>
      <c r="I19" s="14">
        <v>0.01</v>
      </c>
      <c r="J19" s="14">
        <v>0.02</v>
      </c>
      <c r="K19" s="14">
        <v>0.03</v>
      </c>
      <c r="L19" s="14">
        <v>0.02</v>
      </c>
      <c r="M19" s="15" t="s">
        <v>485</v>
      </c>
      <c r="N19" s="14">
        <v>0.01</v>
      </c>
      <c r="O19" s="14">
        <v>0.01</v>
      </c>
      <c r="P19" s="14">
        <v>0.01</v>
      </c>
      <c r="Q19" s="14">
        <v>0.01</v>
      </c>
      <c r="R19" s="14">
        <v>0.01</v>
      </c>
      <c r="S19" s="14">
        <v>0.03</v>
      </c>
      <c r="T19" s="14">
        <v>0.01</v>
      </c>
      <c r="U19" s="14">
        <v>0.01</v>
      </c>
      <c r="V19" s="14">
        <v>0.01</v>
      </c>
      <c r="W19" s="14">
        <v>0.01</v>
      </c>
      <c r="X19" s="14">
        <v>0.01</v>
      </c>
      <c r="Y19" s="14">
        <v>0.01</v>
      </c>
      <c r="Z19" s="14">
        <v>0.01</v>
      </c>
      <c r="AA19" s="15" t="s">
        <v>485</v>
      </c>
      <c r="AB19" s="14">
        <v>0.01</v>
      </c>
      <c r="AC19" s="14">
        <v>0.01</v>
      </c>
      <c r="AD19" s="14">
        <v>0.01</v>
      </c>
      <c r="AE19" s="14">
        <v>0.02</v>
      </c>
      <c r="AF19" s="14">
        <v>0.01</v>
      </c>
    </row>
    <row r="20" spans="1:32">
      <c r="A20" s="23"/>
      <c r="B20" s="11" t="s">
        <v>1444</v>
      </c>
      <c r="C20" s="12">
        <v>6564</v>
      </c>
      <c r="D20" s="12">
        <v>255</v>
      </c>
      <c r="E20" s="12">
        <v>374</v>
      </c>
      <c r="F20" s="12">
        <v>551</v>
      </c>
      <c r="G20" s="12">
        <v>164</v>
      </c>
      <c r="H20" s="12">
        <v>272</v>
      </c>
      <c r="I20" s="12">
        <v>350</v>
      </c>
      <c r="J20" s="12">
        <v>77</v>
      </c>
      <c r="K20" s="12">
        <v>329</v>
      </c>
      <c r="L20" s="12">
        <v>215</v>
      </c>
      <c r="M20" s="12">
        <v>410</v>
      </c>
      <c r="N20" s="12">
        <v>137</v>
      </c>
      <c r="O20" s="12">
        <v>105</v>
      </c>
      <c r="P20" s="12">
        <v>528</v>
      </c>
      <c r="Q20" s="12">
        <v>278</v>
      </c>
      <c r="R20" s="12">
        <v>119</v>
      </c>
      <c r="S20" s="12">
        <v>499</v>
      </c>
      <c r="T20" s="12">
        <v>352</v>
      </c>
      <c r="U20" s="12">
        <v>92</v>
      </c>
      <c r="V20" s="12">
        <v>564</v>
      </c>
      <c r="W20" s="12">
        <v>91</v>
      </c>
      <c r="X20" s="12">
        <v>301</v>
      </c>
      <c r="Y20" s="12">
        <v>367</v>
      </c>
      <c r="Z20" s="12">
        <v>274</v>
      </c>
      <c r="AA20" s="12">
        <v>99</v>
      </c>
      <c r="AB20" s="12">
        <v>444</v>
      </c>
      <c r="AC20" s="12">
        <v>302</v>
      </c>
      <c r="AD20" s="12">
        <v>422</v>
      </c>
      <c r="AE20" s="12">
        <v>198</v>
      </c>
      <c r="AF20" s="12">
        <v>287</v>
      </c>
    </row>
    <row r="21" spans="1:32">
      <c r="A21" s="23"/>
      <c r="B21" s="13" t="s">
        <v>1444</v>
      </c>
      <c r="C21" s="14">
        <v>0.25</v>
      </c>
      <c r="D21" s="14">
        <v>0.25</v>
      </c>
      <c r="E21" s="14">
        <v>0.36</v>
      </c>
      <c r="F21" s="14">
        <v>0.55000000000000004</v>
      </c>
      <c r="G21" s="14">
        <v>0.16</v>
      </c>
      <c r="H21" s="14">
        <v>0.22</v>
      </c>
      <c r="I21" s="14">
        <v>0.24</v>
      </c>
      <c r="J21" s="14">
        <v>0.26</v>
      </c>
      <c r="K21" s="14">
        <v>0.33</v>
      </c>
      <c r="L21" s="14">
        <v>0.21</v>
      </c>
      <c r="M21" s="14">
        <v>0.41</v>
      </c>
      <c r="N21" s="14">
        <v>0.14000000000000001</v>
      </c>
      <c r="O21" s="14">
        <v>0.11</v>
      </c>
      <c r="P21" s="14">
        <v>0.52</v>
      </c>
      <c r="Q21" s="14">
        <v>0.27</v>
      </c>
      <c r="R21" s="14">
        <v>0.24</v>
      </c>
      <c r="S21" s="14">
        <v>0.49</v>
      </c>
      <c r="T21" s="14">
        <v>0.35</v>
      </c>
      <c r="U21" s="14">
        <v>0.18</v>
      </c>
      <c r="V21" s="14">
        <v>0.56000000000000005</v>
      </c>
      <c r="W21" s="14">
        <v>0.18</v>
      </c>
      <c r="X21" s="14">
        <v>0.3</v>
      </c>
      <c r="Y21" s="14">
        <v>0.37</v>
      </c>
      <c r="Z21" s="14">
        <v>0.27</v>
      </c>
      <c r="AA21" s="14">
        <v>0.1</v>
      </c>
      <c r="AB21" s="14">
        <v>0.43</v>
      </c>
      <c r="AC21" s="14">
        <v>0.3</v>
      </c>
      <c r="AD21" s="14">
        <v>0.42</v>
      </c>
      <c r="AE21" s="14">
        <v>0.2</v>
      </c>
      <c r="AF21" s="14">
        <v>0.27</v>
      </c>
    </row>
  </sheetData>
  <mergeCells count="10">
    <mergeCell ref="A20:A21"/>
    <mergeCell ref="H5:L5"/>
    <mergeCell ref="B10:B11"/>
    <mergeCell ref="H4:L4"/>
    <mergeCell ref="B4:F4"/>
    <mergeCell ref="H3:L3"/>
    <mergeCell ref="C8:AF8"/>
    <mergeCell ref="B3:F3"/>
    <mergeCell ref="B5:F5"/>
    <mergeCell ref="A10:A19"/>
  </mergeCells>
  <pageMargins left="0.75" right="0.75" top="1" bottom="1" header="0.5" footer="0.5"/>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600-000000000000}">
  <dimension ref="A1:AF21"/>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36" customHeight="1">
      <c r="B3" s="19" t="s">
        <v>1449</v>
      </c>
      <c r="C3" s="19"/>
      <c r="D3" s="19"/>
      <c r="E3" s="19"/>
      <c r="F3" s="19"/>
      <c r="H3" s="19" t="s">
        <v>1450</v>
      </c>
      <c r="I3" s="19"/>
      <c r="J3" s="19"/>
      <c r="K3" s="19"/>
      <c r="L3" s="19"/>
    </row>
    <row r="4" spans="1:32" ht="27" customHeight="1">
      <c r="B4" s="19" t="s">
        <v>1451</v>
      </c>
      <c r="C4" s="19"/>
      <c r="D4" s="19"/>
      <c r="E4" s="19"/>
      <c r="F4" s="19"/>
      <c r="H4" s="19" t="s">
        <v>1452</v>
      </c>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HYPERLINK("#Content!A155","&lt;&lt;Back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1438</v>
      </c>
      <c r="C12" s="12">
        <v>1383</v>
      </c>
      <c r="D12" s="12">
        <v>90</v>
      </c>
      <c r="E12" s="12">
        <v>47</v>
      </c>
      <c r="F12" s="12">
        <v>106</v>
      </c>
      <c r="G12" s="12">
        <v>54</v>
      </c>
      <c r="H12" s="12">
        <v>53</v>
      </c>
      <c r="I12" s="12">
        <v>60</v>
      </c>
      <c r="J12" s="12">
        <v>7</v>
      </c>
      <c r="K12" s="12">
        <v>58</v>
      </c>
      <c r="L12" s="12">
        <v>28</v>
      </c>
      <c r="M12" s="12">
        <v>62</v>
      </c>
      <c r="N12" s="12">
        <v>38</v>
      </c>
      <c r="O12" s="12">
        <v>27</v>
      </c>
      <c r="P12" s="12">
        <v>134</v>
      </c>
      <c r="Q12" s="12">
        <v>46</v>
      </c>
      <c r="R12" s="12">
        <v>25</v>
      </c>
      <c r="S12" s="12">
        <v>70</v>
      </c>
      <c r="T12" s="12">
        <v>57</v>
      </c>
      <c r="U12" s="12">
        <v>23</v>
      </c>
      <c r="V12" s="12">
        <v>184</v>
      </c>
      <c r="W12" s="12">
        <v>12</v>
      </c>
      <c r="X12" s="12">
        <v>96</v>
      </c>
      <c r="Y12" s="12">
        <v>90</v>
      </c>
      <c r="Z12" s="12">
        <v>54</v>
      </c>
      <c r="AA12" s="12">
        <v>8</v>
      </c>
      <c r="AB12" s="12">
        <v>70</v>
      </c>
      <c r="AC12" s="12">
        <v>71</v>
      </c>
      <c r="AD12" s="12">
        <v>142</v>
      </c>
      <c r="AE12" s="12">
        <v>39</v>
      </c>
      <c r="AF12" s="12">
        <v>62</v>
      </c>
    </row>
    <row r="13" spans="1:32">
      <c r="A13" s="23"/>
      <c r="B13" s="13" t="s">
        <v>1439</v>
      </c>
      <c r="C13" s="14">
        <v>0.05</v>
      </c>
      <c r="D13" s="14">
        <v>0.09</v>
      </c>
      <c r="E13" s="14">
        <v>0.04</v>
      </c>
      <c r="F13" s="14">
        <v>0.1</v>
      </c>
      <c r="G13" s="14">
        <v>0.05</v>
      </c>
      <c r="H13" s="14">
        <v>0.04</v>
      </c>
      <c r="I13" s="14">
        <v>0.04</v>
      </c>
      <c r="J13" s="14">
        <v>0.02</v>
      </c>
      <c r="K13" s="14">
        <v>0.06</v>
      </c>
      <c r="L13" s="14">
        <v>0.03</v>
      </c>
      <c r="M13" s="14">
        <v>0.06</v>
      </c>
      <c r="N13" s="14">
        <v>0.04</v>
      </c>
      <c r="O13" s="14">
        <v>0.03</v>
      </c>
      <c r="P13" s="14">
        <v>0.13</v>
      </c>
      <c r="Q13" s="14">
        <v>0.05</v>
      </c>
      <c r="R13" s="14">
        <v>0.05</v>
      </c>
      <c r="S13" s="14">
        <v>7.0000000000000007E-2</v>
      </c>
      <c r="T13" s="14">
        <v>0.06</v>
      </c>
      <c r="U13" s="14">
        <v>0.05</v>
      </c>
      <c r="V13" s="14">
        <v>0.18</v>
      </c>
      <c r="W13" s="14">
        <v>0.02</v>
      </c>
      <c r="X13" s="14">
        <v>0.1</v>
      </c>
      <c r="Y13" s="14">
        <v>0.09</v>
      </c>
      <c r="Z13" s="14">
        <v>0.05</v>
      </c>
      <c r="AA13" s="14">
        <v>0.01</v>
      </c>
      <c r="AB13" s="14">
        <v>7.0000000000000007E-2</v>
      </c>
      <c r="AC13" s="14">
        <v>7.0000000000000007E-2</v>
      </c>
      <c r="AD13" s="14">
        <v>0.14000000000000001</v>
      </c>
      <c r="AE13" s="14">
        <v>0.04</v>
      </c>
      <c r="AF13" s="14">
        <v>0.06</v>
      </c>
    </row>
    <row r="14" spans="1:32">
      <c r="A14" s="23"/>
      <c r="B14" s="11" t="s">
        <v>1440</v>
      </c>
      <c r="C14" s="12">
        <v>6062</v>
      </c>
      <c r="D14" s="12">
        <v>240</v>
      </c>
      <c r="E14" s="12">
        <v>381</v>
      </c>
      <c r="F14" s="12">
        <v>451</v>
      </c>
      <c r="G14" s="12">
        <v>156</v>
      </c>
      <c r="H14" s="12">
        <v>252</v>
      </c>
      <c r="I14" s="12">
        <v>335</v>
      </c>
      <c r="J14" s="12">
        <v>82</v>
      </c>
      <c r="K14" s="12">
        <v>228</v>
      </c>
      <c r="L14" s="12">
        <v>161</v>
      </c>
      <c r="M14" s="12">
        <v>286</v>
      </c>
      <c r="N14" s="12">
        <v>120</v>
      </c>
      <c r="O14" s="12">
        <v>189</v>
      </c>
      <c r="P14" s="12">
        <v>373</v>
      </c>
      <c r="Q14" s="12">
        <v>264</v>
      </c>
      <c r="R14" s="12">
        <v>127</v>
      </c>
      <c r="S14" s="12">
        <v>343</v>
      </c>
      <c r="T14" s="12">
        <v>243</v>
      </c>
      <c r="U14" s="12">
        <v>101</v>
      </c>
      <c r="V14" s="12">
        <v>420</v>
      </c>
      <c r="W14" s="12">
        <v>75</v>
      </c>
      <c r="X14" s="12">
        <v>288</v>
      </c>
      <c r="Y14" s="12">
        <v>260</v>
      </c>
      <c r="Z14" s="12">
        <v>200</v>
      </c>
      <c r="AA14" s="12">
        <v>108</v>
      </c>
      <c r="AB14" s="12">
        <v>318</v>
      </c>
      <c r="AC14" s="12">
        <v>201</v>
      </c>
      <c r="AD14" s="12">
        <v>533</v>
      </c>
      <c r="AE14" s="12">
        <v>236</v>
      </c>
      <c r="AF14" s="12">
        <v>221</v>
      </c>
    </row>
    <row r="15" spans="1:32">
      <c r="A15" s="23"/>
      <c r="B15" s="13" t="s">
        <v>1441</v>
      </c>
      <c r="C15" s="14">
        <v>0.23</v>
      </c>
      <c r="D15" s="14">
        <v>0.24</v>
      </c>
      <c r="E15" s="14">
        <v>0.37</v>
      </c>
      <c r="F15" s="14">
        <v>0.45</v>
      </c>
      <c r="G15" s="14">
        <v>0.16</v>
      </c>
      <c r="H15" s="14">
        <v>0.21</v>
      </c>
      <c r="I15" s="14">
        <v>0.22</v>
      </c>
      <c r="J15" s="14">
        <v>0.28000000000000003</v>
      </c>
      <c r="K15" s="14">
        <v>0.23</v>
      </c>
      <c r="L15" s="14">
        <v>0.16</v>
      </c>
      <c r="M15" s="14">
        <v>0.28999999999999998</v>
      </c>
      <c r="N15" s="14">
        <v>0.12</v>
      </c>
      <c r="O15" s="14">
        <v>0.19</v>
      </c>
      <c r="P15" s="14">
        <v>0.37</v>
      </c>
      <c r="Q15" s="14">
        <v>0.26</v>
      </c>
      <c r="R15" s="14">
        <v>0.25</v>
      </c>
      <c r="S15" s="14">
        <v>0.34</v>
      </c>
      <c r="T15" s="14">
        <v>0.24</v>
      </c>
      <c r="U15" s="14">
        <v>0.2</v>
      </c>
      <c r="V15" s="14">
        <v>0.42</v>
      </c>
      <c r="W15" s="14">
        <v>0.15</v>
      </c>
      <c r="X15" s="14">
        <v>0.28000000000000003</v>
      </c>
      <c r="Y15" s="14">
        <v>0.26</v>
      </c>
      <c r="Z15" s="14">
        <v>0.2</v>
      </c>
      <c r="AA15" s="14">
        <v>0.1</v>
      </c>
      <c r="AB15" s="14">
        <v>0.31</v>
      </c>
      <c r="AC15" s="14">
        <v>0.2</v>
      </c>
      <c r="AD15" s="14">
        <v>0.53</v>
      </c>
      <c r="AE15" s="14">
        <v>0.23</v>
      </c>
      <c r="AF15" s="14">
        <v>0.2</v>
      </c>
    </row>
    <row r="16" spans="1:32">
      <c r="A16" s="23"/>
      <c r="B16" s="11" t="s">
        <v>1442</v>
      </c>
      <c r="C16" s="12">
        <v>18553</v>
      </c>
      <c r="D16" s="12">
        <v>668</v>
      </c>
      <c r="E16" s="12">
        <v>582</v>
      </c>
      <c r="F16" s="12">
        <v>420</v>
      </c>
      <c r="G16" s="12">
        <v>782</v>
      </c>
      <c r="H16" s="12">
        <v>880</v>
      </c>
      <c r="I16" s="12">
        <v>1079</v>
      </c>
      <c r="J16" s="12">
        <v>198</v>
      </c>
      <c r="K16" s="12">
        <v>680</v>
      </c>
      <c r="L16" s="12">
        <v>791</v>
      </c>
      <c r="M16" s="12">
        <v>660</v>
      </c>
      <c r="N16" s="12">
        <v>828</v>
      </c>
      <c r="O16" s="12">
        <v>780</v>
      </c>
      <c r="P16" s="12">
        <v>495</v>
      </c>
      <c r="Q16" s="12">
        <v>711</v>
      </c>
      <c r="R16" s="12">
        <v>341</v>
      </c>
      <c r="S16" s="12">
        <v>550</v>
      </c>
      <c r="T16" s="12">
        <v>680</v>
      </c>
      <c r="U16" s="12">
        <v>377</v>
      </c>
      <c r="V16" s="12">
        <v>394</v>
      </c>
      <c r="W16" s="12">
        <v>411</v>
      </c>
      <c r="X16" s="12">
        <v>621</v>
      </c>
      <c r="Y16" s="12">
        <v>643</v>
      </c>
      <c r="Z16" s="12">
        <v>745</v>
      </c>
      <c r="AA16" s="12">
        <v>924</v>
      </c>
      <c r="AB16" s="12">
        <v>629</v>
      </c>
      <c r="AC16" s="12">
        <v>724</v>
      </c>
      <c r="AD16" s="12">
        <v>317</v>
      </c>
      <c r="AE16" s="12">
        <v>704</v>
      </c>
      <c r="AF16" s="12">
        <v>771</v>
      </c>
    </row>
    <row r="17" spans="1:32">
      <c r="A17" s="23"/>
      <c r="B17" s="13" t="s">
        <v>1443</v>
      </c>
      <c r="C17" s="14">
        <v>0.71</v>
      </c>
      <c r="D17" s="14">
        <v>0.66</v>
      </c>
      <c r="E17" s="14">
        <v>0.56000000000000005</v>
      </c>
      <c r="F17" s="14">
        <v>0.42</v>
      </c>
      <c r="G17" s="14">
        <v>0.78</v>
      </c>
      <c r="H17" s="14">
        <v>0.73</v>
      </c>
      <c r="I17" s="14">
        <v>0.72</v>
      </c>
      <c r="J17" s="14">
        <v>0.68</v>
      </c>
      <c r="K17" s="14">
        <v>0.67</v>
      </c>
      <c r="L17" s="14">
        <v>0.78</v>
      </c>
      <c r="M17" s="14">
        <v>0.65</v>
      </c>
      <c r="N17" s="14">
        <v>0.83000000000000007</v>
      </c>
      <c r="O17" s="14">
        <v>0.77</v>
      </c>
      <c r="P17" s="14">
        <v>0.49</v>
      </c>
      <c r="Q17" s="14">
        <v>0.69000000000000006</v>
      </c>
      <c r="R17" s="14">
        <v>0.68</v>
      </c>
      <c r="S17" s="14">
        <v>0.55000000000000004</v>
      </c>
      <c r="T17" s="14">
        <v>0.68</v>
      </c>
      <c r="U17" s="14">
        <v>0.75</v>
      </c>
      <c r="V17" s="14">
        <v>0.39</v>
      </c>
      <c r="W17" s="14">
        <v>0.82000000000000006</v>
      </c>
      <c r="X17" s="14">
        <v>0.61</v>
      </c>
      <c r="Y17" s="14">
        <v>0.64</v>
      </c>
      <c r="Z17" s="14">
        <v>0.73</v>
      </c>
      <c r="AA17" s="14">
        <v>0.89</v>
      </c>
      <c r="AB17" s="14">
        <v>0.61</v>
      </c>
      <c r="AC17" s="14">
        <v>0.72</v>
      </c>
      <c r="AD17" s="14">
        <v>0.32</v>
      </c>
      <c r="AE17" s="14">
        <v>0.70000000000000007</v>
      </c>
      <c r="AF17" s="14">
        <v>0.72</v>
      </c>
    </row>
    <row r="18" spans="1:32">
      <c r="A18" s="23"/>
      <c r="B18" s="11" t="s">
        <v>497</v>
      </c>
      <c r="C18" s="12">
        <v>356</v>
      </c>
      <c r="D18" s="12">
        <v>8</v>
      </c>
      <c r="E18" s="12">
        <v>34</v>
      </c>
      <c r="F18" s="12">
        <v>30</v>
      </c>
      <c r="G18" s="12">
        <v>11</v>
      </c>
      <c r="H18" s="12">
        <v>25</v>
      </c>
      <c r="I18" s="12">
        <v>30</v>
      </c>
      <c r="J18" s="12">
        <v>5</v>
      </c>
      <c r="K18" s="12">
        <v>39</v>
      </c>
      <c r="L18" s="12">
        <v>27</v>
      </c>
      <c r="M18" s="12">
        <v>3</v>
      </c>
      <c r="N18" s="12">
        <v>14</v>
      </c>
      <c r="O18" s="12">
        <v>10</v>
      </c>
      <c r="P18" s="12">
        <v>9</v>
      </c>
      <c r="Q18" s="12">
        <v>3</v>
      </c>
      <c r="R18" s="12">
        <v>9</v>
      </c>
      <c r="S18" s="12">
        <v>42</v>
      </c>
      <c r="T18" s="12">
        <v>24</v>
      </c>
      <c r="U18" s="12">
        <v>2</v>
      </c>
      <c r="V18" s="12">
        <v>13</v>
      </c>
      <c r="W18" s="12">
        <v>5</v>
      </c>
      <c r="X18" s="12">
        <v>11</v>
      </c>
      <c r="Y18" s="12">
        <v>13</v>
      </c>
      <c r="Z18" s="12">
        <v>17</v>
      </c>
      <c r="AA18" s="12">
        <v>0</v>
      </c>
      <c r="AB18" s="12">
        <v>15</v>
      </c>
      <c r="AC18" s="12">
        <v>8</v>
      </c>
      <c r="AD18" s="12">
        <v>11</v>
      </c>
      <c r="AE18" s="12">
        <v>28</v>
      </c>
      <c r="AF18" s="12">
        <v>18</v>
      </c>
    </row>
    <row r="19" spans="1:32">
      <c r="A19" s="23"/>
      <c r="B19" s="13" t="s">
        <v>498</v>
      </c>
      <c r="C19" s="14">
        <v>0.01</v>
      </c>
      <c r="D19" s="14">
        <v>0.01</v>
      </c>
      <c r="E19" s="14">
        <v>0.03</v>
      </c>
      <c r="F19" s="14">
        <v>0.03</v>
      </c>
      <c r="G19" s="14">
        <v>0.01</v>
      </c>
      <c r="H19" s="14">
        <v>0.02</v>
      </c>
      <c r="I19" s="14">
        <v>0.02</v>
      </c>
      <c r="J19" s="14">
        <v>0.02</v>
      </c>
      <c r="K19" s="14">
        <v>0.04</v>
      </c>
      <c r="L19" s="14">
        <v>0.03</v>
      </c>
      <c r="M19" s="15" t="s">
        <v>485</v>
      </c>
      <c r="N19" s="14">
        <v>0.01</v>
      </c>
      <c r="O19" s="14">
        <v>0.01</v>
      </c>
      <c r="P19" s="14">
        <v>0.01</v>
      </c>
      <c r="Q19" s="15" t="s">
        <v>485</v>
      </c>
      <c r="R19" s="14">
        <v>0.02</v>
      </c>
      <c r="S19" s="14">
        <v>0.04</v>
      </c>
      <c r="T19" s="14">
        <v>0.02</v>
      </c>
      <c r="U19" s="15" t="s">
        <v>485</v>
      </c>
      <c r="V19" s="14">
        <v>0.01</v>
      </c>
      <c r="W19" s="14">
        <v>0.01</v>
      </c>
      <c r="X19" s="14">
        <v>0.01</v>
      </c>
      <c r="Y19" s="14">
        <v>0.01</v>
      </c>
      <c r="Z19" s="14">
        <v>0.02</v>
      </c>
      <c r="AA19" s="15" t="s">
        <v>485</v>
      </c>
      <c r="AB19" s="14">
        <v>0.01</v>
      </c>
      <c r="AC19" s="14">
        <v>0.01</v>
      </c>
      <c r="AD19" s="14">
        <v>0.01</v>
      </c>
      <c r="AE19" s="14">
        <v>0.03</v>
      </c>
      <c r="AF19" s="14">
        <v>0.02</v>
      </c>
    </row>
    <row r="20" spans="1:32">
      <c r="A20" s="23"/>
      <c r="B20" s="11" t="s">
        <v>1444</v>
      </c>
      <c r="C20" s="12">
        <v>7445</v>
      </c>
      <c r="D20" s="12">
        <v>330</v>
      </c>
      <c r="E20" s="12">
        <v>428</v>
      </c>
      <c r="F20" s="12">
        <v>557</v>
      </c>
      <c r="G20" s="12">
        <v>210</v>
      </c>
      <c r="H20" s="12">
        <v>305</v>
      </c>
      <c r="I20" s="12">
        <v>395</v>
      </c>
      <c r="J20" s="12">
        <v>89</v>
      </c>
      <c r="K20" s="12">
        <v>286</v>
      </c>
      <c r="L20" s="12">
        <v>189</v>
      </c>
      <c r="M20" s="12">
        <v>348</v>
      </c>
      <c r="N20" s="12">
        <v>158</v>
      </c>
      <c r="O20" s="12">
        <v>216</v>
      </c>
      <c r="P20" s="12">
        <v>507</v>
      </c>
      <c r="Q20" s="12">
        <v>310</v>
      </c>
      <c r="R20" s="12">
        <v>152</v>
      </c>
      <c r="S20" s="12">
        <v>413</v>
      </c>
      <c r="T20" s="12">
        <v>300</v>
      </c>
      <c r="U20" s="12">
        <v>124</v>
      </c>
      <c r="V20" s="12">
        <v>604</v>
      </c>
      <c r="W20" s="12">
        <v>87</v>
      </c>
      <c r="X20" s="12">
        <v>384</v>
      </c>
      <c r="Y20" s="12">
        <v>350</v>
      </c>
      <c r="Z20" s="12">
        <v>254</v>
      </c>
      <c r="AA20" s="12">
        <v>116</v>
      </c>
      <c r="AB20" s="12">
        <v>388</v>
      </c>
      <c r="AC20" s="12">
        <v>272</v>
      </c>
      <c r="AD20" s="12">
        <v>675</v>
      </c>
      <c r="AE20" s="12">
        <v>275</v>
      </c>
      <c r="AF20" s="12">
        <v>283</v>
      </c>
    </row>
    <row r="21" spans="1:32">
      <c r="A21" s="23"/>
      <c r="B21" s="13" t="s">
        <v>1444</v>
      </c>
      <c r="C21" s="14">
        <v>0.28000000000000003</v>
      </c>
      <c r="D21" s="14">
        <v>0.33</v>
      </c>
      <c r="E21" s="14">
        <v>0.41</v>
      </c>
      <c r="F21" s="14">
        <v>0.55000000000000004</v>
      </c>
      <c r="G21" s="14">
        <v>0.21</v>
      </c>
      <c r="H21" s="14">
        <v>0.25</v>
      </c>
      <c r="I21" s="14">
        <v>0.26</v>
      </c>
      <c r="J21" s="14">
        <v>0.3</v>
      </c>
      <c r="K21" s="14">
        <v>0.28999999999999998</v>
      </c>
      <c r="L21" s="14">
        <v>0.19</v>
      </c>
      <c r="M21" s="14">
        <v>0.35</v>
      </c>
      <c r="N21" s="14">
        <v>0.16</v>
      </c>
      <c r="O21" s="14">
        <v>0.22</v>
      </c>
      <c r="P21" s="14">
        <v>0.5</v>
      </c>
      <c r="Q21" s="14">
        <v>0.31</v>
      </c>
      <c r="R21" s="14">
        <v>0.3</v>
      </c>
      <c r="S21" s="14">
        <v>0.41</v>
      </c>
      <c r="T21" s="14">
        <v>0.3</v>
      </c>
      <c r="U21" s="14">
        <v>0.25</v>
      </c>
      <c r="V21" s="14">
        <v>0.6</v>
      </c>
      <c r="W21" s="14">
        <v>0.17</v>
      </c>
      <c r="X21" s="14">
        <v>0.38</v>
      </c>
      <c r="Y21" s="14">
        <v>0.35</v>
      </c>
      <c r="Z21" s="14">
        <v>0.25</v>
      </c>
      <c r="AA21" s="14">
        <v>0.11</v>
      </c>
      <c r="AB21" s="14">
        <v>0.38</v>
      </c>
      <c r="AC21" s="14">
        <v>0.27</v>
      </c>
      <c r="AD21" s="14">
        <v>0.67</v>
      </c>
      <c r="AE21" s="14">
        <v>0.27</v>
      </c>
      <c r="AF21" s="14">
        <v>0.26</v>
      </c>
    </row>
  </sheetData>
  <mergeCells count="10">
    <mergeCell ref="A20:A21"/>
    <mergeCell ref="H5:L5"/>
    <mergeCell ref="B10:B11"/>
    <mergeCell ref="H4:L4"/>
    <mergeCell ref="B4:F4"/>
    <mergeCell ref="H3:L3"/>
    <mergeCell ref="C8:AF8"/>
    <mergeCell ref="B3:F3"/>
    <mergeCell ref="B5:F5"/>
    <mergeCell ref="A10:A19"/>
  </mergeCells>
  <pageMargins left="0.75" right="0.75" top="1" bottom="1" header="0.5" footer="0.5"/>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700-000000000000}">
  <dimension ref="A1:AF17"/>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12" customHeight="1">
      <c r="B3" s="19" t="s">
        <v>309</v>
      </c>
      <c r="C3" s="19"/>
      <c r="D3" s="19"/>
      <c r="E3" s="19"/>
      <c r="F3" s="19"/>
      <c r="H3" s="19" t="s">
        <v>310</v>
      </c>
      <c r="I3" s="19"/>
      <c r="J3" s="19"/>
      <c r="K3" s="19"/>
      <c r="L3" s="19"/>
    </row>
    <row r="4" spans="1:32" ht="27" customHeight="1">
      <c r="B4" s="19"/>
      <c r="C4" s="19"/>
      <c r="D4" s="19"/>
      <c r="E4" s="19"/>
      <c r="F4" s="19"/>
      <c r="H4" s="19"/>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HYPERLINK("#Content!A156","&lt;&lt;Back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1453</v>
      </c>
      <c r="C12" s="12">
        <v>1640</v>
      </c>
      <c r="D12" s="12">
        <v>102</v>
      </c>
      <c r="E12" s="12">
        <v>46</v>
      </c>
      <c r="F12" s="12">
        <v>112</v>
      </c>
      <c r="G12" s="12">
        <v>42</v>
      </c>
      <c r="H12" s="12">
        <v>69</v>
      </c>
      <c r="I12" s="12">
        <v>77</v>
      </c>
      <c r="J12" s="12">
        <v>8</v>
      </c>
      <c r="K12" s="12">
        <v>63</v>
      </c>
      <c r="L12" s="12">
        <v>33</v>
      </c>
      <c r="M12" s="12">
        <v>87</v>
      </c>
      <c r="N12" s="12">
        <v>32</v>
      </c>
      <c r="O12" s="12">
        <v>22</v>
      </c>
      <c r="P12" s="12">
        <v>130</v>
      </c>
      <c r="Q12" s="12">
        <v>69</v>
      </c>
      <c r="R12" s="12">
        <v>27</v>
      </c>
      <c r="S12" s="12">
        <v>90</v>
      </c>
      <c r="T12" s="12">
        <v>54</v>
      </c>
      <c r="U12" s="12">
        <v>18</v>
      </c>
      <c r="V12" s="12">
        <v>157</v>
      </c>
      <c r="W12" s="12">
        <v>11</v>
      </c>
      <c r="X12" s="12">
        <v>113</v>
      </c>
      <c r="Y12" s="12">
        <v>128</v>
      </c>
      <c r="Z12" s="12">
        <v>83</v>
      </c>
      <c r="AA12" s="12">
        <v>6</v>
      </c>
      <c r="AB12" s="12">
        <v>117</v>
      </c>
      <c r="AC12" s="12">
        <v>85</v>
      </c>
      <c r="AD12" s="12">
        <v>114</v>
      </c>
      <c r="AE12" s="12">
        <v>47</v>
      </c>
      <c r="AF12" s="12">
        <v>69</v>
      </c>
    </row>
    <row r="13" spans="1:32">
      <c r="A13" s="23"/>
      <c r="B13" s="13" t="s">
        <v>1453</v>
      </c>
      <c r="C13" s="14">
        <v>0.06</v>
      </c>
      <c r="D13" s="14">
        <v>0.1</v>
      </c>
      <c r="E13" s="14">
        <v>0.04</v>
      </c>
      <c r="F13" s="14">
        <v>0.11</v>
      </c>
      <c r="G13" s="14">
        <v>0.04</v>
      </c>
      <c r="H13" s="14">
        <v>0.06</v>
      </c>
      <c r="I13" s="14">
        <v>0.05</v>
      </c>
      <c r="J13" s="14">
        <v>0.03</v>
      </c>
      <c r="K13" s="14">
        <v>0.06</v>
      </c>
      <c r="L13" s="14">
        <v>0.03</v>
      </c>
      <c r="M13" s="14">
        <v>0.09</v>
      </c>
      <c r="N13" s="14">
        <v>0.03</v>
      </c>
      <c r="O13" s="14">
        <v>0.02</v>
      </c>
      <c r="P13" s="14">
        <v>0.13</v>
      </c>
      <c r="Q13" s="14">
        <v>7.0000000000000007E-2</v>
      </c>
      <c r="R13" s="14">
        <v>0.05</v>
      </c>
      <c r="S13" s="14">
        <v>0.09</v>
      </c>
      <c r="T13" s="14">
        <v>0.06</v>
      </c>
      <c r="U13" s="14">
        <v>0.04</v>
      </c>
      <c r="V13" s="14">
        <v>0.15</v>
      </c>
      <c r="W13" s="14">
        <v>0.02</v>
      </c>
      <c r="X13" s="14">
        <v>0.11</v>
      </c>
      <c r="Y13" s="14">
        <v>0.13</v>
      </c>
      <c r="Z13" s="14">
        <v>0.08</v>
      </c>
      <c r="AA13" s="14">
        <v>0.01</v>
      </c>
      <c r="AB13" s="14">
        <v>0.11</v>
      </c>
      <c r="AC13" s="14">
        <v>0.08</v>
      </c>
      <c r="AD13" s="14">
        <v>0.11</v>
      </c>
      <c r="AE13" s="14">
        <v>0.05</v>
      </c>
      <c r="AF13" s="14">
        <v>0.06</v>
      </c>
    </row>
    <row r="14" spans="1:32">
      <c r="A14" s="23"/>
      <c r="B14" s="11" t="s">
        <v>1454</v>
      </c>
      <c r="C14" s="12">
        <v>7923</v>
      </c>
      <c r="D14" s="12">
        <v>314</v>
      </c>
      <c r="E14" s="12">
        <v>446</v>
      </c>
      <c r="F14" s="12">
        <v>525</v>
      </c>
      <c r="G14" s="12">
        <v>391</v>
      </c>
      <c r="H14" s="12">
        <v>370</v>
      </c>
      <c r="I14" s="12">
        <v>490</v>
      </c>
      <c r="J14" s="12">
        <v>120</v>
      </c>
      <c r="K14" s="12">
        <v>338</v>
      </c>
      <c r="L14" s="12">
        <v>238</v>
      </c>
      <c r="M14" s="12">
        <v>376</v>
      </c>
      <c r="N14" s="12">
        <v>163</v>
      </c>
      <c r="O14" s="12">
        <v>225</v>
      </c>
      <c r="P14" s="12">
        <v>458</v>
      </c>
      <c r="Q14" s="12">
        <v>285</v>
      </c>
      <c r="R14" s="12">
        <v>146</v>
      </c>
      <c r="S14" s="12">
        <v>477</v>
      </c>
      <c r="T14" s="12">
        <v>374</v>
      </c>
      <c r="U14" s="12">
        <v>131</v>
      </c>
      <c r="V14" s="12">
        <v>514</v>
      </c>
      <c r="W14" s="12">
        <v>119</v>
      </c>
      <c r="X14" s="12">
        <v>458</v>
      </c>
      <c r="Y14" s="12">
        <v>329</v>
      </c>
      <c r="Z14" s="12">
        <v>276</v>
      </c>
      <c r="AA14" s="12">
        <v>118</v>
      </c>
      <c r="AB14" s="12">
        <v>423</v>
      </c>
      <c r="AC14" s="12">
        <v>306</v>
      </c>
      <c r="AD14" s="12">
        <v>573</v>
      </c>
      <c r="AE14" s="12">
        <v>282</v>
      </c>
      <c r="AF14" s="12">
        <v>365</v>
      </c>
    </row>
    <row r="15" spans="1:32">
      <c r="A15" s="23"/>
      <c r="B15" s="13" t="s">
        <v>1455</v>
      </c>
      <c r="C15" s="14">
        <v>0.3</v>
      </c>
      <c r="D15" s="14">
        <v>0.31</v>
      </c>
      <c r="E15" s="14">
        <v>0.43</v>
      </c>
      <c r="F15" s="14">
        <v>0.52</v>
      </c>
      <c r="G15" s="14">
        <v>0.39</v>
      </c>
      <c r="H15" s="14">
        <v>0.3</v>
      </c>
      <c r="I15" s="14">
        <v>0.33</v>
      </c>
      <c r="J15" s="14">
        <v>0.41</v>
      </c>
      <c r="K15" s="14">
        <v>0.34</v>
      </c>
      <c r="L15" s="14">
        <v>0.24</v>
      </c>
      <c r="M15" s="14">
        <v>0.37</v>
      </c>
      <c r="N15" s="14">
        <v>0.16</v>
      </c>
      <c r="O15" s="14">
        <v>0.22</v>
      </c>
      <c r="P15" s="14">
        <v>0.45</v>
      </c>
      <c r="Q15" s="14">
        <v>0.28000000000000003</v>
      </c>
      <c r="R15" s="14">
        <v>0.28999999999999998</v>
      </c>
      <c r="S15" s="14">
        <v>0.47</v>
      </c>
      <c r="T15" s="14">
        <v>0.37</v>
      </c>
      <c r="U15" s="14">
        <v>0.26</v>
      </c>
      <c r="V15" s="14">
        <v>0.51</v>
      </c>
      <c r="W15" s="14">
        <v>0.24</v>
      </c>
      <c r="X15" s="14">
        <v>0.45</v>
      </c>
      <c r="Y15" s="14">
        <v>0.33</v>
      </c>
      <c r="Z15" s="14">
        <v>0.27</v>
      </c>
      <c r="AA15" s="14">
        <v>0.11</v>
      </c>
      <c r="AB15" s="14">
        <v>0.41</v>
      </c>
      <c r="AC15" s="14">
        <v>0.31</v>
      </c>
      <c r="AD15" s="14">
        <v>0.57000000000000006</v>
      </c>
      <c r="AE15" s="14">
        <v>0.28000000000000003</v>
      </c>
      <c r="AF15" s="14">
        <v>0.34</v>
      </c>
    </row>
    <row r="16" spans="1:32">
      <c r="A16" s="23"/>
      <c r="B16" s="11" t="s">
        <v>1456</v>
      </c>
      <c r="C16" s="12">
        <v>16792</v>
      </c>
      <c r="D16" s="12">
        <v>590</v>
      </c>
      <c r="E16" s="12">
        <v>552</v>
      </c>
      <c r="F16" s="12">
        <v>370</v>
      </c>
      <c r="G16" s="12">
        <v>570</v>
      </c>
      <c r="H16" s="12">
        <v>771</v>
      </c>
      <c r="I16" s="12">
        <v>937</v>
      </c>
      <c r="J16" s="12">
        <v>166</v>
      </c>
      <c r="K16" s="12">
        <v>603</v>
      </c>
      <c r="L16" s="12">
        <v>736</v>
      </c>
      <c r="M16" s="12">
        <v>548</v>
      </c>
      <c r="N16" s="12">
        <v>805</v>
      </c>
      <c r="O16" s="12">
        <v>759</v>
      </c>
      <c r="P16" s="12">
        <v>424</v>
      </c>
      <c r="Q16" s="12">
        <v>670</v>
      </c>
      <c r="R16" s="12">
        <v>329</v>
      </c>
      <c r="S16" s="12">
        <v>438</v>
      </c>
      <c r="T16" s="12">
        <v>576</v>
      </c>
      <c r="U16" s="12">
        <v>354</v>
      </c>
      <c r="V16" s="12">
        <v>341</v>
      </c>
      <c r="W16" s="12">
        <v>373</v>
      </c>
      <c r="X16" s="12">
        <v>445</v>
      </c>
      <c r="Y16" s="12">
        <v>550</v>
      </c>
      <c r="Z16" s="12">
        <v>658</v>
      </c>
      <c r="AA16" s="12">
        <v>916</v>
      </c>
      <c r="AB16" s="12">
        <v>491</v>
      </c>
      <c r="AC16" s="12">
        <v>614</v>
      </c>
      <c r="AD16" s="12">
        <v>315</v>
      </c>
      <c r="AE16" s="12">
        <v>679</v>
      </c>
      <c r="AF16" s="12">
        <v>638</v>
      </c>
    </row>
    <row r="17" spans="1:32">
      <c r="A17" s="23"/>
      <c r="B17" s="13" t="s">
        <v>1457</v>
      </c>
      <c r="C17" s="14">
        <v>0.64</v>
      </c>
      <c r="D17" s="14">
        <v>0.59</v>
      </c>
      <c r="E17" s="14">
        <v>0.53</v>
      </c>
      <c r="F17" s="14">
        <v>0.37</v>
      </c>
      <c r="G17" s="14">
        <v>0.57000000000000006</v>
      </c>
      <c r="H17" s="14">
        <v>0.64</v>
      </c>
      <c r="I17" s="14">
        <v>0.62</v>
      </c>
      <c r="J17" s="14">
        <v>0.56000000000000005</v>
      </c>
      <c r="K17" s="14">
        <v>0.6</v>
      </c>
      <c r="L17" s="14">
        <v>0.73</v>
      </c>
      <c r="M17" s="14">
        <v>0.54</v>
      </c>
      <c r="N17" s="14">
        <v>0.81</v>
      </c>
      <c r="O17" s="14">
        <v>0.76</v>
      </c>
      <c r="P17" s="14">
        <v>0.42</v>
      </c>
      <c r="Q17" s="14">
        <v>0.65</v>
      </c>
      <c r="R17" s="14">
        <v>0.66</v>
      </c>
      <c r="S17" s="14">
        <v>0.44</v>
      </c>
      <c r="T17" s="14">
        <v>0.57000000000000006</v>
      </c>
      <c r="U17" s="14">
        <v>0.70000000000000007</v>
      </c>
      <c r="V17" s="14">
        <v>0.34</v>
      </c>
      <c r="W17" s="14">
        <v>0.74</v>
      </c>
      <c r="X17" s="14">
        <v>0.44</v>
      </c>
      <c r="Y17" s="14">
        <v>0.54</v>
      </c>
      <c r="Z17" s="14">
        <v>0.65</v>
      </c>
      <c r="AA17" s="14">
        <v>0.88</v>
      </c>
      <c r="AB17" s="14">
        <v>0.48</v>
      </c>
      <c r="AC17" s="14">
        <v>0.61</v>
      </c>
      <c r="AD17" s="14">
        <v>0.32</v>
      </c>
      <c r="AE17" s="14">
        <v>0.67</v>
      </c>
      <c r="AF17" s="14">
        <v>0.6</v>
      </c>
    </row>
  </sheetData>
  <mergeCells count="9">
    <mergeCell ref="B10:B11"/>
    <mergeCell ref="A10:A17"/>
    <mergeCell ref="H4:L4"/>
    <mergeCell ref="B4:F4"/>
    <mergeCell ref="H3:L3"/>
    <mergeCell ref="C8:AF8"/>
    <mergeCell ref="B3:F3"/>
    <mergeCell ref="B5:F5"/>
    <mergeCell ref="H5:L5"/>
  </mergeCells>
  <pageMargins left="0.75" right="0.75" top="1" bottom="1" header="0.5" footer="0.5"/>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800-000000000000}">
  <dimension ref="A1:AF27"/>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311</v>
      </c>
      <c r="C3" s="19"/>
      <c r="D3" s="19"/>
      <c r="E3" s="19"/>
      <c r="F3" s="19"/>
      <c r="H3" s="19" t="s">
        <v>312</v>
      </c>
      <c r="I3" s="19"/>
      <c r="J3" s="19"/>
      <c r="K3" s="19"/>
      <c r="L3" s="19"/>
    </row>
    <row r="4" spans="1:32" ht="27" customHeight="1">
      <c r="B4" s="19"/>
      <c r="C4" s="19"/>
      <c r="D4" s="19"/>
      <c r="E4" s="19"/>
      <c r="F4" s="19"/>
      <c r="H4" s="19"/>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HYPERLINK("#Content!A157","&lt;&lt;Back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1458</v>
      </c>
      <c r="C12" s="12">
        <v>5953</v>
      </c>
      <c r="D12" s="12">
        <v>189</v>
      </c>
      <c r="E12" s="12">
        <v>379</v>
      </c>
      <c r="F12" s="12">
        <v>249</v>
      </c>
      <c r="G12" s="12">
        <v>63</v>
      </c>
      <c r="H12" s="12">
        <v>140</v>
      </c>
      <c r="I12" s="12">
        <v>170</v>
      </c>
      <c r="J12" s="12">
        <v>30</v>
      </c>
      <c r="K12" s="12">
        <v>106</v>
      </c>
      <c r="L12" s="12">
        <v>225</v>
      </c>
      <c r="M12" s="12">
        <v>565</v>
      </c>
      <c r="N12" s="12">
        <v>432</v>
      </c>
      <c r="O12" s="12">
        <v>232</v>
      </c>
      <c r="P12" s="12">
        <v>514</v>
      </c>
      <c r="Q12" s="12">
        <v>241</v>
      </c>
      <c r="R12" s="12">
        <v>284</v>
      </c>
      <c r="S12" s="12">
        <v>315</v>
      </c>
      <c r="T12" s="12">
        <v>187</v>
      </c>
      <c r="U12" s="12">
        <v>69</v>
      </c>
      <c r="V12" s="12">
        <v>329</v>
      </c>
      <c r="W12" s="12">
        <v>267</v>
      </c>
      <c r="X12" s="12">
        <v>185</v>
      </c>
      <c r="Y12" s="12">
        <v>179</v>
      </c>
      <c r="Z12" s="12">
        <v>73</v>
      </c>
      <c r="AA12" s="12">
        <v>351</v>
      </c>
      <c r="AB12" s="12">
        <v>285</v>
      </c>
      <c r="AC12" s="12">
        <v>441</v>
      </c>
      <c r="AD12" s="12">
        <v>188</v>
      </c>
      <c r="AE12" s="12">
        <v>24</v>
      </c>
      <c r="AF12" s="12">
        <v>100</v>
      </c>
    </row>
    <row r="13" spans="1:32">
      <c r="A13" s="23"/>
      <c r="B13" s="13" t="s">
        <v>1459</v>
      </c>
      <c r="C13" s="14">
        <v>0.23</v>
      </c>
      <c r="D13" s="14">
        <v>0.19</v>
      </c>
      <c r="E13" s="14">
        <v>0.36</v>
      </c>
      <c r="F13" s="14">
        <v>0.25</v>
      </c>
      <c r="G13" s="14">
        <v>0.06</v>
      </c>
      <c r="H13" s="14">
        <v>0.12</v>
      </c>
      <c r="I13" s="14">
        <v>0.11</v>
      </c>
      <c r="J13" s="14">
        <v>0.1</v>
      </c>
      <c r="K13" s="14">
        <v>0.11</v>
      </c>
      <c r="L13" s="14">
        <v>0.22</v>
      </c>
      <c r="M13" s="14">
        <v>0.56000000000000005</v>
      </c>
      <c r="N13" s="14">
        <v>0.43</v>
      </c>
      <c r="O13" s="14">
        <v>0.23</v>
      </c>
      <c r="P13" s="14">
        <v>0.51</v>
      </c>
      <c r="Q13" s="14">
        <v>0.24</v>
      </c>
      <c r="R13" s="14">
        <v>0.57000000000000006</v>
      </c>
      <c r="S13" s="14">
        <v>0.32</v>
      </c>
      <c r="T13" s="14">
        <v>0.18</v>
      </c>
      <c r="U13" s="14">
        <v>0.14000000000000001</v>
      </c>
      <c r="V13" s="14">
        <v>0.32</v>
      </c>
      <c r="W13" s="14">
        <v>0.53</v>
      </c>
      <c r="X13" s="14">
        <v>0.18</v>
      </c>
      <c r="Y13" s="14">
        <v>0.18</v>
      </c>
      <c r="Z13" s="14">
        <v>7.0000000000000007E-2</v>
      </c>
      <c r="AA13" s="14">
        <v>0.34</v>
      </c>
      <c r="AB13" s="14">
        <v>0.28000000000000003</v>
      </c>
      <c r="AC13" s="14">
        <v>0.44</v>
      </c>
      <c r="AD13" s="14">
        <v>0.19</v>
      </c>
      <c r="AE13" s="14">
        <v>0.02</v>
      </c>
      <c r="AF13" s="14">
        <v>0.09</v>
      </c>
    </row>
    <row r="14" spans="1:32">
      <c r="A14" s="23"/>
      <c r="B14" s="11" t="s">
        <v>1460</v>
      </c>
      <c r="C14" s="12">
        <v>12124</v>
      </c>
      <c r="D14" s="12">
        <v>408</v>
      </c>
      <c r="E14" s="12">
        <v>462</v>
      </c>
      <c r="F14" s="12">
        <v>507</v>
      </c>
      <c r="G14" s="12">
        <v>220</v>
      </c>
      <c r="H14" s="12">
        <v>484</v>
      </c>
      <c r="I14" s="12">
        <v>622</v>
      </c>
      <c r="J14" s="12">
        <v>138</v>
      </c>
      <c r="K14" s="12">
        <v>380</v>
      </c>
      <c r="L14" s="12">
        <v>409</v>
      </c>
      <c r="M14" s="12">
        <v>420</v>
      </c>
      <c r="N14" s="12">
        <v>461</v>
      </c>
      <c r="O14" s="12">
        <v>452</v>
      </c>
      <c r="P14" s="12">
        <v>414</v>
      </c>
      <c r="Q14" s="12">
        <v>595</v>
      </c>
      <c r="R14" s="12">
        <v>167</v>
      </c>
      <c r="S14" s="12">
        <v>481</v>
      </c>
      <c r="T14" s="12">
        <v>621</v>
      </c>
      <c r="U14" s="12">
        <v>191</v>
      </c>
      <c r="V14" s="12">
        <v>570</v>
      </c>
      <c r="W14" s="12">
        <v>151</v>
      </c>
      <c r="X14" s="12">
        <v>379</v>
      </c>
      <c r="Y14" s="12">
        <v>401</v>
      </c>
      <c r="Z14" s="12">
        <v>490</v>
      </c>
      <c r="AA14" s="12">
        <v>588</v>
      </c>
      <c r="AB14" s="12">
        <v>486</v>
      </c>
      <c r="AC14" s="12">
        <v>419</v>
      </c>
      <c r="AD14" s="12">
        <v>587</v>
      </c>
      <c r="AE14" s="12">
        <v>192</v>
      </c>
      <c r="AF14" s="12">
        <v>455</v>
      </c>
    </row>
    <row r="15" spans="1:32">
      <c r="A15" s="23"/>
      <c r="B15" s="13" t="s">
        <v>1461</v>
      </c>
      <c r="C15" s="14">
        <v>0.46</v>
      </c>
      <c r="D15" s="14">
        <v>0.4</v>
      </c>
      <c r="E15" s="14">
        <v>0.44</v>
      </c>
      <c r="F15" s="14">
        <v>0.5</v>
      </c>
      <c r="G15" s="14">
        <v>0.22</v>
      </c>
      <c r="H15" s="14">
        <v>0.4</v>
      </c>
      <c r="I15" s="14">
        <v>0.41</v>
      </c>
      <c r="J15" s="14">
        <v>0.47</v>
      </c>
      <c r="K15" s="14">
        <v>0.38</v>
      </c>
      <c r="L15" s="14">
        <v>0.41</v>
      </c>
      <c r="M15" s="14">
        <v>0.41</v>
      </c>
      <c r="N15" s="14">
        <v>0.46</v>
      </c>
      <c r="O15" s="14">
        <v>0.45</v>
      </c>
      <c r="P15" s="14">
        <v>0.41</v>
      </c>
      <c r="Q15" s="14">
        <v>0.57999999999999996</v>
      </c>
      <c r="R15" s="14">
        <v>0.33</v>
      </c>
      <c r="S15" s="14">
        <v>0.48</v>
      </c>
      <c r="T15" s="14">
        <v>0.62</v>
      </c>
      <c r="U15" s="14">
        <v>0.38</v>
      </c>
      <c r="V15" s="14">
        <v>0.56000000000000005</v>
      </c>
      <c r="W15" s="14">
        <v>0.3</v>
      </c>
      <c r="X15" s="14">
        <v>0.38</v>
      </c>
      <c r="Y15" s="14">
        <v>0.4</v>
      </c>
      <c r="Z15" s="14">
        <v>0.48</v>
      </c>
      <c r="AA15" s="14">
        <v>0.57000000000000006</v>
      </c>
      <c r="AB15" s="14">
        <v>0.47</v>
      </c>
      <c r="AC15" s="14">
        <v>0.41</v>
      </c>
      <c r="AD15" s="14">
        <v>0.59</v>
      </c>
      <c r="AE15" s="14">
        <v>0.19</v>
      </c>
      <c r="AF15" s="14">
        <v>0.42</v>
      </c>
    </row>
    <row r="16" spans="1:32">
      <c r="A16" s="23"/>
      <c r="B16" s="11" t="s">
        <v>1462</v>
      </c>
      <c r="C16" s="12">
        <v>5693</v>
      </c>
      <c r="D16" s="12">
        <v>289</v>
      </c>
      <c r="E16" s="12">
        <v>95</v>
      </c>
      <c r="F16" s="12">
        <v>183</v>
      </c>
      <c r="G16" s="12">
        <v>440</v>
      </c>
      <c r="H16" s="12">
        <v>407</v>
      </c>
      <c r="I16" s="12">
        <v>493</v>
      </c>
      <c r="J16" s="12">
        <v>86</v>
      </c>
      <c r="K16" s="12">
        <v>309</v>
      </c>
      <c r="L16" s="12">
        <v>238</v>
      </c>
      <c r="M16" s="12">
        <v>17</v>
      </c>
      <c r="N16" s="12">
        <v>78</v>
      </c>
      <c r="O16" s="12">
        <v>231</v>
      </c>
      <c r="P16" s="12">
        <v>59</v>
      </c>
      <c r="Q16" s="12">
        <v>128</v>
      </c>
      <c r="R16" s="12">
        <v>24</v>
      </c>
      <c r="S16" s="12">
        <v>92</v>
      </c>
      <c r="T16" s="12">
        <v>131</v>
      </c>
      <c r="U16" s="12">
        <v>147</v>
      </c>
      <c r="V16" s="12">
        <v>80</v>
      </c>
      <c r="W16" s="12">
        <v>41</v>
      </c>
      <c r="X16" s="12">
        <v>348</v>
      </c>
      <c r="Y16" s="12">
        <v>224</v>
      </c>
      <c r="Z16" s="12">
        <v>311</v>
      </c>
      <c r="AA16" s="12">
        <v>33</v>
      </c>
      <c r="AB16" s="12">
        <v>143</v>
      </c>
      <c r="AC16" s="12">
        <v>87</v>
      </c>
      <c r="AD16" s="12">
        <v>171</v>
      </c>
      <c r="AE16" s="12">
        <v>530</v>
      </c>
      <c r="AF16" s="12">
        <v>438</v>
      </c>
    </row>
    <row r="17" spans="1:32">
      <c r="A17" s="23"/>
      <c r="B17" s="13" t="s">
        <v>1463</v>
      </c>
      <c r="C17" s="14">
        <v>0.22</v>
      </c>
      <c r="D17" s="14">
        <v>0.28999999999999998</v>
      </c>
      <c r="E17" s="14">
        <v>0.09</v>
      </c>
      <c r="F17" s="14">
        <v>0.18</v>
      </c>
      <c r="G17" s="14">
        <v>0.44</v>
      </c>
      <c r="H17" s="14">
        <v>0.34</v>
      </c>
      <c r="I17" s="14">
        <v>0.33</v>
      </c>
      <c r="J17" s="14">
        <v>0.28999999999999998</v>
      </c>
      <c r="K17" s="14">
        <v>0.31</v>
      </c>
      <c r="L17" s="14">
        <v>0.24</v>
      </c>
      <c r="M17" s="14">
        <v>0.02</v>
      </c>
      <c r="N17" s="14">
        <v>0.08</v>
      </c>
      <c r="O17" s="14">
        <v>0.23</v>
      </c>
      <c r="P17" s="14">
        <v>0.06</v>
      </c>
      <c r="Q17" s="14">
        <v>0.13</v>
      </c>
      <c r="R17" s="14">
        <v>0.05</v>
      </c>
      <c r="S17" s="14">
        <v>0.09</v>
      </c>
      <c r="T17" s="14">
        <v>0.13</v>
      </c>
      <c r="U17" s="14">
        <v>0.28999999999999998</v>
      </c>
      <c r="V17" s="14">
        <v>0.08</v>
      </c>
      <c r="W17" s="14">
        <v>0.08</v>
      </c>
      <c r="X17" s="14">
        <v>0.34</v>
      </c>
      <c r="Y17" s="14">
        <v>0.22</v>
      </c>
      <c r="Z17" s="14">
        <v>0.31</v>
      </c>
      <c r="AA17" s="14">
        <v>0.03</v>
      </c>
      <c r="AB17" s="14">
        <v>0.14000000000000001</v>
      </c>
      <c r="AC17" s="14">
        <v>0.09</v>
      </c>
      <c r="AD17" s="14">
        <v>0.17</v>
      </c>
      <c r="AE17" s="14">
        <v>0.53</v>
      </c>
      <c r="AF17" s="14">
        <v>0.41</v>
      </c>
    </row>
    <row r="18" spans="1:32">
      <c r="A18" s="23"/>
      <c r="B18" s="11" t="s">
        <v>1464</v>
      </c>
      <c r="C18" s="12">
        <v>1086</v>
      </c>
      <c r="D18" s="12">
        <v>92</v>
      </c>
      <c r="E18" s="12">
        <v>20</v>
      </c>
      <c r="F18" s="12">
        <v>14</v>
      </c>
      <c r="G18" s="12">
        <v>265</v>
      </c>
      <c r="H18" s="12">
        <v>51</v>
      </c>
      <c r="I18" s="12">
        <v>68</v>
      </c>
      <c r="J18" s="12">
        <v>16</v>
      </c>
      <c r="K18" s="12">
        <v>56</v>
      </c>
      <c r="L18" s="12">
        <v>59</v>
      </c>
      <c r="M18" s="12">
        <v>0</v>
      </c>
      <c r="N18" s="12">
        <v>8</v>
      </c>
      <c r="O18" s="12">
        <v>20</v>
      </c>
      <c r="P18" s="12">
        <v>22</v>
      </c>
      <c r="Q18" s="12">
        <v>23</v>
      </c>
      <c r="R18" s="12">
        <v>15</v>
      </c>
      <c r="S18" s="12">
        <v>12</v>
      </c>
      <c r="T18" s="12">
        <v>8</v>
      </c>
      <c r="U18" s="12">
        <v>35</v>
      </c>
      <c r="V18" s="12">
        <v>15</v>
      </c>
      <c r="W18" s="12">
        <v>5</v>
      </c>
      <c r="X18" s="12">
        <v>91</v>
      </c>
      <c r="Y18" s="12">
        <v>74</v>
      </c>
      <c r="Z18" s="12">
        <v>64</v>
      </c>
      <c r="AA18" s="12">
        <v>14</v>
      </c>
      <c r="AB18" s="12">
        <v>79</v>
      </c>
      <c r="AC18" s="12">
        <v>9</v>
      </c>
      <c r="AD18" s="12">
        <v>10</v>
      </c>
      <c r="AE18" s="12">
        <v>205</v>
      </c>
      <c r="AF18" s="12">
        <v>74</v>
      </c>
    </row>
    <row r="19" spans="1:32">
      <c r="A19" s="23"/>
      <c r="B19" s="13" t="s">
        <v>1465</v>
      </c>
      <c r="C19" s="14">
        <v>0.04</v>
      </c>
      <c r="D19" s="14">
        <v>0.09</v>
      </c>
      <c r="E19" s="14">
        <v>0.02</v>
      </c>
      <c r="F19" s="14">
        <v>0.01</v>
      </c>
      <c r="G19" s="14">
        <v>0.27</v>
      </c>
      <c r="H19" s="14">
        <v>0.04</v>
      </c>
      <c r="I19" s="14">
        <v>0.05</v>
      </c>
      <c r="J19" s="14">
        <v>0.06</v>
      </c>
      <c r="K19" s="14">
        <v>0.05</v>
      </c>
      <c r="L19" s="14">
        <v>0.06</v>
      </c>
      <c r="M19" s="15" t="s">
        <v>485</v>
      </c>
      <c r="N19" s="14">
        <v>0.01</v>
      </c>
      <c r="O19" s="14">
        <v>0.02</v>
      </c>
      <c r="P19" s="14">
        <v>0.02</v>
      </c>
      <c r="Q19" s="14">
        <v>0.02</v>
      </c>
      <c r="R19" s="14">
        <v>0.03</v>
      </c>
      <c r="S19" s="14">
        <v>0.01</v>
      </c>
      <c r="T19" s="14">
        <v>0.01</v>
      </c>
      <c r="U19" s="14">
        <v>7.0000000000000007E-2</v>
      </c>
      <c r="V19" s="14">
        <v>0.02</v>
      </c>
      <c r="W19" s="14">
        <v>0.01</v>
      </c>
      <c r="X19" s="14">
        <v>0.09</v>
      </c>
      <c r="Y19" s="14">
        <v>7.0000000000000007E-2</v>
      </c>
      <c r="Z19" s="14">
        <v>0.06</v>
      </c>
      <c r="AA19" s="14">
        <v>0.01</v>
      </c>
      <c r="AB19" s="14">
        <v>0.08</v>
      </c>
      <c r="AC19" s="14">
        <v>0.01</v>
      </c>
      <c r="AD19" s="14">
        <v>0.01</v>
      </c>
      <c r="AE19" s="14">
        <v>0.21</v>
      </c>
      <c r="AF19" s="14">
        <v>7.0000000000000007E-2</v>
      </c>
    </row>
    <row r="20" spans="1:32" ht="34.5">
      <c r="A20" s="23"/>
      <c r="B20" s="11" t="s">
        <v>1466</v>
      </c>
      <c r="C20" s="12">
        <v>44</v>
      </c>
      <c r="D20" s="12">
        <v>10</v>
      </c>
      <c r="E20" s="12">
        <v>4</v>
      </c>
      <c r="F20" s="12">
        <v>16</v>
      </c>
      <c r="G20" s="12">
        <v>1</v>
      </c>
      <c r="H20" s="12">
        <v>0</v>
      </c>
      <c r="I20" s="12">
        <v>0</v>
      </c>
      <c r="J20" s="12">
        <v>0</v>
      </c>
      <c r="K20" s="12">
        <v>10</v>
      </c>
      <c r="L20" s="12">
        <v>2</v>
      </c>
      <c r="M20" s="12">
        <v>0</v>
      </c>
      <c r="N20" s="12">
        <v>0</v>
      </c>
      <c r="O20" s="12">
        <v>0</v>
      </c>
      <c r="P20" s="12">
        <v>0</v>
      </c>
      <c r="Q20" s="12">
        <v>1</v>
      </c>
      <c r="R20" s="12">
        <v>0</v>
      </c>
      <c r="S20" s="12">
        <v>0</v>
      </c>
      <c r="T20" s="12">
        <v>0</v>
      </c>
      <c r="U20" s="12">
        <v>1</v>
      </c>
      <c r="V20" s="12">
        <v>0</v>
      </c>
      <c r="W20" s="12">
        <v>4</v>
      </c>
      <c r="X20" s="12">
        <v>0</v>
      </c>
      <c r="Y20" s="12">
        <v>19</v>
      </c>
      <c r="Z20" s="12">
        <v>3</v>
      </c>
      <c r="AA20" s="12">
        <v>0</v>
      </c>
      <c r="AB20" s="12">
        <v>2</v>
      </c>
      <c r="AC20" s="12">
        <v>0</v>
      </c>
      <c r="AD20" s="12">
        <v>1</v>
      </c>
      <c r="AE20" s="12">
        <v>3</v>
      </c>
      <c r="AF20" s="12">
        <v>0</v>
      </c>
    </row>
    <row r="21" spans="1:32" ht="34.5">
      <c r="A21" s="23"/>
      <c r="B21" s="13" t="s">
        <v>1467</v>
      </c>
      <c r="C21" s="15" t="s">
        <v>485</v>
      </c>
      <c r="D21" s="14">
        <v>0.01</v>
      </c>
      <c r="E21" s="14">
        <v>0.01</v>
      </c>
      <c r="F21" s="14">
        <v>0.02</v>
      </c>
      <c r="G21" s="15" t="s">
        <v>485</v>
      </c>
      <c r="H21" s="15" t="s">
        <v>485</v>
      </c>
      <c r="I21" s="15" t="s">
        <v>485</v>
      </c>
      <c r="J21" s="15" t="s">
        <v>485</v>
      </c>
      <c r="K21" s="14">
        <v>0.01</v>
      </c>
      <c r="L21" s="15" t="s">
        <v>485</v>
      </c>
      <c r="M21" s="15" t="s">
        <v>485</v>
      </c>
      <c r="N21" s="15" t="s">
        <v>485</v>
      </c>
      <c r="O21" s="15" t="s">
        <v>485</v>
      </c>
      <c r="P21" s="15" t="s">
        <v>485</v>
      </c>
      <c r="Q21" s="15" t="s">
        <v>485</v>
      </c>
      <c r="R21" s="15" t="s">
        <v>485</v>
      </c>
      <c r="S21" s="15" t="s">
        <v>485</v>
      </c>
      <c r="T21" s="15" t="s">
        <v>485</v>
      </c>
      <c r="U21" s="15" t="s">
        <v>485</v>
      </c>
      <c r="V21" s="15" t="s">
        <v>485</v>
      </c>
      <c r="W21" s="14">
        <v>0.01</v>
      </c>
      <c r="X21" s="15" t="s">
        <v>485</v>
      </c>
      <c r="Y21" s="14">
        <v>0.02</v>
      </c>
      <c r="Z21" s="15" t="s">
        <v>485</v>
      </c>
      <c r="AA21" s="15" t="s">
        <v>485</v>
      </c>
      <c r="AB21" s="15" t="s">
        <v>485</v>
      </c>
      <c r="AC21" s="15" t="s">
        <v>485</v>
      </c>
      <c r="AD21" s="15" t="s">
        <v>485</v>
      </c>
      <c r="AE21" s="15" t="s">
        <v>485</v>
      </c>
      <c r="AF21" s="15" t="s">
        <v>485</v>
      </c>
    </row>
    <row r="22" spans="1:32">
      <c r="A22" s="23"/>
      <c r="B22" s="11" t="s">
        <v>497</v>
      </c>
      <c r="C22" s="12">
        <v>1455</v>
      </c>
      <c r="D22" s="12">
        <v>18</v>
      </c>
      <c r="E22" s="12">
        <v>84</v>
      </c>
      <c r="F22" s="12">
        <v>38</v>
      </c>
      <c r="G22" s="12">
        <v>14</v>
      </c>
      <c r="H22" s="12">
        <v>128</v>
      </c>
      <c r="I22" s="12">
        <v>151</v>
      </c>
      <c r="J22" s="12">
        <v>23</v>
      </c>
      <c r="K22" s="12">
        <v>142</v>
      </c>
      <c r="L22" s="12">
        <v>74</v>
      </c>
      <c r="M22" s="12">
        <v>9</v>
      </c>
      <c r="N22" s="12">
        <v>22</v>
      </c>
      <c r="O22" s="12">
        <v>71</v>
      </c>
      <c r="P22" s="12">
        <v>2</v>
      </c>
      <c r="Q22" s="12">
        <v>36</v>
      </c>
      <c r="R22" s="12">
        <v>12</v>
      </c>
      <c r="S22" s="12">
        <v>104</v>
      </c>
      <c r="T22" s="12">
        <v>57</v>
      </c>
      <c r="U22" s="12">
        <v>61</v>
      </c>
      <c r="V22" s="12">
        <v>17</v>
      </c>
      <c r="W22" s="12">
        <v>35</v>
      </c>
      <c r="X22" s="12">
        <v>13</v>
      </c>
      <c r="Y22" s="12">
        <v>109</v>
      </c>
      <c r="Z22" s="12">
        <v>76</v>
      </c>
      <c r="AA22" s="12">
        <v>55</v>
      </c>
      <c r="AB22" s="12">
        <v>36</v>
      </c>
      <c r="AC22" s="12">
        <v>49</v>
      </c>
      <c r="AD22" s="12">
        <v>45</v>
      </c>
      <c r="AE22" s="12">
        <v>53</v>
      </c>
      <c r="AF22" s="12">
        <v>7</v>
      </c>
    </row>
    <row r="23" spans="1:32">
      <c r="A23" s="23"/>
      <c r="B23" s="13" t="s">
        <v>498</v>
      </c>
      <c r="C23" s="14">
        <v>0.05</v>
      </c>
      <c r="D23" s="14">
        <v>0.02</v>
      </c>
      <c r="E23" s="14">
        <v>0.08</v>
      </c>
      <c r="F23" s="14">
        <v>0.04</v>
      </c>
      <c r="G23" s="14">
        <v>0.01</v>
      </c>
      <c r="H23" s="14">
        <v>0.1</v>
      </c>
      <c r="I23" s="14">
        <v>0.1</v>
      </c>
      <c r="J23" s="14">
        <v>0.08</v>
      </c>
      <c r="K23" s="14">
        <v>0.14000000000000001</v>
      </c>
      <c r="L23" s="14">
        <v>7.0000000000000007E-2</v>
      </c>
      <c r="M23" s="14">
        <v>0.01</v>
      </c>
      <c r="N23" s="14">
        <v>0.02</v>
      </c>
      <c r="O23" s="14">
        <v>7.0000000000000007E-2</v>
      </c>
      <c r="P23" s="15" t="s">
        <v>485</v>
      </c>
      <c r="Q23" s="14">
        <v>0.03</v>
      </c>
      <c r="R23" s="14">
        <v>0.02</v>
      </c>
      <c r="S23" s="14">
        <v>0.1</v>
      </c>
      <c r="T23" s="14">
        <v>0.06</v>
      </c>
      <c r="U23" s="14">
        <v>0.12</v>
      </c>
      <c r="V23" s="14">
        <v>0.02</v>
      </c>
      <c r="W23" s="14">
        <v>7.0000000000000007E-2</v>
      </c>
      <c r="X23" s="14">
        <v>0.01</v>
      </c>
      <c r="Y23" s="14">
        <v>0.11</v>
      </c>
      <c r="Z23" s="14">
        <v>0.08</v>
      </c>
      <c r="AA23" s="14">
        <v>0.05</v>
      </c>
      <c r="AB23" s="14">
        <v>0.03</v>
      </c>
      <c r="AC23" s="14">
        <v>0.05</v>
      </c>
      <c r="AD23" s="14">
        <v>0.04</v>
      </c>
      <c r="AE23" s="14">
        <v>0.05</v>
      </c>
      <c r="AF23" s="14">
        <v>0.01</v>
      </c>
    </row>
    <row r="24" spans="1:32">
      <c r="A24" s="23"/>
      <c r="B24" s="11" t="s">
        <v>1468</v>
      </c>
      <c r="C24" s="12">
        <v>18077</v>
      </c>
      <c r="D24" s="12">
        <v>597</v>
      </c>
      <c r="E24" s="12">
        <v>841</v>
      </c>
      <c r="F24" s="12">
        <v>756</v>
      </c>
      <c r="G24" s="12">
        <v>283</v>
      </c>
      <c r="H24" s="12">
        <v>624</v>
      </c>
      <c r="I24" s="12">
        <v>792</v>
      </c>
      <c r="J24" s="12">
        <v>168</v>
      </c>
      <c r="K24" s="12">
        <v>486</v>
      </c>
      <c r="L24" s="12">
        <v>634</v>
      </c>
      <c r="M24" s="12">
        <v>985</v>
      </c>
      <c r="N24" s="12">
        <v>893</v>
      </c>
      <c r="O24" s="12">
        <v>684</v>
      </c>
      <c r="P24" s="12">
        <v>928</v>
      </c>
      <c r="Q24" s="12">
        <v>836</v>
      </c>
      <c r="R24" s="12">
        <v>451</v>
      </c>
      <c r="S24" s="12">
        <v>796</v>
      </c>
      <c r="T24" s="12">
        <v>808</v>
      </c>
      <c r="U24" s="12">
        <v>260</v>
      </c>
      <c r="V24" s="12">
        <v>899</v>
      </c>
      <c r="W24" s="12">
        <v>418</v>
      </c>
      <c r="X24" s="12">
        <v>564</v>
      </c>
      <c r="Y24" s="12">
        <v>580</v>
      </c>
      <c r="Z24" s="12">
        <v>563</v>
      </c>
      <c r="AA24" s="12">
        <v>939</v>
      </c>
      <c r="AB24" s="12">
        <v>771</v>
      </c>
      <c r="AC24" s="12">
        <v>860</v>
      </c>
      <c r="AD24" s="12">
        <v>775</v>
      </c>
      <c r="AE24" s="12">
        <v>216</v>
      </c>
      <c r="AF24" s="12">
        <v>555</v>
      </c>
    </row>
    <row r="25" spans="1:32">
      <c r="A25" s="23"/>
      <c r="B25" s="13" t="s">
        <v>1469</v>
      </c>
      <c r="C25" s="14">
        <v>0.69000000000000006</v>
      </c>
      <c r="D25" s="14">
        <v>0.59</v>
      </c>
      <c r="E25" s="14">
        <v>0.8</v>
      </c>
      <c r="F25" s="14">
        <v>0.75</v>
      </c>
      <c r="G25" s="14">
        <v>0.28000000000000003</v>
      </c>
      <c r="H25" s="14">
        <v>0.52</v>
      </c>
      <c r="I25" s="14">
        <v>0.52</v>
      </c>
      <c r="J25" s="14">
        <v>0.57000000000000006</v>
      </c>
      <c r="K25" s="14">
        <v>0.49</v>
      </c>
      <c r="L25" s="14">
        <v>0.63</v>
      </c>
      <c r="M25" s="14">
        <v>0.97</v>
      </c>
      <c r="N25" s="14">
        <v>0.89</v>
      </c>
      <c r="O25" s="14">
        <v>0.68</v>
      </c>
      <c r="P25" s="14">
        <v>0.92</v>
      </c>
      <c r="Q25" s="14">
        <v>0.82000000000000006</v>
      </c>
      <c r="R25" s="14">
        <v>0.9</v>
      </c>
      <c r="S25" s="14">
        <v>0.8</v>
      </c>
      <c r="T25" s="14">
        <v>0.8</v>
      </c>
      <c r="U25" s="14">
        <v>0.52</v>
      </c>
      <c r="V25" s="14">
        <v>0.88</v>
      </c>
      <c r="W25" s="14">
        <v>0.83000000000000007</v>
      </c>
      <c r="X25" s="14">
        <v>0.56000000000000005</v>
      </c>
      <c r="Y25" s="14">
        <v>0.57999999999999996</v>
      </c>
      <c r="Z25" s="14">
        <v>0.55000000000000004</v>
      </c>
      <c r="AA25" s="14">
        <v>0.91</v>
      </c>
      <c r="AB25" s="14">
        <v>0.75</v>
      </c>
      <c r="AC25" s="14">
        <v>0.85</v>
      </c>
      <c r="AD25" s="14">
        <v>0.78</v>
      </c>
      <c r="AE25" s="14">
        <v>0.21</v>
      </c>
      <c r="AF25" s="14">
        <v>0.51</v>
      </c>
    </row>
    <row r="26" spans="1:32">
      <c r="A26" s="23"/>
      <c r="B26" s="11" t="s">
        <v>1470</v>
      </c>
      <c r="C26" s="12">
        <v>6779</v>
      </c>
      <c r="D26" s="12">
        <v>381</v>
      </c>
      <c r="E26" s="12">
        <v>115</v>
      </c>
      <c r="F26" s="12">
        <v>197</v>
      </c>
      <c r="G26" s="12">
        <v>705</v>
      </c>
      <c r="H26" s="12">
        <v>458</v>
      </c>
      <c r="I26" s="12">
        <v>561</v>
      </c>
      <c r="J26" s="12">
        <v>102</v>
      </c>
      <c r="K26" s="12">
        <v>365</v>
      </c>
      <c r="L26" s="12">
        <v>297</v>
      </c>
      <c r="M26" s="12">
        <v>17</v>
      </c>
      <c r="N26" s="12">
        <v>86</v>
      </c>
      <c r="O26" s="12">
        <v>251</v>
      </c>
      <c r="P26" s="12">
        <v>81</v>
      </c>
      <c r="Q26" s="12">
        <v>151</v>
      </c>
      <c r="R26" s="12">
        <v>39</v>
      </c>
      <c r="S26" s="12">
        <v>104</v>
      </c>
      <c r="T26" s="12">
        <v>139</v>
      </c>
      <c r="U26" s="12">
        <v>182</v>
      </c>
      <c r="V26" s="12">
        <v>95</v>
      </c>
      <c r="W26" s="12">
        <v>46</v>
      </c>
      <c r="X26" s="12">
        <v>439</v>
      </c>
      <c r="Y26" s="12">
        <v>298</v>
      </c>
      <c r="Z26" s="12">
        <v>375</v>
      </c>
      <c r="AA26" s="12">
        <v>47</v>
      </c>
      <c r="AB26" s="12">
        <v>222</v>
      </c>
      <c r="AC26" s="12">
        <v>96</v>
      </c>
      <c r="AD26" s="12">
        <v>181</v>
      </c>
      <c r="AE26" s="12">
        <v>735</v>
      </c>
      <c r="AF26" s="12">
        <v>512</v>
      </c>
    </row>
    <row r="27" spans="1:32">
      <c r="A27" s="23"/>
      <c r="B27" s="13" t="s">
        <v>1470</v>
      </c>
      <c r="C27" s="14">
        <v>0.26</v>
      </c>
      <c r="D27" s="14">
        <v>0.38</v>
      </c>
      <c r="E27" s="14">
        <v>0.11</v>
      </c>
      <c r="F27" s="14">
        <v>0.19</v>
      </c>
      <c r="G27" s="14">
        <v>0.71</v>
      </c>
      <c r="H27" s="14">
        <v>0.38</v>
      </c>
      <c r="I27" s="14">
        <v>0.38</v>
      </c>
      <c r="J27" s="14">
        <v>0.35</v>
      </c>
      <c r="K27" s="14">
        <v>0.36</v>
      </c>
      <c r="L27" s="14">
        <v>0.3</v>
      </c>
      <c r="M27" s="14">
        <v>0.02</v>
      </c>
      <c r="N27" s="14">
        <v>0.09</v>
      </c>
      <c r="O27" s="14">
        <v>0.25</v>
      </c>
      <c r="P27" s="14">
        <v>0.08</v>
      </c>
      <c r="Q27" s="14">
        <v>0.15</v>
      </c>
      <c r="R27" s="14">
        <v>0.08</v>
      </c>
      <c r="S27" s="14">
        <v>0.1</v>
      </c>
      <c r="T27" s="14">
        <v>0.14000000000000001</v>
      </c>
      <c r="U27" s="14">
        <v>0.36</v>
      </c>
      <c r="V27" s="14">
        <v>0.1</v>
      </c>
      <c r="W27" s="14">
        <v>0.09</v>
      </c>
      <c r="X27" s="14">
        <v>0.43</v>
      </c>
      <c r="Y27" s="14">
        <v>0.28999999999999998</v>
      </c>
      <c r="Z27" s="14">
        <v>0.37</v>
      </c>
      <c r="AA27" s="14">
        <v>0.04</v>
      </c>
      <c r="AB27" s="14">
        <v>0.22</v>
      </c>
      <c r="AC27" s="14">
        <v>0.1</v>
      </c>
      <c r="AD27" s="14">
        <v>0.18</v>
      </c>
      <c r="AE27" s="14">
        <v>0.74</v>
      </c>
      <c r="AF27" s="14">
        <v>0.48</v>
      </c>
    </row>
  </sheetData>
  <mergeCells count="10">
    <mergeCell ref="B10:B11"/>
    <mergeCell ref="A24:A27"/>
    <mergeCell ref="H4:L4"/>
    <mergeCell ref="A10:A23"/>
    <mergeCell ref="B4:F4"/>
    <mergeCell ref="H3:L3"/>
    <mergeCell ref="C8:AF8"/>
    <mergeCell ref="B3:F3"/>
    <mergeCell ref="B5:F5"/>
    <mergeCell ref="H5:L5"/>
  </mergeCells>
  <pageMargins left="0.75" right="0.75" top="1" bottom="1" header="0.5" footer="0.5"/>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900-000000000000}">
  <dimension ref="A1:AF29"/>
  <sheetViews>
    <sheetView workbookViewId="0">
      <pane xSplit="3" ySplit="9" topLeftCell="D23" activePane="bottomRight" state="frozen"/>
      <selection pane="bottomRight" activeCell="C32" sqref="C32"/>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313</v>
      </c>
      <c r="C3" s="19"/>
      <c r="D3" s="19"/>
      <c r="E3" s="19"/>
      <c r="F3" s="19"/>
      <c r="H3" s="19" t="s">
        <v>314</v>
      </c>
      <c r="I3" s="19"/>
      <c r="J3" s="19"/>
      <c r="K3" s="19"/>
      <c r="L3" s="19"/>
    </row>
    <row r="4" spans="1:32" ht="27" customHeight="1">
      <c r="B4" s="19"/>
      <c r="C4" s="19"/>
      <c r="D4" s="19"/>
      <c r="E4" s="19"/>
      <c r="F4" s="19"/>
      <c r="H4" s="19"/>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HYPERLINK("#Content!A158","&lt;&lt;Back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1471</v>
      </c>
      <c r="C12" s="12">
        <v>4754</v>
      </c>
      <c r="D12" s="12">
        <v>144</v>
      </c>
      <c r="E12" s="12">
        <v>304</v>
      </c>
      <c r="F12" s="12">
        <v>155</v>
      </c>
      <c r="G12" s="12">
        <v>70</v>
      </c>
      <c r="H12" s="12">
        <v>142</v>
      </c>
      <c r="I12" s="12">
        <v>172</v>
      </c>
      <c r="J12" s="12">
        <v>31</v>
      </c>
      <c r="K12" s="12">
        <v>98</v>
      </c>
      <c r="L12" s="12">
        <v>183</v>
      </c>
      <c r="M12" s="12">
        <v>353</v>
      </c>
      <c r="N12" s="12">
        <v>350</v>
      </c>
      <c r="O12" s="12">
        <v>214</v>
      </c>
      <c r="P12" s="12">
        <v>459</v>
      </c>
      <c r="Q12" s="12">
        <v>154</v>
      </c>
      <c r="R12" s="12">
        <v>278</v>
      </c>
      <c r="S12" s="12">
        <v>153</v>
      </c>
      <c r="T12" s="12">
        <v>48</v>
      </c>
      <c r="U12" s="12">
        <v>62</v>
      </c>
      <c r="V12" s="12">
        <v>305</v>
      </c>
      <c r="W12" s="12">
        <v>211</v>
      </c>
      <c r="X12" s="12">
        <v>182</v>
      </c>
      <c r="Y12" s="12">
        <v>118</v>
      </c>
      <c r="Z12" s="12">
        <v>31</v>
      </c>
      <c r="AA12" s="12">
        <v>240</v>
      </c>
      <c r="AB12" s="12">
        <v>228</v>
      </c>
      <c r="AC12" s="12">
        <v>324</v>
      </c>
      <c r="AD12" s="12">
        <v>98</v>
      </c>
      <c r="AE12" s="12">
        <v>28</v>
      </c>
      <c r="AF12" s="12">
        <v>138</v>
      </c>
    </row>
    <row r="13" spans="1:32">
      <c r="A13" s="23"/>
      <c r="B13" s="13" t="s">
        <v>1472</v>
      </c>
      <c r="C13" s="14">
        <v>0.18</v>
      </c>
      <c r="D13" s="14">
        <v>0.14000000000000001</v>
      </c>
      <c r="E13" s="14">
        <v>0.28999999999999998</v>
      </c>
      <c r="F13" s="14">
        <v>0.15</v>
      </c>
      <c r="G13" s="14">
        <v>7.0000000000000007E-2</v>
      </c>
      <c r="H13" s="14">
        <v>0.12</v>
      </c>
      <c r="I13" s="14">
        <v>0.11</v>
      </c>
      <c r="J13" s="14">
        <v>0.1</v>
      </c>
      <c r="K13" s="14">
        <v>0.1</v>
      </c>
      <c r="L13" s="14">
        <v>0.18</v>
      </c>
      <c r="M13" s="14">
        <v>0.35</v>
      </c>
      <c r="N13" s="14">
        <v>0.35</v>
      </c>
      <c r="O13" s="14">
        <v>0.21</v>
      </c>
      <c r="P13" s="14">
        <v>0.45</v>
      </c>
      <c r="Q13" s="14">
        <v>0.15</v>
      </c>
      <c r="R13" s="14">
        <v>0.55000000000000004</v>
      </c>
      <c r="S13" s="14">
        <v>0.15</v>
      </c>
      <c r="T13" s="14">
        <v>0.05</v>
      </c>
      <c r="U13" s="14">
        <v>0.12</v>
      </c>
      <c r="V13" s="14">
        <v>0.3</v>
      </c>
      <c r="W13" s="14">
        <v>0.42</v>
      </c>
      <c r="X13" s="14">
        <v>0.18</v>
      </c>
      <c r="Y13" s="14">
        <v>0.12</v>
      </c>
      <c r="Z13" s="14">
        <v>0.03</v>
      </c>
      <c r="AA13" s="14">
        <v>0.23</v>
      </c>
      <c r="AB13" s="14">
        <v>0.22</v>
      </c>
      <c r="AC13" s="14">
        <v>0.32</v>
      </c>
      <c r="AD13" s="14">
        <v>0.1</v>
      </c>
      <c r="AE13" s="14">
        <v>0.03</v>
      </c>
      <c r="AF13" s="14">
        <v>0.13</v>
      </c>
    </row>
    <row r="14" spans="1:32">
      <c r="A14" s="23"/>
      <c r="B14" s="11" t="s">
        <v>1473</v>
      </c>
      <c r="C14" s="12">
        <v>6888</v>
      </c>
      <c r="D14" s="12">
        <v>275</v>
      </c>
      <c r="E14" s="12">
        <v>235</v>
      </c>
      <c r="F14" s="12">
        <v>217</v>
      </c>
      <c r="G14" s="12">
        <v>310</v>
      </c>
      <c r="H14" s="12">
        <v>365</v>
      </c>
      <c r="I14" s="12">
        <v>476</v>
      </c>
      <c r="J14" s="12">
        <v>111</v>
      </c>
      <c r="K14" s="12">
        <v>155</v>
      </c>
      <c r="L14" s="12">
        <v>236</v>
      </c>
      <c r="M14" s="12">
        <v>226</v>
      </c>
      <c r="N14" s="12">
        <v>246</v>
      </c>
      <c r="O14" s="12">
        <v>255</v>
      </c>
      <c r="P14" s="12">
        <v>267</v>
      </c>
      <c r="Q14" s="12">
        <v>263</v>
      </c>
      <c r="R14" s="12">
        <v>92</v>
      </c>
      <c r="S14" s="12">
        <v>221</v>
      </c>
      <c r="T14" s="12">
        <v>190</v>
      </c>
      <c r="U14" s="12">
        <v>134</v>
      </c>
      <c r="V14" s="12">
        <v>292</v>
      </c>
      <c r="W14" s="12">
        <v>101</v>
      </c>
      <c r="X14" s="12">
        <v>361</v>
      </c>
      <c r="Y14" s="12">
        <v>223</v>
      </c>
      <c r="Z14" s="12">
        <v>156</v>
      </c>
      <c r="AA14" s="12">
        <v>397</v>
      </c>
      <c r="AB14" s="12">
        <v>168</v>
      </c>
      <c r="AC14" s="12">
        <v>276</v>
      </c>
      <c r="AD14" s="12">
        <v>199</v>
      </c>
      <c r="AE14" s="12">
        <v>208</v>
      </c>
      <c r="AF14" s="12">
        <v>463</v>
      </c>
    </row>
    <row r="15" spans="1:32">
      <c r="A15" s="23"/>
      <c r="B15" s="13" t="s">
        <v>1474</v>
      </c>
      <c r="C15" s="14">
        <v>0.26</v>
      </c>
      <c r="D15" s="14">
        <v>0.27</v>
      </c>
      <c r="E15" s="14">
        <v>0.23</v>
      </c>
      <c r="F15" s="14">
        <v>0.22</v>
      </c>
      <c r="G15" s="14">
        <v>0.31</v>
      </c>
      <c r="H15" s="14">
        <v>0.3</v>
      </c>
      <c r="I15" s="14">
        <v>0.32</v>
      </c>
      <c r="J15" s="14">
        <v>0.38</v>
      </c>
      <c r="K15" s="14">
        <v>0.16</v>
      </c>
      <c r="L15" s="14">
        <v>0.23</v>
      </c>
      <c r="M15" s="14">
        <v>0.22</v>
      </c>
      <c r="N15" s="14">
        <v>0.25</v>
      </c>
      <c r="O15" s="14">
        <v>0.25</v>
      </c>
      <c r="P15" s="14">
        <v>0.27</v>
      </c>
      <c r="Q15" s="14">
        <v>0.26</v>
      </c>
      <c r="R15" s="14">
        <v>0.18</v>
      </c>
      <c r="S15" s="14">
        <v>0.22</v>
      </c>
      <c r="T15" s="14">
        <v>0.19</v>
      </c>
      <c r="U15" s="14">
        <v>0.27</v>
      </c>
      <c r="V15" s="14">
        <v>0.28999999999999998</v>
      </c>
      <c r="W15" s="14">
        <v>0.2</v>
      </c>
      <c r="X15" s="14">
        <v>0.36</v>
      </c>
      <c r="Y15" s="14">
        <v>0.22</v>
      </c>
      <c r="Z15" s="14">
        <v>0.15</v>
      </c>
      <c r="AA15" s="14">
        <v>0.38</v>
      </c>
      <c r="AB15" s="14">
        <v>0.16</v>
      </c>
      <c r="AC15" s="14">
        <v>0.27</v>
      </c>
      <c r="AD15" s="14">
        <v>0.2</v>
      </c>
      <c r="AE15" s="14">
        <v>0.21</v>
      </c>
      <c r="AF15" s="14">
        <v>0.43</v>
      </c>
    </row>
    <row r="16" spans="1:32">
      <c r="A16" s="23"/>
      <c r="B16" s="11" t="s">
        <v>1475</v>
      </c>
      <c r="C16" s="12">
        <v>10457</v>
      </c>
      <c r="D16" s="12">
        <v>421</v>
      </c>
      <c r="E16" s="12">
        <v>285</v>
      </c>
      <c r="F16" s="12">
        <v>482</v>
      </c>
      <c r="G16" s="12">
        <v>529</v>
      </c>
      <c r="H16" s="12">
        <v>493</v>
      </c>
      <c r="I16" s="12">
        <v>598</v>
      </c>
      <c r="J16" s="12">
        <v>105</v>
      </c>
      <c r="K16" s="12">
        <v>421</v>
      </c>
      <c r="L16" s="12">
        <v>389</v>
      </c>
      <c r="M16" s="12">
        <v>346</v>
      </c>
      <c r="N16" s="12">
        <v>342</v>
      </c>
      <c r="O16" s="12">
        <v>348</v>
      </c>
      <c r="P16" s="12">
        <v>189</v>
      </c>
      <c r="Q16" s="12">
        <v>418</v>
      </c>
      <c r="R16" s="12">
        <v>84</v>
      </c>
      <c r="S16" s="12">
        <v>360</v>
      </c>
      <c r="T16" s="12">
        <v>412</v>
      </c>
      <c r="U16" s="12">
        <v>221</v>
      </c>
      <c r="V16" s="12">
        <v>350</v>
      </c>
      <c r="W16" s="12">
        <v>107</v>
      </c>
      <c r="X16" s="12">
        <v>391</v>
      </c>
      <c r="Y16" s="12">
        <v>414</v>
      </c>
      <c r="Z16" s="12">
        <v>585</v>
      </c>
      <c r="AA16" s="12">
        <v>270</v>
      </c>
      <c r="AB16" s="12">
        <v>440</v>
      </c>
      <c r="AC16" s="12">
        <v>290</v>
      </c>
      <c r="AD16" s="12">
        <v>497</v>
      </c>
      <c r="AE16" s="12">
        <v>581</v>
      </c>
      <c r="AF16" s="12">
        <v>388</v>
      </c>
    </row>
    <row r="17" spans="1:32">
      <c r="A17" s="23"/>
      <c r="B17" s="13" t="s">
        <v>1476</v>
      </c>
      <c r="C17" s="14">
        <v>0.4</v>
      </c>
      <c r="D17" s="14">
        <v>0.42</v>
      </c>
      <c r="E17" s="14">
        <v>0.27</v>
      </c>
      <c r="F17" s="14">
        <v>0.48</v>
      </c>
      <c r="G17" s="14">
        <v>0.53</v>
      </c>
      <c r="H17" s="14">
        <v>0.41</v>
      </c>
      <c r="I17" s="14">
        <v>0.4</v>
      </c>
      <c r="J17" s="14">
        <v>0.36</v>
      </c>
      <c r="K17" s="14">
        <v>0.42</v>
      </c>
      <c r="L17" s="14">
        <v>0.39</v>
      </c>
      <c r="M17" s="14">
        <v>0.34</v>
      </c>
      <c r="N17" s="14">
        <v>0.34</v>
      </c>
      <c r="O17" s="14">
        <v>0.35</v>
      </c>
      <c r="P17" s="14">
        <v>0.19</v>
      </c>
      <c r="Q17" s="14">
        <v>0.41</v>
      </c>
      <c r="R17" s="14">
        <v>0.17</v>
      </c>
      <c r="S17" s="14">
        <v>0.36</v>
      </c>
      <c r="T17" s="14">
        <v>0.41</v>
      </c>
      <c r="U17" s="14">
        <v>0.44</v>
      </c>
      <c r="V17" s="14">
        <v>0.35</v>
      </c>
      <c r="W17" s="14">
        <v>0.21</v>
      </c>
      <c r="X17" s="14">
        <v>0.38</v>
      </c>
      <c r="Y17" s="14">
        <v>0.41</v>
      </c>
      <c r="Z17" s="14">
        <v>0.57999999999999996</v>
      </c>
      <c r="AA17" s="14">
        <v>0.26</v>
      </c>
      <c r="AB17" s="14">
        <v>0.43</v>
      </c>
      <c r="AC17" s="14">
        <v>0.28999999999999998</v>
      </c>
      <c r="AD17" s="14">
        <v>0.5</v>
      </c>
      <c r="AE17" s="14">
        <v>0.57999999999999996</v>
      </c>
      <c r="AF17" s="14">
        <v>0.36</v>
      </c>
    </row>
    <row r="18" spans="1:32">
      <c r="A18" s="23"/>
      <c r="B18" s="11" t="s">
        <v>1477</v>
      </c>
      <c r="C18" s="12">
        <v>1847</v>
      </c>
      <c r="D18" s="12">
        <v>56</v>
      </c>
      <c r="E18" s="12">
        <v>64</v>
      </c>
      <c r="F18" s="12">
        <v>73</v>
      </c>
      <c r="G18" s="12">
        <v>48</v>
      </c>
      <c r="H18" s="12">
        <v>53</v>
      </c>
      <c r="I18" s="12">
        <v>72</v>
      </c>
      <c r="J18" s="12">
        <v>20</v>
      </c>
      <c r="K18" s="12">
        <v>98</v>
      </c>
      <c r="L18" s="12">
        <v>66</v>
      </c>
      <c r="M18" s="12">
        <v>57</v>
      </c>
      <c r="N18" s="12">
        <v>25</v>
      </c>
      <c r="O18" s="12">
        <v>60</v>
      </c>
      <c r="P18" s="12">
        <v>52</v>
      </c>
      <c r="Q18" s="12">
        <v>113</v>
      </c>
      <c r="R18" s="12">
        <v>20</v>
      </c>
      <c r="S18" s="12">
        <v>124</v>
      </c>
      <c r="T18" s="12">
        <v>243</v>
      </c>
      <c r="U18" s="12">
        <v>15</v>
      </c>
      <c r="V18" s="12">
        <v>40</v>
      </c>
      <c r="W18" s="12">
        <v>25</v>
      </c>
      <c r="X18" s="12">
        <v>27</v>
      </c>
      <c r="Y18" s="12">
        <v>100</v>
      </c>
      <c r="Z18" s="12">
        <v>163</v>
      </c>
      <c r="AA18" s="12">
        <v>23</v>
      </c>
      <c r="AB18" s="12">
        <v>108</v>
      </c>
      <c r="AC18" s="12">
        <v>47</v>
      </c>
      <c r="AD18" s="12">
        <v>113</v>
      </c>
      <c r="AE18" s="12">
        <v>50</v>
      </c>
      <c r="AF18" s="12">
        <v>29</v>
      </c>
    </row>
    <row r="19" spans="1:32">
      <c r="A19" s="23"/>
      <c r="B19" s="13" t="s">
        <v>1478</v>
      </c>
      <c r="C19" s="14">
        <v>7.0000000000000007E-2</v>
      </c>
      <c r="D19" s="14">
        <v>0.06</v>
      </c>
      <c r="E19" s="14">
        <v>0.06</v>
      </c>
      <c r="F19" s="14">
        <v>7.0000000000000007E-2</v>
      </c>
      <c r="G19" s="14">
        <v>0.05</v>
      </c>
      <c r="H19" s="14">
        <v>0.04</v>
      </c>
      <c r="I19" s="14">
        <v>0.05</v>
      </c>
      <c r="J19" s="14">
        <v>7.0000000000000007E-2</v>
      </c>
      <c r="K19" s="14">
        <v>0.1</v>
      </c>
      <c r="L19" s="14">
        <v>7.0000000000000007E-2</v>
      </c>
      <c r="M19" s="14">
        <v>0.06</v>
      </c>
      <c r="N19" s="14">
        <v>0.02</v>
      </c>
      <c r="O19" s="14">
        <v>0.06</v>
      </c>
      <c r="P19" s="14">
        <v>0.05</v>
      </c>
      <c r="Q19" s="14">
        <v>0.11</v>
      </c>
      <c r="R19" s="14">
        <v>0.04</v>
      </c>
      <c r="S19" s="14">
        <v>0.12</v>
      </c>
      <c r="T19" s="14">
        <v>0.24</v>
      </c>
      <c r="U19" s="14">
        <v>0.03</v>
      </c>
      <c r="V19" s="14">
        <v>0.04</v>
      </c>
      <c r="W19" s="14">
        <v>0.05</v>
      </c>
      <c r="X19" s="14">
        <v>0.03</v>
      </c>
      <c r="Y19" s="14">
        <v>0.1</v>
      </c>
      <c r="Z19" s="14">
        <v>0.16</v>
      </c>
      <c r="AA19" s="14">
        <v>0.02</v>
      </c>
      <c r="AB19" s="14">
        <v>0.1</v>
      </c>
      <c r="AC19" s="14">
        <v>0.05</v>
      </c>
      <c r="AD19" s="14">
        <v>0.11</v>
      </c>
      <c r="AE19" s="14">
        <v>0.05</v>
      </c>
      <c r="AF19" s="14">
        <v>0.03</v>
      </c>
    </row>
    <row r="20" spans="1:32">
      <c r="A20" s="23"/>
      <c r="B20" s="11" t="s">
        <v>1479</v>
      </c>
      <c r="C20" s="12">
        <v>401</v>
      </c>
      <c r="D20" s="12">
        <v>41</v>
      </c>
      <c r="E20" s="12">
        <v>26</v>
      </c>
      <c r="F20" s="12">
        <v>18</v>
      </c>
      <c r="G20" s="12">
        <v>4</v>
      </c>
      <c r="H20" s="12">
        <v>11</v>
      </c>
      <c r="I20" s="12">
        <v>13</v>
      </c>
      <c r="J20" s="12">
        <v>1</v>
      </c>
      <c r="K20" s="12">
        <v>44</v>
      </c>
      <c r="L20" s="12">
        <v>41</v>
      </c>
      <c r="M20" s="12">
        <v>2</v>
      </c>
      <c r="N20" s="12">
        <v>9</v>
      </c>
      <c r="O20" s="12">
        <v>8</v>
      </c>
      <c r="P20" s="12">
        <v>34</v>
      </c>
      <c r="Q20" s="12">
        <v>22</v>
      </c>
      <c r="R20" s="12">
        <v>5</v>
      </c>
      <c r="S20" s="12">
        <v>10</v>
      </c>
      <c r="T20" s="12">
        <v>40</v>
      </c>
      <c r="U20" s="12">
        <v>6</v>
      </c>
      <c r="V20" s="12">
        <v>13</v>
      </c>
      <c r="W20" s="12">
        <v>16</v>
      </c>
      <c r="X20" s="12">
        <v>1</v>
      </c>
      <c r="Y20" s="12">
        <v>41</v>
      </c>
      <c r="Z20" s="12">
        <v>31</v>
      </c>
      <c r="AA20" s="12">
        <v>4</v>
      </c>
      <c r="AB20" s="12">
        <v>28</v>
      </c>
      <c r="AC20" s="12">
        <v>3</v>
      </c>
      <c r="AD20" s="12">
        <v>20</v>
      </c>
      <c r="AE20" s="12">
        <v>11</v>
      </c>
      <c r="AF20" s="12">
        <v>2</v>
      </c>
    </row>
    <row r="21" spans="1:32">
      <c r="A21" s="23"/>
      <c r="B21" s="13" t="s">
        <v>1480</v>
      </c>
      <c r="C21" s="14">
        <v>0.02</v>
      </c>
      <c r="D21" s="14">
        <v>0.04</v>
      </c>
      <c r="E21" s="14">
        <v>0.03</v>
      </c>
      <c r="F21" s="14">
        <v>0.02</v>
      </c>
      <c r="G21" s="15" t="s">
        <v>485</v>
      </c>
      <c r="H21" s="14">
        <v>0.01</v>
      </c>
      <c r="I21" s="14">
        <v>0.01</v>
      </c>
      <c r="J21" s="15" t="s">
        <v>485</v>
      </c>
      <c r="K21" s="14">
        <v>0.04</v>
      </c>
      <c r="L21" s="14">
        <v>0.04</v>
      </c>
      <c r="M21" s="15" t="s">
        <v>485</v>
      </c>
      <c r="N21" s="14">
        <v>0.01</v>
      </c>
      <c r="O21" s="14">
        <v>0.01</v>
      </c>
      <c r="P21" s="14">
        <v>0.03</v>
      </c>
      <c r="Q21" s="14">
        <v>0.02</v>
      </c>
      <c r="R21" s="14">
        <v>0.01</v>
      </c>
      <c r="S21" s="14">
        <v>0.01</v>
      </c>
      <c r="T21" s="14">
        <v>0.04</v>
      </c>
      <c r="U21" s="14">
        <v>0.01</v>
      </c>
      <c r="V21" s="14">
        <v>0.01</v>
      </c>
      <c r="W21" s="14">
        <v>0.03</v>
      </c>
      <c r="X21" s="15" t="s">
        <v>485</v>
      </c>
      <c r="Y21" s="14">
        <v>0.04</v>
      </c>
      <c r="Z21" s="14">
        <v>0.03</v>
      </c>
      <c r="AA21" s="14">
        <v>0.01</v>
      </c>
      <c r="AB21" s="14">
        <v>0.03</v>
      </c>
      <c r="AC21" s="15" t="s">
        <v>485</v>
      </c>
      <c r="AD21" s="14">
        <v>0.02</v>
      </c>
      <c r="AE21" s="14">
        <v>0.01</v>
      </c>
      <c r="AF21" s="15" t="s">
        <v>485</v>
      </c>
    </row>
    <row r="22" spans="1:32" ht="34.5">
      <c r="A22" s="23"/>
      <c r="B22" s="11" t="s">
        <v>1466</v>
      </c>
      <c r="C22" s="12">
        <v>66</v>
      </c>
      <c r="D22" s="12">
        <v>13</v>
      </c>
      <c r="E22" s="12">
        <v>3</v>
      </c>
      <c r="F22" s="12">
        <v>15</v>
      </c>
      <c r="G22" s="12">
        <v>1</v>
      </c>
      <c r="H22" s="12">
        <v>5</v>
      </c>
      <c r="I22" s="12">
        <v>5</v>
      </c>
      <c r="J22" s="12">
        <v>0</v>
      </c>
      <c r="K22" s="12">
        <v>13</v>
      </c>
      <c r="L22" s="12">
        <v>3</v>
      </c>
      <c r="M22" s="12">
        <v>0</v>
      </c>
      <c r="N22" s="12">
        <v>0</v>
      </c>
      <c r="O22" s="12">
        <v>2</v>
      </c>
      <c r="P22" s="12">
        <v>0</v>
      </c>
      <c r="Q22" s="12">
        <v>1</v>
      </c>
      <c r="R22" s="12">
        <v>0</v>
      </c>
      <c r="S22" s="12">
        <v>0</v>
      </c>
      <c r="T22" s="12">
        <v>0</v>
      </c>
      <c r="U22" s="12">
        <v>0</v>
      </c>
      <c r="V22" s="12">
        <v>0</v>
      </c>
      <c r="W22" s="12">
        <v>4</v>
      </c>
      <c r="X22" s="12">
        <v>0</v>
      </c>
      <c r="Y22" s="12">
        <v>22</v>
      </c>
      <c r="Z22" s="12">
        <v>0</v>
      </c>
      <c r="AA22" s="12">
        <v>0</v>
      </c>
      <c r="AB22" s="12">
        <v>2</v>
      </c>
      <c r="AC22" s="12">
        <v>0</v>
      </c>
      <c r="AD22" s="12">
        <v>0</v>
      </c>
      <c r="AE22" s="12">
        <v>2</v>
      </c>
      <c r="AF22" s="12">
        <v>1</v>
      </c>
    </row>
    <row r="23" spans="1:32" ht="34.5">
      <c r="A23" s="23"/>
      <c r="B23" s="13" t="s">
        <v>1467</v>
      </c>
      <c r="C23" s="15" t="s">
        <v>485</v>
      </c>
      <c r="D23" s="14">
        <v>0.01</v>
      </c>
      <c r="E23" s="15" t="s">
        <v>485</v>
      </c>
      <c r="F23" s="14">
        <v>0.01</v>
      </c>
      <c r="G23" s="15" t="s">
        <v>485</v>
      </c>
      <c r="H23" s="15" t="s">
        <v>485</v>
      </c>
      <c r="I23" s="15" t="s">
        <v>485</v>
      </c>
      <c r="J23" s="15" t="s">
        <v>485</v>
      </c>
      <c r="K23" s="14">
        <v>0.01</v>
      </c>
      <c r="L23" s="15" t="s">
        <v>485</v>
      </c>
      <c r="M23" s="15" t="s">
        <v>485</v>
      </c>
      <c r="N23" s="15" t="s">
        <v>485</v>
      </c>
      <c r="O23" s="15" t="s">
        <v>485</v>
      </c>
      <c r="P23" s="15" t="s">
        <v>485</v>
      </c>
      <c r="Q23" s="15" t="s">
        <v>485</v>
      </c>
      <c r="R23" s="15" t="s">
        <v>485</v>
      </c>
      <c r="S23" s="15" t="s">
        <v>485</v>
      </c>
      <c r="T23" s="15" t="s">
        <v>485</v>
      </c>
      <c r="U23" s="15" t="s">
        <v>485</v>
      </c>
      <c r="V23" s="15" t="s">
        <v>485</v>
      </c>
      <c r="W23" s="14">
        <v>0.01</v>
      </c>
      <c r="X23" s="15" t="s">
        <v>485</v>
      </c>
      <c r="Y23" s="14">
        <v>0.02</v>
      </c>
      <c r="Z23" s="15" t="s">
        <v>485</v>
      </c>
      <c r="AA23" s="15" t="s">
        <v>485</v>
      </c>
      <c r="AB23" s="15" t="s">
        <v>485</v>
      </c>
      <c r="AC23" s="15" t="s">
        <v>485</v>
      </c>
      <c r="AD23" s="15" t="s">
        <v>485</v>
      </c>
      <c r="AE23" s="15" t="s">
        <v>485</v>
      </c>
      <c r="AF23" s="15" t="s">
        <v>485</v>
      </c>
    </row>
    <row r="24" spans="1:32">
      <c r="A24" s="23"/>
      <c r="B24" s="11" t="s">
        <v>497</v>
      </c>
      <c r="C24" s="12">
        <v>1940</v>
      </c>
      <c r="D24" s="12">
        <v>57</v>
      </c>
      <c r="E24" s="12">
        <v>126</v>
      </c>
      <c r="F24" s="12">
        <v>47</v>
      </c>
      <c r="G24" s="12">
        <v>42</v>
      </c>
      <c r="H24" s="12">
        <v>141</v>
      </c>
      <c r="I24" s="12">
        <v>168</v>
      </c>
      <c r="J24" s="12">
        <v>27</v>
      </c>
      <c r="K24" s="12">
        <v>175</v>
      </c>
      <c r="L24" s="12">
        <v>88</v>
      </c>
      <c r="M24" s="12">
        <v>26</v>
      </c>
      <c r="N24" s="12">
        <v>28</v>
      </c>
      <c r="O24" s="12">
        <v>118</v>
      </c>
      <c r="P24" s="12">
        <v>10</v>
      </c>
      <c r="Q24" s="12">
        <v>52</v>
      </c>
      <c r="R24" s="12">
        <v>23</v>
      </c>
      <c r="S24" s="12">
        <v>138</v>
      </c>
      <c r="T24" s="12">
        <v>71</v>
      </c>
      <c r="U24" s="12">
        <v>64</v>
      </c>
      <c r="V24" s="12">
        <v>11</v>
      </c>
      <c r="W24" s="12">
        <v>39</v>
      </c>
      <c r="X24" s="12">
        <v>53</v>
      </c>
      <c r="Y24" s="12">
        <v>89</v>
      </c>
      <c r="Z24" s="12">
        <v>52</v>
      </c>
      <c r="AA24" s="12">
        <v>105</v>
      </c>
      <c r="AB24" s="12">
        <v>57</v>
      </c>
      <c r="AC24" s="12">
        <v>67</v>
      </c>
      <c r="AD24" s="12">
        <v>75</v>
      </c>
      <c r="AE24" s="12">
        <v>127</v>
      </c>
      <c r="AF24" s="12">
        <v>52</v>
      </c>
    </row>
    <row r="25" spans="1:32">
      <c r="A25" s="23"/>
      <c r="B25" s="13" t="s">
        <v>498</v>
      </c>
      <c r="C25" s="14">
        <v>7.0000000000000007E-2</v>
      </c>
      <c r="D25" s="14">
        <v>0.06</v>
      </c>
      <c r="E25" s="14">
        <v>0.12</v>
      </c>
      <c r="F25" s="14">
        <v>0.05</v>
      </c>
      <c r="G25" s="14">
        <v>0.04</v>
      </c>
      <c r="H25" s="14">
        <v>0.12</v>
      </c>
      <c r="I25" s="14">
        <v>0.11</v>
      </c>
      <c r="J25" s="14">
        <v>0.09</v>
      </c>
      <c r="K25" s="14">
        <v>0.17</v>
      </c>
      <c r="L25" s="14">
        <v>0.09</v>
      </c>
      <c r="M25" s="14">
        <v>0.03</v>
      </c>
      <c r="N25" s="14">
        <v>0.03</v>
      </c>
      <c r="O25" s="14">
        <v>0.12</v>
      </c>
      <c r="P25" s="14">
        <v>0.01</v>
      </c>
      <c r="Q25" s="14">
        <v>0.05</v>
      </c>
      <c r="R25" s="14">
        <v>0.05</v>
      </c>
      <c r="S25" s="14">
        <v>0.14000000000000001</v>
      </c>
      <c r="T25" s="14">
        <v>7.0000000000000007E-2</v>
      </c>
      <c r="U25" s="14">
        <v>0.13</v>
      </c>
      <c r="V25" s="14">
        <v>0.01</v>
      </c>
      <c r="W25" s="14">
        <v>0.08</v>
      </c>
      <c r="X25" s="14">
        <v>0.05</v>
      </c>
      <c r="Y25" s="14">
        <v>0.09</v>
      </c>
      <c r="Z25" s="14">
        <v>0.05</v>
      </c>
      <c r="AA25" s="14">
        <v>0.1</v>
      </c>
      <c r="AB25" s="14">
        <v>0.06</v>
      </c>
      <c r="AC25" s="14">
        <v>7.0000000000000007E-2</v>
      </c>
      <c r="AD25" s="14">
        <v>7.0000000000000007E-2</v>
      </c>
      <c r="AE25" s="14">
        <v>0.12</v>
      </c>
      <c r="AF25" s="14">
        <v>0.05</v>
      </c>
    </row>
    <row r="26" spans="1:32">
      <c r="A26" s="23"/>
      <c r="B26" s="11" t="s">
        <v>1481</v>
      </c>
      <c r="C26" s="12">
        <v>11642</v>
      </c>
      <c r="D26" s="12">
        <v>419</v>
      </c>
      <c r="E26" s="12">
        <v>539</v>
      </c>
      <c r="F26" s="12">
        <v>372</v>
      </c>
      <c r="G26" s="12">
        <v>380</v>
      </c>
      <c r="H26" s="12">
        <v>507</v>
      </c>
      <c r="I26" s="12">
        <v>648</v>
      </c>
      <c r="J26" s="12">
        <v>142</v>
      </c>
      <c r="K26" s="12">
        <v>253</v>
      </c>
      <c r="L26" s="12">
        <v>419</v>
      </c>
      <c r="M26" s="12">
        <v>579</v>
      </c>
      <c r="N26" s="12">
        <v>596</v>
      </c>
      <c r="O26" s="12">
        <v>469</v>
      </c>
      <c r="P26" s="12">
        <v>726</v>
      </c>
      <c r="Q26" s="12">
        <v>417</v>
      </c>
      <c r="R26" s="12">
        <v>370</v>
      </c>
      <c r="S26" s="12">
        <v>374</v>
      </c>
      <c r="T26" s="12">
        <v>238</v>
      </c>
      <c r="U26" s="12">
        <v>196</v>
      </c>
      <c r="V26" s="12">
        <v>597</v>
      </c>
      <c r="W26" s="12">
        <v>312</v>
      </c>
      <c r="X26" s="12">
        <v>543</v>
      </c>
      <c r="Y26" s="12">
        <v>341</v>
      </c>
      <c r="Z26" s="12">
        <v>187</v>
      </c>
      <c r="AA26" s="12">
        <v>637</v>
      </c>
      <c r="AB26" s="12">
        <v>396</v>
      </c>
      <c r="AC26" s="12">
        <v>600</v>
      </c>
      <c r="AD26" s="12">
        <v>297</v>
      </c>
      <c r="AE26" s="12">
        <v>236</v>
      </c>
      <c r="AF26" s="12">
        <v>601</v>
      </c>
    </row>
    <row r="27" spans="1:32">
      <c r="A27" s="23"/>
      <c r="B27" s="13" t="s">
        <v>1482</v>
      </c>
      <c r="C27" s="14">
        <v>0.44</v>
      </c>
      <c r="D27" s="14">
        <v>0.41</v>
      </c>
      <c r="E27" s="14">
        <v>0.52</v>
      </c>
      <c r="F27" s="14">
        <v>0.37</v>
      </c>
      <c r="G27" s="14">
        <v>0.38</v>
      </c>
      <c r="H27" s="14">
        <v>0.42</v>
      </c>
      <c r="I27" s="14">
        <v>0.43</v>
      </c>
      <c r="J27" s="14">
        <v>0.48</v>
      </c>
      <c r="K27" s="14">
        <v>0.26</v>
      </c>
      <c r="L27" s="14">
        <v>0.41</v>
      </c>
      <c r="M27" s="14">
        <v>0.57000000000000006</v>
      </c>
      <c r="N27" s="14">
        <v>0.6</v>
      </c>
      <c r="O27" s="14">
        <v>0.46</v>
      </c>
      <c r="P27" s="14">
        <v>0.72</v>
      </c>
      <c r="Q27" s="14">
        <v>0.41</v>
      </c>
      <c r="R27" s="14">
        <v>0.73</v>
      </c>
      <c r="S27" s="14">
        <v>0.37</v>
      </c>
      <c r="T27" s="14">
        <v>0.24</v>
      </c>
      <c r="U27" s="14">
        <v>0.39</v>
      </c>
      <c r="V27" s="14">
        <v>0.59</v>
      </c>
      <c r="W27" s="14">
        <v>0.62</v>
      </c>
      <c r="X27" s="14">
        <v>0.54</v>
      </c>
      <c r="Y27" s="14">
        <v>0.34</v>
      </c>
      <c r="Z27" s="14">
        <v>0.18</v>
      </c>
      <c r="AA27" s="14">
        <v>0.61</v>
      </c>
      <c r="AB27" s="14">
        <v>0.38</v>
      </c>
      <c r="AC27" s="14">
        <v>0.59</v>
      </c>
      <c r="AD27" s="14">
        <v>0.3</v>
      </c>
      <c r="AE27" s="14">
        <v>0.24</v>
      </c>
      <c r="AF27" s="14">
        <v>0.56000000000000005</v>
      </c>
    </row>
    <row r="28" spans="1:32">
      <c r="A28" s="23"/>
      <c r="B28" s="11" t="s">
        <v>1483</v>
      </c>
      <c r="C28" s="12">
        <v>2248</v>
      </c>
      <c r="D28" s="12">
        <v>97</v>
      </c>
      <c r="E28" s="12">
        <v>90</v>
      </c>
      <c r="F28" s="12">
        <v>91</v>
      </c>
      <c r="G28" s="12">
        <v>52</v>
      </c>
      <c r="H28" s="12">
        <v>64</v>
      </c>
      <c r="I28" s="12">
        <v>85</v>
      </c>
      <c r="J28" s="12">
        <v>21</v>
      </c>
      <c r="K28" s="12">
        <v>142</v>
      </c>
      <c r="L28" s="12">
        <v>107</v>
      </c>
      <c r="M28" s="12">
        <v>59</v>
      </c>
      <c r="N28" s="12">
        <v>34</v>
      </c>
      <c r="O28" s="12">
        <v>68</v>
      </c>
      <c r="P28" s="12">
        <v>86</v>
      </c>
      <c r="Q28" s="12">
        <v>135</v>
      </c>
      <c r="R28" s="12">
        <v>25</v>
      </c>
      <c r="S28" s="12">
        <v>134</v>
      </c>
      <c r="T28" s="12">
        <v>283</v>
      </c>
      <c r="U28" s="12">
        <v>21</v>
      </c>
      <c r="V28" s="12">
        <v>53</v>
      </c>
      <c r="W28" s="12">
        <v>41</v>
      </c>
      <c r="X28" s="12">
        <v>28</v>
      </c>
      <c r="Y28" s="12">
        <v>141</v>
      </c>
      <c r="Z28" s="12">
        <v>194</v>
      </c>
      <c r="AA28" s="12">
        <v>27</v>
      </c>
      <c r="AB28" s="12">
        <v>136</v>
      </c>
      <c r="AC28" s="12">
        <v>50</v>
      </c>
      <c r="AD28" s="12">
        <v>133</v>
      </c>
      <c r="AE28" s="12">
        <v>61</v>
      </c>
      <c r="AF28" s="12">
        <v>31</v>
      </c>
    </row>
    <row r="29" spans="1:32">
      <c r="A29" s="23"/>
      <c r="B29" s="13" t="s">
        <v>1484</v>
      </c>
      <c r="C29" s="14">
        <v>0.09</v>
      </c>
      <c r="D29" s="14">
        <v>0.1</v>
      </c>
      <c r="E29" s="14">
        <v>0.09</v>
      </c>
      <c r="F29" s="14">
        <v>0.09</v>
      </c>
      <c r="G29" s="14">
        <v>0.05</v>
      </c>
      <c r="H29" s="14">
        <v>0.05</v>
      </c>
      <c r="I29" s="14">
        <v>0.06</v>
      </c>
      <c r="J29" s="14">
        <v>7.0000000000000007E-2</v>
      </c>
      <c r="K29" s="14">
        <v>0.14000000000000001</v>
      </c>
      <c r="L29" s="14">
        <v>0.11</v>
      </c>
      <c r="M29" s="14">
        <v>0.06</v>
      </c>
      <c r="N29" s="14">
        <v>0.03</v>
      </c>
      <c r="O29" s="14">
        <v>7.0000000000000007E-2</v>
      </c>
      <c r="P29" s="14">
        <v>0.08</v>
      </c>
      <c r="Q29" s="14">
        <v>0.13</v>
      </c>
      <c r="R29" s="14">
        <v>0.05</v>
      </c>
      <c r="S29" s="14">
        <v>0.13</v>
      </c>
      <c r="T29" s="14">
        <v>0.28000000000000003</v>
      </c>
      <c r="U29" s="14">
        <v>0.04</v>
      </c>
      <c r="V29" s="14">
        <v>0.05</v>
      </c>
      <c r="W29" s="14">
        <v>0.08</v>
      </c>
      <c r="X29" s="14">
        <v>0.03</v>
      </c>
      <c r="Y29" s="14">
        <v>0.14000000000000001</v>
      </c>
      <c r="Z29" s="14">
        <v>0.19</v>
      </c>
      <c r="AA29" s="14">
        <v>0.03</v>
      </c>
      <c r="AB29" s="14">
        <v>0.13</v>
      </c>
      <c r="AC29" s="14">
        <v>0.05</v>
      </c>
      <c r="AD29" s="14">
        <v>0.13</v>
      </c>
      <c r="AE29" s="14">
        <v>0.06</v>
      </c>
      <c r="AF29" s="14">
        <v>0.03</v>
      </c>
    </row>
  </sheetData>
  <mergeCells count="10">
    <mergeCell ref="B4:F4"/>
    <mergeCell ref="H3:L3"/>
    <mergeCell ref="C8:AF8"/>
    <mergeCell ref="A26:A29"/>
    <mergeCell ref="B3:F3"/>
    <mergeCell ref="B5:F5"/>
    <mergeCell ref="A10:A25"/>
    <mergeCell ref="H5:L5"/>
    <mergeCell ref="B10:B11"/>
    <mergeCell ref="H4:L4"/>
  </mergeCells>
  <pageMargins left="0.75" right="0.75" top="1" bottom="1" header="0.5" footer="0.5"/>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A00-000000000000}">
  <dimension ref="A1:AF4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36" customHeight="1">
      <c r="B3" s="19" t="s">
        <v>315</v>
      </c>
      <c r="C3" s="19"/>
      <c r="D3" s="19"/>
      <c r="E3" s="19"/>
      <c r="F3" s="19"/>
      <c r="H3" s="19" t="s">
        <v>316</v>
      </c>
      <c r="I3" s="19"/>
      <c r="J3" s="19"/>
      <c r="K3" s="19"/>
      <c r="L3" s="19"/>
    </row>
    <row r="4" spans="1:32" ht="27" customHeight="1">
      <c r="B4" s="19"/>
      <c r="C4" s="19"/>
      <c r="D4" s="19"/>
      <c r="E4" s="19"/>
      <c r="F4" s="19"/>
      <c r="H4" s="19"/>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HYPERLINK("#Content!A159","&lt;&lt;Back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1485</v>
      </c>
      <c r="C12" s="12">
        <v>5853</v>
      </c>
      <c r="D12" s="12">
        <v>261</v>
      </c>
      <c r="E12" s="12">
        <v>521</v>
      </c>
      <c r="F12" s="12">
        <v>195</v>
      </c>
      <c r="G12" s="12">
        <v>74</v>
      </c>
      <c r="H12" s="12">
        <v>81</v>
      </c>
      <c r="I12" s="12">
        <v>119</v>
      </c>
      <c r="J12" s="12">
        <v>38</v>
      </c>
      <c r="K12" s="12">
        <v>109</v>
      </c>
      <c r="L12" s="12">
        <v>205</v>
      </c>
      <c r="M12" s="12">
        <v>557</v>
      </c>
      <c r="N12" s="12">
        <v>244</v>
      </c>
      <c r="O12" s="12">
        <v>261</v>
      </c>
      <c r="P12" s="12">
        <v>431</v>
      </c>
      <c r="Q12" s="12">
        <v>240</v>
      </c>
      <c r="R12" s="12">
        <v>258</v>
      </c>
      <c r="S12" s="12">
        <v>365</v>
      </c>
      <c r="T12" s="12">
        <v>290</v>
      </c>
      <c r="U12" s="12">
        <v>93</v>
      </c>
      <c r="V12" s="12">
        <v>235</v>
      </c>
      <c r="W12" s="12">
        <v>207</v>
      </c>
      <c r="X12" s="12">
        <v>290</v>
      </c>
      <c r="Y12" s="12">
        <v>160</v>
      </c>
      <c r="Z12" s="12">
        <v>170</v>
      </c>
      <c r="AA12" s="12">
        <v>458</v>
      </c>
      <c r="AB12" s="12">
        <v>357</v>
      </c>
      <c r="AC12" s="12">
        <v>273</v>
      </c>
      <c r="AD12" s="12">
        <v>421</v>
      </c>
      <c r="AE12" s="12">
        <v>44</v>
      </c>
      <c r="AF12" s="12">
        <v>77</v>
      </c>
    </row>
    <row r="13" spans="1:32">
      <c r="A13" s="23"/>
      <c r="B13" s="13" t="s">
        <v>1486</v>
      </c>
      <c r="C13" s="14">
        <v>0.22</v>
      </c>
      <c r="D13" s="14">
        <v>0.26</v>
      </c>
      <c r="E13" s="14">
        <v>0.5</v>
      </c>
      <c r="F13" s="14">
        <v>0.19</v>
      </c>
      <c r="G13" s="14">
        <v>7.0000000000000007E-2</v>
      </c>
      <c r="H13" s="14">
        <v>7.0000000000000007E-2</v>
      </c>
      <c r="I13" s="14">
        <v>0.08</v>
      </c>
      <c r="J13" s="14">
        <v>0.13</v>
      </c>
      <c r="K13" s="14">
        <v>0.11</v>
      </c>
      <c r="L13" s="14">
        <v>0.2</v>
      </c>
      <c r="M13" s="14">
        <v>0.55000000000000004</v>
      </c>
      <c r="N13" s="14">
        <v>0.24</v>
      </c>
      <c r="O13" s="14">
        <v>0.26</v>
      </c>
      <c r="P13" s="14">
        <v>0.43</v>
      </c>
      <c r="Q13" s="14">
        <v>0.23</v>
      </c>
      <c r="R13" s="14">
        <v>0.51</v>
      </c>
      <c r="S13" s="14">
        <v>0.36</v>
      </c>
      <c r="T13" s="14">
        <v>0.28999999999999998</v>
      </c>
      <c r="U13" s="14">
        <v>0.18</v>
      </c>
      <c r="V13" s="14">
        <v>0.23</v>
      </c>
      <c r="W13" s="14">
        <v>0.41</v>
      </c>
      <c r="X13" s="14">
        <v>0.28999999999999998</v>
      </c>
      <c r="Y13" s="14">
        <v>0.16</v>
      </c>
      <c r="Z13" s="14">
        <v>0.17</v>
      </c>
      <c r="AA13" s="14">
        <v>0.44</v>
      </c>
      <c r="AB13" s="14">
        <v>0.35</v>
      </c>
      <c r="AC13" s="14">
        <v>0.27</v>
      </c>
      <c r="AD13" s="14">
        <v>0.42</v>
      </c>
      <c r="AE13" s="14">
        <v>0.04</v>
      </c>
      <c r="AF13" s="14">
        <v>7.0000000000000007E-2</v>
      </c>
    </row>
    <row r="14" spans="1:32">
      <c r="A14" s="23"/>
      <c r="B14" s="11" t="s">
        <v>1487</v>
      </c>
      <c r="C14" s="12">
        <v>4405</v>
      </c>
      <c r="D14" s="12">
        <v>180</v>
      </c>
      <c r="E14" s="12">
        <v>296</v>
      </c>
      <c r="F14" s="12">
        <v>98</v>
      </c>
      <c r="G14" s="12">
        <v>64</v>
      </c>
      <c r="H14" s="12">
        <v>83</v>
      </c>
      <c r="I14" s="12">
        <v>124</v>
      </c>
      <c r="J14" s="12">
        <v>41</v>
      </c>
      <c r="K14" s="12">
        <v>70</v>
      </c>
      <c r="L14" s="12">
        <v>107</v>
      </c>
      <c r="M14" s="12">
        <v>599</v>
      </c>
      <c r="N14" s="12">
        <v>190</v>
      </c>
      <c r="O14" s="12">
        <v>139</v>
      </c>
      <c r="P14" s="12">
        <v>319</v>
      </c>
      <c r="Q14" s="12">
        <v>236</v>
      </c>
      <c r="R14" s="12">
        <v>175</v>
      </c>
      <c r="S14" s="12">
        <v>224</v>
      </c>
      <c r="T14" s="12">
        <v>157</v>
      </c>
      <c r="U14" s="12">
        <v>54</v>
      </c>
      <c r="V14" s="12">
        <v>243</v>
      </c>
      <c r="W14" s="12">
        <v>166</v>
      </c>
      <c r="X14" s="12">
        <v>186</v>
      </c>
      <c r="Y14" s="12">
        <v>124</v>
      </c>
      <c r="Z14" s="12">
        <v>88</v>
      </c>
      <c r="AA14" s="12">
        <v>435</v>
      </c>
      <c r="AB14" s="12">
        <v>228</v>
      </c>
      <c r="AC14" s="12">
        <v>235</v>
      </c>
      <c r="AD14" s="12">
        <v>263</v>
      </c>
      <c r="AE14" s="12">
        <v>6</v>
      </c>
      <c r="AF14" s="12">
        <v>35</v>
      </c>
    </row>
    <row r="15" spans="1:32">
      <c r="A15" s="23"/>
      <c r="B15" s="13" t="s">
        <v>1488</v>
      </c>
      <c r="C15" s="14">
        <v>0.17</v>
      </c>
      <c r="D15" s="14">
        <v>0.18</v>
      </c>
      <c r="E15" s="14">
        <v>0.28000000000000003</v>
      </c>
      <c r="F15" s="14">
        <v>0.1</v>
      </c>
      <c r="G15" s="14">
        <v>0.06</v>
      </c>
      <c r="H15" s="14">
        <v>7.0000000000000007E-2</v>
      </c>
      <c r="I15" s="14">
        <v>0.08</v>
      </c>
      <c r="J15" s="14">
        <v>0.14000000000000001</v>
      </c>
      <c r="K15" s="14">
        <v>7.0000000000000007E-2</v>
      </c>
      <c r="L15" s="14">
        <v>0.11</v>
      </c>
      <c r="M15" s="14">
        <v>0.59</v>
      </c>
      <c r="N15" s="14">
        <v>0.19</v>
      </c>
      <c r="O15" s="14">
        <v>0.14000000000000001</v>
      </c>
      <c r="P15" s="14">
        <v>0.32</v>
      </c>
      <c r="Q15" s="14">
        <v>0.23</v>
      </c>
      <c r="R15" s="14">
        <v>0.35</v>
      </c>
      <c r="S15" s="14">
        <v>0.22</v>
      </c>
      <c r="T15" s="14">
        <v>0.16</v>
      </c>
      <c r="U15" s="14">
        <v>0.11</v>
      </c>
      <c r="V15" s="14">
        <v>0.24</v>
      </c>
      <c r="W15" s="14">
        <v>0.33</v>
      </c>
      <c r="X15" s="14">
        <v>0.18</v>
      </c>
      <c r="Y15" s="14">
        <v>0.12</v>
      </c>
      <c r="Z15" s="14">
        <v>0.09</v>
      </c>
      <c r="AA15" s="14">
        <v>0.42</v>
      </c>
      <c r="AB15" s="14">
        <v>0.22</v>
      </c>
      <c r="AC15" s="14">
        <v>0.23</v>
      </c>
      <c r="AD15" s="14">
        <v>0.26</v>
      </c>
      <c r="AE15" s="14">
        <v>0.01</v>
      </c>
      <c r="AF15" s="14">
        <v>0.03</v>
      </c>
    </row>
    <row r="16" spans="1:32">
      <c r="A16" s="23"/>
      <c r="B16" s="11" t="s">
        <v>1489</v>
      </c>
      <c r="C16" s="12">
        <v>4582</v>
      </c>
      <c r="D16" s="12">
        <v>143</v>
      </c>
      <c r="E16" s="12">
        <v>430</v>
      </c>
      <c r="F16" s="12">
        <v>237</v>
      </c>
      <c r="G16" s="12">
        <v>31</v>
      </c>
      <c r="H16" s="12">
        <v>78</v>
      </c>
      <c r="I16" s="12">
        <v>106</v>
      </c>
      <c r="J16" s="12">
        <v>27</v>
      </c>
      <c r="K16" s="12">
        <v>97</v>
      </c>
      <c r="L16" s="12">
        <v>147</v>
      </c>
      <c r="M16" s="12">
        <v>411</v>
      </c>
      <c r="N16" s="12">
        <v>241</v>
      </c>
      <c r="O16" s="12">
        <v>150</v>
      </c>
      <c r="P16" s="12">
        <v>404</v>
      </c>
      <c r="Q16" s="12">
        <v>220</v>
      </c>
      <c r="R16" s="12">
        <v>212</v>
      </c>
      <c r="S16" s="12">
        <v>223</v>
      </c>
      <c r="T16" s="12">
        <v>314</v>
      </c>
      <c r="U16" s="12">
        <v>43</v>
      </c>
      <c r="V16" s="12">
        <v>195</v>
      </c>
      <c r="W16" s="12">
        <v>177</v>
      </c>
      <c r="X16" s="12">
        <v>126</v>
      </c>
      <c r="Y16" s="12">
        <v>133</v>
      </c>
      <c r="Z16" s="12">
        <v>107</v>
      </c>
      <c r="AA16" s="12">
        <v>346</v>
      </c>
      <c r="AB16" s="12">
        <v>296</v>
      </c>
      <c r="AC16" s="12">
        <v>333</v>
      </c>
      <c r="AD16" s="12">
        <v>412</v>
      </c>
      <c r="AE16" s="12">
        <v>12</v>
      </c>
      <c r="AF16" s="12">
        <v>68</v>
      </c>
    </row>
    <row r="17" spans="1:32">
      <c r="A17" s="23"/>
      <c r="B17" s="13" t="s">
        <v>1490</v>
      </c>
      <c r="C17" s="14">
        <v>0.17</v>
      </c>
      <c r="D17" s="14">
        <v>0.14000000000000001</v>
      </c>
      <c r="E17" s="14">
        <v>0.41</v>
      </c>
      <c r="F17" s="14">
        <v>0.24</v>
      </c>
      <c r="G17" s="14">
        <v>0.03</v>
      </c>
      <c r="H17" s="14">
        <v>0.06</v>
      </c>
      <c r="I17" s="14">
        <v>7.0000000000000007E-2</v>
      </c>
      <c r="J17" s="14">
        <v>0.09</v>
      </c>
      <c r="K17" s="14">
        <v>0.1</v>
      </c>
      <c r="L17" s="14">
        <v>0.15</v>
      </c>
      <c r="M17" s="14">
        <v>0.41</v>
      </c>
      <c r="N17" s="14">
        <v>0.24</v>
      </c>
      <c r="O17" s="14">
        <v>0.15</v>
      </c>
      <c r="P17" s="14">
        <v>0.4</v>
      </c>
      <c r="Q17" s="14">
        <v>0.22</v>
      </c>
      <c r="R17" s="14">
        <v>0.42</v>
      </c>
      <c r="S17" s="14">
        <v>0.22</v>
      </c>
      <c r="T17" s="14">
        <v>0.31</v>
      </c>
      <c r="U17" s="14">
        <v>0.08</v>
      </c>
      <c r="V17" s="14">
        <v>0.19</v>
      </c>
      <c r="W17" s="14">
        <v>0.35</v>
      </c>
      <c r="X17" s="14">
        <v>0.12</v>
      </c>
      <c r="Y17" s="14">
        <v>0.13</v>
      </c>
      <c r="Z17" s="14">
        <v>0.11</v>
      </c>
      <c r="AA17" s="14">
        <v>0.33</v>
      </c>
      <c r="AB17" s="14">
        <v>0.28999999999999998</v>
      </c>
      <c r="AC17" s="14">
        <v>0.33</v>
      </c>
      <c r="AD17" s="14">
        <v>0.41</v>
      </c>
      <c r="AE17" s="14">
        <v>0.01</v>
      </c>
      <c r="AF17" s="14">
        <v>0.06</v>
      </c>
    </row>
    <row r="18" spans="1:32" ht="23.25">
      <c r="A18" s="23"/>
      <c r="B18" s="11" t="s">
        <v>1491</v>
      </c>
      <c r="C18" s="12">
        <v>3552</v>
      </c>
      <c r="D18" s="12">
        <v>74</v>
      </c>
      <c r="E18" s="12">
        <v>186</v>
      </c>
      <c r="F18" s="12">
        <v>76</v>
      </c>
      <c r="G18" s="12">
        <v>83</v>
      </c>
      <c r="H18" s="12">
        <v>87</v>
      </c>
      <c r="I18" s="12">
        <v>117</v>
      </c>
      <c r="J18" s="12">
        <v>31</v>
      </c>
      <c r="K18" s="12">
        <v>108</v>
      </c>
      <c r="L18" s="12">
        <v>109</v>
      </c>
      <c r="M18" s="12">
        <v>485</v>
      </c>
      <c r="N18" s="12">
        <v>134</v>
      </c>
      <c r="O18" s="12">
        <v>79</v>
      </c>
      <c r="P18" s="12">
        <v>271</v>
      </c>
      <c r="Q18" s="12">
        <v>233</v>
      </c>
      <c r="R18" s="12">
        <v>124</v>
      </c>
      <c r="S18" s="12">
        <v>149</v>
      </c>
      <c r="T18" s="12">
        <v>193</v>
      </c>
      <c r="U18" s="12">
        <v>47</v>
      </c>
      <c r="V18" s="12">
        <v>151</v>
      </c>
      <c r="W18" s="12">
        <v>192</v>
      </c>
      <c r="X18" s="12">
        <v>163</v>
      </c>
      <c r="Y18" s="12">
        <v>172</v>
      </c>
      <c r="Z18" s="12">
        <v>50</v>
      </c>
      <c r="AA18" s="12">
        <v>391</v>
      </c>
      <c r="AB18" s="12">
        <v>158</v>
      </c>
      <c r="AC18" s="12">
        <v>191</v>
      </c>
      <c r="AD18" s="12">
        <v>171</v>
      </c>
      <c r="AE18" s="12">
        <v>20</v>
      </c>
      <c r="AF18" s="12">
        <v>96</v>
      </c>
    </row>
    <row r="19" spans="1:32" ht="23.25">
      <c r="A19" s="23"/>
      <c r="B19" s="13" t="s">
        <v>1492</v>
      </c>
      <c r="C19" s="14">
        <v>0.13</v>
      </c>
      <c r="D19" s="14">
        <v>7.0000000000000007E-2</v>
      </c>
      <c r="E19" s="14">
        <v>0.18</v>
      </c>
      <c r="F19" s="14">
        <v>0.08</v>
      </c>
      <c r="G19" s="14">
        <v>0.08</v>
      </c>
      <c r="H19" s="14">
        <v>7.0000000000000007E-2</v>
      </c>
      <c r="I19" s="14">
        <v>0.08</v>
      </c>
      <c r="J19" s="14">
        <v>0.11</v>
      </c>
      <c r="K19" s="14">
        <v>0.11</v>
      </c>
      <c r="L19" s="14">
        <v>0.11</v>
      </c>
      <c r="M19" s="14">
        <v>0.48</v>
      </c>
      <c r="N19" s="14">
        <v>0.13</v>
      </c>
      <c r="O19" s="14">
        <v>0.08</v>
      </c>
      <c r="P19" s="14">
        <v>0.27</v>
      </c>
      <c r="Q19" s="14">
        <v>0.23</v>
      </c>
      <c r="R19" s="14">
        <v>0.25</v>
      </c>
      <c r="S19" s="14">
        <v>0.15</v>
      </c>
      <c r="T19" s="14">
        <v>0.19</v>
      </c>
      <c r="U19" s="14">
        <v>0.09</v>
      </c>
      <c r="V19" s="14">
        <v>0.15</v>
      </c>
      <c r="W19" s="14">
        <v>0.38</v>
      </c>
      <c r="X19" s="14">
        <v>0.16</v>
      </c>
      <c r="Y19" s="14">
        <v>0.17</v>
      </c>
      <c r="Z19" s="14">
        <v>0.05</v>
      </c>
      <c r="AA19" s="14">
        <v>0.38</v>
      </c>
      <c r="AB19" s="14">
        <v>0.15</v>
      </c>
      <c r="AC19" s="14">
        <v>0.19</v>
      </c>
      <c r="AD19" s="14">
        <v>0.17</v>
      </c>
      <c r="AE19" s="14">
        <v>0.02</v>
      </c>
      <c r="AF19" s="14">
        <v>0.09</v>
      </c>
    </row>
    <row r="20" spans="1:32">
      <c r="A20" s="23"/>
      <c r="B20" s="11" t="s">
        <v>1493</v>
      </c>
      <c r="C20" s="12">
        <v>3901</v>
      </c>
      <c r="D20" s="12">
        <v>109</v>
      </c>
      <c r="E20" s="12">
        <v>371</v>
      </c>
      <c r="F20" s="12">
        <v>151</v>
      </c>
      <c r="G20" s="12">
        <v>32</v>
      </c>
      <c r="H20" s="12">
        <v>50</v>
      </c>
      <c r="I20" s="12">
        <v>75</v>
      </c>
      <c r="J20" s="12">
        <v>25</v>
      </c>
      <c r="K20" s="12">
        <v>61</v>
      </c>
      <c r="L20" s="12">
        <v>113</v>
      </c>
      <c r="M20" s="12">
        <v>304</v>
      </c>
      <c r="N20" s="12">
        <v>211</v>
      </c>
      <c r="O20" s="12">
        <v>196</v>
      </c>
      <c r="P20" s="12">
        <v>304</v>
      </c>
      <c r="Q20" s="12">
        <v>148</v>
      </c>
      <c r="R20" s="12">
        <v>121</v>
      </c>
      <c r="S20" s="12">
        <v>180</v>
      </c>
      <c r="T20" s="12">
        <v>267</v>
      </c>
      <c r="U20" s="12">
        <v>37</v>
      </c>
      <c r="V20" s="12">
        <v>176</v>
      </c>
      <c r="W20" s="12">
        <v>157</v>
      </c>
      <c r="X20" s="12">
        <v>166</v>
      </c>
      <c r="Y20" s="12">
        <v>125</v>
      </c>
      <c r="Z20" s="12">
        <v>110</v>
      </c>
      <c r="AA20" s="12">
        <v>298</v>
      </c>
      <c r="AB20" s="12">
        <v>161</v>
      </c>
      <c r="AC20" s="12">
        <v>242</v>
      </c>
      <c r="AD20" s="12">
        <v>290</v>
      </c>
      <c r="AE20" s="12">
        <v>22</v>
      </c>
      <c r="AF20" s="12">
        <v>57</v>
      </c>
    </row>
    <row r="21" spans="1:32" ht="23.25">
      <c r="A21" s="23"/>
      <c r="B21" s="13" t="s">
        <v>1494</v>
      </c>
      <c r="C21" s="14">
        <v>0.15</v>
      </c>
      <c r="D21" s="14">
        <v>0.11</v>
      </c>
      <c r="E21" s="14">
        <v>0.36</v>
      </c>
      <c r="F21" s="14">
        <v>0.15</v>
      </c>
      <c r="G21" s="14">
        <v>0.03</v>
      </c>
      <c r="H21" s="14">
        <v>0.04</v>
      </c>
      <c r="I21" s="14">
        <v>0.05</v>
      </c>
      <c r="J21" s="14">
        <v>0.09</v>
      </c>
      <c r="K21" s="14">
        <v>0.06</v>
      </c>
      <c r="L21" s="14">
        <v>0.11</v>
      </c>
      <c r="M21" s="14">
        <v>0.3</v>
      </c>
      <c r="N21" s="14">
        <v>0.21</v>
      </c>
      <c r="O21" s="14">
        <v>0.2</v>
      </c>
      <c r="P21" s="14">
        <v>0.3</v>
      </c>
      <c r="Q21" s="14">
        <v>0.14000000000000001</v>
      </c>
      <c r="R21" s="14">
        <v>0.24</v>
      </c>
      <c r="S21" s="14">
        <v>0.18</v>
      </c>
      <c r="T21" s="14">
        <v>0.27</v>
      </c>
      <c r="U21" s="14">
        <v>7.0000000000000007E-2</v>
      </c>
      <c r="V21" s="14">
        <v>0.17</v>
      </c>
      <c r="W21" s="14">
        <v>0.31</v>
      </c>
      <c r="X21" s="14">
        <v>0.16</v>
      </c>
      <c r="Y21" s="14">
        <v>0.12</v>
      </c>
      <c r="Z21" s="14">
        <v>0.11</v>
      </c>
      <c r="AA21" s="14">
        <v>0.28999999999999998</v>
      </c>
      <c r="AB21" s="14">
        <v>0.16</v>
      </c>
      <c r="AC21" s="14">
        <v>0.24</v>
      </c>
      <c r="AD21" s="14">
        <v>0.28999999999999998</v>
      </c>
      <c r="AE21" s="14">
        <v>0.02</v>
      </c>
      <c r="AF21" s="14">
        <v>0.05</v>
      </c>
    </row>
    <row r="22" spans="1:32" ht="34.5">
      <c r="A22" s="23"/>
      <c r="B22" s="11" t="s">
        <v>1495</v>
      </c>
      <c r="C22" s="12">
        <v>12081</v>
      </c>
      <c r="D22" s="12">
        <v>410</v>
      </c>
      <c r="E22" s="12">
        <v>398</v>
      </c>
      <c r="F22" s="12">
        <v>458</v>
      </c>
      <c r="G22" s="12">
        <v>293</v>
      </c>
      <c r="H22" s="12">
        <v>411</v>
      </c>
      <c r="I22" s="12">
        <v>542</v>
      </c>
      <c r="J22" s="12">
        <v>130</v>
      </c>
      <c r="K22" s="12">
        <v>375</v>
      </c>
      <c r="L22" s="12">
        <v>363</v>
      </c>
      <c r="M22" s="12">
        <v>712</v>
      </c>
      <c r="N22" s="12">
        <v>662</v>
      </c>
      <c r="O22" s="12">
        <v>524</v>
      </c>
      <c r="P22" s="12">
        <v>535</v>
      </c>
      <c r="Q22" s="12">
        <v>495</v>
      </c>
      <c r="R22" s="12">
        <v>206</v>
      </c>
      <c r="S22" s="12">
        <v>372</v>
      </c>
      <c r="T22" s="12">
        <v>460</v>
      </c>
      <c r="U22" s="12">
        <v>208</v>
      </c>
      <c r="V22" s="12">
        <v>532</v>
      </c>
      <c r="W22" s="12">
        <v>284</v>
      </c>
      <c r="X22" s="12">
        <v>461</v>
      </c>
      <c r="Y22" s="12">
        <v>484</v>
      </c>
      <c r="Z22" s="12">
        <v>251</v>
      </c>
      <c r="AA22" s="12">
        <v>655</v>
      </c>
      <c r="AB22" s="12">
        <v>382</v>
      </c>
      <c r="AC22" s="12">
        <v>594</v>
      </c>
      <c r="AD22" s="12">
        <v>454</v>
      </c>
      <c r="AE22" s="12">
        <v>396</v>
      </c>
      <c r="AF22" s="12">
        <v>458</v>
      </c>
    </row>
    <row r="23" spans="1:32" ht="23.25">
      <c r="A23" s="23"/>
      <c r="B23" s="13" t="s">
        <v>1496</v>
      </c>
      <c r="C23" s="14">
        <v>0.46</v>
      </c>
      <c r="D23" s="14">
        <v>0.41</v>
      </c>
      <c r="E23" s="14">
        <v>0.38</v>
      </c>
      <c r="F23" s="14">
        <v>0.45</v>
      </c>
      <c r="G23" s="14">
        <v>0.28999999999999998</v>
      </c>
      <c r="H23" s="14">
        <v>0.34</v>
      </c>
      <c r="I23" s="14">
        <v>0.36</v>
      </c>
      <c r="J23" s="14">
        <v>0.44</v>
      </c>
      <c r="K23" s="14">
        <v>0.37</v>
      </c>
      <c r="L23" s="14">
        <v>0.36</v>
      </c>
      <c r="M23" s="14">
        <v>0.70000000000000007</v>
      </c>
      <c r="N23" s="14">
        <v>0.66</v>
      </c>
      <c r="O23" s="14">
        <v>0.52</v>
      </c>
      <c r="P23" s="14">
        <v>0.53</v>
      </c>
      <c r="Q23" s="14">
        <v>0.48</v>
      </c>
      <c r="R23" s="14">
        <v>0.41</v>
      </c>
      <c r="S23" s="14">
        <v>0.37</v>
      </c>
      <c r="T23" s="14">
        <v>0.46</v>
      </c>
      <c r="U23" s="14">
        <v>0.41</v>
      </c>
      <c r="V23" s="14">
        <v>0.53</v>
      </c>
      <c r="W23" s="14">
        <v>0.56000000000000005</v>
      </c>
      <c r="X23" s="14">
        <v>0.45</v>
      </c>
      <c r="Y23" s="14">
        <v>0.48</v>
      </c>
      <c r="Z23" s="14">
        <v>0.25</v>
      </c>
      <c r="AA23" s="14">
        <v>0.63</v>
      </c>
      <c r="AB23" s="14">
        <v>0.37</v>
      </c>
      <c r="AC23" s="14">
        <v>0.59</v>
      </c>
      <c r="AD23" s="14">
        <v>0.45</v>
      </c>
      <c r="AE23" s="14">
        <v>0.39</v>
      </c>
      <c r="AF23" s="14">
        <v>0.43</v>
      </c>
    </row>
    <row r="24" spans="1:32">
      <c r="A24" s="23"/>
      <c r="B24" s="11" t="s">
        <v>1497</v>
      </c>
      <c r="C24" s="12">
        <v>13469</v>
      </c>
      <c r="D24" s="12">
        <v>437</v>
      </c>
      <c r="E24" s="12">
        <v>396</v>
      </c>
      <c r="F24" s="12">
        <v>453</v>
      </c>
      <c r="G24" s="12">
        <v>308</v>
      </c>
      <c r="H24" s="12">
        <v>520</v>
      </c>
      <c r="I24" s="12">
        <v>663</v>
      </c>
      <c r="J24" s="12">
        <v>143</v>
      </c>
      <c r="K24" s="12">
        <v>371</v>
      </c>
      <c r="L24" s="12">
        <v>413</v>
      </c>
      <c r="M24" s="12">
        <v>701</v>
      </c>
      <c r="N24" s="12">
        <v>792</v>
      </c>
      <c r="O24" s="12">
        <v>656</v>
      </c>
      <c r="P24" s="12">
        <v>527</v>
      </c>
      <c r="Q24" s="12">
        <v>522</v>
      </c>
      <c r="R24" s="12">
        <v>334</v>
      </c>
      <c r="S24" s="12">
        <v>459</v>
      </c>
      <c r="T24" s="12">
        <v>497</v>
      </c>
      <c r="U24" s="12">
        <v>264</v>
      </c>
      <c r="V24" s="12">
        <v>560</v>
      </c>
      <c r="W24" s="12">
        <v>304</v>
      </c>
      <c r="X24" s="12">
        <v>436</v>
      </c>
      <c r="Y24" s="12">
        <v>486</v>
      </c>
      <c r="Z24" s="12">
        <v>287</v>
      </c>
      <c r="AA24" s="12">
        <v>663</v>
      </c>
      <c r="AB24" s="12">
        <v>382</v>
      </c>
      <c r="AC24" s="12">
        <v>574</v>
      </c>
      <c r="AD24" s="12">
        <v>424</v>
      </c>
      <c r="AE24" s="12">
        <v>299</v>
      </c>
      <c r="AF24" s="12">
        <v>312</v>
      </c>
    </row>
    <row r="25" spans="1:32">
      <c r="A25" s="23"/>
      <c r="B25" s="13" t="s">
        <v>1498</v>
      </c>
      <c r="C25" s="14">
        <v>0.51</v>
      </c>
      <c r="D25" s="14">
        <v>0.43</v>
      </c>
      <c r="E25" s="14">
        <v>0.38</v>
      </c>
      <c r="F25" s="14">
        <v>0.45</v>
      </c>
      <c r="G25" s="14">
        <v>0.31</v>
      </c>
      <c r="H25" s="14">
        <v>0.43</v>
      </c>
      <c r="I25" s="14">
        <v>0.44</v>
      </c>
      <c r="J25" s="14">
        <v>0.49</v>
      </c>
      <c r="K25" s="14">
        <v>0.37</v>
      </c>
      <c r="L25" s="14">
        <v>0.41</v>
      </c>
      <c r="M25" s="14">
        <v>0.69000000000000006</v>
      </c>
      <c r="N25" s="14">
        <v>0.79</v>
      </c>
      <c r="O25" s="14">
        <v>0.65</v>
      </c>
      <c r="P25" s="14">
        <v>0.52</v>
      </c>
      <c r="Q25" s="14">
        <v>0.51</v>
      </c>
      <c r="R25" s="14">
        <v>0.67</v>
      </c>
      <c r="S25" s="14">
        <v>0.46</v>
      </c>
      <c r="T25" s="14">
        <v>0.49</v>
      </c>
      <c r="U25" s="14">
        <v>0.53</v>
      </c>
      <c r="V25" s="14">
        <v>0.55000000000000004</v>
      </c>
      <c r="W25" s="14">
        <v>0.6</v>
      </c>
      <c r="X25" s="14">
        <v>0.43</v>
      </c>
      <c r="Y25" s="14">
        <v>0.48</v>
      </c>
      <c r="Z25" s="14">
        <v>0.28000000000000003</v>
      </c>
      <c r="AA25" s="14">
        <v>0.64</v>
      </c>
      <c r="AB25" s="14">
        <v>0.37</v>
      </c>
      <c r="AC25" s="14">
        <v>0.57000000000000006</v>
      </c>
      <c r="AD25" s="14">
        <v>0.42</v>
      </c>
      <c r="AE25" s="14">
        <v>0.3</v>
      </c>
      <c r="AF25" s="14">
        <v>0.28999999999999998</v>
      </c>
    </row>
    <row r="26" spans="1:32" ht="34.5">
      <c r="A26" s="23"/>
      <c r="B26" s="11" t="s">
        <v>1499</v>
      </c>
      <c r="C26" s="12">
        <v>9939</v>
      </c>
      <c r="D26" s="12">
        <v>313</v>
      </c>
      <c r="E26" s="12">
        <v>451</v>
      </c>
      <c r="F26" s="12">
        <v>493</v>
      </c>
      <c r="G26" s="12">
        <v>158</v>
      </c>
      <c r="H26" s="12">
        <v>328</v>
      </c>
      <c r="I26" s="12">
        <v>426</v>
      </c>
      <c r="J26" s="12">
        <v>99</v>
      </c>
      <c r="K26" s="12">
        <v>280</v>
      </c>
      <c r="L26" s="12">
        <v>322</v>
      </c>
      <c r="M26" s="12">
        <v>676</v>
      </c>
      <c r="N26" s="12">
        <v>329</v>
      </c>
      <c r="O26" s="12">
        <v>413</v>
      </c>
      <c r="P26" s="12">
        <v>513</v>
      </c>
      <c r="Q26" s="12">
        <v>579</v>
      </c>
      <c r="R26" s="12">
        <v>219</v>
      </c>
      <c r="S26" s="12">
        <v>469</v>
      </c>
      <c r="T26" s="12">
        <v>407</v>
      </c>
      <c r="U26" s="12">
        <v>171</v>
      </c>
      <c r="V26" s="12">
        <v>465</v>
      </c>
      <c r="W26" s="12">
        <v>250</v>
      </c>
      <c r="X26" s="12">
        <v>436</v>
      </c>
      <c r="Y26" s="12">
        <v>316</v>
      </c>
      <c r="Z26" s="12">
        <v>228</v>
      </c>
      <c r="AA26" s="12">
        <v>476</v>
      </c>
      <c r="AB26" s="12">
        <v>283</v>
      </c>
      <c r="AC26" s="12">
        <v>508</v>
      </c>
      <c r="AD26" s="12">
        <v>279</v>
      </c>
      <c r="AE26" s="12">
        <v>252</v>
      </c>
      <c r="AF26" s="12">
        <v>425</v>
      </c>
    </row>
    <row r="27" spans="1:32" ht="23.25">
      <c r="A27" s="23"/>
      <c r="B27" s="13" t="s">
        <v>1500</v>
      </c>
      <c r="C27" s="14">
        <v>0.38</v>
      </c>
      <c r="D27" s="14">
        <v>0.31</v>
      </c>
      <c r="E27" s="14">
        <v>0.43</v>
      </c>
      <c r="F27" s="14">
        <v>0.49</v>
      </c>
      <c r="G27" s="14">
        <v>0.16</v>
      </c>
      <c r="H27" s="14">
        <v>0.27</v>
      </c>
      <c r="I27" s="14">
        <v>0.28000000000000003</v>
      </c>
      <c r="J27" s="14">
        <v>0.34</v>
      </c>
      <c r="K27" s="14">
        <v>0.28000000000000003</v>
      </c>
      <c r="L27" s="14">
        <v>0.32</v>
      </c>
      <c r="M27" s="14">
        <v>0.67</v>
      </c>
      <c r="N27" s="14">
        <v>0.33</v>
      </c>
      <c r="O27" s="14">
        <v>0.41</v>
      </c>
      <c r="P27" s="14">
        <v>0.51</v>
      </c>
      <c r="Q27" s="14">
        <v>0.57000000000000006</v>
      </c>
      <c r="R27" s="14">
        <v>0.44</v>
      </c>
      <c r="S27" s="14">
        <v>0.47</v>
      </c>
      <c r="T27" s="14">
        <v>0.41</v>
      </c>
      <c r="U27" s="14">
        <v>0.34</v>
      </c>
      <c r="V27" s="14">
        <v>0.46</v>
      </c>
      <c r="W27" s="14">
        <v>0.5</v>
      </c>
      <c r="X27" s="14">
        <v>0.43</v>
      </c>
      <c r="Y27" s="14">
        <v>0.31</v>
      </c>
      <c r="Z27" s="14">
        <v>0.22</v>
      </c>
      <c r="AA27" s="14">
        <v>0.46</v>
      </c>
      <c r="AB27" s="14">
        <v>0.27</v>
      </c>
      <c r="AC27" s="14">
        <v>0.51</v>
      </c>
      <c r="AD27" s="14">
        <v>0.28000000000000003</v>
      </c>
      <c r="AE27" s="14">
        <v>0.25</v>
      </c>
      <c r="AF27" s="14">
        <v>0.4</v>
      </c>
    </row>
    <row r="28" spans="1:32" ht="34.5">
      <c r="A28" s="23"/>
      <c r="B28" s="11" t="s">
        <v>1501</v>
      </c>
      <c r="C28" s="12">
        <v>9357</v>
      </c>
      <c r="D28" s="12">
        <v>318</v>
      </c>
      <c r="E28" s="12">
        <v>356</v>
      </c>
      <c r="F28" s="12">
        <v>313</v>
      </c>
      <c r="G28" s="12">
        <v>255</v>
      </c>
      <c r="H28" s="12">
        <v>354</v>
      </c>
      <c r="I28" s="12">
        <v>454</v>
      </c>
      <c r="J28" s="12">
        <v>101</v>
      </c>
      <c r="K28" s="12">
        <v>276</v>
      </c>
      <c r="L28" s="12">
        <v>335</v>
      </c>
      <c r="M28" s="12">
        <v>650</v>
      </c>
      <c r="N28" s="12">
        <v>339</v>
      </c>
      <c r="O28" s="12">
        <v>321</v>
      </c>
      <c r="P28" s="12">
        <v>475</v>
      </c>
      <c r="Q28" s="12">
        <v>559</v>
      </c>
      <c r="R28" s="12">
        <v>242</v>
      </c>
      <c r="S28" s="12">
        <v>450</v>
      </c>
      <c r="T28" s="12">
        <v>411</v>
      </c>
      <c r="U28" s="12">
        <v>172</v>
      </c>
      <c r="V28" s="12">
        <v>370</v>
      </c>
      <c r="W28" s="12">
        <v>292</v>
      </c>
      <c r="X28" s="12">
        <v>504</v>
      </c>
      <c r="Y28" s="12">
        <v>325</v>
      </c>
      <c r="Z28" s="12">
        <v>168</v>
      </c>
      <c r="AA28" s="12">
        <v>529</v>
      </c>
      <c r="AB28" s="12">
        <v>289</v>
      </c>
      <c r="AC28" s="12">
        <v>414</v>
      </c>
      <c r="AD28" s="12">
        <v>238</v>
      </c>
      <c r="AE28" s="12">
        <v>187</v>
      </c>
      <c r="AF28" s="12">
        <v>344</v>
      </c>
    </row>
    <row r="29" spans="1:32" ht="23.25">
      <c r="A29" s="23"/>
      <c r="B29" s="13" t="s">
        <v>1502</v>
      </c>
      <c r="C29" s="14">
        <v>0.36</v>
      </c>
      <c r="D29" s="14">
        <v>0.32</v>
      </c>
      <c r="E29" s="14">
        <v>0.34</v>
      </c>
      <c r="F29" s="14">
        <v>0.31</v>
      </c>
      <c r="G29" s="14">
        <v>0.25</v>
      </c>
      <c r="H29" s="14">
        <v>0.28999999999999998</v>
      </c>
      <c r="I29" s="14">
        <v>0.3</v>
      </c>
      <c r="J29" s="14">
        <v>0.34</v>
      </c>
      <c r="K29" s="14">
        <v>0.28000000000000003</v>
      </c>
      <c r="L29" s="14">
        <v>0.33</v>
      </c>
      <c r="M29" s="14">
        <v>0.64</v>
      </c>
      <c r="N29" s="14">
        <v>0.34</v>
      </c>
      <c r="O29" s="14">
        <v>0.32</v>
      </c>
      <c r="P29" s="14">
        <v>0.47</v>
      </c>
      <c r="Q29" s="14">
        <v>0.55000000000000004</v>
      </c>
      <c r="R29" s="14">
        <v>0.48</v>
      </c>
      <c r="S29" s="14">
        <v>0.45</v>
      </c>
      <c r="T29" s="14">
        <v>0.41</v>
      </c>
      <c r="U29" s="14">
        <v>0.34</v>
      </c>
      <c r="V29" s="14">
        <v>0.37</v>
      </c>
      <c r="W29" s="14">
        <v>0.57999999999999996</v>
      </c>
      <c r="X29" s="14">
        <v>0.5</v>
      </c>
      <c r="Y29" s="14">
        <v>0.32</v>
      </c>
      <c r="Z29" s="14">
        <v>0.17</v>
      </c>
      <c r="AA29" s="14">
        <v>0.51</v>
      </c>
      <c r="AB29" s="14">
        <v>0.28000000000000003</v>
      </c>
      <c r="AC29" s="14">
        <v>0.41</v>
      </c>
      <c r="AD29" s="14">
        <v>0.24</v>
      </c>
      <c r="AE29" s="14">
        <v>0.19</v>
      </c>
      <c r="AF29" s="14">
        <v>0.32</v>
      </c>
    </row>
    <row r="30" spans="1:32" ht="45.75">
      <c r="A30" s="23"/>
      <c r="B30" s="11" t="s">
        <v>1503</v>
      </c>
      <c r="C30" s="12">
        <v>7213</v>
      </c>
      <c r="D30" s="12">
        <v>195</v>
      </c>
      <c r="E30" s="12">
        <v>368</v>
      </c>
      <c r="F30" s="12">
        <v>159</v>
      </c>
      <c r="G30" s="12">
        <v>85</v>
      </c>
      <c r="H30" s="12">
        <v>294</v>
      </c>
      <c r="I30" s="12">
        <v>367</v>
      </c>
      <c r="J30" s="12">
        <v>73</v>
      </c>
      <c r="K30" s="12">
        <v>195</v>
      </c>
      <c r="L30" s="12">
        <v>282</v>
      </c>
      <c r="M30" s="12">
        <v>616</v>
      </c>
      <c r="N30" s="12">
        <v>301</v>
      </c>
      <c r="O30" s="12">
        <v>205</v>
      </c>
      <c r="P30" s="12">
        <v>434</v>
      </c>
      <c r="Q30" s="12">
        <v>453</v>
      </c>
      <c r="R30" s="12">
        <v>226</v>
      </c>
      <c r="S30" s="12">
        <v>326</v>
      </c>
      <c r="T30" s="12">
        <v>273</v>
      </c>
      <c r="U30" s="12">
        <v>85</v>
      </c>
      <c r="V30" s="12">
        <v>344</v>
      </c>
      <c r="W30" s="12">
        <v>235</v>
      </c>
      <c r="X30" s="12">
        <v>349</v>
      </c>
      <c r="Y30" s="12">
        <v>230</v>
      </c>
      <c r="Z30" s="12">
        <v>114</v>
      </c>
      <c r="AA30" s="12">
        <v>363</v>
      </c>
      <c r="AB30" s="12">
        <v>250</v>
      </c>
      <c r="AC30" s="12">
        <v>315</v>
      </c>
      <c r="AD30" s="12">
        <v>145</v>
      </c>
      <c r="AE30" s="12">
        <v>99</v>
      </c>
      <c r="AF30" s="12">
        <v>264</v>
      </c>
    </row>
    <row r="31" spans="1:32" ht="23.25">
      <c r="A31" s="23"/>
      <c r="B31" s="13" t="s">
        <v>1504</v>
      </c>
      <c r="C31" s="14">
        <v>0.27</v>
      </c>
      <c r="D31" s="14">
        <v>0.19</v>
      </c>
      <c r="E31" s="14">
        <v>0.35</v>
      </c>
      <c r="F31" s="14">
        <v>0.16</v>
      </c>
      <c r="G31" s="14">
        <v>0.08</v>
      </c>
      <c r="H31" s="14">
        <v>0.24</v>
      </c>
      <c r="I31" s="14">
        <v>0.24</v>
      </c>
      <c r="J31" s="14">
        <v>0.25</v>
      </c>
      <c r="K31" s="14">
        <v>0.19</v>
      </c>
      <c r="L31" s="14">
        <v>0.28000000000000003</v>
      </c>
      <c r="M31" s="14">
        <v>0.61</v>
      </c>
      <c r="N31" s="14">
        <v>0.3</v>
      </c>
      <c r="O31" s="14">
        <v>0.2</v>
      </c>
      <c r="P31" s="14">
        <v>0.43</v>
      </c>
      <c r="Q31" s="14">
        <v>0.44</v>
      </c>
      <c r="R31" s="14">
        <v>0.45</v>
      </c>
      <c r="S31" s="14">
        <v>0.32</v>
      </c>
      <c r="T31" s="14">
        <v>0.27</v>
      </c>
      <c r="U31" s="14">
        <v>0.17</v>
      </c>
      <c r="V31" s="14">
        <v>0.34</v>
      </c>
      <c r="W31" s="14">
        <v>0.47</v>
      </c>
      <c r="X31" s="14">
        <v>0.34</v>
      </c>
      <c r="Y31" s="14">
        <v>0.23</v>
      </c>
      <c r="Z31" s="14">
        <v>0.11</v>
      </c>
      <c r="AA31" s="14">
        <v>0.35</v>
      </c>
      <c r="AB31" s="14">
        <v>0.24</v>
      </c>
      <c r="AC31" s="14">
        <v>0.31</v>
      </c>
      <c r="AD31" s="14">
        <v>0.14000000000000001</v>
      </c>
      <c r="AE31" s="14">
        <v>0.1</v>
      </c>
      <c r="AF31" s="14">
        <v>0.25</v>
      </c>
    </row>
    <row r="32" spans="1:32">
      <c r="A32" s="23"/>
      <c r="B32" s="11" t="s">
        <v>1505</v>
      </c>
      <c r="C32" s="12">
        <v>6708</v>
      </c>
      <c r="D32" s="12">
        <v>99</v>
      </c>
      <c r="E32" s="12">
        <v>442</v>
      </c>
      <c r="F32" s="12">
        <v>359</v>
      </c>
      <c r="G32" s="12">
        <v>54</v>
      </c>
      <c r="H32" s="12">
        <v>151</v>
      </c>
      <c r="I32" s="12">
        <v>204</v>
      </c>
      <c r="J32" s="12">
        <v>54</v>
      </c>
      <c r="K32" s="12">
        <v>170</v>
      </c>
      <c r="L32" s="12">
        <v>163</v>
      </c>
      <c r="M32" s="12">
        <v>902</v>
      </c>
      <c r="N32" s="12">
        <v>144</v>
      </c>
      <c r="O32" s="12">
        <v>156</v>
      </c>
      <c r="P32" s="12">
        <v>470</v>
      </c>
      <c r="Q32" s="12">
        <v>366</v>
      </c>
      <c r="R32" s="12">
        <v>279</v>
      </c>
      <c r="S32" s="12">
        <v>377</v>
      </c>
      <c r="T32" s="12">
        <v>625</v>
      </c>
      <c r="U32" s="12">
        <v>55</v>
      </c>
      <c r="V32" s="12">
        <v>401</v>
      </c>
      <c r="W32" s="12">
        <v>152</v>
      </c>
      <c r="X32" s="12">
        <v>193</v>
      </c>
      <c r="Y32" s="12">
        <v>240</v>
      </c>
      <c r="Z32" s="12">
        <v>365</v>
      </c>
      <c r="AA32" s="12">
        <v>447</v>
      </c>
      <c r="AB32" s="12">
        <v>451</v>
      </c>
      <c r="AC32" s="12">
        <v>406</v>
      </c>
      <c r="AD32" s="12">
        <v>556</v>
      </c>
      <c r="AE32" s="12">
        <v>39</v>
      </c>
      <c r="AF32" s="12">
        <v>90</v>
      </c>
    </row>
    <row r="33" spans="1:32">
      <c r="A33" s="23"/>
      <c r="B33" s="13" t="s">
        <v>1506</v>
      </c>
      <c r="C33" s="14">
        <v>0.25</v>
      </c>
      <c r="D33" s="14">
        <v>0.1</v>
      </c>
      <c r="E33" s="14">
        <v>0.42</v>
      </c>
      <c r="F33" s="14">
        <v>0.36</v>
      </c>
      <c r="G33" s="14">
        <v>0.05</v>
      </c>
      <c r="H33" s="14">
        <v>0.12</v>
      </c>
      <c r="I33" s="14">
        <v>0.14000000000000001</v>
      </c>
      <c r="J33" s="14">
        <v>0.18</v>
      </c>
      <c r="K33" s="14">
        <v>0.17</v>
      </c>
      <c r="L33" s="14">
        <v>0.16</v>
      </c>
      <c r="M33" s="14">
        <v>0.89</v>
      </c>
      <c r="N33" s="14">
        <v>0.14000000000000001</v>
      </c>
      <c r="O33" s="14">
        <v>0.16</v>
      </c>
      <c r="P33" s="14">
        <v>0.46</v>
      </c>
      <c r="Q33" s="14">
        <v>0.36</v>
      </c>
      <c r="R33" s="14">
        <v>0.56000000000000005</v>
      </c>
      <c r="S33" s="14">
        <v>0.37</v>
      </c>
      <c r="T33" s="14">
        <v>0.62</v>
      </c>
      <c r="U33" s="14">
        <v>0.11</v>
      </c>
      <c r="V33" s="14">
        <v>0.4</v>
      </c>
      <c r="W33" s="14">
        <v>0.3</v>
      </c>
      <c r="X33" s="14">
        <v>0.19</v>
      </c>
      <c r="Y33" s="14">
        <v>0.24</v>
      </c>
      <c r="Z33" s="14">
        <v>0.36</v>
      </c>
      <c r="AA33" s="14">
        <v>0.43</v>
      </c>
      <c r="AB33" s="14">
        <v>0.44</v>
      </c>
      <c r="AC33" s="14">
        <v>0.4</v>
      </c>
      <c r="AD33" s="14">
        <v>0.55000000000000004</v>
      </c>
      <c r="AE33" s="14">
        <v>0.04</v>
      </c>
      <c r="AF33" s="14">
        <v>0.08</v>
      </c>
    </row>
    <row r="34" spans="1:32">
      <c r="A34" s="23"/>
      <c r="B34" s="11" t="s">
        <v>1507</v>
      </c>
      <c r="C34" s="12">
        <v>3224</v>
      </c>
      <c r="D34" s="12">
        <v>43</v>
      </c>
      <c r="E34" s="12">
        <v>162</v>
      </c>
      <c r="F34" s="12">
        <v>97</v>
      </c>
      <c r="G34" s="12">
        <v>42</v>
      </c>
      <c r="H34" s="12">
        <v>69</v>
      </c>
      <c r="I34" s="12">
        <v>102</v>
      </c>
      <c r="J34" s="12">
        <v>33</v>
      </c>
      <c r="K34" s="12">
        <v>86</v>
      </c>
      <c r="L34" s="12">
        <v>99</v>
      </c>
      <c r="M34" s="12">
        <v>300</v>
      </c>
      <c r="N34" s="12">
        <v>115</v>
      </c>
      <c r="O34" s="12">
        <v>59</v>
      </c>
      <c r="P34" s="12">
        <v>226</v>
      </c>
      <c r="Q34" s="12">
        <v>242</v>
      </c>
      <c r="R34" s="12">
        <v>112</v>
      </c>
      <c r="S34" s="12">
        <v>172</v>
      </c>
      <c r="T34" s="12">
        <v>159</v>
      </c>
      <c r="U34" s="12">
        <v>38</v>
      </c>
      <c r="V34" s="12">
        <v>121</v>
      </c>
      <c r="W34" s="12">
        <v>121</v>
      </c>
      <c r="X34" s="12">
        <v>93</v>
      </c>
      <c r="Y34" s="12">
        <v>144</v>
      </c>
      <c r="Z34" s="12">
        <v>73</v>
      </c>
      <c r="AA34" s="12">
        <v>296</v>
      </c>
      <c r="AB34" s="12">
        <v>225</v>
      </c>
      <c r="AC34" s="12">
        <v>150</v>
      </c>
      <c r="AD34" s="12">
        <v>258</v>
      </c>
      <c r="AE34" s="12">
        <v>24</v>
      </c>
      <c r="AF34" s="12">
        <v>116</v>
      </c>
    </row>
    <row r="35" spans="1:32">
      <c r="A35" s="23"/>
      <c r="B35" s="13" t="s">
        <v>1508</v>
      </c>
      <c r="C35" s="14">
        <v>0.12</v>
      </c>
      <c r="D35" s="14">
        <v>0.04</v>
      </c>
      <c r="E35" s="14">
        <v>0.15</v>
      </c>
      <c r="F35" s="14">
        <v>0.1</v>
      </c>
      <c r="G35" s="14">
        <v>0.04</v>
      </c>
      <c r="H35" s="14">
        <v>0.06</v>
      </c>
      <c r="I35" s="14">
        <v>7.0000000000000007E-2</v>
      </c>
      <c r="J35" s="14">
        <v>0.11</v>
      </c>
      <c r="K35" s="14">
        <v>0.09</v>
      </c>
      <c r="L35" s="14">
        <v>0.1</v>
      </c>
      <c r="M35" s="14">
        <v>0.3</v>
      </c>
      <c r="N35" s="14">
        <v>0.11</v>
      </c>
      <c r="O35" s="14">
        <v>0.06</v>
      </c>
      <c r="P35" s="14">
        <v>0.22</v>
      </c>
      <c r="Q35" s="14">
        <v>0.24</v>
      </c>
      <c r="R35" s="14">
        <v>0.22</v>
      </c>
      <c r="S35" s="14">
        <v>0.17</v>
      </c>
      <c r="T35" s="14">
        <v>0.16</v>
      </c>
      <c r="U35" s="14">
        <v>7.0000000000000007E-2</v>
      </c>
      <c r="V35" s="14">
        <v>0.12</v>
      </c>
      <c r="W35" s="14">
        <v>0.24</v>
      </c>
      <c r="X35" s="14">
        <v>0.09</v>
      </c>
      <c r="Y35" s="14">
        <v>0.14000000000000001</v>
      </c>
      <c r="Z35" s="14">
        <v>7.0000000000000007E-2</v>
      </c>
      <c r="AA35" s="14">
        <v>0.28000000000000003</v>
      </c>
      <c r="AB35" s="14">
        <v>0.22</v>
      </c>
      <c r="AC35" s="14">
        <v>0.15</v>
      </c>
      <c r="AD35" s="14">
        <v>0.26</v>
      </c>
      <c r="AE35" s="14">
        <v>0.02</v>
      </c>
      <c r="AF35" s="14">
        <v>0.11</v>
      </c>
    </row>
    <row r="36" spans="1:32" ht="68.25">
      <c r="A36" s="23"/>
      <c r="B36" s="11" t="s">
        <v>1509</v>
      </c>
      <c r="C36" s="12">
        <v>7295</v>
      </c>
      <c r="D36" s="12">
        <v>253</v>
      </c>
      <c r="E36" s="12">
        <v>377</v>
      </c>
      <c r="F36" s="12">
        <v>209</v>
      </c>
      <c r="G36" s="12">
        <v>252</v>
      </c>
      <c r="H36" s="12">
        <v>288</v>
      </c>
      <c r="I36" s="12">
        <v>375</v>
      </c>
      <c r="J36" s="12">
        <v>86</v>
      </c>
      <c r="K36" s="12">
        <v>199</v>
      </c>
      <c r="L36" s="12">
        <v>168</v>
      </c>
      <c r="M36" s="12">
        <v>653</v>
      </c>
      <c r="N36" s="12">
        <v>207</v>
      </c>
      <c r="O36" s="12">
        <v>229</v>
      </c>
      <c r="P36" s="12">
        <v>440</v>
      </c>
      <c r="Q36" s="12">
        <v>404</v>
      </c>
      <c r="R36" s="12">
        <v>193</v>
      </c>
      <c r="S36" s="12">
        <v>336</v>
      </c>
      <c r="T36" s="12">
        <v>424</v>
      </c>
      <c r="U36" s="12">
        <v>93</v>
      </c>
      <c r="V36" s="12">
        <v>338</v>
      </c>
      <c r="W36" s="12">
        <v>206</v>
      </c>
      <c r="X36" s="12">
        <v>319</v>
      </c>
      <c r="Y36" s="12">
        <v>250</v>
      </c>
      <c r="Z36" s="12">
        <v>165</v>
      </c>
      <c r="AA36" s="12">
        <v>473</v>
      </c>
      <c r="AB36" s="12">
        <v>291</v>
      </c>
      <c r="AC36" s="12">
        <v>353</v>
      </c>
      <c r="AD36" s="12">
        <v>349</v>
      </c>
      <c r="AE36" s="12">
        <v>106</v>
      </c>
      <c r="AF36" s="12">
        <v>262</v>
      </c>
    </row>
    <row r="37" spans="1:32" ht="57">
      <c r="A37" s="23"/>
      <c r="B37" s="13" t="s">
        <v>1510</v>
      </c>
      <c r="C37" s="14">
        <v>0.28000000000000003</v>
      </c>
      <c r="D37" s="14">
        <v>0.25</v>
      </c>
      <c r="E37" s="14">
        <v>0.36</v>
      </c>
      <c r="F37" s="14">
        <v>0.21</v>
      </c>
      <c r="G37" s="14">
        <v>0.25</v>
      </c>
      <c r="H37" s="14">
        <v>0.24</v>
      </c>
      <c r="I37" s="14">
        <v>0.25</v>
      </c>
      <c r="J37" s="14">
        <v>0.28999999999999998</v>
      </c>
      <c r="K37" s="14">
        <v>0.2</v>
      </c>
      <c r="L37" s="14">
        <v>0.17</v>
      </c>
      <c r="M37" s="14">
        <v>0.65</v>
      </c>
      <c r="N37" s="14">
        <v>0.21</v>
      </c>
      <c r="O37" s="14">
        <v>0.23</v>
      </c>
      <c r="P37" s="14">
        <v>0.43</v>
      </c>
      <c r="Q37" s="14">
        <v>0.39</v>
      </c>
      <c r="R37" s="14">
        <v>0.38</v>
      </c>
      <c r="S37" s="14">
        <v>0.33</v>
      </c>
      <c r="T37" s="14">
        <v>0.42</v>
      </c>
      <c r="U37" s="14">
        <v>0.18</v>
      </c>
      <c r="V37" s="14">
        <v>0.33</v>
      </c>
      <c r="W37" s="14">
        <v>0.41</v>
      </c>
      <c r="X37" s="14">
        <v>0.31</v>
      </c>
      <c r="Y37" s="14">
        <v>0.25</v>
      </c>
      <c r="Z37" s="14">
        <v>0.16</v>
      </c>
      <c r="AA37" s="14">
        <v>0.45</v>
      </c>
      <c r="AB37" s="14">
        <v>0.28000000000000003</v>
      </c>
      <c r="AC37" s="14">
        <v>0.35</v>
      </c>
      <c r="AD37" s="14">
        <v>0.35</v>
      </c>
      <c r="AE37" s="14">
        <v>0.1</v>
      </c>
      <c r="AF37" s="14">
        <v>0.24</v>
      </c>
    </row>
    <row r="38" spans="1:32">
      <c r="A38" s="23"/>
      <c r="B38" s="11" t="s">
        <v>1511</v>
      </c>
      <c r="C38" s="12">
        <v>8183</v>
      </c>
      <c r="D38" s="12">
        <v>256</v>
      </c>
      <c r="E38" s="12">
        <v>150</v>
      </c>
      <c r="F38" s="12">
        <v>235</v>
      </c>
      <c r="G38" s="12">
        <v>409</v>
      </c>
      <c r="H38" s="12">
        <v>453</v>
      </c>
      <c r="I38" s="12">
        <v>556</v>
      </c>
      <c r="J38" s="12">
        <v>103</v>
      </c>
      <c r="K38" s="12">
        <v>190</v>
      </c>
      <c r="L38" s="12">
        <v>247</v>
      </c>
      <c r="M38" s="12">
        <v>342</v>
      </c>
      <c r="N38" s="12">
        <v>310</v>
      </c>
      <c r="O38" s="12">
        <v>368</v>
      </c>
      <c r="P38" s="12">
        <v>225</v>
      </c>
      <c r="Q38" s="12">
        <v>287</v>
      </c>
      <c r="R38" s="12">
        <v>158</v>
      </c>
      <c r="S38" s="12">
        <v>231</v>
      </c>
      <c r="T38" s="12">
        <v>234</v>
      </c>
      <c r="U38" s="12">
        <v>214</v>
      </c>
      <c r="V38" s="12">
        <v>333</v>
      </c>
      <c r="W38" s="12">
        <v>175</v>
      </c>
      <c r="X38" s="12">
        <v>449</v>
      </c>
      <c r="Y38" s="12">
        <v>289</v>
      </c>
      <c r="Z38" s="12">
        <v>133</v>
      </c>
      <c r="AA38" s="12">
        <v>472</v>
      </c>
      <c r="AB38" s="12">
        <v>164</v>
      </c>
      <c r="AC38" s="12">
        <v>306</v>
      </c>
      <c r="AD38" s="12">
        <v>257</v>
      </c>
      <c r="AE38" s="12">
        <v>265</v>
      </c>
      <c r="AF38" s="12">
        <v>549</v>
      </c>
    </row>
    <row r="39" spans="1:32">
      <c r="A39" s="23"/>
      <c r="B39" s="13" t="s">
        <v>1512</v>
      </c>
      <c r="C39" s="14">
        <v>0.31</v>
      </c>
      <c r="D39" s="14">
        <v>0.25</v>
      </c>
      <c r="E39" s="14">
        <v>0.14000000000000001</v>
      </c>
      <c r="F39" s="14">
        <v>0.23</v>
      </c>
      <c r="G39" s="14">
        <v>0.41</v>
      </c>
      <c r="H39" s="14">
        <v>0.37</v>
      </c>
      <c r="I39" s="14">
        <v>0.37</v>
      </c>
      <c r="J39" s="14">
        <v>0.35</v>
      </c>
      <c r="K39" s="14">
        <v>0.19</v>
      </c>
      <c r="L39" s="14">
        <v>0.25</v>
      </c>
      <c r="M39" s="14">
        <v>0.34</v>
      </c>
      <c r="N39" s="14">
        <v>0.31</v>
      </c>
      <c r="O39" s="14">
        <v>0.37</v>
      </c>
      <c r="P39" s="14">
        <v>0.22</v>
      </c>
      <c r="Q39" s="14">
        <v>0.28000000000000003</v>
      </c>
      <c r="R39" s="14">
        <v>0.32</v>
      </c>
      <c r="S39" s="14">
        <v>0.23</v>
      </c>
      <c r="T39" s="14">
        <v>0.23</v>
      </c>
      <c r="U39" s="14">
        <v>0.43</v>
      </c>
      <c r="V39" s="14">
        <v>0.33</v>
      </c>
      <c r="W39" s="14">
        <v>0.35</v>
      </c>
      <c r="X39" s="14">
        <v>0.44</v>
      </c>
      <c r="Y39" s="14">
        <v>0.28999999999999998</v>
      </c>
      <c r="Z39" s="14">
        <v>0.13</v>
      </c>
      <c r="AA39" s="14">
        <v>0.45</v>
      </c>
      <c r="AB39" s="14">
        <v>0.16</v>
      </c>
      <c r="AC39" s="14">
        <v>0.3</v>
      </c>
      <c r="AD39" s="14">
        <v>0.26</v>
      </c>
      <c r="AE39" s="14">
        <v>0.26</v>
      </c>
      <c r="AF39" s="14">
        <v>0.51</v>
      </c>
    </row>
    <row r="40" spans="1:32" ht="23.25">
      <c r="A40" s="23"/>
      <c r="B40" s="11" t="s">
        <v>1513</v>
      </c>
      <c r="C40" s="12">
        <v>5363</v>
      </c>
      <c r="D40" s="12">
        <v>170</v>
      </c>
      <c r="E40" s="12">
        <v>99</v>
      </c>
      <c r="F40" s="12">
        <v>75</v>
      </c>
      <c r="G40" s="12">
        <v>191</v>
      </c>
      <c r="H40" s="12">
        <v>219</v>
      </c>
      <c r="I40" s="12">
        <v>265</v>
      </c>
      <c r="J40" s="12">
        <v>46</v>
      </c>
      <c r="K40" s="12">
        <v>112</v>
      </c>
      <c r="L40" s="12">
        <v>251</v>
      </c>
      <c r="M40" s="12">
        <v>328</v>
      </c>
      <c r="N40" s="12">
        <v>273</v>
      </c>
      <c r="O40" s="12">
        <v>216</v>
      </c>
      <c r="P40" s="12">
        <v>221</v>
      </c>
      <c r="Q40" s="12">
        <v>257</v>
      </c>
      <c r="R40" s="12">
        <v>185</v>
      </c>
      <c r="S40" s="12">
        <v>128</v>
      </c>
      <c r="T40" s="12">
        <v>125</v>
      </c>
      <c r="U40" s="12">
        <v>128</v>
      </c>
      <c r="V40" s="12">
        <v>190</v>
      </c>
      <c r="W40" s="12">
        <v>131</v>
      </c>
      <c r="X40" s="12">
        <v>246</v>
      </c>
      <c r="Y40" s="12">
        <v>232</v>
      </c>
      <c r="Z40" s="12">
        <v>67</v>
      </c>
      <c r="AA40" s="12">
        <v>484</v>
      </c>
      <c r="AB40" s="12">
        <v>159</v>
      </c>
      <c r="AC40" s="12">
        <v>247</v>
      </c>
      <c r="AD40" s="12">
        <v>148</v>
      </c>
      <c r="AE40" s="12">
        <v>32</v>
      </c>
      <c r="AF40" s="12">
        <v>235</v>
      </c>
    </row>
    <row r="41" spans="1:32" ht="23.25">
      <c r="A41" s="23"/>
      <c r="B41" s="13" t="s">
        <v>1514</v>
      </c>
      <c r="C41" s="14">
        <v>0.2</v>
      </c>
      <c r="D41" s="14">
        <v>0.17</v>
      </c>
      <c r="E41" s="14">
        <v>0.09</v>
      </c>
      <c r="F41" s="14">
        <v>7.0000000000000007E-2</v>
      </c>
      <c r="G41" s="14">
        <v>0.19</v>
      </c>
      <c r="H41" s="14">
        <v>0.18</v>
      </c>
      <c r="I41" s="14">
        <v>0.18</v>
      </c>
      <c r="J41" s="14">
        <v>0.16</v>
      </c>
      <c r="K41" s="14">
        <v>0.11</v>
      </c>
      <c r="L41" s="14">
        <v>0.25</v>
      </c>
      <c r="M41" s="14">
        <v>0.32</v>
      </c>
      <c r="N41" s="14">
        <v>0.27</v>
      </c>
      <c r="O41" s="14">
        <v>0.21</v>
      </c>
      <c r="P41" s="14">
        <v>0.22</v>
      </c>
      <c r="Q41" s="14">
        <v>0.25</v>
      </c>
      <c r="R41" s="14">
        <v>0.37</v>
      </c>
      <c r="S41" s="14">
        <v>0.13</v>
      </c>
      <c r="T41" s="14">
        <v>0.12</v>
      </c>
      <c r="U41" s="14">
        <v>0.25</v>
      </c>
      <c r="V41" s="14">
        <v>0.19</v>
      </c>
      <c r="W41" s="14">
        <v>0.26</v>
      </c>
      <c r="X41" s="14">
        <v>0.24</v>
      </c>
      <c r="Y41" s="14">
        <v>0.23</v>
      </c>
      <c r="Z41" s="14">
        <v>7.0000000000000007E-2</v>
      </c>
      <c r="AA41" s="14">
        <v>0.47</v>
      </c>
      <c r="AB41" s="14">
        <v>0.15</v>
      </c>
      <c r="AC41" s="14">
        <v>0.25</v>
      </c>
      <c r="AD41" s="14">
        <v>0.15</v>
      </c>
      <c r="AE41" s="14">
        <v>0.03</v>
      </c>
      <c r="AF41" s="14">
        <v>0.22</v>
      </c>
    </row>
    <row r="42" spans="1:32">
      <c r="A42" s="23"/>
      <c r="B42" s="11" t="s">
        <v>618</v>
      </c>
      <c r="C42" s="12">
        <v>1108</v>
      </c>
      <c r="D42" s="12">
        <v>93</v>
      </c>
      <c r="E42" s="12">
        <v>20</v>
      </c>
      <c r="F42" s="12">
        <v>28</v>
      </c>
      <c r="G42" s="12">
        <v>222</v>
      </c>
      <c r="H42" s="12">
        <v>70</v>
      </c>
      <c r="I42" s="12">
        <v>86</v>
      </c>
      <c r="J42" s="12">
        <v>16</v>
      </c>
      <c r="K42" s="12">
        <v>60</v>
      </c>
      <c r="L42" s="12">
        <v>78</v>
      </c>
      <c r="M42" s="12">
        <v>2</v>
      </c>
      <c r="N42" s="12">
        <v>9</v>
      </c>
      <c r="O42" s="12">
        <v>17</v>
      </c>
      <c r="P42" s="12">
        <v>18</v>
      </c>
      <c r="Q42" s="12">
        <v>17</v>
      </c>
      <c r="R42" s="12">
        <v>11</v>
      </c>
      <c r="S42" s="12">
        <v>10</v>
      </c>
      <c r="T42" s="12">
        <v>21</v>
      </c>
      <c r="U42" s="12">
        <v>17</v>
      </c>
      <c r="V42" s="12">
        <v>36</v>
      </c>
      <c r="W42" s="12">
        <v>12</v>
      </c>
      <c r="X42" s="12">
        <v>55</v>
      </c>
      <c r="Y42" s="12">
        <v>96</v>
      </c>
      <c r="Z42" s="12">
        <v>58</v>
      </c>
      <c r="AA42" s="12">
        <v>6</v>
      </c>
      <c r="AB42" s="12">
        <v>38</v>
      </c>
      <c r="AC42" s="12">
        <v>14</v>
      </c>
      <c r="AD42" s="12">
        <v>21</v>
      </c>
      <c r="AE42" s="12">
        <v>217</v>
      </c>
      <c r="AF42" s="12">
        <v>173</v>
      </c>
    </row>
    <row r="43" spans="1:32">
      <c r="A43" s="23"/>
      <c r="B43" s="13" t="s">
        <v>619</v>
      </c>
      <c r="C43" s="14">
        <v>0.04</v>
      </c>
      <c r="D43" s="14">
        <v>0.09</v>
      </c>
      <c r="E43" s="14">
        <v>0.02</v>
      </c>
      <c r="F43" s="14">
        <v>0.03</v>
      </c>
      <c r="G43" s="14">
        <v>0.22</v>
      </c>
      <c r="H43" s="14">
        <v>0.06</v>
      </c>
      <c r="I43" s="14">
        <v>0.06</v>
      </c>
      <c r="J43" s="14">
        <v>0.05</v>
      </c>
      <c r="K43" s="14">
        <v>0.06</v>
      </c>
      <c r="L43" s="14">
        <v>0.08</v>
      </c>
      <c r="M43" s="15" t="s">
        <v>485</v>
      </c>
      <c r="N43" s="14">
        <v>0.01</v>
      </c>
      <c r="O43" s="14">
        <v>0.02</v>
      </c>
      <c r="P43" s="14">
        <v>0.02</v>
      </c>
      <c r="Q43" s="14">
        <v>0.02</v>
      </c>
      <c r="R43" s="14">
        <v>0.02</v>
      </c>
      <c r="S43" s="14">
        <v>0.01</v>
      </c>
      <c r="T43" s="14">
        <v>0.02</v>
      </c>
      <c r="U43" s="14">
        <v>0.03</v>
      </c>
      <c r="V43" s="14">
        <v>0.04</v>
      </c>
      <c r="W43" s="14">
        <v>0.02</v>
      </c>
      <c r="X43" s="14">
        <v>0.05</v>
      </c>
      <c r="Y43" s="14">
        <v>0.1</v>
      </c>
      <c r="Z43" s="14">
        <v>0.06</v>
      </c>
      <c r="AA43" s="14">
        <v>0.01</v>
      </c>
      <c r="AB43" s="14">
        <v>0.04</v>
      </c>
      <c r="AC43" s="14">
        <v>0.01</v>
      </c>
      <c r="AD43" s="14">
        <v>0.02</v>
      </c>
      <c r="AE43" s="14">
        <v>0.21</v>
      </c>
      <c r="AF43" s="14">
        <v>0.16</v>
      </c>
    </row>
    <row r="44" spans="1:32">
      <c r="A44" s="23"/>
      <c r="B44" s="11" t="s">
        <v>497</v>
      </c>
      <c r="C44" s="12">
        <v>2652</v>
      </c>
      <c r="D44" s="12">
        <v>88</v>
      </c>
      <c r="E44" s="12">
        <v>93</v>
      </c>
      <c r="F44" s="12">
        <v>119</v>
      </c>
      <c r="G44" s="12">
        <v>63</v>
      </c>
      <c r="H44" s="12">
        <v>172</v>
      </c>
      <c r="I44" s="12">
        <v>201</v>
      </c>
      <c r="J44" s="12">
        <v>29</v>
      </c>
      <c r="K44" s="12">
        <v>239</v>
      </c>
      <c r="L44" s="12">
        <v>192</v>
      </c>
      <c r="M44" s="12">
        <v>10</v>
      </c>
      <c r="N44" s="12">
        <v>64</v>
      </c>
      <c r="O44" s="12">
        <v>120</v>
      </c>
      <c r="P44" s="12">
        <v>53</v>
      </c>
      <c r="Q44" s="12">
        <v>71</v>
      </c>
      <c r="R44" s="12">
        <v>69</v>
      </c>
      <c r="S44" s="12">
        <v>166</v>
      </c>
      <c r="T44" s="12">
        <v>104</v>
      </c>
      <c r="U44" s="12">
        <v>68</v>
      </c>
      <c r="V44" s="12">
        <v>92</v>
      </c>
      <c r="W44" s="12">
        <v>61</v>
      </c>
      <c r="X44" s="12">
        <v>30</v>
      </c>
      <c r="Y44" s="12">
        <v>120</v>
      </c>
      <c r="Z44" s="12">
        <v>150</v>
      </c>
      <c r="AA44" s="12">
        <v>116</v>
      </c>
      <c r="AB44" s="12">
        <v>98</v>
      </c>
      <c r="AC44" s="12">
        <v>91</v>
      </c>
      <c r="AD44" s="12">
        <v>115</v>
      </c>
      <c r="AE44" s="12">
        <v>149</v>
      </c>
      <c r="AF44" s="12">
        <v>38</v>
      </c>
    </row>
    <row r="45" spans="1:32">
      <c r="A45" s="23"/>
      <c r="B45" s="13" t="s">
        <v>498</v>
      </c>
      <c r="C45" s="14">
        <v>0.1</v>
      </c>
      <c r="D45" s="14">
        <v>0.09</v>
      </c>
      <c r="E45" s="14">
        <v>0.09</v>
      </c>
      <c r="F45" s="14">
        <v>0.12</v>
      </c>
      <c r="G45" s="14">
        <v>0.06</v>
      </c>
      <c r="H45" s="14">
        <v>0.14000000000000001</v>
      </c>
      <c r="I45" s="14">
        <v>0.13</v>
      </c>
      <c r="J45" s="14">
        <v>0.1</v>
      </c>
      <c r="K45" s="14">
        <v>0.24</v>
      </c>
      <c r="L45" s="14">
        <v>0.19</v>
      </c>
      <c r="M45" s="14">
        <v>0.01</v>
      </c>
      <c r="N45" s="14">
        <v>0.06</v>
      </c>
      <c r="O45" s="14">
        <v>0.12</v>
      </c>
      <c r="P45" s="14">
        <v>0.05</v>
      </c>
      <c r="Q45" s="14">
        <v>7.0000000000000007E-2</v>
      </c>
      <c r="R45" s="14">
        <v>0.14000000000000001</v>
      </c>
      <c r="S45" s="14">
        <v>0.17</v>
      </c>
      <c r="T45" s="14">
        <v>0.1</v>
      </c>
      <c r="U45" s="14">
        <v>0.14000000000000001</v>
      </c>
      <c r="V45" s="14">
        <v>0.09</v>
      </c>
      <c r="W45" s="14">
        <v>0.12</v>
      </c>
      <c r="X45" s="14">
        <v>0.03</v>
      </c>
      <c r="Y45" s="14">
        <v>0.12</v>
      </c>
      <c r="Z45" s="14">
        <v>0.15</v>
      </c>
      <c r="AA45" s="14">
        <v>0.11</v>
      </c>
      <c r="AB45" s="14">
        <v>0.09</v>
      </c>
      <c r="AC45" s="14">
        <v>0.09</v>
      </c>
      <c r="AD45" s="14">
        <v>0.12</v>
      </c>
      <c r="AE45" s="14">
        <v>0.15</v>
      </c>
      <c r="AF45" s="14">
        <v>0.04</v>
      </c>
    </row>
  </sheetData>
  <mergeCells count="9">
    <mergeCell ref="B4:F4"/>
    <mergeCell ref="H3:L3"/>
    <mergeCell ref="C8:AF8"/>
    <mergeCell ref="A10:A45"/>
    <mergeCell ref="B3:F3"/>
    <mergeCell ref="B5:F5"/>
    <mergeCell ref="H5:L5"/>
    <mergeCell ref="B10:B11"/>
    <mergeCell ref="H4:L4"/>
  </mergeCells>
  <pageMargins left="0.75" right="0.75" top="1" bottom="1" header="0.5" footer="0.5"/>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B00-000000000000}">
  <dimension ref="A1:AF1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317</v>
      </c>
      <c r="C3" s="19"/>
      <c r="D3" s="19"/>
      <c r="E3" s="19"/>
      <c r="F3" s="19"/>
      <c r="H3" s="19" t="s">
        <v>318</v>
      </c>
      <c r="I3" s="19"/>
      <c r="J3" s="19"/>
      <c r="K3" s="19"/>
      <c r="L3" s="19"/>
    </row>
    <row r="4" spans="1:32" ht="27" customHeight="1">
      <c r="B4" s="19"/>
      <c r="C4" s="19"/>
      <c r="D4" s="19"/>
      <c r="E4" s="19"/>
      <c r="F4" s="19"/>
      <c r="H4" s="19"/>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HYPERLINK("#Content!A160","&lt;&lt;Back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1109</v>
      </c>
      <c r="C12" s="12">
        <v>2383</v>
      </c>
      <c r="D12" s="12">
        <v>107</v>
      </c>
      <c r="E12" s="12">
        <v>124</v>
      </c>
      <c r="F12" s="12">
        <v>133</v>
      </c>
      <c r="G12" s="12">
        <v>87</v>
      </c>
      <c r="H12" s="12">
        <v>98</v>
      </c>
      <c r="I12" s="12">
        <v>126</v>
      </c>
      <c r="J12" s="12">
        <v>28</v>
      </c>
      <c r="K12" s="12">
        <v>110</v>
      </c>
      <c r="L12" s="12">
        <v>34</v>
      </c>
      <c r="M12" s="12">
        <v>306</v>
      </c>
      <c r="N12" s="12">
        <v>73</v>
      </c>
      <c r="O12" s="12">
        <v>102</v>
      </c>
      <c r="P12" s="12">
        <v>194</v>
      </c>
      <c r="Q12" s="12">
        <v>49</v>
      </c>
      <c r="R12" s="12">
        <v>93</v>
      </c>
      <c r="S12" s="12">
        <v>201</v>
      </c>
      <c r="T12" s="12">
        <v>181</v>
      </c>
      <c r="U12" s="12">
        <v>73</v>
      </c>
      <c r="V12" s="12">
        <v>80</v>
      </c>
      <c r="W12" s="12">
        <v>118</v>
      </c>
      <c r="X12" s="12">
        <v>135</v>
      </c>
      <c r="Y12" s="12">
        <v>85</v>
      </c>
      <c r="Z12" s="12">
        <v>31</v>
      </c>
      <c r="AA12" s="12">
        <v>53</v>
      </c>
      <c r="AB12" s="12">
        <v>73</v>
      </c>
      <c r="AC12" s="12">
        <v>143</v>
      </c>
      <c r="AD12" s="12">
        <v>200</v>
      </c>
      <c r="AE12" s="12">
        <v>134</v>
      </c>
      <c r="AF12" s="12">
        <v>190</v>
      </c>
    </row>
    <row r="13" spans="1:32">
      <c r="A13" s="23"/>
      <c r="B13" s="13" t="s">
        <v>1110</v>
      </c>
      <c r="C13" s="14">
        <v>0.09</v>
      </c>
      <c r="D13" s="14">
        <v>0.11</v>
      </c>
      <c r="E13" s="14">
        <v>0.12</v>
      </c>
      <c r="F13" s="14">
        <v>0.13</v>
      </c>
      <c r="G13" s="14">
        <v>0.09</v>
      </c>
      <c r="H13" s="14">
        <v>0.08</v>
      </c>
      <c r="I13" s="14">
        <v>0.08</v>
      </c>
      <c r="J13" s="14">
        <v>0.1</v>
      </c>
      <c r="K13" s="14">
        <v>0.11</v>
      </c>
      <c r="L13" s="14">
        <v>0.03</v>
      </c>
      <c r="M13" s="14">
        <v>0.3</v>
      </c>
      <c r="N13" s="14">
        <v>7.0000000000000007E-2</v>
      </c>
      <c r="O13" s="14">
        <v>0.1</v>
      </c>
      <c r="P13" s="14">
        <v>0.19</v>
      </c>
      <c r="Q13" s="14">
        <v>0.05</v>
      </c>
      <c r="R13" s="14">
        <v>0.19</v>
      </c>
      <c r="S13" s="14">
        <v>0.2</v>
      </c>
      <c r="T13" s="14">
        <v>0.18</v>
      </c>
      <c r="U13" s="14">
        <v>0.15</v>
      </c>
      <c r="V13" s="14">
        <v>0.08</v>
      </c>
      <c r="W13" s="14">
        <v>0.23</v>
      </c>
      <c r="X13" s="14">
        <v>0.13</v>
      </c>
      <c r="Y13" s="14">
        <v>0.09</v>
      </c>
      <c r="Z13" s="14">
        <v>0.03</v>
      </c>
      <c r="AA13" s="14">
        <v>0.05</v>
      </c>
      <c r="AB13" s="14">
        <v>7.0000000000000007E-2</v>
      </c>
      <c r="AC13" s="14">
        <v>0.14000000000000001</v>
      </c>
      <c r="AD13" s="14">
        <v>0.2</v>
      </c>
      <c r="AE13" s="14">
        <v>0.13</v>
      </c>
      <c r="AF13" s="14">
        <v>0.18</v>
      </c>
    </row>
    <row r="14" spans="1:32">
      <c r="A14" s="23"/>
      <c r="B14" s="11" t="s">
        <v>1111</v>
      </c>
      <c r="C14" s="12">
        <v>23656</v>
      </c>
      <c r="D14" s="12">
        <v>896</v>
      </c>
      <c r="E14" s="12">
        <v>868</v>
      </c>
      <c r="F14" s="12">
        <v>858</v>
      </c>
      <c r="G14" s="12">
        <v>909</v>
      </c>
      <c r="H14" s="12">
        <v>1092</v>
      </c>
      <c r="I14" s="12">
        <v>1354</v>
      </c>
      <c r="J14" s="12">
        <v>262</v>
      </c>
      <c r="K14" s="12">
        <v>862</v>
      </c>
      <c r="L14" s="12">
        <v>964</v>
      </c>
      <c r="M14" s="12">
        <v>702</v>
      </c>
      <c r="N14" s="12">
        <v>915</v>
      </c>
      <c r="O14" s="12">
        <v>901</v>
      </c>
      <c r="P14" s="12">
        <v>792</v>
      </c>
      <c r="Q14" s="12">
        <v>968</v>
      </c>
      <c r="R14" s="12">
        <v>409</v>
      </c>
      <c r="S14" s="12">
        <v>790</v>
      </c>
      <c r="T14" s="12">
        <v>783</v>
      </c>
      <c r="U14" s="12">
        <v>427</v>
      </c>
      <c r="V14" s="12">
        <v>924</v>
      </c>
      <c r="W14" s="12">
        <v>373</v>
      </c>
      <c r="X14" s="12">
        <v>881</v>
      </c>
      <c r="Y14" s="12">
        <v>884</v>
      </c>
      <c r="Z14" s="12">
        <v>979</v>
      </c>
      <c r="AA14" s="12">
        <v>976</v>
      </c>
      <c r="AB14" s="12">
        <v>910</v>
      </c>
      <c r="AC14" s="12">
        <v>852</v>
      </c>
      <c r="AD14" s="12">
        <v>778</v>
      </c>
      <c r="AE14" s="12">
        <v>871</v>
      </c>
      <c r="AF14" s="12">
        <v>877</v>
      </c>
    </row>
    <row r="15" spans="1:32">
      <c r="A15" s="23"/>
      <c r="B15" s="13" t="s">
        <v>1112</v>
      </c>
      <c r="C15" s="14">
        <v>0.9</v>
      </c>
      <c r="D15" s="14">
        <v>0.89</v>
      </c>
      <c r="E15" s="14">
        <v>0.83000000000000007</v>
      </c>
      <c r="F15" s="14">
        <v>0.85</v>
      </c>
      <c r="G15" s="14">
        <v>0.91</v>
      </c>
      <c r="H15" s="14">
        <v>0.9</v>
      </c>
      <c r="I15" s="14">
        <v>0.9</v>
      </c>
      <c r="J15" s="14">
        <v>0.89</v>
      </c>
      <c r="K15" s="14">
        <v>0.86</v>
      </c>
      <c r="L15" s="14">
        <v>0.96</v>
      </c>
      <c r="M15" s="14">
        <v>0.70000000000000007</v>
      </c>
      <c r="N15" s="14">
        <v>0.92</v>
      </c>
      <c r="O15" s="14">
        <v>0.9</v>
      </c>
      <c r="P15" s="14">
        <v>0.78</v>
      </c>
      <c r="Q15" s="14">
        <v>0.95000000000000007</v>
      </c>
      <c r="R15" s="14">
        <v>0.81</v>
      </c>
      <c r="S15" s="14">
        <v>0.79</v>
      </c>
      <c r="T15" s="14">
        <v>0.78</v>
      </c>
      <c r="U15" s="14">
        <v>0.85</v>
      </c>
      <c r="V15" s="14">
        <v>0.91</v>
      </c>
      <c r="W15" s="14">
        <v>0.74</v>
      </c>
      <c r="X15" s="14">
        <v>0.87</v>
      </c>
      <c r="Y15" s="14">
        <v>0.88</v>
      </c>
      <c r="Z15" s="14">
        <v>0.96</v>
      </c>
      <c r="AA15" s="14">
        <v>0.94000000000000006</v>
      </c>
      <c r="AB15" s="14">
        <v>0.88</v>
      </c>
      <c r="AC15" s="14">
        <v>0.85</v>
      </c>
      <c r="AD15" s="14">
        <v>0.78</v>
      </c>
      <c r="AE15" s="14">
        <v>0.86</v>
      </c>
      <c r="AF15" s="14">
        <v>0.82000000000000006</v>
      </c>
    </row>
    <row r="16" spans="1:32">
      <c r="A16" s="23"/>
      <c r="B16" s="11" t="s">
        <v>1515</v>
      </c>
      <c r="C16" s="12">
        <v>181</v>
      </c>
      <c r="D16" s="12">
        <v>3</v>
      </c>
      <c r="E16" s="12">
        <v>24</v>
      </c>
      <c r="F16" s="12">
        <v>7</v>
      </c>
      <c r="G16" s="12">
        <v>3</v>
      </c>
      <c r="H16" s="12">
        <v>15</v>
      </c>
      <c r="I16" s="12">
        <v>17</v>
      </c>
      <c r="J16" s="12">
        <v>2</v>
      </c>
      <c r="K16" s="12">
        <v>13</v>
      </c>
      <c r="L16" s="12">
        <v>3</v>
      </c>
      <c r="M16" s="12">
        <v>3</v>
      </c>
      <c r="N16" s="12">
        <v>8</v>
      </c>
      <c r="O16" s="12">
        <v>1</v>
      </c>
      <c r="P16" s="12">
        <v>20</v>
      </c>
      <c r="Q16" s="12">
        <v>1</v>
      </c>
      <c r="R16" s="12">
        <v>0</v>
      </c>
      <c r="S16" s="12">
        <v>6</v>
      </c>
      <c r="T16" s="12">
        <v>28</v>
      </c>
      <c r="U16" s="12">
        <v>1</v>
      </c>
      <c r="V16" s="12">
        <v>4</v>
      </c>
      <c r="W16" s="12">
        <v>3</v>
      </c>
      <c r="X16" s="12">
        <v>0</v>
      </c>
      <c r="Y16" s="12">
        <v>24</v>
      </c>
      <c r="Z16" s="12">
        <v>5</v>
      </c>
      <c r="AA16" s="12">
        <v>7</v>
      </c>
      <c r="AB16" s="12">
        <v>29</v>
      </c>
      <c r="AC16" s="12">
        <v>4</v>
      </c>
      <c r="AD16" s="12">
        <v>15</v>
      </c>
      <c r="AE16" s="12">
        <v>0</v>
      </c>
      <c r="AF16" s="12">
        <v>1</v>
      </c>
    </row>
    <row r="17" spans="1:32">
      <c r="A17" s="23"/>
      <c r="B17" s="13" t="s">
        <v>1516</v>
      </c>
      <c r="C17" s="14">
        <v>0.01</v>
      </c>
      <c r="D17" s="15" t="s">
        <v>485</v>
      </c>
      <c r="E17" s="14">
        <v>0.02</v>
      </c>
      <c r="F17" s="14">
        <v>0.01</v>
      </c>
      <c r="G17" s="15" t="s">
        <v>485</v>
      </c>
      <c r="H17" s="14">
        <v>0.01</v>
      </c>
      <c r="I17" s="14">
        <v>0.01</v>
      </c>
      <c r="J17" s="14">
        <v>0.01</v>
      </c>
      <c r="K17" s="14">
        <v>0.01</v>
      </c>
      <c r="L17" s="15" t="s">
        <v>485</v>
      </c>
      <c r="M17" s="15" t="s">
        <v>485</v>
      </c>
      <c r="N17" s="14">
        <v>0.01</v>
      </c>
      <c r="O17" s="15" t="s">
        <v>485</v>
      </c>
      <c r="P17" s="14">
        <v>0.02</v>
      </c>
      <c r="Q17" s="15" t="s">
        <v>485</v>
      </c>
      <c r="R17" s="15" t="s">
        <v>485</v>
      </c>
      <c r="S17" s="15" t="s">
        <v>485</v>
      </c>
      <c r="T17" s="14">
        <v>0.03</v>
      </c>
      <c r="U17" s="15" t="s">
        <v>485</v>
      </c>
      <c r="V17" s="15" t="s">
        <v>485</v>
      </c>
      <c r="W17" s="14">
        <v>0.01</v>
      </c>
      <c r="X17" s="15" t="s">
        <v>485</v>
      </c>
      <c r="Y17" s="14">
        <v>0.02</v>
      </c>
      <c r="Z17" s="14">
        <v>0.01</v>
      </c>
      <c r="AA17" s="14">
        <v>0.01</v>
      </c>
      <c r="AB17" s="14">
        <v>0.03</v>
      </c>
      <c r="AC17" s="15" t="s">
        <v>485</v>
      </c>
      <c r="AD17" s="14">
        <v>0.01</v>
      </c>
      <c r="AE17" s="15" t="s">
        <v>485</v>
      </c>
      <c r="AF17" s="15" t="s">
        <v>485</v>
      </c>
    </row>
    <row r="18" spans="1:32">
      <c r="A18" s="23"/>
      <c r="B18" s="11" t="s">
        <v>497</v>
      </c>
      <c r="C18" s="12">
        <v>134</v>
      </c>
      <c r="D18" s="12">
        <v>0</v>
      </c>
      <c r="E18" s="12">
        <v>28</v>
      </c>
      <c r="F18" s="12">
        <v>8</v>
      </c>
      <c r="G18" s="12">
        <v>4</v>
      </c>
      <c r="H18" s="12">
        <v>6</v>
      </c>
      <c r="I18" s="12">
        <v>7</v>
      </c>
      <c r="J18" s="12">
        <v>1</v>
      </c>
      <c r="K18" s="12">
        <v>19</v>
      </c>
      <c r="L18" s="12">
        <v>6</v>
      </c>
      <c r="M18" s="12">
        <v>0</v>
      </c>
      <c r="N18" s="12">
        <v>3</v>
      </c>
      <c r="O18" s="12">
        <v>3</v>
      </c>
      <c r="P18" s="12">
        <v>5</v>
      </c>
      <c r="Q18" s="12">
        <v>6</v>
      </c>
      <c r="R18" s="12">
        <v>0</v>
      </c>
      <c r="S18" s="12">
        <v>8</v>
      </c>
      <c r="T18" s="12">
        <v>12</v>
      </c>
      <c r="U18" s="12">
        <v>2</v>
      </c>
      <c r="V18" s="12">
        <v>4</v>
      </c>
      <c r="W18" s="12">
        <v>9</v>
      </c>
      <c r="X18" s="12">
        <v>0</v>
      </c>
      <c r="Y18" s="12">
        <v>14</v>
      </c>
      <c r="Z18" s="12">
        <v>3</v>
      </c>
      <c r="AA18" s="12">
        <v>4</v>
      </c>
      <c r="AB18" s="12">
        <v>19</v>
      </c>
      <c r="AC18" s="12">
        <v>6</v>
      </c>
      <c r="AD18" s="12">
        <v>9</v>
      </c>
      <c r="AE18" s="12">
        <v>4</v>
      </c>
      <c r="AF18" s="12">
        <v>5</v>
      </c>
    </row>
    <row r="19" spans="1:32">
      <c r="A19" s="23"/>
      <c r="B19" s="13" t="s">
        <v>498</v>
      </c>
      <c r="C19" s="15" t="s">
        <v>485</v>
      </c>
      <c r="D19" s="15" t="s">
        <v>485</v>
      </c>
      <c r="E19" s="14">
        <v>0.03</v>
      </c>
      <c r="F19" s="14">
        <v>0.01</v>
      </c>
      <c r="G19" s="15" t="s">
        <v>485</v>
      </c>
      <c r="H19" s="14">
        <v>0.01</v>
      </c>
      <c r="I19" s="14">
        <v>0.01</v>
      </c>
      <c r="J19" s="15" t="s">
        <v>485</v>
      </c>
      <c r="K19" s="14">
        <v>0.02</v>
      </c>
      <c r="L19" s="14">
        <v>0.01</v>
      </c>
      <c r="M19" s="15" t="s">
        <v>485</v>
      </c>
      <c r="N19" s="15" t="s">
        <v>485</v>
      </c>
      <c r="O19" s="15" t="s">
        <v>485</v>
      </c>
      <c r="P19" s="14">
        <v>0.01</v>
      </c>
      <c r="Q19" s="15" t="s">
        <v>485</v>
      </c>
      <c r="R19" s="15" t="s">
        <v>485</v>
      </c>
      <c r="S19" s="14">
        <v>0.01</v>
      </c>
      <c r="T19" s="14">
        <v>0.01</v>
      </c>
      <c r="U19" s="15" t="s">
        <v>485</v>
      </c>
      <c r="V19" s="14">
        <v>0.01</v>
      </c>
      <c r="W19" s="14">
        <v>0.02</v>
      </c>
      <c r="X19" s="15" t="s">
        <v>485</v>
      </c>
      <c r="Y19" s="14">
        <v>0.01</v>
      </c>
      <c r="Z19" s="15" t="s">
        <v>485</v>
      </c>
      <c r="AA19" s="15" t="s">
        <v>485</v>
      </c>
      <c r="AB19" s="14">
        <v>0.02</v>
      </c>
      <c r="AC19" s="14">
        <v>0.01</v>
      </c>
      <c r="AD19" s="14">
        <v>0.01</v>
      </c>
      <c r="AE19" s="14">
        <v>0.01</v>
      </c>
      <c r="AF19" s="15" t="s">
        <v>485</v>
      </c>
    </row>
  </sheetData>
  <mergeCells count="9">
    <mergeCell ref="H3:L3"/>
    <mergeCell ref="C8:AF8"/>
    <mergeCell ref="B3:F3"/>
    <mergeCell ref="B5:F5"/>
    <mergeCell ref="A10:A19"/>
    <mergeCell ref="H5:L5"/>
    <mergeCell ref="B10:B11"/>
    <mergeCell ref="H4:L4"/>
    <mergeCell ref="B4:F4"/>
  </mergeCells>
  <pageMargins left="0.75" right="0.75" top="1" bottom="1" header="0.5" footer="0.5"/>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C00-000000000000}">
  <dimension ref="A1:AF47"/>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319</v>
      </c>
      <c r="C3" s="19"/>
      <c r="D3" s="19"/>
      <c r="E3" s="19"/>
      <c r="F3" s="19"/>
      <c r="H3" s="19" t="s">
        <v>320</v>
      </c>
      <c r="I3" s="19"/>
      <c r="J3" s="19"/>
      <c r="K3" s="19"/>
      <c r="L3" s="19"/>
    </row>
    <row r="4" spans="1:32" ht="27" customHeight="1">
      <c r="B4" s="19"/>
      <c r="C4" s="19"/>
      <c r="D4" s="19"/>
      <c r="E4" s="19"/>
      <c r="F4" s="19"/>
      <c r="H4" s="19"/>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HYPERLINK("#Content!A161","&lt;&lt;Back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1485</v>
      </c>
      <c r="C12" s="12">
        <v>2759</v>
      </c>
      <c r="D12" s="12">
        <v>177</v>
      </c>
      <c r="E12" s="12">
        <v>133</v>
      </c>
      <c r="F12" s="12">
        <v>97</v>
      </c>
      <c r="G12" s="12">
        <v>120</v>
      </c>
      <c r="H12" s="12">
        <v>101</v>
      </c>
      <c r="I12" s="12">
        <v>137</v>
      </c>
      <c r="J12" s="12">
        <v>37</v>
      </c>
      <c r="K12" s="12">
        <v>157</v>
      </c>
      <c r="L12" s="12">
        <v>97</v>
      </c>
      <c r="M12" s="12">
        <v>129</v>
      </c>
      <c r="N12" s="12">
        <v>119</v>
      </c>
      <c r="O12" s="12">
        <v>94</v>
      </c>
      <c r="P12" s="12">
        <v>211</v>
      </c>
      <c r="Q12" s="12">
        <v>41</v>
      </c>
      <c r="R12" s="12">
        <v>54</v>
      </c>
      <c r="S12" s="12">
        <v>124</v>
      </c>
      <c r="T12" s="12">
        <v>137</v>
      </c>
      <c r="U12" s="12">
        <v>100</v>
      </c>
      <c r="V12" s="12">
        <v>52</v>
      </c>
      <c r="W12" s="12">
        <v>67</v>
      </c>
      <c r="X12" s="12">
        <v>197</v>
      </c>
      <c r="Y12" s="12">
        <v>145</v>
      </c>
      <c r="Z12" s="12">
        <v>76</v>
      </c>
      <c r="AA12" s="12">
        <v>55</v>
      </c>
      <c r="AB12" s="12">
        <v>98</v>
      </c>
      <c r="AC12" s="12">
        <v>85</v>
      </c>
      <c r="AD12" s="12">
        <v>198</v>
      </c>
      <c r="AE12" s="12">
        <v>264</v>
      </c>
      <c r="AF12" s="12">
        <v>353</v>
      </c>
    </row>
    <row r="13" spans="1:32">
      <c r="A13" s="23"/>
      <c r="B13" s="13" t="s">
        <v>1486</v>
      </c>
      <c r="C13" s="14">
        <v>0.1</v>
      </c>
      <c r="D13" s="14">
        <v>0.18</v>
      </c>
      <c r="E13" s="14">
        <v>0.13</v>
      </c>
      <c r="F13" s="14">
        <v>0.1</v>
      </c>
      <c r="G13" s="14">
        <v>0.12</v>
      </c>
      <c r="H13" s="14">
        <v>0.08</v>
      </c>
      <c r="I13" s="14">
        <v>0.09</v>
      </c>
      <c r="J13" s="14">
        <v>0.12</v>
      </c>
      <c r="K13" s="14">
        <v>0.16</v>
      </c>
      <c r="L13" s="14">
        <v>0.1</v>
      </c>
      <c r="M13" s="14">
        <v>0.13</v>
      </c>
      <c r="N13" s="14">
        <v>0.12</v>
      </c>
      <c r="O13" s="14">
        <v>0.09</v>
      </c>
      <c r="P13" s="14">
        <v>0.21</v>
      </c>
      <c r="Q13" s="14">
        <v>0.04</v>
      </c>
      <c r="R13" s="14">
        <v>0.11</v>
      </c>
      <c r="S13" s="14">
        <v>0.12</v>
      </c>
      <c r="T13" s="14">
        <v>0.14000000000000001</v>
      </c>
      <c r="U13" s="14">
        <v>0.2</v>
      </c>
      <c r="V13" s="14">
        <v>0.05</v>
      </c>
      <c r="W13" s="14">
        <v>0.13</v>
      </c>
      <c r="X13" s="14">
        <v>0.19</v>
      </c>
      <c r="Y13" s="14">
        <v>0.14000000000000001</v>
      </c>
      <c r="Z13" s="14">
        <v>7.0000000000000007E-2</v>
      </c>
      <c r="AA13" s="14">
        <v>0.05</v>
      </c>
      <c r="AB13" s="14">
        <v>0.09</v>
      </c>
      <c r="AC13" s="14">
        <v>0.08</v>
      </c>
      <c r="AD13" s="14">
        <v>0.2</v>
      </c>
      <c r="AE13" s="14">
        <v>0.26</v>
      </c>
      <c r="AF13" s="14">
        <v>0.33</v>
      </c>
    </row>
    <row r="14" spans="1:32">
      <c r="A14" s="23"/>
      <c r="B14" s="11" t="s">
        <v>1487</v>
      </c>
      <c r="C14" s="12">
        <v>3809</v>
      </c>
      <c r="D14" s="12">
        <v>138</v>
      </c>
      <c r="E14" s="12">
        <v>178</v>
      </c>
      <c r="F14" s="12">
        <v>65</v>
      </c>
      <c r="G14" s="12">
        <v>354</v>
      </c>
      <c r="H14" s="12">
        <v>248</v>
      </c>
      <c r="I14" s="12">
        <v>309</v>
      </c>
      <c r="J14" s="12">
        <v>60</v>
      </c>
      <c r="K14" s="12">
        <v>132</v>
      </c>
      <c r="L14" s="12">
        <v>178</v>
      </c>
      <c r="M14" s="12">
        <v>313</v>
      </c>
      <c r="N14" s="12">
        <v>28</v>
      </c>
      <c r="O14" s="12">
        <v>116</v>
      </c>
      <c r="P14" s="12">
        <v>113</v>
      </c>
      <c r="Q14" s="12">
        <v>55</v>
      </c>
      <c r="R14" s="12">
        <v>40</v>
      </c>
      <c r="S14" s="12">
        <v>158</v>
      </c>
      <c r="T14" s="12">
        <v>134</v>
      </c>
      <c r="U14" s="12">
        <v>92</v>
      </c>
      <c r="V14" s="12">
        <v>154</v>
      </c>
      <c r="W14" s="12">
        <v>93</v>
      </c>
      <c r="X14" s="12">
        <v>481</v>
      </c>
      <c r="Y14" s="12">
        <v>155</v>
      </c>
      <c r="Z14" s="12">
        <v>44</v>
      </c>
      <c r="AA14" s="12">
        <v>134</v>
      </c>
      <c r="AB14" s="12">
        <v>121</v>
      </c>
      <c r="AC14" s="12">
        <v>61</v>
      </c>
      <c r="AD14" s="12">
        <v>161</v>
      </c>
      <c r="AE14" s="12">
        <v>431</v>
      </c>
      <c r="AF14" s="12">
        <v>439</v>
      </c>
    </row>
    <row r="15" spans="1:32">
      <c r="A15" s="23"/>
      <c r="B15" s="13" t="s">
        <v>1488</v>
      </c>
      <c r="C15" s="14">
        <v>0.14000000000000001</v>
      </c>
      <c r="D15" s="14">
        <v>0.14000000000000001</v>
      </c>
      <c r="E15" s="14">
        <v>0.17</v>
      </c>
      <c r="F15" s="14">
        <v>0.06</v>
      </c>
      <c r="G15" s="14">
        <v>0.35</v>
      </c>
      <c r="H15" s="14">
        <v>0.21</v>
      </c>
      <c r="I15" s="14">
        <v>0.21</v>
      </c>
      <c r="J15" s="14">
        <v>0.21</v>
      </c>
      <c r="K15" s="14">
        <v>0.13</v>
      </c>
      <c r="L15" s="14">
        <v>0.18</v>
      </c>
      <c r="M15" s="14">
        <v>0.31</v>
      </c>
      <c r="N15" s="14">
        <v>0.03</v>
      </c>
      <c r="O15" s="14">
        <v>0.11</v>
      </c>
      <c r="P15" s="14">
        <v>0.11</v>
      </c>
      <c r="Q15" s="14">
        <v>0.05</v>
      </c>
      <c r="R15" s="14">
        <v>0.08</v>
      </c>
      <c r="S15" s="14">
        <v>0.16</v>
      </c>
      <c r="T15" s="14">
        <v>0.13</v>
      </c>
      <c r="U15" s="14">
        <v>0.18</v>
      </c>
      <c r="V15" s="14">
        <v>0.15</v>
      </c>
      <c r="W15" s="14">
        <v>0.18</v>
      </c>
      <c r="X15" s="14">
        <v>0.47</v>
      </c>
      <c r="Y15" s="14">
        <v>0.15</v>
      </c>
      <c r="Z15" s="14">
        <v>0.04</v>
      </c>
      <c r="AA15" s="14">
        <v>0.13</v>
      </c>
      <c r="AB15" s="14">
        <v>0.12</v>
      </c>
      <c r="AC15" s="14">
        <v>0.06</v>
      </c>
      <c r="AD15" s="14">
        <v>0.16</v>
      </c>
      <c r="AE15" s="14">
        <v>0.43</v>
      </c>
      <c r="AF15" s="14">
        <v>0.41</v>
      </c>
    </row>
    <row r="16" spans="1:32">
      <c r="A16" s="23"/>
      <c r="B16" s="11" t="s">
        <v>1489</v>
      </c>
      <c r="C16" s="12">
        <v>890</v>
      </c>
      <c r="D16" s="12">
        <v>76</v>
      </c>
      <c r="E16" s="12">
        <v>34</v>
      </c>
      <c r="F16" s="12">
        <v>34</v>
      </c>
      <c r="G16" s="12">
        <v>74</v>
      </c>
      <c r="H16" s="12">
        <v>41</v>
      </c>
      <c r="I16" s="12">
        <v>58</v>
      </c>
      <c r="J16" s="12">
        <v>17</v>
      </c>
      <c r="K16" s="12">
        <v>31</v>
      </c>
      <c r="L16" s="12">
        <v>20</v>
      </c>
      <c r="M16" s="12">
        <v>47</v>
      </c>
      <c r="N16" s="12">
        <v>23</v>
      </c>
      <c r="O16" s="12">
        <v>35</v>
      </c>
      <c r="P16" s="12">
        <v>69</v>
      </c>
      <c r="Q16" s="12">
        <v>16</v>
      </c>
      <c r="R16" s="12">
        <v>30</v>
      </c>
      <c r="S16" s="12">
        <v>34</v>
      </c>
      <c r="T16" s="12">
        <v>10</v>
      </c>
      <c r="U16" s="12">
        <v>22</v>
      </c>
      <c r="V16" s="12">
        <v>13</v>
      </c>
      <c r="W16" s="12">
        <v>44</v>
      </c>
      <c r="X16" s="12">
        <v>59</v>
      </c>
      <c r="Y16" s="12">
        <v>62</v>
      </c>
      <c r="Z16" s="12">
        <v>15</v>
      </c>
      <c r="AA16" s="12">
        <v>40</v>
      </c>
      <c r="AB16" s="12">
        <v>29</v>
      </c>
      <c r="AC16" s="12">
        <v>60</v>
      </c>
      <c r="AD16" s="12">
        <v>60</v>
      </c>
      <c r="AE16" s="12">
        <v>36</v>
      </c>
      <c r="AF16" s="12">
        <v>70</v>
      </c>
    </row>
    <row r="17" spans="1:32">
      <c r="A17" s="23"/>
      <c r="B17" s="13" t="s">
        <v>1490</v>
      </c>
      <c r="C17" s="14">
        <v>0.03</v>
      </c>
      <c r="D17" s="14">
        <v>0.08</v>
      </c>
      <c r="E17" s="14">
        <v>0.03</v>
      </c>
      <c r="F17" s="14">
        <v>0.03</v>
      </c>
      <c r="G17" s="14">
        <v>7.0000000000000007E-2</v>
      </c>
      <c r="H17" s="14">
        <v>0.03</v>
      </c>
      <c r="I17" s="14">
        <v>0.04</v>
      </c>
      <c r="J17" s="14">
        <v>0.06</v>
      </c>
      <c r="K17" s="14">
        <v>0.03</v>
      </c>
      <c r="L17" s="14">
        <v>0.02</v>
      </c>
      <c r="M17" s="14">
        <v>0.05</v>
      </c>
      <c r="N17" s="14">
        <v>0.02</v>
      </c>
      <c r="O17" s="14">
        <v>0.04</v>
      </c>
      <c r="P17" s="14">
        <v>7.0000000000000007E-2</v>
      </c>
      <c r="Q17" s="14">
        <v>0.02</v>
      </c>
      <c r="R17" s="14">
        <v>0.06</v>
      </c>
      <c r="S17" s="14">
        <v>0.03</v>
      </c>
      <c r="T17" s="14">
        <v>0.01</v>
      </c>
      <c r="U17" s="14">
        <v>0.04</v>
      </c>
      <c r="V17" s="14">
        <v>0.01</v>
      </c>
      <c r="W17" s="14">
        <v>0.09</v>
      </c>
      <c r="X17" s="14">
        <v>0.06</v>
      </c>
      <c r="Y17" s="14">
        <v>0.06</v>
      </c>
      <c r="Z17" s="14">
        <v>0.01</v>
      </c>
      <c r="AA17" s="14">
        <v>0.04</v>
      </c>
      <c r="AB17" s="14">
        <v>0.03</v>
      </c>
      <c r="AC17" s="14">
        <v>0.06</v>
      </c>
      <c r="AD17" s="14">
        <v>0.06</v>
      </c>
      <c r="AE17" s="14">
        <v>0.04</v>
      </c>
      <c r="AF17" s="14">
        <v>7.0000000000000007E-2</v>
      </c>
    </row>
    <row r="18" spans="1:32" ht="23.25">
      <c r="A18" s="23"/>
      <c r="B18" s="11" t="s">
        <v>1491</v>
      </c>
      <c r="C18" s="12">
        <v>3491</v>
      </c>
      <c r="D18" s="12">
        <v>112</v>
      </c>
      <c r="E18" s="12">
        <v>72</v>
      </c>
      <c r="F18" s="12">
        <v>141</v>
      </c>
      <c r="G18" s="12">
        <v>142</v>
      </c>
      <c r="H18" s="12">
        <v>131</v>
      </c>
      <c r="I18" s="12">
        <v>170</v>
      </c>
      <c r="J18" s="12">
        <v>40</v>
      </c>
      <c r="K18" s="12">
        <v>139</v>
      </c>
      <c r="L18" s="12">
        <v>107</v>
      </c>
      <c r="M18" s="12">
        <v>180</v>
      </c>
      <c r="N18" s="12">
        <v>164</v>
      </c>
      <c r="O18" s="12">
        <v>258</v>
      </c>
      <c r="P18" s="12">
        <v>100</v>
      </c>
      <c r="Q18" s="12">
        <v>39</v>
      </c>
      <c r="R18" s="12">
        <v>43</v>
      </c>
      <c r="S18" s="12">
        <v>151</v>
      </c>
      <c r="T18" s="12">
        <v>118</v>
      </c>
      <c r="U18" s="12">
        <v>145</v>
      </c>
      <c r="V18" s="12">
        <v>70</v>
      </c>
      <c r="W18" s="12">
        <v>55</v>
      </c>
      <c r="X18" s="12">
        <v>191</v>
      </c>
      <c r="Y18" s="12">
        <v>178</v>
      </c>
      <c r="Z18" s="12">
        <v>75</v>
      </c>
      <c r="AA18" s="12">
        <v>208</v>
      </c>
      <c r="AB18" s="12">
        <v>24</v>
      </c>
      <c r="AC18" s="12">
        <v>69</v>
      </c>
      <c r="AD18" s="12">
        <v>169</v>
      </c>
      <c r="AE18" s="12">
        <v>133</v>
      </c>
      <c r="AF18" s="12">
        <v>196</v>
      </c>
    </row>
    <row r="19" spans="1:32" ht="23.25">
      <c r="A19" s="23"/>
      <c r="B19" s="13" t="s">
        <v>1492</v>
      </c>
      <c r="C19" s="14">
        <v>0.13</v>
      </c>
      <c r="D19" s="14">
        <v>0.11</v>
      </c>
      <c r="E19" s="14">
        <v>7.0000000000000007E-2</v>
      </c>
      <c r="F19" s="14">
        <v>0.14000000000000001</v>
      </c>
      <c r="G19" s="14">
        <v>0.14000000000000001</v>
      </c>
      <c r="H19" s="14">
        <v>0.11</v>
      </c>
      <c r="I19" s="14">
        <v>0.11</v>
      </c>
      <c r="J19" s="14">
        <v>0.14000000000000001</v>
      </c>
      <c r="K19" s="14">
        <v>0.14000000000000001</v>
      </c>
      <c r="L19" s="14">
        <v>0.11</v>
      </c>
      <c r="M19" s="14">
        <v>0.18</v>
      </c>
      <c r="N19" s="14">
        <v>0.16</v>
      </c>
      <c r="O19" s="14">
        <v>0.26</v>
      </c>
      <c r="P19" s="14">
        <v>0.1</v>
      </c>
      <c r="Q19" s="14">
        <v>0.04</v>
      </c>
      <c r="R19" s="14">
        <v>0.09</v>
      </c>
      <c r="S19" s="14">
        <v>0.15</v>
      </c>
      <c r="T19" s="14">
        <v>0.12</v>
      </c>
      <c r="U19" s="14">
        <v>0.28999999999999998</v>
      </c>
      <c r="V19" s="14">
        <v>7.0000000000000007E-2</v>
      </c>
      <c r="W19" s="14">
        <v>0.11</v>
      </c>
      <c r="X19" s="14">
        <v>0.19</v>
      </c>
      <c r="Y19" s="14">
        <v>0.18</v>
      </c>
      <c r="Z19" s="14">
        <v>7.0000000000000007E-2</v>
      </c>
      <c r="AA19" s="14">
        <v>0.2</v>
      </c>
      <c r="AB19" s="14">
        <v>0.02</v>
      </c>
      <c r="AC19" s="14">
        <v>7.0000000000000007E-2</v>
      </c>
      <c r="AD19" s="14">
        <v>0.17</v>
      </c>
      <c r="AE19" s="14">
        <v>0.13</v>
      </c>
      <c r="AF19" s="14">
        <v>0.18</v>
      </c>
    </row>
    <row r="20" spans="1:32">
      <c r="A20" s="23"/>
      <c r="B20" s="11" t="s">
        <v>1493</v>
      </c>
      <c r="C20" s="12">
        <v>470</v>
      </c>
      <c r="D20" s="12">
        <v>34</v>
      </c>
      <c r="E20" s="12">
        <v>20</v>
      </c>
      <c r="F20" s="12">
        <v>9</v>
      </c>
      <c r="G20" s="12">
        <v>22</v>
      </c>
      <c r="H20" s="12">
        <v>18</v>
      </c>
      <c r="I20" s="12">
        <v>25</v>
      </c>
      <c r="J20" s="12">
        <v>6</v>
      </c>
      <c r="K20" s="12">
        <v>10</v>
      </c>
      <c r="L20" s="12">
        <v>12</v>
      </c>
      <c r="M20" s="12">
        <v>2</v>
      </c>
      <c r="N20" s="12">
        <v>17</v>
      </c>
      <c r="O20" s="12">
        <v>22</v>
      </c>
      <c r="P20" s="12">
        <v>20</v>
      </c>
      <c r="Q20" s="12">
        <v>7</v>
      </c>
      <c r="R20" s="12">
        <v>4</v>
      </c>
      <c r="S20" s="12">
        <v>13</v>
      </c>
      <c r="T20" s="12">
        <v>15</v>
      </c>
      <c r="U20" s="12">
        <v>11</v>
      </c>
      <c r="V20" s="12">
        <v>8</v>
      </c>
      <c r="W20" s="12">
        <v>20</v>
      </c>
      <c r="X20" s="12">
        <v>47</v>
      </c>
      <c r="Y20" s="12">
        <v>44</v>
      </c>
      <c r="Z20" s="12">
        <v>6</v>
      </c>
      <c r="AA20" s="12">
        <v>23</v>
      </c>
      <c r="AB20" s="12">
        <v>23</v>
      </c>
      <c r="AC20" s="12">
        <v>13</v>
      </c>
      <c r="AD20" s="12">
        <v>35</v>
      </c>
      <c r="AE20" s="12">
        <v>25</v>
      </c>
      <c r="AF20" s="12">
        <v>45</v>
      </c>
    </row>
    <row r="21" spans="1:32" ht="23.25">
      <c r="A21" s="23"/>
      <c r="B21" s="13" t="s">
        <v>1494</v>
      </c>
      <c r="C21" s="14">
        <v>0.02</v>
      </c>
      <c r="D21" s="14">
        <v>0.03</v>
      </c>
      <c r="E21" s="14">
        <v>0.02</v>
      </c>
      <c r="F21" s="14">
        <v>0.01</v>
      </c>
      <c r="G21" s="14">
        <v>0.02</v>
      </c>
      <c r="H21" s="14">
        <v>0.01</v>
      </c>
      <c r="I21" s="14">
        <v>0.02</v>
      </c>
      <c r="J21" s="14">
        <v>0.02</v>
      </c>
      <c r="K21" s="14">
        <v>0.01</v>
      </c>
      <c r="L21" s="14">
        <v>0.01</v>
      </c>
      <c r="M21" s="15" t="s">
        <v>485</v>
      </c>
      <c r="N21" s="14">
        <v>0.02</v>
      </c>
      <c r="O21" s="14">
        <v>0.02</v>
      </c>
      <c r="P21" s="14">
        <v>0.02</v>
      </c>
      <c r="Q21" s="14">
        <v>0.01</v>
      </c>
      <c r="R21" s="14">
        <v>0.01</v>
      </c>
      <c r="S21" s="14">
        <v>0.01</v>
      </c>
      <c r="T21" s="14">
        <v>0.01</v>
      </c>
      <c r="U21" s="14">
        <v>0.02</v>
      </c>
      <c r="V21" s="14">
        <v>0.01</v>
      </c>
      <c r="W21" s="14">
        <v>0.04</v>
      </c>
      <c r="X21" s="14">
        <v>0.05</v>
      </c>
      <c r="Y21" s="14">
        <v>0.04</v>
      </c>
      <c r="Z21" s="14">
        <v>0.01</v>
      </c>
      <c r="AA21" s="14">
        <v>0.02</v>
      </c>
      <c r="AB21" s="14">
        <v>0.02</v>
      </c>
      <c r="AC21" s="14">
        <v>0.01</v>
      </c>
      <c r="AD21" s="14">
        <v>0.03</v>
      </c>
      <c r="AE21" s="14">
        <v>0.03</v>
      </c>
      <c r="AF21" s="14">
        <v>0.04</v>
      </c>
    </row>
    <row r="22" spans="1:32" ht="34.5">
      <c r="A22" s="23"/>
      <c r="B22" s="11" t="s">
        <v>1495</v>
      </c>
      <c r="C22" s="12">
        <v>1673</v>
      </c>
      <c r="D22" s="12">
        <v>123</v>
      </c>
      <c r="E22" s="12">
        <v>36</v>
      </c>
      <c r="F22" s="12">
        <v>40</v>
      </c>
      <c r="G22" s="12">
        <v>117</v>
      </c>
      <c r="H22" s="12">
        <v>76</v>
      </c>
      <c r="I22" s="12">
        <v>104</v>
      </c>
      <c r="J22" s="12">
        <v>27</v>
      </c>
      <c r="K22" s="12">
        <v>78</v>
      </c>
      <c r="L22" s="12">
        <v>122</v>
      </c>
      <c r="M22" s="12">
        <v>29</v>
      </c>
      <c r="N22" s="12">
        <v>42</v>
      </c>
      <c r="O22" s="12">
        <v>85</v>
      </c>
      <c r="P22" s="12">
        <v>69</v>
      </c>
      <c r="Q22" s="12">
        <v>29</v>
      </c>
      <c r="R22" s="12">
        <v>22</v>
      </c>
      <c r="S22" s="12">
        <v>30</v>
      </c>
      <c r="T22" s="12">
        <v>43</v>
      </c>
      <c r="U22" s="12">
        <v>54</v>
      </c>
      <c r="V22" s="12">
        <v>19</v>
      </c>
      <c r="W22" s="12">
        <v>47</v>
      </c>
      <c r="X22" s="12">
        <v>168</v>
      </c>
      <c r="Y22" s="12">
        <v>123</v>
      </c>
      <c r="Z22" s="12">
        <v>17</v>
      </c>
      <c r="AA22" s="12">
        <v>21</v>
      </c>
      <c r="AB22" s="12">
        <v>45</v>
      </c>
      <c r="AC22" s="12">
        <v>36</v>
      </c>
      <c r="AD22" s="12">
        <v>94</v>
      </c>
      <c r="AE22" s="12">
        <v>106</v>
      </c>
      <c r="AF22" s="12">
        <v>193</v>
      </c>
    </row>
    <row r="23" spans="1:32" ht="23.25">
      <c r="A23" s="23"/>
      <c r="B23" s="13" t="s">
        <v>1496</v>
      </c>
      <c r="C23" s="14">
        <v>0.06</v>
      </c>
      <c r="D23" s="14">
        <v>0.12</v>
      </c>
      <c r="E23" s="14">
        <v>0.03</v>
      </c>
      <c r="F23" s="14">
        <v>0.04</v>
      </c>
      <c r="G23" s="14">
        <v>0.12</v>
      </c>
      <c r="H23" s="14">
        <v>0.06</v>
      </c>
      <c r="I23" s="14">
        <v>7.0000000000000007E-2</v>
      </c>
      <c r="J23" s="14">
        <v>0.09</v>
      </c>
      <c r="K23" s="14">
        <v>0.08</v>
      </c>
      <c r="L23" s="14">
        <v>0.12</v>
      </c>
      <c r="M23" s="14">
        <v>0.03</v>
      </c>
      <c r="N23" s="14">
        <v>0.04</v>
      </c>
      <c r="O23" s="14">
        <v>0.08</v>
      </c>
      <c r="P23" s="14">
        <v>7.0000000000000007E-2</v>
      </c>
      <c r="Q23" s="14">
        <v>0.03</v>
      </c>
      <c r="R23" s="14">
        <v>0.04</v>
      </c>
      <c r="S23" s="14">
        <v>0.03</v>
      </c>
      <c r="T23" s="14">
        <v>0.04</v>
      </c>
      <c r="U23" s="14">
        <v>0.11</v>
      </c>
      <c r="V23" s="14">
        <v>0.02</v>
      </c>
      <c r="W23" s="14">
        <v>0.09</v>
      </c>
      <c r="X23" s="14">
        <v>0.17</v>
      </c>
      <c r="Y23" s="14">
        <v>0.12</v>
      </c>
      <c r="Z23" s="14">
        <v>0.02</v>
      </c>
      <c r="AA23" s="14">
        <v>0.02</v>
      </c>
      <c r="AB23" s="14">
        <v>0.04</v>
      </c>
      <c r="AC23" s="14">
        <v>0.04</v>
      </c>
      <c r="AD23" s="14">
        <v>0.09</v>
      </c>
      <c r="AE23" s="14">
        <v>0.11</v>
      </c>
      <c r="AF23" s="14">
        <v>0.18</v>
      </c>
    </row>
    <row r="24" spans="1:32">
      <c r="A24" s="23"/>
      <c r="B24" s="11" t="s">
        <v>1497</v>
      </c>
      <c r="C24" s="12">
        <v>1391</v>
      </c>
      <c r="D24" s="12">
        <v>128</v>
      </c>
      <c r="E24" s="12">
        <v>18</v>
      </c>
      <c r="F24" s="12">
        <v>23</v>
      </c>
      <c r="G24" s="12">
        <v>71</v>
      </c>
      <c r="H24" s="12">
        <v>91</v>
      </c>
      <c r="I24" s="12">
        <v>112</v>
      </c>
      <c r="J24" s="12">
        <v>21</v>
      </c>
      <c r="K24" s="12">
        <v>65</v>
      </c>
      <c r="L24" s="12">
        <v>126</v>
      </c>
      <c r="M24" s="12">
        <v>17</v>
      </c>
      <c r="N24" s="12">
        <v>39</v>
      </c>
      <c r="O24" s="12">
        <v>39</v>
      </c>
      <c r="P24" s="12">
        <v>65</v>
      </c>
      <c r="Q24" s="12">
        <v>32</v>
      </c>
      <c r="R24" s="12">
        <v>39</v>
      </c>
      <c r="S24" s="12">
        <v>30</v>
      </c>
      <c r="T24" s="12">
        <v>35</v>
      </c>
      <c r="U24" s="12">
        <v>42</v>
      </c>
      <c r="V24" s="12">
        <v>16</v>
      </c>
      <c r="W24" s="12">
        <v>48</v>
      </c>
      <c r="X24" s="12">
        <v>151</v>
      </c>
      <c r="Y24" s="12">
        <v>97</v>
      </c>
      <c r="Z24" s="12">
        <v>22</v>
      </c>
      <c r="AA24" s="12">
        <v>22</v>
      </c>
      <c r="AB24" s="12">
        <v>35</v>
      </c>
      <c r="AC24" s="12">
        <v>21</v>
      </c>
      <c r="AD24" s="12">
        <v>61</v>
      </c>
      <c r="AE24" s="12">
        <v>52</v>
      </c>
      <c r="AF24" s="12">
        <v>133</v>
      </c>
    </row>
    <row r="25" spans="1:32">
      <c r="A25" s="23"/>
      <c r="B25" s="13" t="s">
        <v>1498</v>
      </c>
      <c r="C25" s="14">
        <v>0.05</v>
      </c>
      <c r="D25" s="14">
        <v>0.13</v>
      </c>
      <c r="E25" s="14">
        <v>0.02</v>
      </c>
      <c r="F25" s="14">
        <v>0.02</v>
      </c>
      <c r="G25" s="14">
        <v>7.0000000000000007E-2</v>
      </c>
      <c r="H25" s="14">
        <v>0.08</v>
      </c>
      <c r="I25" s="14">
        <v>7.0000000000000007E-2</v>
      </c>
      <c r="J25" s="14">
        <v>7.0000000000000007E-2</v>
      </c>
      <c r="K25" s="14">
        <v>0.06</v>
      </c>
      <c r="L25" s="14">
        <v>0.12</v>
      </c>
      <c r="M25" s="14">
        <v>0.02</v>
      </c>
      <c r="N25" s="14">
        <v>0.04</v>
      </c>
      <c r="O25" s="14">
        <v>0.04</v>
      </c>
      <c r="P25" s="14">
        <v>0.06</v>
      </c>
      <c r="Q25" s="14">
        <v>0.03</v>
      </c>
      <c r="R25" s="14">
        <v>0.08</v>
      </c>
      <c r="S25" s="14">
        <v>0.03</v>
      </c>
      <c r="T25" s="14">
        <v>0.03</v>
      </c>
      <c r="U25" s="14">
        <v>0.08</v>
      </c>
      <c r="V25" s="14">
        <v>0.02</v>
      </c>
      <c r="W25" s="14">
        <v>0.09</v>
      </c>
      <c r="X25" s="14">
        <v>0.15</v>
      </c>
      <c r="Y25" s="14">
        <v>0.1</v>
      </c>
      <c r="Z25" s="14">
        <v>0.02</v>
      </c>
      <c r="AA25" s="14">
        <v>0.02</v>
      </c>
      <c r="AB25" s="14">
        <v>0.03</v>
      </c>
      <c r="AC25" s="14">
        <v>0.02</v>
      </c>
      <c r="AD25" s="14">
        <v>0.06</v>
      </c>
      <c r="AE25" s="14">
        <v>0.05</v>
      </c>
      <c r="AF25" s="14">
        <v>0.12</v>
      </c>
    </row>
    <row r="26" spans="1:32" ht="34.5">
      <c r="A26" s="23"/>
      <c r="B26" s="11" t="s">
        <v>1499</v>
      </c>
      <c r="C26" s="12">
        <v>887</v>
      </c>
      <c r="D26" s="12">
        <v>59</v>
      </c>
      <c r="E26" s="12">
        <v>11</v>
      </c>
      <c r="F26" s="12">
        <v>27</v>
      </c>
      <c r="G26" s="12">
        <v>24</v>
      </c>
      <c r="H26" s="12">
        <v>43</v>
      </c>
      <c r="I26" s="12">
        <v>67</v>
      </c>
      <c r="J26" s="12">
        <v>24</v>
      </c>
      <c r="K26" s="12">
        <v>31</v>
      </c>
      <c r="L26" s="12">
        <v>19</v>
      </c>
      <c r="M26" s="12">
        <v>13</v>
      </c>
      <c r="N26" s="12">
        <v>39</v>
      </c>
      <c r="O26" s="12">
        <v>17</v>
      </c>
      <c r="P26" s="12">
        <v>54</v>
      </c>
      <c r="Q26" s="12">
        <v>21</v>
      </c>
      <c r="R26" s="12">
        <v>6</v>
      </c>
      <c r="S26" s="12">
        <v>30</v>
      </c>
      <c r="T26" s="12">
        <v>10</v>
      </c>
      <c r="U26" s="12">
        <v>21</v>
      </c>
      <c r="V26" s="12">
        <v>19</v>
      </c>
      <c r="W26" s="12">
        <v>24</v>
      </c>
      <c r="X26" s="12">
        <v>74</v>
      </c>
      <c r="Y26" s="12">
        <v>56</v>
      </c>
      <c r="Z26" s="12">
        <v>20</v>
      </c>
      <c r="AA26" s="12">
        <v>14</v>
      </c>
      <c r="AB26" s="12">
        <v>12</v>
      </c>
      <c r="AC26" s="12">
        <v>38</v>
      </c>
      <c r="AD26" s="12">
        <v>34</v>
      </c>
      <c r="AE26" s="12">
        <v>58</v>
      </c>
      <c r="AF26" s="12">
        <v>168</v>
      </c>
    </row>
    <row r="27" spans="1:32" ht="23.25">
      <c r="A27" s="23"/>
      <c r="B27" s="13" t="s">
        <v>1500</v>
      </c>
      <c r="C27" s="14">
        <v>0.03</v>
      </c>
      <c r="D27" s="14">
        <v>0.06</v>
      </c>
      <c r="E27" s="14">
        <v>0.01</v>
      </c>
      <c r="F27" s="14">
        <v>0.03</v>
      </c>
      <c r="G27" s="14">
        <v>0.02</v>
      </c>
      <c r="H27" s="14">
        <v>0.04</v>
      </c>
      <c r="I27" s="14">
        <v>0.04</v>
      </c>
      <c r="J27" s="14">
        <v>0.08</v>
      </c>
      <c r="K27" s="14">
        <v>0.03</v>
      </c>
      <c r="L27" s="14">
        <v>0.02</v>
      </c>
      <c r="M27" s="14">
        <v>0.01</v>
      </c>
      <c r="N27" s="14">
        <v>0.04</v>
      </c>
      <c r="O27" s="14">
        <v>0.02</v>
      </c>
      <c r="P27" s="14">
        <v>0.05</v>
      </c>
      <c r="Q27" s="14">
        <v>0.02</v>
      </c>
      <c r="R27" s="14">
        <v>0.01</v>
      </c>
      <c r="S27" s="14">
        <v>0.03</v>
      </c>
      <c r="T27" s="14">
        <v>0.01</v>
      </c>
      <c r="U27" s="14">
        <v>0.04</v>
      </c>
      <c r="V27" s="14">
        <v>0.02</v>
      </c>
      <c r="W27" s="14">
        <v>0.05</v>
      </c>
      <c r="X27" s="14">
        <v>7.0000000000000007E-2</v>
      </c>
      <c r="Y27" s="14">
        <v>0.06</v>
      </c>
      <c r="Z27" s="14">
        <v>0.02</v>
      </c>
      <c r="AA27" s="14">
        <v>0.01</v>
      </c>
      <c r="AB27" s="14">
        <v>0.01</v>
      </c>
      <c r="AC27" s="14">
        <v>0.04</v>
      </c>
      <c r="AD27" s="14">
        <v>0.03</v>
      </c>
      <c r="AE27" s="14">
        <v>0.06</v>
      </c>
      <c r="AF27" s="14">
        <v>0.16</v>
      </c>
    </row>
    <row r="28" spans="1:32" ht="34.5">
      <c r="A28" s="23"/>
      <c r="B28" s="11" t="s">
        <v>1501</v>
      </c>
      <c r="C28" s="12">
        <v>982</v>
      </c>
      <c r="D28" s="12">
        <v>50</v>
      </c>
      <c r="E28" s="12">
        <v>22</v>
      </c>
      <c r="F28" s="12">
        <v>31</v>
      </c>
      <c r="G28" s="12">
        <v>64</v>
      </c>
      <c r="H28" s="12">
        <v>36</v>
      </c>
      <c r="I28" s="12">
        <v>57</v>
      </c>
      <c r="J28" s="12">
        <v>21</v>
      </c>
      <c r="K28" s="12">
        <v>62</v>
      </c>
      <c r="L28" s="12">
        <v>18</v>
      </c>
      <c r="M28" s="12">
        <v>25</v>
      </c>
      <c r="N28" s="12">
        <v>29</v>
      </c>
      <c r="O28" s="12">
        <v>23</v>
      </c>
      <c r="P28" s="12">
        <v>66</v>
      </c>
      <c r="Q28" s="12">
        <v>43</v>
      </c>
      <c r="R28" s="12">
        <v>21</v>
      </c>
      <c r="S28" s="12">
        <v>19</v>
      </c>
      <c r="T28" s="12">
        <v>15</v>
      </c>
      <c r="U28" s="12">
        <v>29</v>
      </c>
      <c r="V28" s="12">
        <v>38</v>
      </c>
      <c r="W28" s="12">
        <v>39</v>
      </c>
      <c r="X28" s="12">
        <v>87</v>
      </c>
      <c r="Y28" s="12">
        <v>48</v>
      </c>
      <c r="Z28" s="12">
        <v>24</v>
      </c>
      <c r="AA28" s="12">
        <v>21</v>
      </c>
      <c r="AB28" s="12">
        <v>20</v>
      </c>
      <c r="AC28" s="12">
        <v>49</v>
      </c>
      <c r="AD28" s="12">
        <v>75</v>
      </c>
      <c r="AE28" s="12">
        <v>88</v>
      </c>
      <c r="AF28" s="12">
        <v>100</v>
      </c>
    </row>
    <row r="29" spans="1:32" ht="23.25">
      <c r="A29" s="23"/>
      <c r="B29" s="13" t="s">
        <v>1502</v>
      </c>
      <c r="C29" s="14">
        <v>0.04</v>
      </c>
      <c r="D29" s="14">
        <v>0.05</v>
      </c>
      <c r="E29" s="14">
        <v>0.02</v>
      </c>
      <c r="F29" s="14">
        <v>0.03</v>
      </c>
      <c r="G29" s="14">
        <v>0.06</v>
      </c>
      <c r="H29" s="14">
        <v>0.03</v>
      </c>
      <c r="I29" s="14">
        <v>0.04</v>
      </c>
      <c r="J29" s="14">
        <v>7.0000000000000007E-2</v>
      </c>
      <c r="K29" s="14">
        <v>0.06</v>
      </c>
      <c r="L29" s="14">
        <v>0.02</v>
      </c>
      <c r="M29" s="14">
        <v>0.02</v>
      </c>
      <c r="N29" s="14">
        <v>0.03</v>
      </c>
      <c r="O29" s="14">
        <v>0.02</v>
      </c>
      <c r="P29" s="14">
        <v>7.0000000000000007E-2</v>
      </c>
      <c r="Q29" s="14">
        <v>0.04</v>
      </c>
      <c r="R29" s="14">
        <v>0.04</v>
      </c>
      <c r="S29" s="14">
        <v>0.02</v>
      </c>
      <c r="T29" s="14">
        <v>0.02</v>
      </c>
      <c r="U29" s="14">
        <v>0.06</v>
      </c>
      <c r="V29" s="14">
        <v>0.04</v>
      </c>
      <c r="W29" s="14">
        <v>0.08</v>
      </c>
      <c r="X29" s="14">
        <v>0.09</v>
      </c>
      <c r="Y29" s="14">
        <v>0.05</v>
      </c>
      <c r="Z29" s="14">
        <v>0.02</v>
      </c>
      <c r="AA29" s="14">
        <v>0.02</v>
      </c>
      <c r="AB29" s="14">
        <v>0.02</v>
      </c>
      <c r="AC29" s="14">
        <v>0.05</v>
      </c>
      <c r="AD29" s="14">
        <v>0.08</v>
      </c>
      <c r="AE29" s="14">
        <v>0.09</v>
      </c>
      <c r="AF29" s="14">
        <v>0.09</v>
      </c>
    </row>
    <row r="30" spans="1:32" ht="45.75">
      <c r="A30" s="23"/>
      <c r="B30" s="11" t="s">
        <v>1503</v>
      </c>
      <c r="C30" s="12">
        <v>596</v>
      </c>
      <c r="D30" s="12">
        <v>47</v>
      </c>
      <c r="E30" s="12">
        <v>37</v>
      </c>
      <c r="F30" s="12">
        <v>22</v>
      </c>
      <c r="G30" s="12">
        <v>13</v>
      </c>
      <c r="H30" s="12">
        <v>18</v>
      </c>
      <c r="I30" s="12">
        <v>30</v>
      </c>
      <c r="J30" s="12">
        <v>12</v>
      </c>
      <c r="K30" s="12">
        <v>38</v>
      </c>
      <c r="L30" s="12">
        <v>10</v>
      </c>
      <c r="M30" s="12">
        <v>18</v>
      </c>
      <c r="N30" s="12">
        <v>21</v>
      </c>
      <c r="O30" s="12">
        <v>13</v>
      </c>
      <c r="P30" s="12">
        <v>57</v>
      </c>
      <c r="Q30" s="12">
        <v>20</v>
      </c>
      <c r="R30" s="12">
        <v>8</v>
      </c>
      <c r="S30" s="12">
        <v>14</v>
      </c>
      <c r="T30" s="12">
        <v>18</v>
      </c>
      <c r="U30" s="12">
        <v>19</v>
      </c>
      <c r="V30" s="12">
        <v>24</v>
      </c>
      <c r="W30" s="12">
        <v>28</v>
      </c>
      <c r="X30" s="12">
        <v>51</v>
      </c>
      <c r="Y30" s="12">
        <v>35</v>
      </c>
      <c r="Z30" s="12">
        <v>28</v>
      </c>
      <c r="AA30" s="12">
        <v>21</v>
      </c>
      <c r="AB30" s="12">
        <v>12</v>
      </c>
      <c r="AC30" s="12">
        <v>33</v>
      </c>
      <c r="AD30" s="12">
        <v>34</v>
      </c>
      <c r="AE30" s="12">
        <v>34</v>
      </c>
      <c r="AF30" s="12">
        <v>33</v>
      </c>
    </row>
    <row r="31" spans="1:32" ht="23.25">
      <c r="A31" s="23"/>
      <c r="B31" s="13" t="s">
        <v>1504</v>
      </c>
      <c r="C31" s="14">
        <v>0.02</v>
      </c>
      <c r="D31" s="14">
        <v>0.05</v>
      </c>
      <c r="E31" s="14">
        <v>0.04</v>
      </c>
      <c r="F31" s="14">
        <v>0.02</v>
      </c>
      <c r="G31" s="14">
        <v>0.01</v>
      </c>
      <c r="H31" s="14">
        <v>0.01</v>
      </c>
      <c r="I31" s="14">
        <v>0.02</v>
      </c>
      <c r="J31" s="14">
        <v>0.04</v>
      </c>
      <c r="K31" s="14">
        <v>0.04</v>
      </c>
      <c r="L31" s="14">
        <v>0.01</v>
      </c>
      <c r="M31" s="14">
        <v>0.02</v>
      </c>
      <c r="N31" s="14">
        <v>0.02</v>
      </c>
      <c r="O31" s="14">
        <v>0.01</v>
      </c>
      <c r="P31" s="14">
        <v>0.06</v>
      </c>
      <c r="Q31" s="14">
        <v>0.02</v>
      </c>
      <c r="R31" s="14">
        <v>0.02</v>
      </c>
      <c r="S31" s="14">
        <v>0.01</v>
      </c>
      <c r="T31" s="14">
        <v>0.02</v>
      </c>
      <c r="U31" s="14">
        <v>0.04</v>
      </c>
      <c r="V31" s="14">
        <v>0.02</v>
      </c>
      <c r="W31" s="14">
        <v>0.05</v>
      </c>
      <c r="X31" s="14">
        <v>0.05</v>
      </c>
      <c r="Y31" s="14">
        <v>0.03</v>
      </c>
      <c r="Z31" s="14">
        <v>0.03</v>
      </c>
      <c r="AA31" s="14">
        <v>0.02</v>
      </c>
      <c r="AB31" s="14">
        <v>0.01</v>
      </c>
      <c r="AC31" s="14">
        <v>0.03</v>
      </c>
      <c r="AD31" s="14">
        <v>0.03</v>
      </c>
      <c r="AE31" s="14">
        <v>0.03</v>
      </c>
      <c r="AF31" s="14">
        <v>0.03</v>
      </c>
    </row>
    <row r="32" spans="1:32">
      <c r="A32" s="23"/>
      <c r="B32" s="11" t="s">
        <v>1505</v>
      </c>
      <c r="C32" s="12">
        <v>15860</v>
      </c>
      <c r="D32" s="12">
        <v>520</v>
      </c>
      <c r="E32" s="12">
        <v>586</v>
      </c>
      <c r="F32" s="12">
        <v>647</v>
      </c>
      <c r="G32" s="12">
        <v>768</v>
      </c>
      <c r="H32" s="12">
        <v>608</v>
      </c>
      <c r="I32" s="12">
        <v>790</v>
      </c>
      <c r="J32" s="12">
        <v>182</v>
      </c>
      <c r="K32" s="12">
        <v>553</v>
      </c>
      <c r="L32" s="12">
        <v>545</v>
      </c>
      <c r="M32" s="12">
        <v>682</v>
      </c>
      <c r="N32" s="12">
        <v>611</v>
      </c>
      <c r="O32" s="12">
        <v>692</v>
      </c>
      <c r="P32" s="12">
        <v>551</v>
      </c>
      <c r="Q32" s="12">
        <v>520</v>
      </c>
      <c r="R32" s="12">
        <v>339</v>
      </c>
      <c r="S32" s="12">
        <v>727</v>
      </c>
      <c r="T32" s="12">
        <v>705</v>
      </c>
      <c r="U32" s="12">
        <v>329</v>
      </c>
      <c r="V32" s="12">
        <v>668</v>
      </c>
      <c r="W32" s="12">
        <v>277</v>
      </c>
      <c r="X32" s="12">
        <v>670</v>
      </c>
      <c r="Y32" s="12">
        <v>634</v>
      </c>
      <c r="Z32" s="12">
        <v>642</v>
      </c>
      <c r="AA32" s="12">
        <v>814</v>
      </c>
      <c r="AB32" s="12">
        <v>428</v>
      </c>
      <c r="AC32" s="12">
        <v>509</v>
      </c>
      <c r="AD32" s="12">
        <v>738</v>
      </c>
      <c r="AE32" s="12">
        <v>753</v>
      </c>
      <c r="AF32" s="12">
        <v>900</v>
      </c>
    </row>
    <row r="33" spans="1:32">
      <c r="A33" s="23"/>
      <c r="B33" s="13" t="s">
        <v>1506</v>
      </c>
      <c r="C33" s="14">
        <v>0.6</v>
      </c>
      <c r="D33" s="14">
        <v>0.52</v>
      </c>
      <c r="E33" s="14">
        <v>0.56000000000000005</v>
      </c>
      <c r="F33" s="14">
        <v>0.64</v>
      </c>
      <c r="G33" s="14">
        <v>0.77</v>
      </c>
      <c r="H33" s="14">
        <v>0.5</v>
      </c>
      <c r="I33" s="14">
        <v>0.53</v>
      </c>
      <c r="J33" s="14">
        <v>0.62</v>
      </c>
      <c r="K33" s="14">
        <v>0.55000000000000004</v>
      </c>
      <c r="L33" s="14">
        <v>0.54</v>
      </c>
      <c r="M33" s="14">
        <v>0.67</v>
      </c>
      <c r="N33" s="14">
        <v>0.61</v>
      </c>
      <c r="O33" s="14">
        <v>0.69000000000000006</v>
      </c>
      <c r="P33" s="14">
        <v>0.55000000000000004</v>
      </c>
      <c r="Q33" s="14">
        <v>0.51</v>
      </c>
      <c r="R33" s="14">
        <v>0.68</v>
      </c>
      <c r="S33" s="14">
        <v>0.72</v>
      </c>
      <c r="T33" s="14">
        <v>0.70000000000000007</v>
      </c>
      <c r="U33" s="14">
        <v>0.65</v>
      </c>
      <c r="V33" s="14">
        <v>0.66</v>
      </c>
      <c r="W33" s="14">
        <v>0.55000000000000004</v>
      </c>
      <c r="X33" s="14">
        <v>0.66</v>
      </c>
      <c r="Y33" s="14">
        <v>0.63</v>
      </c>
      <c r="Z33" s="14">
        <v>0.63</v>
      </c>
      <c r="AA33" s="14">
        <v>0.78</v>
      </c>
      <c r="AB33" s="14">
        <v>0.41</v>
      </c>
      <c r="AC33" s="14">
        <v>0.51</v>
      </c>
      <c r="AD33" s="14">
        <v>0.74</v>
      </c>
      <c r="AE33" s="14">
        <v>0.75</v>
      </c>
      <c r="AF33" s="14">
        <v>0.84</v>
      </c>
    </row>
    <row r="34" spans="1:32">
      <c r="A34" s="23"/>
      <c r="B34" s="11" t="s">
        <v>1507</v>
      </c>
      <c r="C34" s="12">
        <v>5955</v>
      </c>
      <c r="D34" s="12">
        <v>251</v>
      </c>
      <c r="E34" s="12">
        <v>185</v>
      </c>
      <c r="F34" s="12">
        <v>174</v>
      </c>
      <c r="G34" s="12">
        <v>235</v>
      </c>
      <c r="H34" s="12">
        <v>221</v>
      </c>
      <c r="I34" s="12">
        <v>292</v>
      </c>
      <c r="J34" s="12">
        <v>71</v>
      </c>
      <c r="K34" s="12">
        <v>253</v>
      </c>
      <c r="L34" s="12">
        <v>268</v>
      </c>
      <c r="M34" s="12">
        <v>216</v>
      </c>
      <c r="N34" s="12">
        <v>263</v>
      </c>
      <c r="O34" s="12">
        <v>252</v>
      </c>
      <c r="P34" s="12">
        <v>160</v>
      </c>
      <c r="Q34" s="12">
        <v>189</v>
      </c>
      <c r="R34" s="12">
        <v>137</v>
      </c>
      <c r="S34" s="12">
        <v>254</v>
      </c>
      <c r="T34" s="12">
        <v>194</v>
      </c>
      <c r="U34" s="12">
        <v>187</v>
      </c>
      <c r="V34" s="12">
        <v>209</v>
      </c>
      <c r="W34" s="12">
        <v>128</v>
      </c>
      <c r="X34" s="12">
        <v>329</v>
      </c>
      <c r="Y34" s="12">
        <v>294</v>
      </c>
      <c r="Z34" s="12">
        <v>204</v>
      </c>
      <c r="AA34" s="12">
        <v>262</v>
      </c>
      <c r="AB34" s="12">
        <v>163</v>
      </c>
      <c r="AC34" s="12">
        <v>205</v>
      </c>
      <c r="AD34" s="12">
        <v>307</v>
      </c>
      <c r="AE34" s="12">
        <v>285</v>
      </c>
      <c r="AF34" s="12">
        <v>398</v>
      </c>
    </row>
    <row r="35" spans="1:32">
      <c r="A35" s="23"/>
      <c r="B35" s="13" t="s">
        <v>1508</v>
      </c>
      <c r="C35" s="14">
        <v>0.23</v>
      </c>
      <c r="D35" s="14">
        <v>0.25</v>
      </c>
      <c r="E35" s="14">
        <v>0.18</v>
      </c>
      <c r="F35" s="14">
        <v>0.17</v>
      </c>
      <c r="G35" s="14">
        <v>0.23</v>
      </c>
      <c r="H35" s="14">
        <v>0.18</v>
      </c>
      <c r="I35" s="14">
        <v>0.19</v>
      </c>
      <c r="J35" s="14">
        <v>0.24</v>
      </c>
      <c r="K35" s="14">
        <v>0.25</v>
      </c>
      <c r="L35" s="14">
        <v>0.27</v>
      </c>
      <c r="M35" s="14">
        <v>0.21</v>
      </c>
      <c r="N35" s="14">
        <v>0.26</v>
      </c>
      <c r="O35" s="14">
        <v>0.25</v>
      </c>
      <c r="P35" s="14">
        <v>0.16</v>
      </c>
      <c r="Q35" s="14">
        <v>0.18</v>
      </c>
      <c r="R35" s="14">
        <v>0.27</v>
      </c>
      <c r="S35" s="14">
        <v>0.25</v>
      </c>
      <c r="T35" s="14">
        <v>0.19</v>
      </c>
      <c r="U35" s="14">
        <v>0.37</v>
      </c>
      <c r="V35" s="14">
        <v>0.21</v>
      </c>
      <c r="W35" s="14">
        <v>0.25</v>
      </c>
      <c r="X35" s="14">
        <v>0.32</v>
      </c>
      <c r="Y35" s="14">
        <v>0.28999999999999998</v>
      </c>
      <c r="Z35" s="14">
        <v>0.2</v>
      </c>
      <c r="AA35" s="14">
        <v>0.25</v>
      </c>
      <c r="AB35" s="14">
        <v>0.16</v>
      </c>
      <c r="AC35" s="14">
        <v>0.2</v>
      </c>
      <c r="AD35" s="14">
        <v>0.31</v>
      </c>
      <c r="AE35" s="14">
        <v>0.28000000000000003</v>
      </c>
      <c r="AF35" s="14">
        <v>0.37</v>
      </c>
    </row>
    <row r="36" spans="1:32" ht="68.25">
      <c r="A36" s="23"/>
      <c r="B36" s="11" t="s">
        <v>1517</v>
      </c>
      <c r="C36" s="12">
        <v>1186</v>
      </c>
      <c r="D36" s="12">
        <v>77</v>
      </c>
      <c r="E36" s="12">
        <v>42</v>
      </c>
      <c r="F36" s="12">
        <v>31</v>
      </c>
      <c r="G36" s="12">
        <v>81</v>
      </c>
      <c r="H36" s="12">
        <v>56</v>
      </c>
      <c r="I36" s="12">
        <v>87</v>
      </c>
      <c r="J36" s="12">
        <v>31</v>
      </c>
      <c r="K36" s="12">
        <v>81</v>
      </c>
      <c r="L36" s="12">
        <v>36</v>
      </c>
      <c r="M36" s="12">
        <v>40</v>
      </c>
      <c r="N36" s="12">
        <v>26</v>
      </c>
      <c r="O36" s="12">
        <v>28</v>
      </c>
      <c r="P36" s="12">
        <v>48</v>
      </c>
      <c r="Q36" s="12">
        <v>41</v>
      </c>
      <c r="R36" s="12">
        <v>16</v>
      </c>
      <c r="S36" s="12">
        <v>48</v>
      </c>
      <c r="T36" s="12">
        <v>34</v>
      </c>
      <c r="U36" s="12">
        <v>23</v>
      </c>
      <c r="V36" s="12">
        <v>25</v>
      </c>
      <c r="W36" s="12">
        <v>35</v>
      </c>
      <c r="X36" s="12">
        <v>79</v>
      </c>
      <c r="Y36" s="12">
        <v>72</v>
      </c>
      <c r="Z36" s="12">
        <v>29</v>
      </c>
      <c r="AA36" s="12">
        <v>34</v>
      </c>
      <c r="AB36" s="12">
        <v>27</v>
      </c>
      <c r="AC36" s="12">
        <v>41</v>
      </c>
      <c r="AD36" s="12">
        <v>124</v>
      </c>
      <c r="AE36" s="12">
        <v>92</v>
      </c>
      <c r="AF36" s="12">
        <v>124</v>
      </c>
    </row>
    <row r="37" spans="1:32" ht="57">
      <c r="A37" s="23"/>
      <c r="B37" s="13" t="s">
        <v>1510</v>
      </c>
      <c r="C37" s="14">
        <v>0.05</v>
      </c>
      <c r="D37" s="14">
        <v>0.08</v>
      </c>
      <c r="E37" s="14">
        <v>0.04</v>
      </c>
      <c r="F37" s="14">
        <v>0.03</v>
      </c>
      <c r="G37" s="14">
        <v>0.08</v>
      </c>
      <c r="H37" s="14">
        <v>0.05</v>
      </c>
      <c r="I37" s="14">
        <v>0.06</v>
      </c>
      <c r="J37" s="14">
        <v>0.11</v>
      </c>
      <c r="K37" s="14">
        <v>0.08</v>
      </c>
      <c r="L37" s="14">
        <v>0.04</v>
      </c>
      <c r="M37" s="14">
        <v>0.04</v>
      </c>
      <c r="N37" s="14">
        <v>0.03</v>
      </c>
      <c r="O37" s="14">
        <v>0.03</v>
      </c>
      <c r="P37" s="14">
        <v>0.05</v>
      </c>
      <c r="Q37" s="14">
        <v>0.04</v>
      </c>
      <c r="R37" s="14">
        <v>0.03</v>
      </c>
      <c r="S37" s="14">
        <v>0.05</v>
      </c>
      <c r="T37" s="14">
        <v>0.03</v>
      </c>
      <c r="U37" s="14">
        <v>0.05</v>
      </c>
      <c r="V37" s="14">
        <v>0.02</v>
      </c>
      <c r="W37" s="14">
        <v>7.0000000000000007E-2</v>
      </c>
      <c r="X37" s="14">
        <v>0.08</v>
      </c>
      <c r="Y37" s="14">
        <v>7.0000000000000007E-2</v>
      </c>
      <c r="Z37" s="14">
        <v>0.03</v>
      </c>
      <c r="AA37" s="14">
        <v>0.03</v>
      </c>
      <c r="AB37" s="14">
        <v>0.03</v>
      </c>
      <c r="AC37" s="14">
        <v>0.04</v>
      </c>
      <c r="AD37" s="14">
        <v>0.12</v>
      </c>
      <c r="AE37" s="14">
        <v>0.09</v>
      </c>
      <c r="AF37" s="14">
        <v>0.12</v>
      </c>
    </row>
    <row r="38" spans="1:32">
      <c r="A38" s="23"/>
      <c r="B38" s="11" t="s">
        <v>1511</v>
      </c>
      <c r="C38" s="12">
        <v>8221</v>
      </c>
      <c r="D38" s="12">
        <v>235</v>
      </c>
      <c r="E38" s="12">
        <v>109</v>
      </c>
      <c r="F38" s="12">
        <v>225</v>
      </c>
      <c r="G38" s="12">
        <v>473</v>
      </c>
      <c r="H38" s="12">
        <v>424</v>
      </c>
      <c r="I38" s="12">
        <v>519</v>
      </c>
      <c r="J38" s="12">
        <v>96</v>
      </c>
      <c r="K38" s="12">
        <v>329</v>
      </c>
      <c r="L38" s="12">
        <v>318</v>
      </c>
      <c r="M38" s="12">
        <v>598</v>
      </c>
      <c r="N38" s="12">
        <v>344</v>
      </c>
      <c r="O38" s="12">
        <v>336</v>
      </c>
      <c r="P38" s="12">
        <v>166</v>
      </c>
      <c r="Q38" s="12">
        <v>219</v>
      </c>
      <c r="R38" s="12">
        <v>100</v>
      </c>
      <c r="S38" s="12">
        <v>187</v>
      </c>
      <c r="T38" s="12">
        <v>234</v>
      </c>
      <c r="U38" s="12">
        <v>160</v>
      </c>
      <c r="V38" s="12">
        <v>240</v>
      </c>
      <c r="W38" s="12">
        <v>131</v>
      </c>
      <c r="X38" s="12">
        <v>507</v>
      </c>
      <c r="Y38" s="12">
        <v>483</v>
      </c>
      <c r="Z38" s="12">
        <v>179</v>
      </c>
      <c r="AA38" s="12">
        <v>430</v>
      </c>
      <c r="AB38" s="12">
        <v>104</v>
      </c>
      <c r="AC38" s="12">
        <v>190</v>
      </c>
      <c r="AD38" s="12">
        <v>310</v>
      </c>
      <c r="AE38" s="12">
        <v>552</v>
      </c>
      <c r="AF38" s="12">
        <v>667</v>
      </c>
    </row>
    <row r="39" spans="1:32">
      <c r="A39" s="23"/>
      <c r="B39" s="13" t="s">
        <v>1512</v>
      </c>
      <c r="C39" s="14">
        <v>0.31</v>
      </c>
      <c r="D39" s="14">
        <v>0.23</v>
      </c>
      <c r="E39" s="14">
        <v>0.1</v>
      </c>
      <c r="F39" s="14">
        <v>0.22</v>
      </c>
      <c r="G39" s="14">
        <v>0.47</v>
      </c>
      <c r="H39" s="14">
        <v>0.35</v>
      </c>
      <c r="I39" s="14">
        <v>0.35</v>
      </c>
      <c r="J39" s="14">
        <v>0.33</v>
      </c>
      <c r="K39" s="14">
        <v>0.33</v>
      </c>
      <c r="L39" s="14">
        <v>0.32</v>
      </c>
      <c r="M39" s="14">
        <v>0.59</v>
      </c>
      <c r="N39" s="14">
        <v>0.34</v>
      </c>
      <c r="O39" s="14">
        <v>0.33</v>
      </c>
      <c r="P39" s="14">
        <v>0.16</v>
      </c>
      <c r="Q39" s="14">
        <v>0.21</v>
      </c>
      <c r="R39" s="14">
        <v>0.2</v>
      </c>
      <c r="S39" s="14">
        <v>0.19</v>
      </c>
      <c r="T39" s="14">
        <v>0.23</v>
      </c>
      <c r="U39" s="14">
        <v>0.32</v>
      </c>
      <c r="V39" s="14">
        <v>0.24</v>
      </c>
      <c r="W39" s="14">
        <v>0.26</v>
      </c>
      <c r="X39" s="14">
        <v>0.5</v>
      </c>
      <c r="Y39" s="14">
        <v>0.48</v>
      </c>
      <c r="Z39" s="14">
        <v>0.18</v>
      </c>
      <c r="AA39" s="14">
        <v>0.41</v>
      </c>
      <c r="AB39" s="14">
        <v>0.1</v>
      </c>
      <c r="AC39" s="14">
        <v>0.19</v>
      </c>
      <c r="AD39" s="14">
        <v>0.31</v>
      </c>
      <c r="AE39" s="14">
        <v>0.55000000000000004</v>
      </c>
      <c r="AF39" s="14">
        <v>0.62</v>
      </c>
    </row>
    <row r="40" spans="1:32" ht="23.25">
      <c r="A40" s="23"/>
      <c r="B40" s="11" t="s">
        <v>1513</v>
      </c>
      <c r="C40" s="12">
        <v>11613</v>
      </c>
      <c r="D40" s="12">
        <v>403</v>
      </c>
      <c r="E40" s="12">
        <v>309</v>
      </c>
      <c r="F40" s="12">
        <v>408</v>
      </c>
      <c r="G40" s="12">
        <v>685</v>
      </c>
      <c r="H40" s="12">
        <v>556</v>
      </c>
      <c r="I40" s="12">
        <v>690</v>
      </c>
      <c r="J40" s="12">
        <v>134</v>
      </c>
      <c r="K40" s="12">
        <v>365</v>
      </c>
      <c r="L40" s="12">
        <v>515</v>
      </c>
      <c r="M40" s="12">
        <v>687</v>
      </c>
      <c r="N40" s="12">
        <v>478</v>
      </c>
      <c r="O40" s="12">
        <v>488</v>
      </c>
      <c r="P40" s="12">
        <v>380</v>
      </c>
      <c r="Q40" s="12">
        <v>346</v>
      </c>
      <c r="R40" s="12">
        <v>261</v>
      </c>
      <c r="S40" s="12">
        <v>271</v>
      </c>
      <c r="T40" s="12">
        <v>295</v>
      </c>
      <c r="U40" s="12">
        <v>265</v>
      </c>
      <c r="V40" s="12">
        <v>375</v>
      </c>
      <c r="W40" s="12">
        <v>223</v>
      </c>
      <c r="X40" s="12">
        <v>531</v>
      </c>
      <c r="Y40" s="12">
        <v>595</v>
      </c>
      <c r="Z40" s="12">
        <v>346</v>
      </c>
      <c r="AA40" s="12">
        <v>548</v>
      </c>
      <c r="AB40" s="12">
        <v>137</v>
      </c>
      <c r="AC40" s="12">
        <v>420</v>
      </c>
      <c r="AD40" s="12">
        <v>554</v>
      </c>
      <c r="AE40" s="12">
        <v>669</v>
      </c>
      <c r="AF40" s="12">
        <v>784</v>
      </c>
    </row>
    <row r="41" spans="1:32" ht="23.25">
      <c r="A41" s="23"/>
      <c r="B41" s="13" t="s">
        <v>1514</v>
      </c>
      <c r="C41" s="14">
        <v>0.44</v>
      </c>
      <c r="D41" s="14">
        <v>0.4</v>
      </c>
      <c r="E41" s="14">
        <v>0.3</v>
      </c>
      <c r="F41" s="14">
        <v>0.4</v>
      </c>
      <c r="G41" s="14">
        <v>0.68</v>
      </c>
      <c r="H41" s="14">
        <v>0.46</v>
      </c>
      <c r="I41" s="14">
        <v>0.46</v>
      </c>
      <c r="J41" s="14">
        <v>0.46</v>
      </c>
      <c r="K41" s="14">
        <v>0.36</v>
      </c>
      <c r="L41" s="14">
        <v>0.51</v>
      </c>
      <c r="M41" s="14">
        <v>0.68</v>
      </c>
      <c r="N41" s="14">
        <v>0.48</v>
      </c>
      <c r="O41" s="14">
        <v>0.49</v>
      </c>
      <c r="P41" s="14">
        <v>0.38</v>
      </c>
      <c r="Q41" s="14">
        <v>0.34</v>
      </c>
      <c r="R41" s="14">
        <v>0.52</v>
      </c>
      <c r="S41" s="14">
        <v>0.27</v>
      </c>
      <c r="T41" s="14">
        <v>0.28999999999999998</v>
      </c>
      <c r="U41" s="14">
        <v>0.53</v>
      </c>
      <c r="V41" s="14">
        <v>0.37</v>
      </c>
      <c r="W41" s="14">
        <v>0.44</v>
      </c>
      <c r="X41" s="14">
        <v>0.52</v>
      </c>
      <c r="Y41" s="14">
        <v>0.59</v>
      </c>
      <c r="Z41" s="14">
        <v>0.34</v>
      </c>
      <c r="AA41" s="14">
        <v>0.53</v>
      </c>
      <c r="AB41" s="14">
        <v>0.13</v>
      </c>
      <c r="AC41" s="14">
        <v>0.42</v>
      </c>
      <c r="AD41" s="14">
        <v>0.55000000000000004</v>
      </c>
      <c r="AE41" s="14">
        <v>0.66</v>
      </c>
      <c r="AF41" s="14">
        <v>0.73</v>
      </c>
    </row>
    <row r="42" spans="1:32">
      <c r="A42" s="23"/>
      <c r="B42" s="11" t="s">
        <v>1515</v>
      </c>
      <c r="C42" s="12">
        <v>238</v>
      </c>
      <c r="D42" s="12">
        <v>1</v>
      </c>
      <c r="E42" s="12">
        <v>10</v>
      </c>
      <c r="F42" s="12">
        <v>12</v>
      </c>
      <c r="G42" s="12">
        <v>5</v>
      </c>
      <c r="H42" s="12">
        <v>15</v>
      </c>
      <c r="I42" s="12">
        <v>17</v>
      </c>
      <c r="J42" s="12">
        <v>3</v>
      </c>
      <c r="K42" s="12">
        <v>16</v>
      </c>
      <c r="L42" s="12">
        <v>10</v>
      </c>
      <c r="M42" s="12">
        <v>1</v>
      </c>
      <c r="N42" s="12">
        <v>1</v>
      </c>
      <c r="O42" s="12">
        <v>3</v>
      </c>
      <c r="P42" s="12">
        <v>16</v>
      </c>
      <c r="Q42" s="12">
        <v>15</v>
      </c>
      <c r="R42" s="12">
        <v>5</v>
      </c>
      <c r="S42" s="12">
        <v>5</v>
      </c>
      <c r="T42" s="12">
        <v>24</v>
      </c>
      <c r="U42" s="12">
        <v>3</v>
      </c>
      <c r="V42" s="12">
        <v>28</v>
      </c>
      <c r="W42" s="12">
        <v>17</v>
      </c>
      <c r="X42" s="12">
        <v>0</v>
      </c>
      <c r="Y42" s="12">
        <v>16</v>
      </c>
      <c r="Z42" s="12">
        <v>5</v>
      </c>
      <c r="AA42" s="12">
        <v>20</v>
      </c>
      <c r="AB42" s="12">
        <v>28</v>
      </c>
      <c r="AC42" s="12">
        <v>12</v>
      </c>
      <c r="AD42" s="12">
        <v>27</v>
      </c>
      <c r="AE42" s="12">
        <v>2</v>
      </c>
      <c r="AF42" s="12">
        <v>0</v>
      </c>
    </row>
    <row r="43" spans="1:32">
      <c r="A43" s="23"/>
      <c r="B43" s="13" t="s">
        <v>1516</v>
      </c>
      <c r="C43" s="14">
        <v>0.01</v>
      </c>
      <c r="D43" s="15" t="s">
        <v>485</v>
      </c>
      <c r="E43" s="14">
        <v>0.01</v>
      </c>
      <c r="F43" s="14">
        <v>0.01</v>
      </c>
      <c r="G43" s="14">
        <v>0.01</v>
      </c>
      <c r="H43" s="14">
        <v>0.01</v>
      </c>
      <c r="I43" s="14">
        <v>0.01</v>
      </c>
      <c r="J43" s="14">
        <v>0.01</v>
      </c>
      <c r="K43" s="14">
        <v>0.02</v>
      </c>
      <c r="L43" s="14">
        <v>0.01</v>
      </c>
      <c r="M43" s="15" t="s">
        <v>485</v>
      </c>
      <c r="N43" s="15" t="s">
        <v>485</v>
      </c>
      <c r="O43" s="15" t="s">
        <v>485</v>
      </c>
      <c r="P43" s="14">
        <v>0.02</v>
      </c>
      <c r="Q43" s="14">
        <v>0.02</v>
      </c>
      <c r="R43" s="14">
        <v>0.01</v>
      </c>
      <c r="S43" s="14">
        <v>0.01</v>
      </c>
      <c r="T43" s="14">
        <v>0.02</v>
      </c>
      <c r="U43" s="14">
        <v>0.01</v>
      </c>
      <c r="V43" s="14">
        <v>0.03</v>
      </c>
      <c r="W43" s="14">
        <v>0.03</v>
      </c>
      <c r="X43" s="15" t="s">
        <v>485</v>
      </c>
      <c r="Y43" s="14">
        <v>0.02</v>
      </c>
      <c r="Z43" s="15" t="s">
        <v>485</v>
      </c>
      <c r="AA43" s="14">
        <v>0.02</v>
      </c>
      <c r="AB43" s="14">
        <v>0.03</v>
      </c>
      <c r="AC43" s="14">
        <v>0.01</v>
      </c>
      <c r="AD43" s="14">
        <v>0.03</v>
      </c>
      <c r="AE43" s="15" t="s">
        <v>485</v>
      </c>
      <c r="AF43" s="15" t="s">
        <v>485</v>
      </c>
    </row>
    <row r="44" spans="1:32">
      <c r="A44" s="23"/>
      <c r="B44" s="11" t="s">
        <v>618</v>
      </c>
      <c r="C44" s="12">
        <v>3639</v>
      </c>
      <c r="D44" s="12">
        <v>144</v>
      </c>
      <c r="E44" s="12">
        <v>203</v>
      </c>
      <c r="F44" s="12">
        <v>54</v>
      </c>
      <c r="G44" s="12">
        <v>37</v>
      </c>
      <c r="H44" s="12">
        <v>179</v>
      </c>
      <c r="I44" s="12">
        <v>210</v>
      </c>
      <c r="J44" s="12">
        <v>31</v>
      </c>
      <c r="K44" s="12">
        <v>137</v>
      </c>
      <c r="L44" s="12">
        <v>116</v>
      </c>
      <c r="M44" s="12">
        <v>64</v>
      </c>
      <c r="N44" s="12">
        <v>171</v>
      </c>
      <c r="O44" s="12">
        <v>90</v>
      </c>
      <c r="P44" s="12">
        <v>99</v>
      </c>
      <c r="Q44" s="12">
        <v>220</v>
      </c>
      <c r="R44" s="12">
        <v>27</v>
      </c>
      <c r="S44" s="12">
        <v>125</v>
      </c>
      <c r="T44" s="12">
        <v>146</v>
      </c>
      <c r="U44" s="12">
        <v>37</v>
      </c>
      <c r="V44" s="12">
        <v>166</v>
      </c>
      <c r="W44" s="12">
        <v>43</v>
      </c>
      <c r="X44" s="12">
        <v>73</v>
      </c>
      <c r="Y44" s="12">
        <v>84</v>
      </c>
      <c r="Z44" s="12">
        <v>149</v>
      </c>
      <c r="AA44" s="12">
        <v>46</v>
      </c>
      <c r="AB44" s="12">
        <v>323</v>
      </c>
      <c r="AC44" s="12">
        <v>190</v>
      </c>
      <c r="AD44" s="12">
        <v>59</v>
      </c>
      <c r="AE44" s="12">
        <v>36</v>
      </c>
      <c r="AF44" s="12">
        <v>24</v>
      </c>
    </row>
    <row r="45" spans="1:32">
      <c r="A45" s="23"/>
      <c r="B45" s="13" t="s">
        <v>619</v>
      </c>
      <c r="C45" s="14">
        <v>0.14000000000000001</v>
      </c>
      <c r="D45" s="14">
        <v>0.14000000000000001</v>
      </c>
      <c r="E45" s="14">
        <v>0.19</v>
      </c>
      <c r="F45" s="14">
        <v>0.05</v>
      </c>
      <c r="G45" s="14">
        <v>0.04</v>
      </c>
      <c r="H45" s="14">
        <v>0.15</v>
      </c>
      <c r="I45" s="14">
        <v>0.14000000000000001</v>
      </c>
      <c r="J45" s="14">
        <v>0.11</v>
      </c>
      <c r="K45" s="14">
        <v>0.14000000000000001</v>
      </c>
      <c r="L45" s="14">
        <v>0.12</v>
      </c>
      <c r="M45" s="14">
        <v>0.06</v>
      </c>
      <c r="N45" s="14">
        <v>0.17</v>
      </c>
      <c r="O45" s="14">
        <v>0.09</v>
      </c>
      <c r="P45" s="14">
        <v>0.1</v>
      </c>
      <c r="Q45" s="14">
        <v>0.21</v>
      </c>
      <c r="R45" s="14">
        <v>0.05</v>
      </c>
      <c r="S45" s="14">
        <v>0.12</v>
      </c>
      <c r="T45" s="14">
        <v>0.15</v>
      </c>
      <c r="U45" s="14">
        <v>7.0000000000000007E-2</v>
      </c>
      <c r="V45" s="14">
        <v>0.16</v>
      </c>
      <c r="W45" s="14">
        <v>0.09</v>
      </c>
      <c r="X45" s="14">
        <v>7.0000000000000007E-2</v>
      </c>
      <c r="Y45" s="14">
        <v>0.08</v>
      </c>
      <c r="Z45" s="14">
        <v>0.15</v>
      </c>
      <c r="AA45" s="14">
        <v>0.04</v>
      </c>
      <c r="AB45" s="14">
        <v>0.31</v>
      </c>
      <c r="AC45" s="14">
        <v>0.19</v>
      </c>
      <c r="AD45" s="14">
        <v>0.06</v>
      </c>
      <c r="AE45" s="14">
        <v>0.04</v>
      </c>
      <c r="AF45" s="14">
        <v>0.02</v>
      </c>
    </row>
    <row r="46" spans="1:32">
      <c r="A46" s="23"/>
      <c r="B46" s="11" t="s">
        <v>497</v>
      </c>
      <c r="C46" s="12">
        <v>987</v>
      </c>
      <c r="D46" s="12">
        <v>14</v>
      </c>
      <c r="E46" s="12">
        <v>35</v>
      </c>
      <c r="F46" s="12">
        <v>78</v>
      </c>
      <c r="G46" s="12">
        <v>11</v>
      </c>
      <c r="H46" s="12">
        <v>72</v>
      </c>
      <c r="I46" s="12">
        <v>77</v>
      </c>
      <c r="J46" s="12">
        <v>5</v>
      </c>
      <c r="K46" s="12">
        <v>67</v>
      </c>
      <c r="L46" s="12">
        <v>61</v>
      </c>
      <c r="M46" s="12">
        <v>2</v>
      </c>
      <c r="N46" s="12">
        <v>13</v>
      </c>
      <c r="O46" s="12">
        <v>28</v>
      </c>
      <c r="P46" s="12">
        <v>82</v>
      </c>
      <c r="Q46" s="12">
        <v>50</v>
      </c>
      <c r="R46" s="12">
        <v>27</v>
      </c>
      <c r="S46" s="12">
        <v>24</v>
      </c>
      <c r="T46" s="12">
        <v>36</v>
      </c>
      <c r="U46" s="12">
        <v>22</v>
      </c>
      <c r="V46" s="12">
        <v>16</v>
      </c>
      <c r="W46" s="12">
        <v>42</v>
      </c>
      <c r="X46" s="12">
        <v>4</v>
      </c>
      <c r="Y46" s="12">
        <v>8</v>
      </c>
      <c r="Z46" s="12">
        <v>69</v>
      </c>
      <c r="AA46" s="12">
        <v>24</v>
      </c>
      <c r="AB46" s="12">
        <v>77</v>
      </c>
      <c r="AC46" s="12">
        <v>17</v>
      </c>
      <c r="AD46" s="12">
        <v>33</v>
      </c>
      <c r="AE46" s="12">
        <v>8</v>
      </c>
      <c r="AF46" s="12">
        <v>1</v>
      </c>
    </row>
    <row r="47" spans="1:32">
      <c r="A47" s="23"/>
      <c r="B47" s="13" t="s">
        <v>498</v>
      </c>
      <c r="C47" s="14">
        <v>0.04</v>
      </c>
      <c r="D47" s="14">
        <v>0.01</v>
      </c>
      <c r="E47" s="14">
        <v>0.03</v>
      </c>
      <c r="F47" s="14">
        <v>0.08</v>
      </c>
      <c r="G47" s="14">
        <v>0.01</v>
      </c>
      <c r="H47" s="14">
        <v>0.06</v>
      </c>
      <c r="I47" s="14">
        <v>0.05</v>
      </c>
      <c r="J47" s="14">
        <v>0.02</v>
      </c>
      <c r="K47" s="14">
        <v>7.0000000000000007E-2</v>
      </c>
      <c r="L47" s="14">
        <v>0.06</v>
      </c>
      <c r="M47" s="15" t="s">
        <v>485</v>
      </c>
      <c r="N47" s="14">
        <v>0.01</v>
      </c>
      <c r="O47" s="14">
        <v>0.03</v>
      </c>
      <c r="P47" s="14">
        <v>0.08</v>
      </c>
      <c r="Q47" s="14">
        <v>0.05</v>
      </c>
      <c r="R47" s="14">
        <v>0.05</v>
      </c>
      <c r="S47" s="14">
        <v>0.02</v>
      </c>
      <c r="T47" s="14">
        <v>0.04</v>
      </c>
      <c r="U47" s="14">
        <v>0.04</v>
      </c>
      <c r="V47" s="14">
        <v>0.02</v>
      </c>
      <c r="W47" s="14">
        <v>0.08</v>
      </c>
      <c r="X47" s="15" t="s">
        <v>485</v>
      </c>
      <c r="Y47" s="14">
        <v>0.01</v>
      </c>
      <c r="Z47" s="14">
        <v>7.0000000000000007E-2</v>
      </c>
      <c r="AA47" s="14">
        <v>0.02</v>
      </c>
      <c r="AB47" s="14">
        <v>7.0000000000000007E-2</v>
      </c>
      <c r="AC47" s="14">
        <v>0.02</v>
      </c>
      <c r="AD47" s="14">
        <v>0.03</v>
      </c>
      <c r="AE47" s="14">
        <v>0.01</v>
      </c>
      <c r="AF47" s="15" t="s">
        <v>485</v>
      </c>
    </row>
  </sheetData>
  <mergeCells count="9">
    <mergeCell ref="B4:F4"/>
    <mergeCell ref="A10:A47"/>
    <mergeCell ref="H3:L3"/>
    <mergeCell ref="C8:AF8"/>
    <mergeCell ref="B3:F3"/>
    <mergeCell ref="B5:F5"/>
    <mergeCell ref="H5:L5"/>
    <mergeCell ref="B10:B11"/>
    <mergeCell ref="H4:L4"/>
  </mergeCells>
  <pageMargins left="0.75" right="0.75" top="1" bottom="1" header="0.5" footer="0.5"/>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D00-000000000000}">
  <dimension ref="A1:AF4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48" customHeight="1">
      <c r="B3" s="19" t="s">
        <v>321</v>
      </c>
      <c r="C3" s="19"/>
      <c r="D3" s="19"/>
      <c r="E3" s="19"/>
      <c r="F3" s="19"/>
      <c r="H3" s="19" t="s">
        <v>322</v>
      </c>
      <c r="I3" s="19"/>
      <c r="J3" s="19"/>
      <c r="K3" s="19"/>
      <c r="L3" s="19"/>
    </row>
    <row r="4" spans="1:32" ht="27" customHeight="1">
      <c r="B4" s="19"/>
      <c r="C4" s="19"/>
      <c r="D4" s="19"/>
      <c r="E4" s="19"/>
      <c r="F4" s="19"/>
      <c r="H4" s="19"/>
      <c r="I4" s="19"/>
      <c r="J4" s="19"/>
      <c r="K4" s="19"/>
      <c r="L4" s="19"/>
    </row>
    <row r="5" spans="1:32" ht="24" customHeight="1">
      <c r="B5" s="19" t="s">
        <v>1518</v>
      </c>
      <c r="C5" s="19"/>
      <c r="D5" s="19"/>
      <c r="E5" s="19"/>
      <c r="F5" s="19"/>
      <c r="H5" s="19" t="s">
        <v>1519</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HYPERLINK("#Content!A162","&lt;&lt;Back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21490</v>
      </c>
      <c r="D10" s="10">
        <v>847</v>
      </c>
      <c r="E10" s="10">
        <v>797</v>
      </c>
      <c r="F10" s="10">
        <v>863</v>
      </c>
      <c r="G10" s="10">
        <v>950</v>
      </c>
      <c r="H10" s="10">
        <v>945</v>
      </c>
      <c r="I10" s="10">
        <v>1200</v>
      </c>
      <c r="J10" s="10">
        <v>255</v>
      </c>
      <c r="K10" s="10">
        <v>784</v>
      </c>
      <c r="L10" s="10">
        <v>821</v>
      </c>
      <c r="M10" s="10">
        <v>944</v>
      </c>
      <c r="N10" s="10">
        <v>815</v>
      </c>
      <c r="O10" s="10">
        <v>885</v>
      </c>
      <c r="P10" s="10">
        <v>814</v>
      </c>
      <c r="Q10" s="10">
        <v>738</v>
      </c>
      <c r="R10" s="10">
        <v>443</v>
      </c>
      <c r="S10" s="10">
        <v>850</v>
      </c>
      <c r="T10" s="10">
        <v>798</v>
      </c>
      <c r="U10" s="10">
        <v>441</v>
      </c>
      <c r="V10" s="10">
        <v>802</v>
      </c>
      <c r="W10" s="10">
        <v>401</v>
      </c>
      <c r="X10" s="10">
        <v>939</v>
      </c>
      <c r="Y10" s="10">
        <v>899</v>
      </c>
      <c r="Z10" s="10">
        <v>794</v>
      </c>
      <c r="AA10" s="10">
        <v>950</v>
      </c>
      <c r="AB10" s="10">
        <v>603</v>
      </c>
      <c r="AC10" s="10">
        <v>786</v>
      </c>
      <c r="AD10" s="10">
        <v>883</v>
      </c>
      <c r="AE10" s="10">
        <v>962</v>
      </c>
      <c r="AF10" s="10">
        <v>1048</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1485</v>
      </c>
      <c r="C12" s="12">
        <v>109</v>
      </c>
      <c r="D12" s="12">
        <v>14</v>
      </c>
      <c r="E12" s="12">
        <v>18</v>
      </c>
      <c r="F12" s="12">
        <v>6</v>
      </c>
      <c r="G12" s="12">
        <v>2</v>
      </c>
      <c r="H12" s="12">
        <v>8</v>
      </c>
      <c r="I12" s="12">
        <v>8</v>
      </c>
      <c r="J12" s="12">
        <v>1</v>
      </c>
      <c r="K12" s="12">
        <v>2</v>
      </c>
      <c r="L12" s="12">
        <v>1</v>
      </c>
      <c r="M12" s="12">
        <v>2</v>
      </c>
      <c r="N12" s="12">
        <v>2</v>
      </c>
      <c r="O12" s="12">
        <v>2</v>
      </c>
      <c r="P12" s="12">
        <v>7</v>
      </c>
      <c r="Q12" s="12">
        <v>2</v>
      </c>
      <c r="R12" s="12">
        <v>4</v>
      </c>
      <c r="S12" s="12">
        <v>0</v>
      </c>
      <c r="T12" s="12">
        <v>3</v>
      </c>
      <c r="U12" s="12">
        <v>3</v>
      </c>
      <c r="V12" s="12">
        <v>3</v>
      </c>
      <c r="W12" s="12">
        <v>0</v>
      </c>
      <c r="X12" s="12">
        <v>2</v>
      </c>
      <c r="Y12" s="12">
        <v>26</v>
      </c>
      <c r="Z12" s="12">
        <v>4</v>
      </c>
      <c r="AA12" s="12">
        <v>2</v>
      </c>
      <c r="AB12" s="12">
        <v>3</v>
      </c>
      <c r="AC12" s="12">
        <v>6</v>
      </c>
      <c r="AD12" s="12">
        <v>11</v>
      </c>
      <c r="AE12" s="12">
        <v>0</v>
      </c>
      <c r="AF12" s="12">
        <v>2</v>
      </c>
    </row>
    <row r="13" spans="1:32">
      <c r="A13" s="23"/>
      <c r="B13" s="13" t="s">
        <v>1486</v>
      </c>
      <c r="C13" s="14">
        <v>0.04</v>
      </c>
      <c r="D13" s="14">
        <v>0.08</v>
      </c>
      <c r="E13" s="14">
        <v>0.13</v>
      </c>
      <c r="F13" s="14">
        <v>0.06</v>
      </c>
      <c r="G13" s="14">
        <v>0.01</v>
      </c>
      <c r="H13" s="14">
        <v>0.08</v>
      </c>
      <c r="I13" s="14">
        <v>0.06</v>
      </c>
      <c r="J13" s="14">
        <v>0.02</v>
      </c>
      <c r="K13" s="14">
        <v>0.01</v>
      </c>
      <c r="L13" s="14">
        <v>0.01</v>
      </c>
      <c r="M13" s="14">
        <v>0.02</v>
      </c>
      <c r="N13" s="14">
        <v>0.02</v>
      </c>
      <c r="O13" s="14">
        <v>0.02</v>
      </c>
      <c r="P13" s="14">
        <v>0.03</v>
      </c>
      <c r="Q13" s="14">
        <v>0.04</v>
      </c>
      <c r="R13" s="14">
        <v>0.08</v>
      </c>
      <c r="S13" s="15" t="s">
        <v>485</v>
      </c>
      <c r="T13" s="14">
        <v>0.02</v>
      </c>
      <c r="U13" s="14">
        <v>0.03</v>
      </c>
      <c r="V13" s="14">
        <v>0.05</v>
      </c>
      <c r="W13" s="15" t="s">
        <v>485</v>
      </c>
      <c r="X13" s="14">
        <v>0.01</v>
      </c>
      <c r="Y13" s="14">
        <v>0.18</v>
      </c>
      <c r="Z13" s="14">
        <v>0.05</v>
      </c>
      <c r="AA13" s="14">
        <v>0.03</v>
      </c>
      <c r="AB13" s="14">
        <v>0.04</v>
      </c>
      <c r="AC13" s="14">
        <v>7.0000000000000007E-2</v>
      </c>
      <c r="AD13" s="14">
        <v>0.06</v>
      </c>
      <c r="AE13" s="15" t="s">
        <v>485</v>
      </c>
      <c r="AF13" s="14">
        <v>0.01</v>
      </c>
    </row>
    <row r="14" spans="1:32">
      <c r="A14" s="23"/>
      <c r="B14" s="11" t="s">
        <v>1487</v>
      </c>
      <c r="C14" s="12">
        <v>66</v>
      </c>
      <c r="D14" s="12">
        <v>10</v>
      </c>
      <c r="E14" s="12">
        <v>5</v>
      </c>
      <c r="F14" s="12">
        <v>1</v>
      </c>
      <c r="G14" s="12">
        <v>0</v>
      </c>
      <c r="H14" s="12">
        <v>2</v>
      </c>
      <c r="I14" s="12">
        <v>3</v>
      </c>
      <c r="J14" s="12">
        <v>1</v>
      </c>
      <c r="K14" s="12">
        <v>0</v>
      </c>
      <c r="L14" s="12">
        <v>0</v>
      </c>
      <c r="M14" s="12">
        <v>5</v>
      </c>
      <c r="N14" s="12">
        <v>0</v>
      </c>
      <c r="O14" s="12">
        <v>1</v>
      </c>
      <c r="P14" s="12">
        <v>4</v>
      </c>
      <c r="Q14" s="12">
        <v>4</v>
      </c>
      <c r="R14" s="12">
        <v>2</v>
      </c>
      <c r="S14" s="12">
        <v>1</v>
      </c>
      <c r="T14" s="12">
        <v>1</v>
      </c>
      <c r="U14" s="12">
        <v>0</v>
      </c>
      <c r="V14" s="12">
        <v>0</v>
      </c>
      <c r="W14" s="12">
        <v>1</v>
      </c>
      <c r="X14" s="12">
        <v>15</v>
      </c>
      <c r="Y14" s="12">
        <v>5</v>
      </c>
      <c r="Z14" s="12">
        <v>2</v>
      </c>
      <c r="AA14" s="12">
        <v>0</v>
      </c>
      <c r="AB14" s="12">
        <v>4</v>
      </c>
      <c r="AC14" s="12">
        <v>1</v>
      </c>
      <c r="AD14" s="12">
        <v>1</v>
      </c>
      <c r="AE14" s="12">
        <v>0</v>
      </c>
      <c r="AF14" s="12">
        <v>0</v>
      </c>
    </row>
    <row r="15" spans="1:32">
      <c r="A15" s="23"/>
      <c r="B15" s="13" t="s">
        <v>1488</v>
      </c>
      <c r="C15" s="14">
        <v>0.02</v>
      </c>
      <c r="D15" s="14">
        <v>7.0000000000000007E-2</v>
      </c>
      <c r="E15" s="14">
        <v>0.03</v>
      </c>
      <c r="F15" s="14">
        <v>0.01</v>
      </c>
      <c r="G15" s="15" t="s">
        <v>485</v>
      </c>
      <c r="H15" s="14">
        <v>0.01</v>
      </c>
      <c r="I15" s="14">
        <v>0.01</v>
      </c>
      <c r="J15" s="14">
        <v>0.01</v>
      </c>
      <c r="K15" s="15" t="s">
        <v>485</v>
      </c>
      <c r="L15" s="15" t="s">
        <v>485</v>
      </c>
      <c r="M15" s="14">
        <v>0.02</v>
      </c>
      <c r="N15" s="15" t="s">
        <v>485</v>
      </c>
      <c r="O15" s="14">
        <v>0.01</v>
      </c>
      <c r="P15" s="14">
        <v>0.04</v>
      </c>
      <c r="Q15" s="14">
        <v>7.0000000000000007E-2</v>
      </c>
      <c r="R15" s="14">
        <v>0.05</v>
      </c>
      <c r="S15" s="14">
        <v>0.01</v>
      </c>
      <c r="T15" s="14">
        <v>0.01</v>
      </c>
      <c r="U15" s="15" t="s">
        <v>485</v>
      </c>
      <c r="V15" s="15" t="s">
        <v>485</v>
      </c>
      <c r="W15" s="14">
        <v>0.02</v>
      </c>
      <c r="X15" s="14">
        <v>0.03</v>
      </c>
      <c r="Y15" s="14">
        <v>0.04</v>
      </c>
      <c r="Z15" s="14">
        <v>0.05</v>
      </c>
      <c r="AA15" s="15" t="s">
        <v>485</v>
      </c>
      <c r="AB15" s="14">
        <v>0.04</v>
      </c>
      <c r="AC15" s="14">
        <v>0.02</v>
      </c>
      <c r="AD15" s="14">
        <v>0.01</v>
      </c>
      <c r="AE15" s="15" t="s">
        <v>485</v>
      </c>
      <c r="AF15" s="15" t="s">
        <v>485</v>
      </c>
    </row>
    <row r="16" spans="1:32">
      <c r="A16" s="23"/>
      <c r="B16" s="11" t="s">
        <v>1489</v>
      </c>
      <c r="C16" s="12">
        <v>49</v>
      </c>
      <c r="D16" s="12">
        <v>7</v>
      </c>
      <c r="E16" s="12">
        <v>6</v>
      </c>
      <c r="F16" s="12">
        <v>2</v>
      </c>
      <c r="G16" s="12">
        <v>0</v>
      </c>
      <c r="H16" s="12">
        <v>3</v>
      </c>
      <c r="I16" s="12">
        <v>3</v>
      </c>
      <c r="J16" s="12">
        <v>0</v>
      </c>
      <c r="K16" s="12">
        <v>1</v>
      </c>
      <c r="L16" s="12">
        <v>0</v>
      </c>
      <c r="M16" s="12">
        <v>1</v>
      </c>
      <c r="N16" s="12">
        <v>0</v>
      </c>
      <c r="O16" s="12">
        <v>1</v>
      </c>
      <c r="P16" s="12">
        <v>6</v>
      </c>
      <c r="Q16" s="12">
        <v>2</v>
      </c>
      <c r="R16" s="12">
        <v>2</v>
      </c>
      <c r="S16" s="12">
        <v>0</v>
      </c>
      <c r="T16" s="12">
        <v>0</v>
      </c>
      <c r="U16" s="12">
        <v>0</v>
      </c>
      <c r="V16" s="12">
        <v>0</v>
      </c>
      <c r="W16" s="12">
        <v>0</v>
      </c>
      <c r="X16" s="12">
        <v>2</v>
      </c>
      <c r="Y16" s="12">
        <v>7</v>
      </c>
      <c r="Z16" s="12">
        <v>2</v>
      </c>
      <c r="AA16" s="12">
        <v>7</v>
      </c>
      <c r="AB16" s="12">
        <v>2</v>
      </c>
      <c r="AC16" s="12">
        <v>1</v>
      </c>
      <c r="AD16" s="12">
        <v>2</v>
      </c>
      <c r="AE16" s="12">
        <v>0</v>
      </c>
      <c r="AF16" s="12">
        <v>2</v>
      </c>
    </row>
    <row r="17" spans="1:32">
      <c r="A17" s="23"/>
      <c r="B17" s="13" t="s">
        <v>1490</v>
      </c>
      <c r="C17" s="14">
        <v>0.06</v>
      </c>
      <c r="D17" s="14">
        <v>0.09</v>
      </c>
      <c r="E17" s="14">
        <v>0.19</v>
      </c>
      <c r="F17" s="14">
        <v>0.06</v>
      </c>
      <c r="G17" s="15" t="s">
        <v>485</v>
      </c>
      <c r="H17" s="14">
        <v>0.08</v>
      </c>
      <c r="I17" s="14">
        <v>0.05</v>
      </c>
      <c r="J17" s="15" t="s">
        <v>485</v>
      </c>
      <c r="K17" s="14">
        <v>0.02</v>
      </c>
      <c r="L17" s="15" t="s">
        <v>485</v>
      </c>
      <c r="M17" s="14">
        <v>0.02</v>
      </c>
      <c r="N17" s="15" t="s">
        <v>485</v>
      </c>
      <c r="O17" s="14">
        <v>0.02</v>
      </c>
      <c r="P17" s="14">
        <v>0.08</v>
      </c>
      <c r="Q17" s="14">
        <v>0.12</v>
      </c>
      <c r="R17" s="14">
        <v>0.08</v>
      </c>
      <c r="S17" s="15" t="s">
        <v>485</v>
      </c>
      <c r="T17" s="15" t="s">
        <v>485</v>
      </c>
      <c r="U17" s="15" t="s">
        <v>485</v>
      </c>
      <c r="V17" s="15" t="s">
        <v>485</v>
      </c>
      <c r="W17" s="15" t="s">
        <v>485</v>
      </c>
      <c r="X17" s="14">
        <v>0.03</v>
      </c>
      <c r="Y17" s="14">
        <v>0.12</v>
      </c>
      <c r="Z17" s="14">
        <v>0.17</v>
      </c>
      <c r="AA17" s="14">
        <v>0.18</v>
      </c>
      <c r="AB17" s="14">
        <v>7.0000000000000007E-2</v>
      </c>
      <c r="AC17" s="14">
        <v>0.02</v>
      </c>
      <c r="AD17" s="14">
        <v>0.03</v>
      </c>
      <c r="AE17" s="15" t="s">
        <v>485</v>
      </c>
      <c r="AF17" s="14">
        <v>0.02</v>
      </c>
    </row>
    <row r="18" spans="1:32" ht="23.25">
      <c r="A18" s="23"/>
      <c r="B18" s="11" t="s">
        <v>1491</v>
      </c>
      <c r="C18" s="12">
        <v>70</v>
      </c>
      <c r="D18" s="12">
        <v>6</v>
      </c>
      <c r="E18" s="12">
        <v>14</v>
      </c>
      <c r="F18" s="12">
        <v>3</v>
      </c>
      <c r="G18" s="12">
        <v>2</v>
      </c>
      <c r="H18" s="12">
        <v>3</v>
      </c>
      <c r="I18" s="12">
        <v>4</v>
      </c>
      <c r="J18" s="12">
        <v>1</v>
      </c>
      <c r="K18" s="12">
        <v>4</v>
      </c>
      <c r="L18" s="12">
        <v>3</v>
      </c>
      <c r="M18" s="12">
        <v>1</v>
      </c>
      <c r="N18" s="12">
        <v>0</v>
      </c>
      <c r="O18" s="12">
        <v>0</v>
      </c>
      <c r="P18" s="12">
        <v>5</v>
      </c>
      <c r="Q18" s="12">
        <v>4</v>
      </c>
      <c r="R18" s="12">
        <v>1</v>
      </c>
      <c r="S18" s="12">
        <v>3</v>
      </c>
      <c r="T18" s="12">
        <v>2</v>
      </c>
      <c r="U18" s="12">
        <v>0</v>
      </c>
      <c r="V18" s="12">
        <v>2</v>
      </c>
      <c r="W18" s="12">
        <v>0</v>
      </c>
      <c r="X18" s="12">
        <v>4</v>
      </c>
      <c r="Y18" s="12">
        <v>3</v>
      </c>
      <c r="Z18" s="12">
        <v>6</v>
      </c>
      <c r="AA18" s="12">
        <v>0</v>
      </c>
      <c r="AB18" s="12">
        <v>2</v>
      </c>
      <c r="AC18" s="12">
        <v>1</v>
      </c>
      <c r="AD18" s="12">
        <v>13</v>
      </c>
      <c r="AE18" s="12">
        <v>0</v>
      </c>
      <c r="AF18" s="12">
        <v>0</v>
      </c>
    </row>
    <row r="19" spans="1:32" ht="23.25">
      <c r="A19" s="23"/>
      <c r="B19" s="13" t="s">
        <v>1492</v>
      </c>
      <c r="C19" s="14">
        <v>0.02</v>
      </c>
      <c r="D19" s="14">
        <v>0.05</v>
      </c>
      <c r="E19" s="14">
        <v>0.2</v>
      </c>
      <c r="F19" s="14">
        <v>0.02</v>
      </c>
      <c r="G19" s="14">
        <v>0.02</v>
      </c>
      <c r="H19" s="14">
        <v>0.03</v>
      </c>
      <c r="I19" s="14">
        <v>0.02</v>
      </c>
      <c r="J19" s="14">
        <v>0.03</v>
      </c>
      <c r="K19" s="14">
        <v>0.03</v>
      </c>
      <c r="L19" s="14">
        <v>0.03</v>
      </c>
      <c r="M19" s="15" t="s">
        <v>485</v>
      </c>
      <c r="N19" s="15" t="s">
        <v>485</v>
      </c>
      <c r="O19" s="15" t="s">
        <v>485</v>
      </c>
      <c r="P19" s="14">
        <v>0.05</v>
      </c>
      <c r="Q19" s="14">
        <v>0.1</v>
      </c>
      <c r="R19" s="14">
        <v>0.03</v>
      </c>
      <c r="S19" s="14">
        <v>0.02</v>
      </c>
      <c r="T19" s="14">
        <v>0.02</v>
      </c>
      <c r="U19" s="15" t="s">
        <v>485</v>
      </c>
      <c r="V19" s="14">
        <v>0.02</v>
      </c>
      <c r="W19" s="15" t="s">
        <v>485</v>
      </c>
      <c r="X19" s="14">
        <v>0.02</v>
      </c>
      <c r="Y19" s="14">
        <v>0.01</v>
      </c>
      <c r="Z19" s="14">
        <v>0.08</v>
      </c>
      <c r="AA19" s="15" t="s">
        <v>485</v>
      </c>
      <c r="AB19" s="14">
        <v>0.08</v>
      </c>
      <c r="AC19" s="14">
        <v>0.01</v>
      </c>
      <c r="AD19" s="14">
        <v>7.0000000000000007E-2</v>
      </c>
      <c r="AE19" s="15" t="s">
        <v>485</v>
      </c>
      <c r="AF19" s="15" t="s">
        <v>485</v>
      </c>
    </row>
    <row r="20" spans="1:32">
      <c r="A20" s="23"/>
      <c r="B20" s="11" t="s">
        <v>1493</v>
      </c>
      <c r="C20" s="12">
        <v>34</v>
      </c>
      <c r="D20" s="12">
        <v>1</v>
      </c>
      <c r="E20" s="12">
        <v>4</v>
      </c>
      <c r="F20" s="12">
        <v>2</v>
      </c>
      <c r="G20" s="12">
        <v>0</v>
      </c>
      <c r="H20" s="12">
        <v>3</v>
      </c>
      <c r="I20" s="12">
        <v>3</v>
      </c>
      <c r="J20" s="12">
        <v>0</v>
      </c>
      <c r="K20" s="12">
        <v>0</v>
      </c>
      <c r="L20" s="12">
        <v>0</v>
      </c>
      <c r="M20" s="12">
        <v>0</v>
      </c>
      <c r="N20" s="12">
        <v>0</v>
      </c>
      <c r="O20" s="12">
        <v>1</v>
      </c>
      <c r="P20" s="12">
        <v>4</v>
      </c>
      <c r="Q20" s="12">
        <v>2</v>
      </c>
      <c r="R20" s="12">
        <v>0</v>
      </c>
      <c r="S20" s="12">
        <v>0</v>
      </c>
      <c r="T20" s="12">
        <v>0</v>
      </c>
      <c r="U20" s="12">
        <v>0</v>
      </c>
      <c r="V20" s="12">
        <v>1</v>
      </c>
      <c r="W20" s="12">
        <v>0</v>
      </c>
      <c r="X20" s="12">
        <v>4</v>
      </c>
      <c r="Y20" s="12">
        <v>9</v>
      </c>
      <c r="Z20" s="12">
        <v>1</v>
      </c>
      <c r="AA20" s="12">
        <v>1</v>
      </c>
      <c r="AB20" s="12">
        <v>1</v>
      </c>
      <c r="AC20" s="12">
        <v>0</v>
      </c>
      <c r="AD20" s="12">
        <v>0</v>
      </c>
      <c r="AE20" s="12">
        <v>0</v>
      </c>
      <c r="AF20" s="12">
        <v>0</v>
      </c>
    </row>
    <row r="21" spans="1:32" ht="23.25">
      <c r="A21" s="23"/>
      <c r="B21" s="13" t="s">
        <v>1494</v>
      </c>
      <c r="C21" s="14">
        <v>7.0000000000000007E-2</v>
      </c>
      <c r="D21" s="14">
        <v>0.03</v>
      </c>
      <c r="E21" s="14">
        <v>0.19</v>
      </c>
      <c r="F21" s="14">
        <v>0.18</v>
      </c>
      <c r="G21" s="15" t="s">
        <v>485</v>
      </c>
      <c r="H21" s="14">
        <v>0.14000000000000001</v>
      </c>
      <c r="I21" s="14">
        <v>0.11</v>
      </c>
      <c r="J21" s="15" t="s">
        <v>485</v>
      </c>
      <c r="K21" s="15" t="s">
        <v>485</v>
      </c>
      <c r="L21" s="15" t="s">
        <v>485</v>
      </c>
      <c r="M21" s="15" t="s">
        <v>485</v>
      </c>
      <c r="N21" s="15" t="s">
        <v>485</v>
      </c>
      <c r="O21" s="14">
        <v>0.03</v>
      </c>
      <c r="P21" s="14">
        <v>0.21</v>
      </c>
      <c r="Q21" s="14">
        <v>0.27</v>
      </c>
      <c r="R21" s="15" t="s">
        <v>485</v>
      </c>
      <c r="S21" s="15" t="s">
        <v>485</v>
      </c>
      <c r="T21" s="15" t="s">
        <v>485</v>
      </c>
      <c r="U21" s="15" t="s">
        <v>485</v>
      </c>
      <c r="V21" s="14">
        <v>0.1</v>
      </c>
      <c r="W21" s="15" t="s">
        <v>485</v>
      </c>
      <c r="X21" s="14">
        <v>0.08</v>
      </c>
      <c r="Y21" s="14">
        <v>0.2</v>
      </c>
      <c r="Z21" s="14">
        <v>0.23</v>
      </c>
      <c r="AA21" s="14">
        <v>0.05</v>
      </c>
      <c r="AB21" s="14">
        <v>0.03</v>
      </c>
      <c r="AC21" s="15" t="s">
        <v>485</v>
      </c>
      <c r="AD21" s="15" t="s">
        <v>485</v>
      </c>
      <c r="AE21" s="15" t="s">
        <v>485</v>
      </c>
      <c r="AF21" s="15" t="s">
        <v>485</v>
      </c>
    </row>
    <row r="22" spans="1:32" ht="34.5">
      <c r="A22" s="23"/>
      <c r="B22" s="11" t="s">
        <v>1495</v>
      </c>
      <c r="C22" s="12">
        <v>101</v>
      </c>
      <c r="D22" s="12">
        <v>29</v>
      </c>
      <c r="E22" s="12">
        <v>5</v>
      </c>
      <c r="F22" s="12">
        <v>2</v>
      </c>
      <c r="G22" s="12">
        <v>4</v>
      </c>
      <c r="H22" s="12">
        <v>9</v>
      </c>
      <c r="I22" s="12">
        <v>9</v>
      </c>
      <c r="J22" s="12">
        <v>0</v>
      </c>
      <c r="K22" s="12">
        <v>2</v>
      </c>
      <c r="L22" s="12">
        <v>0</v>
      </c>
      <c r="M22" s="12">
        <v>5</v>
      </c>
      <c r="N22" s="12">
        <v>2</v>
      </c>
      <c r="O22" s="12">
        <v>3</v>
      </c>
      <c r="P22" s="12">
        <v>5</v>
      </c>
      <c r="Q22" s="12">
        <v>3</v>
      </c>
      <c r="R22" s="12">
        <v>0</v>
      </c>
      <c r="S22" s="12">
        <v>2</v>
      </c>
      <c r="T22" s="12">
        <v>1</v>
      </c>
      <c r="U22" s="12">
        <v>1</v>
      </c>
      <c r="V22" s="12">
        <v>2</v>
      </c>
      <c r="W22" s="12">
        <v>2</v>
      </c>
      <c r="X22" s="12">
        <v>4</v>
      </c>
      <c r="Y22" s="12">
        <v>7</v>
      </c>
      <c r="Z22" s="12">
        <v>1</v>
      </c>
      <c r="AA22" s="12">
        <v>0</v>
      </c>
      <c r="AB22" s="12">
        <v>1</v>
      </c>
      <c r="AC22" s="12">
        <v>2</v>
      </c>
      <c r="AD22" s="12">
        <v>4</v>
      </c>
      <c r="AE22" s="12">
        <v>2</v>
      </c>
      <c r="AF22" s="12">
        <v>2</v>
      </c>
    </row>
    <row r="23" spans="1:32" ht="23.25">
      <c r="A23" s="23"/>
      <c r="B23" s="13" t="s">
        <v>1496</v>
      </c>
      <c r="C23" s="14">
        <v>0.06</v>
      </c>
      <c r="D23" s="14">
        <v>0.23</v>
      </c>
      <c r="E23" s="14">
        <v>0.14000000000000001</v>
      </c>
      <c r="F23" s="14">
        <v>0.03</v>
      </c>
      <c r="G23" s="14">
        <v>0.03</v>
      </c>
      <c r="H23" s="14">
        <v>0.12</v>
      </c>
      <c r="I23" s="14">
        <v>0.09</v>
      </c>
      <c r="J23" s="15" t="s">
        <v>485</v>
      </c>
      <c r="K23" s="14">
        <v>0.02</v>
      </c>
      <c r="L23" s="15" t="s">
        <v>485</v>
      </c>
      <c r="M23" s="14">
        <v>0.17</v>
      </c>
      <c r="N23" s="14">
        <v>0.04</v>
      </c>
      <c r="O23" s="14">
        <v>0.03</v>
      </c>
      <c r="P23" s="14">
        <v>7.0000000000000007E-2</v>
      </c>
      <c r="Q23" s="14">
        <v>0.09</v>
      </c>
      <c r="R23" s="15" t="s">
        <v>485</v>
      </c>
      <c r="S23" s="14">
        <v>0.08</v>
      </c>
      <c r="T23" s="14">
        <v>0.03</v>
      </c>
      <c r="U23" s="14">
        <v>0.01</v>
      </c>
      <c r="V23" s="14">
        <v>0.09</v>
      </c>
      <c r="W23" s="14">
        <v>0.04</v>
      </c>
      <c r="X23" s="14">
        <v>0.03</v>
      </c>
      <c r="Y23" s="14">
        <v>0.06</v>
      </c>
      <c r="Z23" s="14">
        <v>0.05</v>
      </c>
      <c r="AA23" s="15" t="s">
        <v>485</v>
      </c>
      <c r="AB23" s="14">
        <v>0.02</v>
      </c>
      <c r="AC23" s="14">
        <v>0.06</v>
      </c>
      <c r="AD23" s="14">
        <v>0.04</v>
      </c>
      <c r="AE23" s="14">
        <v>0.02</v>
      </c>
      <c r="AF23" s="14">
        <v>0.01</v>
      </c>
    </row>
    <row r="24" spans="1:32">
      <c r="A24" s="23"/>
      <c r="B24" s="11" t="s">
        <v>1497</v>
      </c>
      <c r="C24" s="12">
        <v>119</v>
      </c>
      <c r="D24" s="12">
        <v>34</v>
      </c>
      <c r="E24" s="12">
        <v>4</v>
      </c>
      <c r="F24" s="12">
        <v>5</v>
      </c>
      <c r="G24" s="12">
        <v>0</v>
      </c>
      <c r="H24" s="12">
        <v>9</v>
      </c>
      <c r="I24" s="12">
        <v>9</v>
      </c>
      <c r="J24" s="12">
        <v>0</v>
      </c>
      <c r="K24" s="12">
        <v>2</v>
      </c>
      <c r="L24" s="12">
        <v>2</v>
      </c>
      <c r="M24" s="12">
        <v>0</v>
      </c>
      <c r="N24" s="12">
        <v>0</v>
      </c>
      <c r="O24" s="12">
        <v>4</v>
      </c>
      <c r="P24" s="12">
        <v>5</v>
      </c>
      <c r="Q24" s="12">
        <v>2</v>
      </c>
      <c r="R24" s="12">
        <v>7</v>
      </c>
      <c r="S24" s="12">
        <v>2</v>
      </c>
      <c r="T24" s="12">
        <v>2</v>
      </c>
      <c r="U24" s="12">
        <v>1</v>
      </c>
      <c r="V24" s="12">
        <v>1</v>
      </c>
      <c r="W24" s="12">
        <v>0</v>
      </c>
      <c r="X24" s="12">
        <v>9</v>
      </c>
      <c r="Y24" s="12">
        <v>10</v>
      </c>
      <c r="Z24" s="12">
        <v>5</v>
      </c>
      <c r="AA24" s="12">
        <v>1</v>
      </c>
      <c r="AB24" s="12">
        <v>8</v>
      </c>
      <c r="AC24" s="12">
        <v>5</v>
      </c>
      <c r="AD24" s="12">
        <v>1</v>
      </c>
      <c r="AE24" s="12">
        <v>0</v>
      </c>
      <c r="AF24" s="12">
        <v>0</v>
      </c>
    </row>
    <row r="25" spans="1:32">
      <c r="A25" s="23"/>
      <c r="B25" s="13" t="s">
        <v>1498</v>
      </c>
      <c r="C25" s="14">
        <v>0.09</v>
      </c>
      <c r="D25" s="14">
        <v>0.27</v>
      </c>
      <c r="E25" s="14">
        <v>0.23</v>
      </c>
      <c r="F25" s="14">
        <v>0.22</v>
      </c>
      <c r="G25" s="15" t="s">
        <v>485</v>
      </c>
      <c r="H25" s="14">
        <v>0.09</v>
      </c>
      <c r="I25" s="14">
        <v>0.08</v>
      </c>
      <c r="J25" s="15" t="s">
        <v>485</v>
      </c>
      <c r="K25" s="14">
        <v>0.04</v>
      </c>
      <c r="L25" s="14">
        <v>0.01</v>
      </c>
      <c r="M25" s="15" t="s">
        <v>485</v>
      </c>
      <c r="N25" s="15" t="s">
        <v>485</v>
      </c>
      <c r="O25" s="14">
        <v>0.1</v>
      </c>
      <c r="P25" s="14">
        <v>0.08</v>
      </c>
      <c r="Q25" s="14">
        <v>0.06</v>
      </c>
      <c r="R25" s="14">
        <v>0.17</v>
      </c>
      <c r="S25" s="14">
        <v>0.05</v>
      </c>
      <c r="T25" s="14">
        <v>7.0000000000000007E-2</v>
      </c>
      <c r="U25" s="14">
        <v>0.03</v>
      </c>
      <c r="V25" s="14">
        <v>0.06</v>
      </c>
      <c r="W25" s="15" t="s">
        <v>485</v>
      </c>
      <c r="X25" s="14">
        <v>0.06</v>
      </c>
      <c r="Y25" s="14">
        <v>0.11</v>
      </c>
      <c r="Z25" s="14">
        <v>0.24</v>
      </c>
      <c r="AA25" s="14">
        <v>0.05</v>
      </c>
      <c r="AB25" s="14">
        <v>0.21</v>
      </c>
      <c r="AC25" s="14">
        <v>0.23</v>
      </c>
      <c r="AD25" s="14">
        <v>0.01</v>
      </c>
      <c r="AE25" s="15" t="s">
        <v>485</v>
      </c>
      <c r="AF25" s="15" t="s">
        <v>485</v>
      </c>
    </row>
    <row r="26" spans="1:32" ht="34.5">
      <c r="A26" s="23"/>
      <c r="B26" s="11" t="s">
        <v>1499</v>
      </c>
      <c r="C26" s="12">
        <v>80</v>
      </c>
      <c r="D26" s="12">
        <v>6</v>
      </c>
      <c r="E26" s="12">
        <v>4</v>
      </c>
      <c r="F26" s="12">
        <v>8</v>
      </c>
      <c r="G26" s="12">
        <v>3</v>
      </c>
      <c r="H26" s="12">
        <v>4</v>
      </c>
      <c r="I26" s="12">
        <v>5</v>
      </c>
      <c r="J26" s="12">
        <v>2</v>
      </c>
      <c r="K26" s="12">
        <v>2</v>
      </c>
      <c r="L26" s="12">
        <v>1</v>
      </c>
      <c r="M26" s="12">
        <v>2</v>
      </c>
      <c r="N26" s="12">
        <v>1</v>
      </c>
      <c r="O26" s="12">
        <v>2</v>
      </c>
      <c r="P26" s="12">
        <v>13</v>
      </c>
      <c r="Q26" s="12">
        <v>3</v>
      </c>
      <c r="R26" s="12">
        <v>2</v>
      </c>
      <c r="S26" s="12">
        <v>1</v>
      </c>
      <c r="T26" s="12">
        <v>0</v>
      </c>
      <c r="U26" s="12">
        <v>1</v>
      </c>
      <c r="V26" s="12">
        <v>1</v>
      </c>
      <c r="W26" s="12">
        <v>0</v>
      </c>
      <c r="X26" s="12">
        <v>0</v>
      </c>
      <c r="Y26" s="12">
        <v>13</v>
      </c>
      <c r="Z26" s="12">
        <v>7</v>
      </c>
      <c r="AA26" s="12">
        <v>0</v>
      </c>
      <c r="AB26" s="12">
        <v>0</v>
      </c>
      <c r="AC26" s="12">
        <v>5</v>
      </c>
      <c r="AD26" s="12">
        <v>2</v>
      </c>
      <c r="AE26" s="12">
        <v>1</v>
      </c>
      <c r="AF26" s="12">
        <v>1</v>
      </c>
    </row>
    <row r="27" spans="1:32" ht="23.25">
      <c r="A27" s="23"/>
      <c r="B27" s="13" t="s">
        <v>1500</v>
      </c>
      <c r="C27" s="14">
        <v>0.09</v>
      </c>
      <c r="D27" s="14">
        <v>0.1</v>
      </c>
      <c r="E27" s="14">
        <v>0.39</v>
      </c>
      <c r="F27" s="14">
        <v>0.28999999999999998</v>
      </c>
      <c r="G27" s="14">
        <v>0.13</v>
      </c>
      <c r="H27" s="14">
        <v>0.09</v>
      </c>
      <c r="I27" s="14">
        <v>0.08</v>
      </c>
      <c r="J27" s="14">
        <v>7.0000000000000007E-2</v>
      </c>
      <c r="K27" s="14">
        <v>0.08</v>
      </c>
      <c r="L27" s="14">
        <v>0.06</v>
      </c>
      <c r="M27" s="14">
        <v>0.13</v>
      </c>
      <c r="N27" s="14">
        <v>0.03</v>
      </c>
      <c r="O27" s="14">
        <v>0.12</v>
      </c>
      <c r="P27" s="14">
        <v>0.23</v>
      </c>
      <c r="Q27" s="14">
        <v>0.13</v>
      </c>
      <c r="R27" s="14">
        <v>0.26</v>
      </c>
      <c r="S27" s="14">
        <v>0.04</v>
      </c>
      <c r="T27" s="15" t="s">
        <v>485</v>
      </c>
      <c r="U27" s="14">
        <v>0.03</v>
      </c>
      <c r="V27" s="14">
        <v>0.06</v>
      </c>
      <c r="W27" s="15" t="s">
        <v>485</v>
      </c>
      <c r="X27" s="15" t="s">
        <v>485</v>
      </c>
      <c r="Y27" s="14">
        <v>0.23</v>
      </c>
      <c r="Z27" s="14">
        <v>0.35</v>
      </c>
      <c r="AA27" s="15" t="s">
        <v>485</v>
      </c>
      <c r="AB27" s="15" t="s">
        <v>485</v>
      </c>
      <c r="AC27" s="14">
        <v>0.13</v>
      </c>
      <c r="AD27" s="14">
        <v>7.0000000000000007E-2</v>
      </c>
      <c r="AE27" s="14">
        <v>0.02</v>
      </c>
      <c r="AF27" s="14">
        <v>0.01</v>
      </c>
    </row>
    <row r="28" spans="1:32" ht="34.5">
      <c r="A28" s="23"/>
      <c r="B28" s="11" t="s">
        <v>1501</v>
      </c>
      <c r="C28" s="12">
        <v>73</v>
      </c>
      <c r="D28" s="12">
        <v>5</v>
      </c>
      <c r="E28" s="12">
        <v>5</v>
      </c>
      <c r="F28" s="12">
        <v>4</v>
      </c>
      <c r="G28" s="12">
        <v>3</v>
      </c>
      <c r="H28" s="12">
        <v>1</v>
      </c>
      <c r="I28" s="12">
        <v>2</v>
      </c>
      <c r="J28" s="12">
        <v>0</v>
      </c>
      <c r="K28" s="12">
        <v>1</v>
      </c>
      <c r="L28" s="12">
        <v>3</v>
      </c>
      <c r="M28" s="12">
        <v>3</v>
      </c>
      <c r="N28" s="12">
        <v>0</v>
      </c>
      <c r="O28" s="12">
        <v>2</v>
      </c>
      <c r="P28" s="12">
        <v>6</v>
      </c>
      <c r="Q28" s="12">
        <v>6</v>
      </c>
      <c r="R28" s="12">
        <v>1</v>
      </c>
      <c r="S28" s="12">
        <v>4</v>
      </c>
      <c r="T28" s="12">
        <v>4</v>
      </c>
      <c r="U28" s="12">
        <v>2</v>
      </c>
      <c r="V28" s="12">
        <v>7</v>
      </c>
      <c r="W28" s="12">
        <v>3</v>
      </c>
      <c r="X28" s="12">
        <v>4</v>
      </c>
      <c r="Y28" s="12">
        <v>8</v>
      </c>
      <c r="Z28" s="12">
        <v>6</v>
      </c>
      <c r="AA28" s="12">
        <v>0</v>
      </c>
      <c r="AB28" s="12">
        <v>0</v>
      </c>
      <c r="AC28" s="12">
        <v>3</v>
      </c>
      <c r="AD28" s="12">
        <v>3</v>
      </c>
      <c r="AE28" s="12">
        <v>1</v>
      </c>
      <c r="AF28" s="12">
        <v>0</v>
      </c>
    </row>
    <row r="29" spans="1:32" ht="23.25">
      <c r="A29" s="23"/>
      <c r="B29" s="13" t="s">
        <v>1502</v>
      </c>
      <c r="C29" s="14">
        <v>7.0000000000000007E-2</v>
      </c>
      <c r="D29" s="14">
        <v>0.09</v>
      </c>
      <c r="E29" s="14">
        <v>0.24</v>
      </c>
      <c r="F29" s="14">
        <v>0.13</v>
      </c>
      <c r="G29" s="14">
        <v>0.05</v>
      </c>
      <c r="H29" s="14">
        <v>0.03</v>
      </c>
      <c r="I29" s="14">
        <v>0.03</v>
      </c>
      <c r="J29" s="14">
        <v>0.03</v>
      </c>
      <c r="K29" s="14">
        <v>0.02</v>
      </c>
      <c r="L29" s="14">
        <v>0.19</v>
      </c>
      <c r="M29" s="14">
        <v>0.11</v>
      </c>
      <c r="N29" s="15" t="s">
        <v>485</v>
      </c>
      <c r="O29" s="14">
        <v>0.09</v>
      </c>
      <c r="P29" s="14">
        <v>0.09</v>
      </c>
      <c r="Q29" s="14">
        <v>0.13</v>
      </c>
      <c r="R29" s="14">
        <v>0.05</v>
      </c>
      <c r="S29" s="14">
        <v>0.2</v>
      </c>
      <c r="T29" s="14">
        <v>0.26</v>
      </c>
      <c r="U29" s="14">
        <v>0.08</v>
      </c>
      <c r="V29" s="14">
        <v>0.17</v>
      </c>
      <c r="W29" s="14">
        <v>0.08</v>
      </c>
      <c r="X29" s="14">
        <v>0.04</v>
      </c>
      <c r="Y29" s="14">
        <v>0.16</v>
      </c>
      <c r="Z29" s="14">
        <v>0.24</v>
      </c>
      <c r="AA29" s="15" t="s">
        <v>485</v>
      </c>
      <c r="AB29" s="15" t="s">
        <v>485</v>
      </c>
      <c r="AC29" s="14">
        <v>0.06</v>
      </c>
      <c r="AD29" s="14">
        <v>0.04</v>
      </c>
      <c r="AE29" s="14">
        <v>0.01</v>
      </c>
      <c r="AF29" s="15" t="s">
        <v>485</v>
      </c>
    </row>
    <row r="30" spans="1:32" ht="45.75">
      <c r="A30" s="23"/>
      <c r="B30" s="11" t="s">
        <v>1503</v>
      </c>
      <c r="C30" s="12">
        <v>73</v>
      </c>
      <c r="D30" s="12">
        <v>3</v>
      </c>
      <c r="E30" s="12">
        <v>10</v>
      </c>
      <c r="F30" s="12">
        <v>4</v>
      </c>
      <c r="G30" s="12">
        <v>0</v>
      </c>
      <c r="H30" s="12">
        <v>3</v>
      </c>
      <c r="I30" s="12">
        <v>4</v>
      </c>
      <c r="J30" s="12">
        <v>1</v>
      </c>
      <c r="K30" s="12">
        <v>3</v>
      </c>
      <c r="L30" s="12">
        <v>4</v>
      </c>
      <c r="M30" s="12">
        <v>1</v>
      </c>
      <c r="N30" s="12">
        <v>0</v>
      </c>
      <c r="O30" s="12">
        <v>1</v>
      </c>
      <c r="P30" s="12">
        <v>8</v>
      </c>
      <c r="Q30" s="12">
        <v>1</v>
      </c>
      <c r="R30" s="12">
        <v>0</v>
      </c>
      <c r="S30" s="12">
        <v>0</v>
      </c>
      <c r="T30" s="12">
        <v>0</v>
      </c>
      <c r="U30" s="12">
        <v>0</v>
      </c>
      <c r="V30" s="12">
        <v>2</v>
      </c>
      <c r="W30" s="12">
        <v>0</v>
      </c>
      <c r="X30" s="12">
        <v>1</v>
      </c>
      <c r="Y30" s="12">
        <v>10</v>
      </c>
      <c r="Z30" s="12">
        <v>14</v>
      </c>
      <c r="AA30" s="12">
        <v>1</v>
      </c>
      <c r="AB30" s="12">
        <v>3</v>
      </c>
      <c r="AC30" s="12">
        <v>1</v>
      </c>
      <c r="AD30" s="12">
        <v>1</v>
      </c>
      <c r="AE30" s="12">
        <v>1</v>
      </c>
      <c r="AF30" s="12">
        <v>0</v>
      </c>
    </row>
    <row r="31" spans="1:32" ht="23.25">
      <c r="A31" s="23"/>
      <c r="B31" s="13" t="s">
        <v>1504</v>
      </c>
      <c r="C31" s="14">
        <v>0.12</v>
      </c>
      <c r="D31" s="14">
        <v>7.0000000000000007E-2</v>
      </c>
      <c r="E31" s="14">
        <v>0.25</v>
      </c>
      <c r="F31" s="14">
        <v>0.17</v>
      </c>
      <c r="G31" s="15" t="s">
        <v>485</v>
      </c>
      <c r="H31" s="14">
        <v>0.16</v>
      </c>
      <c r="I31" s="14">
        <v>0.13</v>
      </c>
      <c r="J31" s="14">
        <v>0.08</v>
      </c>
      <c r="K31" s="14">
        <v>7.0000000000000007E-2</v>
      </c>
      <c r="L31" s="14">
        <v>0.39</v>
      </c>
      <c r="M31" s="14">
        <v>0.05</v>
      </c>
      <c r="N31" s="15" t="s">
        <v>485</v>
      </c>
      <c r="O31" s="14">
        <v>0.03</v>
      </c>
      <c r="P31" s="14">
        <v>0.14000000000000001</v>
      </c>
      <c r="Q31" s="14">
        <v>0.05</v>
      </c>
      <c r="R31" s="15" t="s">
        <v>485</v>
      </c>
      <c r="S31" s="15" t="s">
        <v>485</v>
      </c>
      <c r="T31" s="15" t="s">
        <v>485</v>
      </c>
      <c r="U31" s="15" t="s">
        <v>485</v>
      </c>
      <c r="V31" s="14">
        <v>0.09</v>
      </c>
      <c r="W31" s="15" t="s">
        <v>485</v>
      </c>
      <c r="X31" s="14">
        <v>0.03</v>
      </c>
      <c r="Y31" s="14">
        <v>0.28999999999999998</v>
      </c>
      <c r="Z31" s="14">
        <v>0.51</v>
      </c>
      <c r="AA31" s="14">
        <v>0.05</v>
      </c>
      <c r="AB31" s="14">
        <v>0.27</v>
      </c>
      <c r="AC31" s="14">
        <v>0.03</v>
      </c>
      <c r="AD31" s="14">
        <v>0.02</v>
      </c>
      <c r="AE31" s="14">
        <v>0.03</v>
      </c>
      <c r="AF31" s="15" t="s">
        <v>485</v>
      </c>
    </row>
    <row r="32" spans="1:32">
      <c r="A32" s="23"/>
      <c r="B32" s="11" t="s">
        <v>1505</v>
      </c>
      <c r="C32" s="12">
        <v>492</v>
      </c>
      <c r="D32" s="12">
        <v>32</v>
      </c>
      <c r="E32" s="12">
        <v>65</v>
      </c>
      <c r="F32" s="12">
        <v>35</v>
      </c>
      <c r="G32" s="12">
        <v>6</v>
      </c>
      <c r="H32" s="12">
        <v>19</v>
      </c>
      <c r="I32" s="12">
        <v>26</v>
      </c>
      <c r="J32" s="12">
        <v>7</v>
      </c>
      <c r="K32" s="12">
        <v>11</v>
      </c>
      <c r="L32" s="12">
        <v>14</v>
      </c>
      <c r="M32" s="12">
        <v>69</v>
      </c>
      <c r="N32" s="12">
        <v>0</v>
      </c>
      <c r="O32" s="12">
        <v>8</v>
      </c>
      <c r="P32" s="12">
        <v>44</v>
      </c>
      <c r="Q32" s="12">
        <v>22</v>
      </c>
      <c r="R32" s="12">
        <v>13</v>
      </c>
      <c r="S32" s="12">
        <v>34</v>
      </c>
      <c r="T32" s="12">
        <v>66</v>
      </c>
      <c r="U32" s="12">
        <v>0</v>
      </c>
      <c r="V32" s="12">
        <v>34</v>
      </c>
      <c r="W32" s="12">
        <v>0</v>
      </c>
      <c r="X32" s="12">
        <v>9</v>
      </c>
      <c r="Y32" s="12">
        <v>23</v>
      </c>
      <c r="Z32" s="12">
        <v>32</v>
      </c>
      <c r="AA32" s="12">
        <v>5</v>
      </c>
      <c r="AB32" s="12">
        <v>30</v>
      </c>
      <c r="AC32" s="12">
        <v>8</v>
      </c>
      <c r="AD32" s="12">
        <v>41</v>
      </c>
      <c r="AE32" s="12">
        <v>6</v>
      </c>
      <c r="AF32" s="12">
        <v>1</v>
      </c>
    </row>
    <row r="33" spans="1:32">
      <c r="A33" s="23"/>
      <c r="B33" s="13" t="s">
        <v>1506</v>
      </c>
      <c r="C33" s="14">
        <v>0.03</v>
      </c>
      <c r="D33" s="14">
        <v>0.06</v>
      </c>
      <c r="E33" s="14">
        <v>0.11</v>
      </c>
      <c r="F33" s="14">
        <v>0.05</v>
      </c>
      <c r="G33" s="14">
        <v>0.01</v>
      </c>
      <c r="H33" s="14">
        <v>0.03</v>
      </c>
      <c r="I33" s="14">
        <v>0.03</v>
      </c>
      <c r="J33" s="14">
        <v>0.04</v>
      </c>
      <c r="K33" s="14">
        <v>0.02</v>
      </c>
      <c r="L33" s="14">
        <v>0.03</v>
      </c>
      <c r="M33" s="14">
        <v>0.1</v>
      </c>
      <c r="N33" s="15" t="s">
        <v>485</v>
      </c>
      <c r="O33" s="14">
        <v>0.01</v>
      </c>
      <c r="P33" s="14">
        <v>0.08</v>
      </c>
      <c r="Q33" s="14">
        <v>0.04</v>
      </c>
      <c r="R33" s="14">
        <v>0.04</v>
      </c>
      <c r="S33" s="14">
        <v>0.05</v>
      </c>
      <c r="T33" s="14">
        <v>0.09</v>
      </c>
      <c r="U33" s="15" t="s">
        <v>485</v>
      </c>
      <c r="V33" s="14">
        <v>0.05</v>
      </c>
      <c r="W33" s="15" t="s">
        <v>485</v>
      </c>
      <c r="X33" s="14">
        <v>0.01</v>
      </c>
      <c r="Y33" s="14">
        <v>0.04</v>
      </c>
      <c r="Z33" s="14">
        <v>0.05</v>
      </c>
      <c r="AA33" s="14">
        <v>0.01</v>
      </c>
      <c r="AB33" s="14">
        <v>7.0000000000000007E-2</v>
      </c>
      <c r="AC33" s="14">
        <v>0.01</v>
      </c>
      <c r="AD33" s="14">
        <v>0.06</v>
      </c>
      <c r="AE33" s="14">
        <v>0.01</v>
      </c>
      <c r="AF33" s="15" t="s">
        <v>485</v>
      </c>
    </row>
    <row r="34" spans="1:32">
      <c r="A34" s="23"/>
      <c r="B34" s="11" t="s">
        <v>1507</v>
      </c>
      <c r="C34" s="12">
        <v>119</v>
      </c>
      <c r="D34" s="12">
        <v>13</v>
      </c>
      <c r="E34" s="12">
        <v>14</v>
      </c>
      <c r="F34" s="12">
        <v>7</v>
      </c>
      <c r="G34" s="12">
        <v>0</v>
      </c>
      <c r="H34" s="12">
        <v>9</v>
      </c>
      <c r="I34" s="12">
        <v>15</v>
      </c>
      <c r="J34" s="12">
        <v>5</v>
      </c>
      <c r="K34" s="12">
        <v>3</v>
      </c>
      <c r="L34" s="12">
        <v>6</v>
      </c>
      <c r="M34" s="12">
        <v>2</v>
      </c>
      <c r="N34" s="12">
        <v>0</v>
      </c>
      <c r="O34" s="12">
        <v>1</v>
      </c>
      <c r="P34" s="12">
        <v>5</v>
      </c>
      <c r="Q34" s="12">
        <v>2</v>
      </c>
      <c r="R34" s="12">
        <v>7</v>
      </c>
      <c r="S34" s="12">
        <v>3</v>
      </c>
      <c r="T34" s="12">
        <v>2</v>
      </c>
      <c r="U34" s="12">
        <v>1</v>
      </c>
      <c r="V34" s="12">
        <v>1</v>
      </c>
      <c r="W34" s="12">
        <v>1</v>
      </c>
      <c r="X34" s="12">
        <v>0</v>
      </c>
      <c r="Y34" s="12">
        <v>21</v>
      </c>
      <c r="Z34" s="12">
        <v>7</v>
      </c>
      <c r="AA34" s="12">
        <v>1</v>
      </c>
      <c r="AB34" s="12">
        <v>6</v>
      </c>
      <c r="AC34" s="12">
        <v>1</v>
      </c>
      <c r="AD34" s="12">
        <v>4</v>
      </c>
      <c r="AE34" s="12">
        <v>0</v>
      </c>
      <c r="AF34" s="12">
        <v>0</v>
      </c>
    </row>
    <row r="35" spans="1:32">
      <c r="A35" s="23"/>
      <c r="B35" s="13" t="s">
        <v>1508</v>
      </c>
      <c r="C35" s="14">
        <v>0.02</v>
      </c>
      <c r="D35" s="14">
        <v>0.05</v>
      </c>
      <c r="E35" s="14">
        <v>7.0000000000000007E-2</v>
      </c>
      <c r="F35" s="14">
        <v>0.04</v>
      </c>
      <c r="G35" s="15" t="s">
        <v>485</v>
      </c>
      <c r="H35" s="14">
        <v>0.04</v>
      </c>
      <c r="I35" s="14">
        <v>0.05</v>
      </c>
      <c r="J35" s="14">
        <v>0.08</v>
      </c>
      <c r="K35" s="14">
        <v>0.01</v>
      </c>
      <c r="L35" s="14">
        <v>0.02</v>
      </c>
      <c r="M35" s="14">
        <v>0.01</v>
      </c>
      <c r="N35" s="15" t="s">
        <v>485</v>
      </c>
      <c r="O35" s="14">
        <v>0.01</v>
      </c>
      <c r="P35" s="14">
        <v>0.03</v>
      </c>
      <c r="Q35" s="14">
        <v>0.01</v>
      </c>
      <c r="R35" s="14">
        <v>0.05</v>
      </c>
      <c r="S35" s="14">
        <v>0.01</v>
      </c>
      <c r="T35" s="14">
        <v>0.01</v>
      </c>
      <c r="U35" s="14">
        <v>0.01</v>
      </c>
      <c r="V35" s="14">
        <v>0.01</v>
      </c>
      <c r="W35" s="14">
        <v>0.01</v>
      </c>
      <c r="X35" s="15" t="s">
        <v>485</v>
      </c>
      <c r="Y35" s="14">
        <v>7.0000000000000007E-2</v>
      </c>
      <c r="Z35" s="14">
        <v>0.03</v>
      </c>
      <c r="AA35" s="15" t="s">
        <v>485</v>
      </c>
      <c r="AB35" s="14">
        <v>0.04</v>
      </c>
      <c r="AC35" s="14">
        <v>0.01</v>
      </c>
      <c r="AD35" s="14">
        <v>0.01</v>
      </c>
      <c r="AE35" s="15" t="s">
        <v>485</v>
      </c>
      <c r="AF35" s="15" t="s">
        <v>485</v>
      </c>
    </row>
    <row r="36" spans="1:32" ht="68.25">
      <c r="A36" s="23"/>
      <c r="B36" s="11" t="s">
        <v>1517</v>
      </c>
      <c r="C36" s="12">
        <v>94</v>
      </c>
      <c r="D36" s="12">
        <v>9</v>
      </c>
      <c r="E36" s="12">
        <v>6</v>
      </c>
      <c r="F36" s="12">
        <v>4</v>
      </c>
      <c r="G36" s="12">
        <v>6</v>
      </c>
      <c r="H36" s="12">
        <v>4</v>
      </c>
      <c r="I36" s="12">
        <v>6</v>
      </c>
      <c r="J36" s="12">
        <v>2</v>
      </c>
      <c r="K36" s="12">
        <v>1</v>
      </c>
      <c r="L36" s="12">
        <v>0</v>
      </c>
      <c r="M36" s="12">
        <v>1</v>
      </c>
      <c r="N36" s="12">
        <v>0</v>
      </c>
      <c r="O36" s="12">
        <v>1</v>
      </c>
      <c r="P36" s="12">
        <v>9</v>
      </c>
      <c r="Q36" s="12">
        <v>5</v>
      </c>
      <c r="R36" s="12">
        <v>0</v>
      </c>
      <c r="S36" s="12">
        <v>0</v>
      </c>
      <c r="T36" s="12">
        <v>7</v>
      </c>
      <c r="U36" s="12">
        <v>1</v>
      </c>
      <c r="V36" s="12">
        <v>8</v>
      </c>
      <c r="W36" s="12">
        <v>1</v>
      </c>
      <c r="X36" s="12">
        <v>1</v>
      </c>
      <c r="Y36" s="12">
        <v>10</v>
      </c>
      <c r="Z36" s="12">
        <v>8</v>
      </c>
      <c r="AA36" s="12">
        <v>1</v>
      </c>
      <c r="AB36" s="12">
        <v>3</v>
      </c>
      <c r="AC36" s="12">
        <v>1</v>
      </c>
      <c r="AD36" s="12">
        <v>5</v>
      </c>
      <c r="AE36" s="12">
        <v>5</v>
      </c>
      <c r="AF36" s="12">
        <v>3</v>
      </c>
    </row>
    <row r="37" spans="1:32" ht="57">
      <c r="A37" s="23"/>
      <c r="B37" s="13" t="s">
        <v>1510</v>
      </c>
      <c r="C37" s="14">
        <v>0.08</v>
      </c>
      <c r="D37" s="14">
        <v>0.12</v>
      </c>
      <c r="E37" s="14">
        <v>0.15</v>
      </c>
      <c r="F37" s="14">
        <v>0.13</v>
      </c>
      <c r="G37" s="14">
        <v>0.08</v>
      </c>
      <c r="H37" s="14">
        <v>0.08</v>
      </c>
      <c r="I37" s="14">
        <v>7.0000000000000007E-2</v>
      </c>
      <c r="J37" s="14">
        <v>0.06</v>
      </c>
      <c r="K37" s="14">
        <v>0.01</v>
      </c>
      <c r="L37" s="15" t="s">
        <v>485</v>
      </c>
      <c r="M37" s="14">
        <v>0.01</v>
      </c>
      <c r="N37" s="15" t="s">
        <v>485</v>
      </c>
      <c r="O37" s="14">
        <v>0.02</v>
      </c>
      <c r="P37" s="14">
        <v>0.18</v>
      </c>
      <c r="Q37" s="14">
        <v>0.12</v>
      </c>
      <c r="R37" s="15" t="s">
        <v>485</v>
      </c>
      <c r="S37" s="15" t="s">
        <v>485</v>
      </c>
      <c r="T37" s="14">
        <v>0.19</v>
      </c>
      <c r="U37" s="14">
        <v>0.06</v>
      </c>
      <c r="V37" s="14">
        <v>0.3</v>
      </c>
      <c r="W37" s="14">
        <v>0.02</v>
      </c>
      <c r="X37" s="14">
        <v>0.01</v>
      </c>
      <c r="Y37" s="14">
        <v>0.14000000000000001</v>
      </c>
      <c r="Z37" s="14">
        <v>0.26</v>
      </c>
      <c r="AA37" s="14">
        <v>0.05</v>
      </c>
      <c r="AB37" s="14">
        <v>0.13</v>
      </c>
      <c r="AC37" s="14">
        <v>0.02</v>
      </c>
      <c r="AD37" s="14">
        <v>0.04</v>
      </c>
      <c r="AE37" s="14">
        <v>0.05</v>
      </c>
      <c r="AF37" s="14">
        <v>0.03</v>
      </c>
    </row>
    <row r="38" spans="1:32">
      <c r="A38" s="23"/>
      <c r="B38" s="11" t="s">
        <v>1511</v>
      </c>
      <c r="C38" s="12">
        <v>267</v>
      </c>
      <c r="D38" s="12">
        <v>19</v>
      </c>
      <c r="E38" s="12">
        <v>2</v>
      </c>
      <c r="F38" s="12">
        <v>10</v>
      </c>
      <c r="G38" s="12">
        <v>13</v>
      </c>
      <c r="H38" s="12">
        <v>12</v>
      </c>
      <c r="I38" s="12">
        <v>24</v>
      </c>
      <c r="J38" s="12">
        <v>11</v>
      </c>
      <c r="K38" s="12">
        <v>6</v>
      </c>
      <c r="L38" s="12">
        <v>7</v>
      </c>
      <c r="M38" s="12">
        <v>2</v>
      </c>
      <c r="N38" s="12">
        <v>3</v>
      </c>
      <c r="O38" s="12">
        <v>4</v>
      </c>
      <c r="P38" s="12">
        <v>10</v>
      </c>
      <c r="Q38" s="12">
        <v>19</v>
      </c>
      <c r="R38" s="12">
        <v>4</v>
      </c>
      <c r="S38" s="12">
        <v>4</v>
      </c>
      <c r="T38" s="12">
        <v>5</v>
      </c>
      <c r="U38" s="12">
        <v>3</v>
      </c>
      <c r="V38" s="12">
        <v>16</v>
      </c>
      <c r="W38" s="12">
        <v>5</v>
      </c>
      <c r="X38" s="12">
        <v>17</v>
      </c>
      <c r="Y38" s="12">
        <v>20</v>
      </c>
      <c r="Z38" s="12">
        <v>7</v>
      </c>
      <c r="AA38" s="12">
        <v>3</v>
      </c>
      <c r="AB38" s="12">
        <v>1</v>
      </c>
      <c r="AC38" s="12">
        <v>8</v>
      </c>
      <c r="AD38" s="12">
        <v>3</v>
      </c>
      <c r="AE38" s="12">
        <v>8</v>
      </c>
      <c r="AF38" s="12">
        <v>14</v>
      </c>
    </row>
    <row r="39" spans="1:32">
      <c r="A39" s="23"/>
      <c r="B39" s="13" t="s">
        <v>1512</v>
      </c>
      <c r="C39" s="14">
        <v>0.03</v>
      </c>
      <c r="D39" s="14">
        <v>0.08</v>
      </c>
      <c r="E39" s="14">
        <v>0.02</v>
      </c>
      <c r="F39" s="14">
        <v>0.04</v>
      </c>
      <c r="G39" s="14">
        <v>0.03</v>
      </c>
      <c r="H39" s="14">
        <v>0.03</v>
      </c>
      <c r="I39" s="14">
        <v>0.05</v>
      </c>
      <c r="J39" s="14">
        <v>0.12</v>
      </c>
      <c r="K39" s="14">
        <v>0.02</v>
      </c>
      <c r="L39" s="14">
        <v>0.02</v>
      </c>
      <c r="M39" s="15" t="s">
        <v>485</v>
      </c>
      <c r="N39" s="14">
        <v>0.01</v>
      </c>
      <c r="O39" s="14">
        <v>0.01</v>
      </c>
      <c r="P39" s="14">
        <v>0.06</v>
      </c>
      <c r="Q39" s="14">
        <v>0.08</v>
      </c>
      <c r="R39" s="14">
        <v>0.04</v>
      </c>
      <c r="S39" s="14">
        <v>0.02</v>
      </c>
      <c r="T39" s="14">
        <v>0.02</v>
      </c>
      <c r="U39" s="14">
        <v>0.02</v>
      </c>
      <c r="V39" s="14">
        <v>7.0000000000000007E-2</v>
      </c>
      <c r="W39" s="14">
        <v>0.04</v>
      </c>
      <c r="X39" s="14">
        <v>0.03</v>
      </c>
      <c r="Y39" s="14">
        <v>0.04</v>
      </c>
      <c r="Z39" s="14">
        <v>0.04</v>
      </c>
      <c r="AA39" s="14">
        <v>0.01</v>
      </c>
      <c r="AB39" s="14">
        <v>0.01</v>
      </c>
      <c r="AC39" s="14">
        <v>0.04</v>
      </c>
      <c r="AD39" s="14">
        <v>0.01</v>
      </c>
      <c r="AE39" s="14">
        <v>0.01</v>
      </c>
      <c r="AF39" s="14">
        <v>0.02</v>
      </c>
    </row>
    <row r="40" spans="1:32" ht="23.25">
      <c r="A40" s="23"/>
      <c r="B40" s="11" t="s">
        <v>1513</v>
      </c>
      <c r="C40" s="12">
        <v>103</v>
      </c>
      <c r="D40" s="12">
        <v>19</v>
      </c>
      <c r="E40" s="12">
        <v>5</v>
      </c>
      <c r="F40" s="12">
        <v>5</v>
      </c>
      <c r="G40" s="12">
        <v>1</v>
      </c>
      <c r="H40" s="12">
        <v>5</v>
      </c>
      <c r="I40" s="12">
        <v>6</v>
      </c>
      <c r="J40" s="12">
        <v>1</v>
      </c>
      <c r="K40" s="12">
        <v>2</v>
      </c>
      <c r="L40" s="12">
        <v>2</v>
      </c>
      <c r="M40" s="12">
        <v>2</v>
      </c>
      <c r="N40" s="12">
        <v>2</v>
      </c>
      <c r="O40" s="12">
        <v>1</v>
      </c>
      <c r="P40" s="12">
        <v>8</v>
      </c>
      <c r="Q40" s="12">
        <v>6</v>
      </c>
      <c r="R40" s="12">
        <v>2</v>
      </c>
      <c r="S40" s="12">
        <v>0</v>
      </c>
      <c r="T40" s="12">
        <v>2</v>
      </c>
      <c r="U40" s="12">
        <v>1</v>
      </c>
      <c r="V40" s="12">
        <v>1</v>
      </c>
      <c r="W40" s="12">
        <v>3</v>
      </c>
      <c r="X40" s="12">
        <v>6</v>
      </c>
      <c r="Y40" s="12">
        <v>7</v>
      </c>
      <c r="Z40" s="12">
        <v>8</v>
      </c>
      <c r="AA40" s="12">
        <v>0</v>
      </c>
      <c r="AB40" s="12">
        <v>3</v>
      </c>
      <c r="AC40" s="12">
        <v>1</v>
      </c>
      <c r="AD40" s="12">
        <v>2</v>
      </c>
      <c r="AE40" s="12">
        <v>0</v>
      </c>
      <c r="AF40" s="12">
        <v>3</v>
      </c>
    </row>
    <row r="41" spans="1:32" ht="23.25">
      <c r="A41" s="23"/>
      <c r="B41" s="13" t="s">
        <v>1514</v>
      </c>
      <c r="C41" s="14">
        <v>0.01</v>
      </c>
      <c r="D41" s="14">
        <v>0.05</v>
      </c>
      <c r="E41" s="14">
        <v>0.02</v>
      </c>
      <c r="F41" s="14">
        <v>0.01</v>
      </c>
      <c r="G41" s="15" t="s">
        <v>485</v>
      </c>
      <c r="H41" s="14">
        <v>0.01</v>
      </c>
      <c r="I41" s="14">
        <v>0.01</v>
      </c>
      <c r="J41" s="14">
        <v>0.01</v>
      </c>
      <c r="K41" s="14">
        <v>0.01</v>
      </c>
      <c r="L41" s="15" t="s">
        <v>485</v>
      </c>
      <c r="M41" s="15" t="s">
        <v>485</v>
      </c>
      <c r="N41" s="15" t="s">
        <v>485</v>
      </c>
      <c r="O41" s="15" t="s">
        <v>485</v>
      </c>
      <c r="P41" s="14">
        <v>0.02</v>
      </c>
      <c r="Q41" s="14">
        <v>0.02</v>
      </c>
      <c r="R41" s="14">
        <v>0.01</v>
      </c>
      <c r="S41" s="15" t="s">
        <v>485</v>
      </c>
      <c r="T41" s="14">
        <v>0.01</v>
      </c>
      <c r="U41" s="15" t="s">
        <v>485</v>
      </c>
      <c r="V41" s="15" t="s">
        <v>485</v>
      </c>
      <c r="W41" s="14">
        <v>0.01</v>
      </c>
      <c r="X41" s="14">
        <v>0.01</v>
      </c>
      <c r="Y41" s="14">
        <v>0.01</v>
      </c>
      <c r="Z41" s="14">
        <v>0.02</v>
      </c>
      <c r="AA41" s="15" t="s">
        <v>485</v>
      </c>
      <c r="AB41" s="14">
        <v>0.02</v>
      </c>
      <c r="AC41" s="15" t="s">
        <v>485</v>
      </c>
      <c r="AD41" s="15" t="s">
        <v>485</v>
      </c>
      <c r="AE41" s="15" t="s">
        <v>485</v>
      </c>
      <c r="AF41" s="15" t="s">
        <v>485</v>
      </c>
    </row>
    <row r="42" spans="1:32">
      <c r="A42" s="23"/>
      <c r="B42" s="11" t="s">
        <v>1515</v>
      </c>
      <c r="C42" s="12">
        <v>713</v>
      </c>
      <c r="D42" s="12">
        <v>15</v>
      </c>
      <c r="E42" s="12">
        <v>70</v>
      </c>
      <c r="F42" s="12">
        <v>58</v>
      </c>
      <c r="G42" s="12">
        <v>2</v>
      </c>
      <c r="H42" s="12">
        <v>31</v>
      </c>
      <c r="I42" s="12">
        <v>39</v>
      </c>
      <c r="J42" s="12">
        <v>8</v>
      </c>
      <c r="K42" s="12">
        <v>68</v>
      </c>
      <c r="L42" s="12">
        <v>11</v>
      </c>
      <c r="M42" s="12">
        <v>36</v>
      </c>
      <c r="N42" s="12">
        <v>29</v>
      </c>
      <c r="O42" s="12">
        <v>10</v>
      </c>
      <c r="P42" s="12">
        <v>58</v>
      </c>
      <c r="Q42" s="12">
        <v>27</v>
      </c>
      <c r="R42" s="12">
        <v>26</v>
      </c>
      <c r="S42" s="12">
        <v>32</v>
      </c>
      <c r="T42" s="12">
        <v>49</v>
      </c>
      <c r="U42" s="12">
        <v>9</v>
      </c>
      <c r="V42" s="12">
        <v>30</v>
      </c>
      <c r="W42" s="12">
        <v>13</v>
      </c>
      <c r="X42" s="12">
        <v>6</v>
      </c>
      <c r="Y42" s="12">
        <v>25</v>
      </c>
      <c r="Z42" s="12">
        <v>30</v>
      </c>
      <c r="AA42" s="12">
        <v>9</v>
      </c>
      <c r="AB42" s="12">
        <v>82</v>
      </c>
      <c r="AC42" s="12">
        <v>17</v>
      </c>
      <c r="AD42" s="12">
        <v>118</v>
      </c>
      <c r="AE42" s="12">
        <v>6</v>
      </c>
      <c r="AF42" s="12">
        <v>4</v>
      </c>
    </row>
    <row r="43" spans="1:32">
      <c r="A43" s="23"/>
      <c r="B43" s="13" t="s">
        <v>1516</v>
      </c>
      <c r="C43" s="14">
        <v>0.03</v>
      </c>
      <c r="D43" s="14">
        <v>0.02</v>
      </c>
      <c r="E43" s="14">
        <v>0.09</v>
      </c>
      <c r="F43" s="14">
        <v>7.0000000000000007E-2</v>
      </c>
      <c r="G43" s="15" t="s">
        <v>485</v>
      </c>
      <c r="H43" s="14">
        <v>0.03</v>
      </c>
      <c r="I43" s="14">
        <v>0.03</v>
      </c>
      <c r="J43" s="14">
        <v>0.03</v>
      </c>
      <c r="K43" s="14">
        <v>0.09</v>
      </c>
      <c r="L43" s="14">
        <v>0.01</v>
      </c>
      <c r="M43" s="14">
        <v>0.04</v>
      </c>
      <c r="N43" s="14">
        <v>0.04</v>
      </c>
      <c r="O43" s="14">
        <v>0.01</v>
      </c>
      <c r="P43" s="14">
        <v>7.0000000000000007E-2</v>
      </c>
      <c r="Q43" s="14">
        <v>0.04</v>
      </c>
      <c r="R43" s="14">
        <v>0.06</v>
      </c>
      <c r="S43" s="14">
        <v>0.04</v>
      </c>
      <c r="T43" s="14">
        <v>0.06</v>
      </c>
      <c r="U43" s="14">
        <v>0.02</v>
      </c>
      <c r="V43" s="14">
        <v>0.04</v>
      </c>
      <c r="W43" s="14">
        <v>0.03</v>
      </c>
      <c r="X43" s="14">
        <v>0.01</v>
      </c>
      <c r="Y43" s="14">
        <v>0.03</v>
      </c>
      <c r="Z43" s="14">
        <v>0.04</v>
      </c>
      <c r="AA43" s="14">
        <v>0.01</v>
      </c>
      <c r="AB43" s="14">
        <v>0.14000000000000001</v>
      </c>
      <c r="AC43" s="14">
        <v>0.02</v>
      </c>
      <c r="AD43" s="14">
        <v>0.13</v>
      </c>
      <c r="AE43" s="14">
        <v>0.01</v>
      </c>
      <c r="AF43" s="15" t="s">
        <v>485</v>
      </c>
    </row>
    <row r="44" spans="1:32">
      <c r="A44" s="23"/>
      <c r="B44" s="11" t="s">
        <v>618</v>
      </c>
      <c r="C44" s="12">
        <v>18205</v>
      </c>
      <c r="D44" s="12">
        <v>591</v>
      </c>
      <c r="E44" s="12">
        <v>532</v>
      </c>
      <c r="F44" s="12">
        <v>634</v>
      </c>
      <c r="G44" s="12">
        <v>911</v>
      </c>
      <c r="H44" s="12">
        <v>784</v>
      </c>
      <c r="I44" s="12">
        <v>992</v>
      </c>
      <c r="J44" s="12">
        <v>208</v>
      </c>
      <c r="K44" s="12">
        <v>552</v>
      </c>
      <c r="L44" s="12">
        <v>730</v>
      </c>
      <c r="M44" s="12">
        <v>801</v>
      </c>
      <c r="N44" s="12">
        <v>749</v>
      </c>
      <c r="O44" s="12">
        <v>829</v>
      </c>
      <c r="P44" s="12">
        <v>528</v>
      </c>
      <c r="Q44" s="12">
        <v>605</v>
      </c>
      <c r="R44" s="12">
        <v>339</v>
      </c>
      <c r="S44" s="12">
        <v>687</v>
      </c>
      <c r="T44" s="12">
        <v>614</v>
      </c>
      <c r="U44" s="12">
        <v>402</v>
      </c>
      <c r="V44" s="12">
        <v>679</v>
      </c>
      <c r="W44" s="12">
        <v>366</v>
      </c>
      <c r="X44" s="12">
        <v>823</v>
      </c>
      <c r="Y44" s="12">
        <v>707</v>
      </c>
      <c r="Z44" s="12">
        <v>611</v>
      </c>
      <c r="AA44" s="12">
        <v>888</v>
      </c>
      <c r="AB44" s="12">
        <v>419</v>
      </c>
      <c r="AC44" s="12">
        <v>702</v>
      </c>
      <c r="AD44" s="12">
        <v>644</v>
      </c>
      <c r="AE44" s="12">
        <v>917</v>
      </c>
      <c r="AF44" s="12">
        <v>998</v>
      </c>
    </row>
    <row r="45" spans="1:32">
      <c r="A45" s="23"/>
      <c r="B45" s="13" t="s">
        <v>619</v>
      </c>
      <c r="C45" s="14">
        <v>0.85</v>
      </c>
      <c r="D45" s="14">
        <v>0.70000000000000007</v>
      </c>
      <c r="E45" s="14">
        <v>0.67</v>
      </c>
      <c r="F45" s="14">
        <v>0.73</v>
      </c>
      <c r="G45" s="14">
        <v>0.96</v>
      </c>
      <c r="H45" s="14">
        <v>0.83000000000000007</v>
      </c>
      <c r="I45" s="14">
        <v>0.83000000000000007</v>
      </c>
      <c r="J45" s="14">
        <v>0.82000000000000006</v>
      </c>
      <c r="K45" s="14">
        <v>0.70000000000000007</v>
      </c>
      <c r="L45" s="14">
        <v>0.89</v>
      </c>
      <c r="M45" s="14">
        <v>0.85</v>
      </c>
      <c r="N45" s="14">
        <v>0.92</v>
      </c>
      <c r="O45" s="14">
        <v>0.94000000000000006</v>
      </c>
      <c r="P45" s="14">
        <v>0.65</v>
      </c>
      <c r="Q45" s="14">
        <v>0.82000000000000006</v>
      </c>
      <c r="R45" s="14">
        <v>0.76</v>
      </c>
      <c r="S45" s="14">
        <v>0.81</v>
      </c>
      <c r="T45" s="14">
        <v>0.77</v>
      </c>
      <c r="U45" s="14">
        <v>0.91</v>
      </c>
      <c r="V45" s="14">
        <v>0.85</v>
      </c>
      <c r="W45" s="14">
        <v>0.91</v>
      </c>
      <c r="X45" s="14">
        <v>0.88</v>
      </c>
      <c r="Y45" s="14">
        <v>0.79</v>
      </c>
      <c r="Z45" s="14">
        <v>0.77</v>
      </c>
      <c r="AA45" s="14">
        <v>0.93</v>
      </c>
      <c r="AB45" s="14">
        <v>0.70000000000000007</v>
      </c>
      <c r="AC45" s="14">
        <v>0.89</v>
      </c>
      <c r="AD45" s="14">
        <v>0.73</v>
      </c>
      <c r="AE45" s="14">
        <v>0.95000000000000007</v>
      </c>
      <c r="AF45" s="14">
        <v>0.95000000000000007</v>
      </c>
    </row>
    <row r="46" spans="1:32">
      <c r="A46" s="23"/>
      <c r="B46" s="11" t="s">
        <v>497</v>
      </c>
      <c r="C46" s="12">
        <v>946</v>
      </c>
      <c r="D46" s="12">
        <v>82</v>
      </c>
      <c r="E46" s="12">
        <v>55</v>
      </c>
      <c r="F46" s="12">
        <v>89</v>
      </c>
      <c r="G46" s="12">
        <v>13</v>
      </c>
      <c r="H46" s="12">
        <v>47</v>
      </c>
      <c r="I46" s="12">
        <v>56</v>
      </c>
      <c r="J46" s="12">
        <v>9</v>
      </c>
      <c r="K46" s="12">
        <v>127</v>
      </c>
      <c r="L46" s="12">
        <v>39</v>
      </c>
      <c r="M46" s="12">
        <v>20</v>
      </c>
      <c r="N46" s="12">
        <v>27</v>
      </c>
      <c r="O46" s="12">
        <v>26</v>
      </c>
      <c r="P46" s="12">
        <v>112</v>
      </c>
      <c r="Q46" s="12">
        <v>25</v>
      </c>
      <c r="R46" s="12">
        <v>52</v>
      </c>
      <c r="S46" s="12">
        <v>88</v>
      </c>
      <c r="T46" s="12">
        <v>43</v>
      </c>
      <c r="U46" s="12">
        <v>17</v>
      </c>
      <c r="V46" s="12">
        <v>30</v>
      </c>
      <c r="W46" s="12">
        <v>10</v>
      </c>
      <c r="X46" s="12">
        <v>46</v>
      </c>
      <c r="Y46" s="12">
        <v>17</v>
      </c>
      <c r="Z46" s="12">
        <v>45</v>
      </c>
      <c r="AA46" s="12">
        <v>33</v>
      </c>
      <c r="AB46" s="12">
        <v>49</v>
      </c>
      <c r="AC46" s="12">
        <v>31</v>
      </c>
      <c r="AD46" s="12">
        <v>39</v>
      </c>
      <c r="AE46" s="12">
        <v>18</v>
      </c>
      <c r="AF46" s="12">
        <v>20</v>
      </c>
    </row>
    <row r="47" spans="1:32">
      <c r="A47" s="23"/>
      <c r="B47" s="13" t="s">
        <v>498</v>
      </c>
      <c r="C47" s="14">
        <v>0.04</v>
      </c>
      <c r="D47" s="14">
        <v>0.1</v>
      </c>
      <c r="E47" s="14">
        <v>7.0000000000000007E-2</v>
      </c>
      <c r="F47" s="14">
        <v>0.1</v>
      </c>
      <c r="G47" s="14">
        <v>0.01</v>
      </c>
      <c r="H47" s="14">
        <v>0.05</v>
      </c>
      <c r="I47" s="14">
        <v>0.05</v>
      </c>
      <c r="J47" s="14">
        <v>0.04</v>
      </c>
      <c r="K47" s="14">
        <v>0.16</v>
      </c>
      <c r="L47" s="14">
        <v>0.05</v>
      </c>
      <c r="M47" s="14">
        <v>0.02</v>
      </c>
      <c r="N47" s="14">
        <v>0.03</v>
      </c>
      <c r="O47" s="14">
        <v>0.03</v>
      </c>
      <c r="P47" s="14">
        <v>0.14000000000000001</v>
      </c>
      <c r="Q47" s="14">
        <v>0.03</v>
      </c>
      <c r="R47" s="14">
        <v>0.12</v>
      </c>
      <c r="S47" s="14">
        <v>0.1</v>
      </c>
      <c r="T47" s="14">
        <v>0.05</v>
      </c>
      <c r="U47" s="14">
        <v>0.04</v>
      </c>
      <c r="V47" s="14">
        <v>0.04</v>
      </c>
      <c r="W47" s="14">
        <v>0.02</v>
      </c>
      <c r="X47" s="14">
        <v>0.05</v>
      </c>
      <c r="Y47" s="14">
        <v>0.02</v>
      </c>
      <c r="Z47" s="14">
        <v>0.06</v>
      </c>
      <c r="AA47" s="14">
        <v>0.03</v>
      </c>
      <c r="AB47" s="14">
        <v>0.08</v>
      </c>
      <c r="AC47" s="14">
        <v>0.04</v>
      </c>
      <c r="AD47" s="14">
        <v>0.04</v>
      </c>
      <c r="AE47" s="14">
        <v>0.02</v>
      </c>
      <c r="AF47" s="14">
        <v>0.02</v>
      </c>
    </row>
    <row r="48" spans="1:32" ht="23.25">
      <c r="A48" s="23"/>
      <c r="B48" s="11" t="s">
        <v>1520</v>
      </c>
      <c r="C48" s="12">
        <v>1626</v>
      </c>
      <c r="D48" s="12">
        <v>159</v>
      </c>
      <c r="E48" s="12">
        <v>140</v>
      </c>
      <c r="F48" s="12">
        <v>82</v>
      </c>
      <c r="G48" s="12">
        <v>24</v>
      </c>
      <c r="H48" s="12">
        <v>83</v>
      </c>
      <c r="I48" s="12">
        <v>113</v>
      </c>
      <c r="J48" s="12">
        <v>29</v>
      </c>
      <c r="K48" s="12">
        <v>37</v>
      </c>
      <c r="L48" s="12">
        <v>42</v>
      </c>
      <c r="M48" s="12">
        <v>87</v>
      </c>
      <c r="N48" s="12">
        <v>10</v>
      </c>
      <c r="O48" s="12">
        <v>20</v>
      </c>
      <c r="P48" s="12">
        <v>115</v>
      </c>
      <c r="Q48" s="12">
        <v>80</v>
      </c>
      <c r="R48" s="12">
        <v>26</v>
      </c>
      <c r="S48" s="12">
        <v>43</v>
      </c>
      <c r="T48" s="12">
        <v>92</v>
      </c>
      <c r="U48" s="12">
        <v>13</v>
      </c>
      <c r="V48" s="12">
        <v>63</v>
      </c>
      <c r="W48" s="12">
        <v>12</v>
      </c>
      <c r="X48" s="12">
        <v>65</v>
      </c>
      <c r="Y48" s="12">
        <v>150</v>
      </c>
      <c r="Z48" s="12">
        <v>108</v>
      </c>
      <c r="AA48" s="12">
        <v>20</v>
      </c>
      <c r="AB48" s="12">
        <v>53</v>
      </c>
      <c r="AC48" s="12">
        <v>37</v>
      </c>
      <c r="AD48" s="12">
        <v>82</v>
      </c>
      <c r="AE48" s="12">
        <v>21</v>
      </c>
      <c r="AF48" s="12">
        <v>26</v>
      </c>
    </row>
    <row r="49" spans="1:32" ht="23.25">
      <c r="A49" s="23"/>
      <c r="B49" s="13" t="s">
        <v>1521</v>
      </c>
      <c r="C49" s="14">
        <v>0.08</v>
      </c>
      <c r="D49" s="14">
        <v>0.19</v>
      </c>
      <c r="E49" s="14">
        <v>0.18</v>
      </c>
      <c r="F49" s="14">
        <v>0.1</v>
      </c>
      <c r="G49" s="14">
        <v>0.03</v>
      </c>
      <c r="H49" s="14">
        <v>0.09</v>
      </c>
      <c r="I49" s="14">
        <v>0.09</v>
      </c>
      <c r="J49" s="14">
        <v>0.11</v>
      </c>
      <c r="K49" s="14">
        <v>0.05</v>
      </c>
      <c r="L49" s="14">
        <v>0.05</v>
      </c>
      <c r="M49" s="14">
        <v>0.09</v>
      </c>
      <c r="N49" s="14">
        <v>0.01</v>
      </c>
      <c r="O49" s="14">
        <v>0.02</v>
      </c>
      <c r="P49" s="14">
        <v>0.14000000000000001</v>
      </c>
      <c r="Q49" s="14">
        <v>0.11</v>
      </c>
      <c r="R49" s="14">
        <v>0.06</v>
      </c>
      <c r="S49" s="14">
        <v>0.05</v>
      </c>
      <c r="T49" s="14">
        <v>0.12</v>
      </c>
      <c r="U49" s="14">
        <v>0.03</v>
      </c>
      <c r="V49" s="14">
        <v>0.08</v>
      </c>
      <c r="W49" s="14">
        <v>0.03</v>
      </c>
      <c r="X49" s="14">
        <v>7.0000000000000007E-2</v>
      </c>
      <c r="Y49" s="14">
        <v>0.17</v>
      </c>
      <c r="Z49" s="14">
        <v>0.14000000000000001</v>
      </c>
      <c r="AA49" s="14">
        <v>0.02</v>
      </c>
      <c r="AB49" s="14">
        <v>0.09</v>
      </c>
      <c r="AC49" s="14">
        <v>0.05</v>
      </c>
      <c r="AD49" s="14">
        <v>0.09</v>
      </c>
      <c r="AE49" s="14">
        <v>0.02</v>
      </c>
      <c r="AF49" s="14">
        <v>0.02</v>
      </c>
    </row>
  </sheetData>
  <mergeCells count="10">
    <mergeCell ref="B4:F4"/>
    <mergeCell ref="A10:A47"/>
    <mergeCell ref="A48:A49"/>
    <mergeCell ref="H3:L3"/>
    <mergeCell ref="C8:AF8"/>
    <mergeCell ref="B3:F3"/>
    <mergeCell ref="B5:F5"/>
    <mergeCell ref="H5:L5"/>
    <mergeCell ref="B10:B11"/>
    <mergeCell ref="H4:L4"/>
  </mergeCells>
  <pageMargins left="0.75" right="0.75" top="1" bottom="1" header="0.5" footer="0.5"/>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E00-000000000000}">
  <dimension ref="A1:AC2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29" width="12.42578125" customWidth="1"/>
  </cols>
  <sheetData>
    <row r="1" spans="1:29">
      <c r="I1" s="7" t="s">
        <v>449</v>
      </c>
    </row>
    <row r="2" spans="1:29">
      <c r="C2" s="7" t="s">
        <v>450</v>
      </c>
      <c r="H2" s="7" t="s">
        <v>451</v>
      </c>
    </row>
    <row r="3" spans="1:29" ht="24" customHeight="1">
      <c r="B3" s="19" t="s">
        <v>323</v>
      </c>
      <c r="C3" s="19"/>
      <c r="D3" s="19"/>
      <c r="E3" s="19"/>
      <c r="F3" s="19"/>
      <c r="H3" s="19" t="s">
        <v>324</v>
      </c>
      <c r="I3" s="19"/>
      <c r="J3" s="19"/>
      <c r="K3" s="19"/>
      <c r="L3" s="19"/>
    </row>
    <row r="4" spans="1:29" ht="27" customHeight="1">
      <c r="B4" s="19"/>
      <c r="C4" s="19"/>
      <c r="D4" s="19"/>
      <c r="E4" s="19"/>
      <c r="F4" s="19"/>
      <c r="H4" s="19"/>
      <c r="I4" s="19"/>
      <c r="J4" s="19"/>
      <c r="K4" s="19"/>
      <c r="L4" s="19"/>
    </row>
    <row r="5" spans="1:29" ht="24" customHeight="1">
      <c r="B5" s="19" t="s">
        <v>1522</v>
      </c>
      <c r="C5" s="19"/>
      <c r="D5" s="19"/>
      <c r="E5" s="19"/>
      <c r="F5" s="19"/>
      <c r="H5" s="19" t="s">
        <v>1523</v>
      </c>
      <c r="I5" s="19"/>
      <c r="J5" s="19"/>
      <c r="K5" s="19"/>
      <c r="L5" s="19"/>
    </row>
    <row r="6" spans="1:29" ht="0.95" customHeight="1"/>
    <row r="7" spans="1:29" ht="0.95" customHeight="1"/>
    <row r="8" spans="1:29">
      <c r="C8" s="22"/>
      <c r="D8" s="22"/>
      <c r="E8" s="22"/>
      <c r="F8" s="22"/>
      <c r="G8" s="22"/>
      <c r="H8" s="22"/>
      <c r="I8" s="22"/>
      <c r="J8" s="22"/>
      <c r="K8" s="22"/>
      <c r="L8" s="22"/>
      <c r="M8" s="22"/>
      <c r="N8" s="22"/>
      <c r="O8" s="22"/>
      <c r="P8" s="22"/>
      <c r="Q8" s="22"/>
      <c r="R8" s="22"/>
      <c r="S8" s="22"/>
      <c r="T8" s="22"/>
      <c r="U8" s="22"/>
      <c r="V8" s="22"/>
      <c r="W8" s="22"/>
      <c r="X8" s="22"/>
      <c r="Y8" s="22"/>
      <c r="Z8" s="22"/>
      <c r="AA8" s="22"/>
      <c r="AB8" s="22"/>
      <c r="AC8" s="22"/>
    </row>
    <row r="9" spans="1:29" ht="18">
      <c r="A9" s="5" t="str">
        <f>HYPERLINK("#Content!A163","&lt;&lt;Back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471</v>
      </c>
      <c r="T9" s="8" t="s">
        <v>472</v>
      </c>
      <c r="U9" s="8" t="s">
        <v>473</v>
      </c>
      <c r="V9" s="8" t="s">
        <v>475</v>
      </c>
      <c r="W9" s="8" t="s">
        <v>476</v>
      </c>
      <c r="X9" s="8" t="s">
        <v>477</v>
      </c>
      <c r="Y9" s="8" t="s">
        <v>478</v>
      </c>
      <c r="Z9" s="8" t="s">
        <v>479</v>
      </c>
      <c r="AA9" s="8" t="s">
        <v>480</v>
      </c>
      <c r="AB9" s="8" t="s">
        <v>481</v>
      </c>
      <c r="AC9" s="8" t="s">
        <v>483</v>
      </c>
    </row>
    <row r="10" spans="1:29">
      <c r="A10" s="23"/>
      <c r="B10" s="18" t="s">
        <v>484</v>
      </c>
      <c r="C10" s="10">
        <v>109</v>
      </c>
      <c r="D10" s="10">
        <v>14</v>
      </c>
      <c r="E10" s="10">
        <v>18</v>
      </c>
      <c r="F10" s="10">
        <v>6</v>
      </c>
      <c r="G10" s="10">
        <v>2</v>
      </c>
      <c r="H10" s="10">
        <v>8</v>
      </c>
      <c r="I10" s="10">
        <v>8</v>
      </c>
      <c r="J10" s="10">
        <v>1</v>
      </c>
      <c r="K10" s="10">
        <v>2</v>
      </c>
      <c r="L10" s="10">
        <v>1</v>
      </c>
      <c r="M10" s="10">
        <v>2</v>
      </c>
      <c r="N10" s="10">
        <v>2</v>
      </c>
      <c r="O10" s="10">
        <v>2</v>
      </c>
      <c r="P10" s="10">
        <v>7</v>
      </c>
      <c r="Q10" s="10">
        <v>2</v>
      </c>
      <c r="R10" s="10">
        <v>4</v>
      </c>
      <c r="S10" s="10">
        <v>3</v>
      </c>
      <c r="T10" s="10">
        <v>3</v>
      </c>
      <c r="U10" s="10">
        <v>3</v>
      </c>
      <c r="V10" s="10">
        <v>2</v>
      </c>
      <c r="W10" s="10">
        <v>26</v>
      </c>
      <c r="X10" s="10">
        <v>4</v>
      </c>
      <c r="Y10" s="10">
        <v>2</v>
      </c>
      <c r="Z10" s="10">
        <v>3</v>
      </c>
      <c r="AA10" s="10">
        <v>6</v>
      </c>
      <c r="AB10" s="10">
        <v>11</v>
      </c>
      <c r="AC10" s="10">
        <v>2</v>
      </c>
    </row>
    <row r="11" spans="1:29">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row>
    <row r="12" spans="1:29">
      <c r="A12" s="23"/>
      <c r="B12" s="11" t="s">
        <v>1524</v>
      </c>
      <c r="C12" s="12">
        <v>33</v>
      </c>
      <c r="D12" s="12">
        <v>4</v>
      </c>
      <c r="E12" s="12">
        <v>6</v>
      </c>
      <c r="F12" s="12">
        <v>0</v>
      </c>
      <c r="G12" s="12">
        <v>2</v>
      </c>
      <c r="H12" s="12">
        <v>0</v>
      </c>
      <c r="I12" s="12">
        <v>0</v>
      </c>
      <c r="J12" s="12">
        <v>0</v>
      </c>
      <c r="K12" s="12">
        <v>1</v>
      </c>
      <c r="L12" s="12">
        <v>0</v>
      </c>
      <c r="M12" s="12">
        <v>2</v>
      </c>
      <c r="N12" s="12">
        <v>1</v>
      </c>
      <c r="O12" s="12">
        <v>2</v>
      </c>
      <c r="P12" s="12">
        <v>1</v>
      </c>
      <c r="Q12" s="12">
        <v>0</v>
      </c>
      <c r="R12" s="12">
        <v>2</v>
      </c>
      <c r="S12" s="12">
        <v>0</v>
      </c>
      <c r="T12" s="12">
        <v>0</v>
      </c>
      <c r="U12" s="12">
        <v>0</v>
      </c>
      <c r="V12" s="12">
        <v>0</v>
      </c>
      <c r="W12" s="12">
        <v>17</v>
      </c>
      <c r="X12" s="12">
        <v>2</v>
      </c>
      <c r="Y12" s="12">
        <v>0</v>
      </c>
      <c r="Z12" s="12">
        <v>1</v>
      </c>
      <c r="AA12" s="12">
        <v>1</v>
      </c>
      <c r="AB12" s="12">
        <v>6</v>
      </c>
      <c r="AC12" s="12">
        <v>0</v>
      </c>
    </row>
    <row r="13" spans="1:29">
      <c r="A13" s="23"/>
      <c r="B13" s="13" t="s">
        <v>1524</v>
      </c>
      <c r="C13" s="14">
        <v>0.3</v>
      </c>
      <c r="D13" s="14">
        <v>0.26</v>
      </c>
      <c r="E13" s="14">
        <v>0.33</v>
      </c>
      <c r="F13" s="15" t="s">
        <v>485</v>
      </c>
      <c r="G13" s="14">
        <v>0.99</v>
      </c>
      <c r="H13" s="15" t="s">
        <v>485</v>
      </c>
      <c r="I13" s="15" t="s">
        <v>485</v>
      </c>
      <c r="J13" s="15" t="s">
        <v>485</v>
      </c>
      <c r="K13" s="14">
        <v>0.5</v>
      </c>
      <c r="L13" s="15" t="s">
        <v>485</v>
      </c>
      <c r="M13" s="14">
        <v>0.79</v>
      </c>
      <c r="N13" s="14">
        <v>0.54</v>
      </c>
      <c r="O13" s="14">
        <v>0.98</v>
      </c>
      <c r="P13" s="14">
        <v>0.11</v>
      </c>
      <c r="Q13" s="15" t="s">
        <v>485</v>
      </c>
      <c r="R13" s="14">
        <v>0.52</v>
      </c>
      <c r="S13" s="15" t="s">
        <v>485</v>
      </c>
      <c r="T13" s="15" t="s">
        <v>485</v>
      </c>
      <c r="U13" s="15" t="s">
        <v>485</v>
      </c>
      <c r="V13" s="15" t="s">
        <v>485</v>
      </c>
      <c r="W13" s="14">
        <v>0.65</v>
      </c>
      <c r="X13" s="14">
        <v>0.42</v>
      </c>
      <c r="Y13" s="15" t="s">
        <v>485</v>
      </c>
      <c r="Z13" s="14">
        <v>0.34</v>
      </c>
      <c r="AA13" s="14">
        <v>0.22</v>
      </c>
      <c r="AB13" s="14">
        <v>0.49</v>
      </c>
      <c r="AC13" s="14">
        <v>0.18</v>
      </c>
    </row>
    <row r="14" spans="1:29">
      <c r="A14" s="23"/>
      <c r="B14" s="11" t="s">
        <v>1525</v>
      </c>
      <c r="C14" s="12">
        <v>12</v>
      </c>
      <c r="D14" s="12">
        <v>1</v>
      </c>
      <c r="E14" s="12">
        <v>3</v>
      </c>
      <c r="F14" s="12">
        <v>3</v>
      </c>
      <c r="G14" s="12">
        <v>0</v>
      </c>
      <c r="H14" s="12">
        <v>0</v>
      </c>
      <c r="I14" s="12">
        <v>0</v>
      </c>
      <c r="J14" s="12">
        <v>0</v>
      </c>
      <c r="K14" s="12">
        <v>0</v>
      </c>
      <c r="L14" s="12">
        <v>0</v>
      </c>
      <c r="M14" s="12">
        <v>0</v>
      </c>
      <c r="N14" s="12">
        <v>0</v>
      </c>
      <c r="O14" s="12">
        <v>1</v>
      </c>
      <c r="P14" s="12">
        <v>1</v>
      </c>
      <c r="Q14" s="12">
        <v>1</v>
      </c>
      <c r="R14" s="12">
        <v>0</v>
      </c>
      <c r="S14" s="12">
        <v>0</v>
      </c>
      <c r="T14" s="12">
        <v>0</v>
      </c>
      <c r="U14" s="12">
        <v>0</v>
      </c>
      <c r="V14" s="12">
        <v>0</v>
      </c>
      <c r="W14" s="12">
        <v>3</v>
      </c>
      <c r="X14" s="12">
        <v>0</v>
      </c>
      <c r="Y14" s="12">
        <v>0</v>
      </c>
      <c r="Z14" s="12">
        <v>0</v>
      </c>
      <c r="AA14" s="12">
        <v>2</v>
      </c>
      <c r="AB14" s="12">
        <v>5</v>
      </c>
      <c r="AC14" s="12">
        <v>0</v>
      </c>
    </row>
    <row r="15" spans="1:29">
      <c r="A15" s="23"/>
      <c r="B15" s="13" t="s">
        <v>1525</v>
      </c>
      <c r="C15" s="14">
        <v>0.11</v>
      </c>
      <c r="D15" s="14">
        <v>0.06</v>
      </c>
      <c r="E15" s="14">
        <v>0.16</v>
      </c>
      <c r="F15" s="14">
        <v>0.43</v>
      </c>
      <c r="G15" s="15" t="s">
        <v>485</v>
      </c>
      <c r="H15" s="15" t="s">
        <v>485</v>
      </c>
      <c r="I15" s="15" t="s">
        <v>485</v>
      </c>
      <c r="J15" s="15" t="s">
        <v>485</v>
      </c>
      <c r="K15" s="15" t="s">
        <v>485</v>
      </c>
      <c r="L15" s="15" t="s">
        <v>485</v>
      </c>
      <c r="M15" s="15" t="s">
        <v>485</v>
      </c>
      <c r="N15" s="15" t="s">
        <v>485</v>
      </c>
      <c r="O15" s="14">
        <v>0.25</v>
      </c>
      <c r="P15" s="14">
        <v>0.11</v>
      </c>
      <c r="Q15" s="14">
        <v>0.49</v>
      </c>
      <c r="R15" s="15" t="s">
        <v>485</v>
      </c>
      <c r="S15" s="15" t="s">
        <v>485</v>
      </c>
      <c r="T15" s="15" t="s">
        <v>485</v>
      </c>
      <c r="U15" s="15" t="s">
        <v>485</v>
      </c>
      <c r="V15" s="15" t="s">
        <v>485</v>
      </c>
      <c r="W15" s="14">
        <v>0.11</v>
      </c>
      <c r="X15" s="15" t="s">
        <v>485</v>
      </c>
      <c r="Y15" s="15" t="s">
        <v>485</v>
      </c>
      <c r="Z15" s="15" t="s">
        <v>485</v>
      </c>
      <c r="AA15" s="14">
        <v>0.26</v>
      </c>
      <c r="AB15" s="14">
        <v>0.42</v>
      </c>
      <c r="AC15" s="15" t="s">
        <v>485</v>
      </c>
    </row>
    <row r="16" spans="1:29">
      <c r="A16" s="23"/>
      <c r="B16" s="11" t="s">
        <v>1526</v>
      </c>
      <c r="C16" s="12">
        <v>8</v>
      </c>
      <c r="D16" s="12">
        <v>1</v>
      </c>
      <c r="E16" s="12">
        <v>1</v>
      </c>
      <c r="F16" s="12">
        <v>1</v>
      </c>
      <c r="G16" s="12">
        <v>0</v>
      </c>
      <c r="H16" s="12">
        <v>0</v>
      </c>
      <c r="I16" s="12">
        <v>0</v>
      </c>
      <c r="J16" s="12">
        <v>0</v>
      </c>
      <c r="K16" s="12">
        <v>0</v>
      </c>
      <c r="L16" s="12">
        <v>0</v>
      </c>
      <c r="M16" s="12">
        <v>0</v>
      </c>
      <c r="N16" s="12">
        <v>1</v>
      </c>
      <c r="O16" s="12">
        <v>0</v>
      </c>
      <c r="P16" s="12">
        <v>1</v>
      </c>
      <c r="Q16" s="12">
        <v>0</v>
      </c>
      <c r="R16" s="12">
        <v>0</v>
      </c>
      <c r="S16" s="12">
        <v>0</v>
      </c>
      <c r="T16" s="12">
        <v>0</v>
      </c>
      <c r="U16" s="12">
        <v>0</v>
      </c>
      <c r="V16" s="12">
        <v>0</v>
      </c>
      <c r="W16" s="12">
        <v>1</v>
      </c>
      <c r="X16" s="12">
        <v>1</v>
      </c>
      <c r="Y16" s="12">
        <v>0</v>
      </c>
      <c r="Z16" s="12">
        <v>0</v>
      </c>
      <c r="AA16" s="12">
        <v>0</v>
      </c>
      <c r="AB16" s="12">
        <v>0</v>
      </c>
      <c r="AC16" s="12">
        <v>0</v>
      </c>
    </row>
    <row r="17" spans="1:29">
      <c r="A17" s="23"/>
      <c r="B17" s="13" t="s">
        <v>1526</v>
      </c>
      <c r="C17" s="14">
        <v>7.0000000000000007E-2</v>
      </c>
      <c r="D17" s="14">
        <v>7.0000000000000007E-2</v>
      </c>
      <c r="E17" s="14">
        <v>0.05</v>
      </c>
      <c r="F17" s="14">
        <v>0.17</v>
      </c>
      <c r="G17" s="15" t="s">
        <v>485</v>
      </c>
      <c r="H17" s="15" t="s">
        <v>485</v>
      </c>
      <c r="I17" s="15" t="s">
        <v>485</v>
      </c>
      <c r="J17" s="15" t="s">
        <v>485</v>
      </c>
      <c r="K17" s="15" t="s">
        <v>485</v>
      </c>
      <c r="L17" s="15" t="s">
        <v>485</v>
      </c>
      <c r="M17" s="15" t="s">
        <v>485</v>
      </c>
      <c r="N17" s="14">
        <v>0.55000000000000004</v>
      </c>
      <c r="O17" s="15" t="s">
        <v>485</v>
      </c>
      <c r="P17" s="14">
        <v>0.08</v>
      </c>
      <c r="Q17" s="15" t="s">
        <v>485</v>
      </c>
      <c r="R17" s="15" t="s">
        <v>485</v>
      </c>
      <c r="S17" s="14">
        <v>0.17</v>
      </c>
      <c r="T17" s="15" t="s">
        <v>485</v>
      </c>
      <c r="U17" s="15" t="s">
        <v>485</v>
      </c>
      <c r="V17" s="15" t="s">
        <v>485</v>
      </c>
      <c r="W17" s="14">
        <v>0.03</v>
      </c>
      <c r="X17" s="14">
        <v>0.3</v>
      </c>
      <c r="Y17" s="15" t="s">
        <v>485</v>
      </c>
      <c r="Z17" s="15" t="s">
        <v>485</v>
      </c>
      <c r="AA17" s="15" t="s">
        <v>485</v>
      </c>
      <c r="AB17" s="15" t="s">
        <v>485</v>
      </c>
      <c r="AC17" s="15" t="s">
        <v>485</v>
      </c>
    </row>
    <row r="18" spans="1:29">
      <c r="A18" s="23"/>
      <c r="B18" s="11" t="s">
        <v>1527</v>
      </c>
      <c r="C18" s="12">
        <v>23</v>
      </c>
      <c r="D18" s="12">
        <v>5</v>
      </c>
      <c r="E18" s="12">
        <v>1</v>
      </c>
      <c r="F18" s="12">
        <v>1</v>
      </c>
      <c r="G18" s="12">
        <v>0</v>
      </c>
      <c r="H18" s="12">
        <v>2</v>
      </c>
      <c r="I18" s="12">
        <v>2</v>
      </c>
      <c r="J18" s="12">
        <v>0</v>
      </c>
      <c r="K18" s="12">
        <v>1</v>
      </c>
      <c r="L18" s="12">
        <v>1</v>
      </c>
      <c r="M18" s="12">
        <v>0</v>
      </c>
      <c r="N18" s="12">
        <v>0</v>
      </c>
      <c r="O18" s="12">
        <v>0</v>
      </c>
      <c r="P18" s="12">
        <v>2</v>
      </c>
      <c r="Q18" s="12">
        <v>1</v>
      </c>
      <c r="R18" s="12">
        <v>2</v>
      </c>
      <c r="S18" s="12">
        <v>0</v>
      </c>
      <c r="T18" s="12">
        <v>0</v>
      </c>
      <c r="U18" s="12">
        <v>1</v>
      </c>
      <c r="V18" s="12">
        <v>2</v>
      </c>
      <c r="W18" s="12">
        <v>5</v>
      </c>
      <c r="X18" s="12">
        <v>1</v>
      </c>
      <c r="Y18" s="12">
        <v>0</v>
      </c>
      <c r="Z18" s="12">
        <v>1</v>
      </c>
      <c r="AA18" s="12">
        <v>3</v>
      </c>
      <c r="AB18" s="12">
        <v>1</v>
      </c>
      <c r="AC18" s="12">
        <v>0</v>
      </c>
    </row>
    <row r="19" spans="1:29">
      <c r="A19" s="23"/>
      <c r="B19" s="13" t="s">
        <v>1527</v>
      </c>
      <c r="C19" s="14">
        <v>0.21</v>
      </c>
      <c r="D19" s="14">
        <v>0.34</v>
      </c>
      <c r="E19" s="14">
        <v>0.05</v>
      </c>
      <c r="F19" s="14">
        <v>0.11</v>
      </c>
      <c r="G19" s="15" t="s">
        <v>485</v>
      </c>
      <c r="H19" s="14">
        <v>0.26</v>
      </c>
      <c r="I19" s="14">
        <v>0.24</v>
      </c>
      <c r="J19" s="15" t="s">
        <v>485</v>
      </c>
      <c r="K19" s="14">
        <v>0.49</v>
      </c>
      <c r="L19" s="14">
        <v>1.31</v>
      </c>
      <c r="M19" s="15" t="s">
        <v>485</v>
      </c>
      <c r="N19" s="15" t="s">
        <v>485</v>
      </c>
      <c r="O19" s="15" t="s">
        <v>485</v>
      </c>
      <c r="P19" s="14">
        <v>0.31</v>
      </c>
      <c r="Q19" s="14">
        <v>0.38</v>
      </c>
      <c r="R19" s="14">
        <v>0.54</v>
      </c>
      <c r="S19" s="15" t="s">
        <v>485</v>
      </c>
      <c r="T19" s="15" t="s">
        <v>485</v>
      </c>
      <c r="U19" s="14">
        <v>0.31</v>
      </c>
      <c r="V19" s="14">
        <v>0.97</v>
      </c>
      <c r="W19" s="14">
        <v>0.18</v>
      </c>
      <c r="X19" s="14">
        <v>0.23</v>
      </c>
      <c r="Y19" s="15" t="s">
        <v>485</v>
      </c>
      <c r="Z19" s="14">
        <v>0.35</v>
      </c>
      <c r="AA19" s="14">
        <v>0.52</v>
      </c>
      <c r="AB19" s="14">
        <v>0.09</v>
      </c>
      <c r="AC19" s="15" t="s">
        <v>485</v>
      </c>
    </row>
    <row r="20" spans="1:29">
      <c r="A20" s="23"/>
      <c r="B20" s="11" t="s">
        <v>1528</v>
      </c>
      <c r="C20" s="12">
        <v>1</v>
      </c>
      <c r="D20" s="12">
        <v>1</v>
      </c>
      <c r="E20" s="12">
        <v>0</v>
      </c>
      <c r="F20" s="12">
        <v>0</v>
      </c>
      <c r="G20" s="12">
        <v>0</v>
      </c>
      <c r="H20" s="12">
        <v>0</v>
      </c>
      <c r="I20" s="12">
        <v>0</v>
      </c>
      <c r="J20" s="12">
        <v>0</v>
      </c>
      <c r="K20" s="12">
        <v>0</v>
      </c>
      <c r="L20" s="12">
        <v>0</v>
      </c>
      <c r="M20" s="12">
        <v>0</v>
      </c>
      <c r="N20" s="12">
        <v>0</v>
      </c>
      <c r="O20" s="12">
        <v>0</v>
      </c>
      <c r="P20" s="12">
        <v>0</v>
      </c>
      <c r="Q20" s="12">
        <v>0</v>
      </c>
      <c r="R20" s="12">
        <v>0</v>
      </c>
      <c r="S20" s="12">
        <v>0</v>
      </c>
      <c r="T20" s="12">
        <v>1</v>
      </c>
      <c r="U20" s="12">
        <v>0</v>
      </c>
      <c r="V20" s="12">
        <v>0</v>
      </c>
      <c r="W20" s="12">
        <v>1</v>
      </c>
      <c r="X20" s="12">
        <v>0</v>
      </c>
      <c r="Y20" s="12">
        <v>0</v>
      </c>
      <c r="Z20" s="12">
        <v>0</v>
      </c>
      <c r="AA20" s="12">
        <v>0</v>
      </c>
      <c r="AB20" s="12">
        <v>0</v>
      </c>
      <c r="AC20" s="12">
        <v>0</v>
      </c>
    </row>
    <row r="21" spans="1:29">
      <c r="A21" s="23"/>
      <c r="B21" s="13" t="s">
        <v>1529</v>
      </c>
      <c r="C21" s="14">
        <v>0.01</v>
      </c>
      <c r="D21" s="14">
        <v>0.04</v>
      </c>
      <c r="E21" s="15" t="s">
        <v>485</v>
      </c>
      <c r="F21" s="15" t="s">
        <v>485</v>
      </c>
      <c r="G21" s="15" t="s">
        <v>485</v>
      </c>
      <c r="H21" s="15" t="s">
        <v>485</v>
      </c>
      <c r="I21" s="15" t="s">
        <v>485</v>
      </c>
      <c r="J21" s="15" t="s">
        <v>485</v>
      </c>
      <c r="K21" s="15" t="s">
        <v>485</v>
      </c>
      <c r="L21" s="15" t="s">
        <v>485</v>
      </c>
      <c r="M21" s="15" t="s">
        <v>485</v>
      </c>
      <c r="N21" s="15" t="s">
        <v>485</v>
      </c>
      <c r="O21" s="15" t="s">
        <v>485</v>
      </c>
      <c r="P21" s="15" t="s">
        <v>485</v>
      </c>
      <c r="Q21" s="15" t="s">
        <v>485</v>
      </c>
      <c r="R21" s="15" t="s">
        <v>485</v>
      </c>
      <c r="S21" s="15" t="s">
        <v>485</v>
      </c>
      <c r="T21" s="14">
        <v>0.49</v>
      </c>
      <c r="U21" s="15" t="s">
        <v>485</v>
      </c>
      <c r="V21" s="15" t="s">
        <v>485</v>
      </c>
      <c r="W21" s="14">
        <v>0.03</v>
      </c>
      <c r="X21" s="15" t="s">
        <v>485</v>
      </c>
      <c r="Y21" s="15" t="s">
        <v>485</v>
      </c>
      <c r="Z21" s="15" t="s">
        <v>485</v>
      </c>
      <c r="AA21" s="15" t="s">
        <v>485</v>
      </c>
      <c r="AB21" s="15" t="s">
        <v>485</v>
      </c>
      <c r="AC21" s="15" t="s">
        <v>485</v>
      </c>
    </row>
    <row r="22" spans="1:29">
      <c r="A22" s="23"/>
      <c r="B22" s="11" t="s">
        <v>1530</v>
      </c>
      <c r="C22" s="12">
        <v>4</v>
      </c>
      <c r="D22" s="12">
        <v>0</v>
      </c>
      <c r="E22" s="12">
        <v>6</v>
      </c>
      <c r="F22" s="12">
        <v>0</v>
      </c>
      <c r="G22" s="12">
        <v>0</v>
      </c>
      <c r="H22" s="12">
        <v>0</v>
      </c>
      <c r="I22" s="12">
        <v>0</v>
      </c>
      <c r="J22" s="12">
        <v>0</v>
      </c>
      <c r="K22" s="12">
        <v>0</v>
      </c>
      <c r="L22" s="12">
        <v>0</v>
      </c>
      <c r="M22" s="12">
        <v>0</v>
      </c>
      <c r="N22" s="12">
        <v>0</v>
      </c>
      <c r="O22" s="12">
        <v>0</v>
      </c>
      <c r="P22" s="12">
        <v>2</v>
      </c>
      <c r="Q22" s="12">
        <v>0</v>
      </c>
      <c r="R22" s="12">
        <v>0</v>
      </c>
      <c r="S22" s="12">
        <v>2</v>
      </c>
      <c r="T22" s="12">
        <v>0</v>
      </c>
      <c r="U22" s="12">
        <v>2</v>
      </c>
      <c r="V22" s="12">
        <v>0</v>
      </c>
      <c r="W22" s="12">
        <v>0</v>
      </c>
      <c r="X22" s="12">
        <v>0</v>
      </c>
      <c r="Y22" s="12">
        <v>0</v>
      </c>
      <c r="Z22" s="12">
        <v>0</v>
      </c>
      <c r="AA22" s="12">
        <v>0</v>
      </c>
      <c r="AB22" s="12">
        <v>0</v>
      </c>
      <c r="AC22" s="12">
        <v>0</v>
      </c>
    </row>
    <row r="23" spans="1:29">
      <c r="A23" s="23"/>
      <c r="B23" s="13" t="s">
        <v>1531</v>
      </c>
      <c r="C23" s="14">
        <v>0.04</v>
      </c>
      <c r="D23" s="15" t="s">
        <v>485</v>
      </c>
      <c r="E23" s="14">
        <v>0.32</v>
      </c>
      <c r="F23" s="15" t="s">
        <v>485</v>
      </c>
      <c r="G23" s="15" t="s">
        <v>485</v>
      </c>
      <c r="H23" s="15" t="s">
        <v>485</v>
      </c>
      <c r="I23" s="15" t="s">
        <v>485</v>
      </c>
      <c r="J23" s="15" t="s">
        <v>485</v>
      </c>
      <c r="K23" s="15" t="s">
        <v>485</v>
      </c>
      <c r="L23" s="15" t="s">
        <v>485</v>
      </c>
      <c r="M23" s="15" t="s">
        <v>485</v>
      </c>
      <c r="N23" s="15" t="s">
        <v>485</v>
      </c>
      <c r="O23" s="15" t="s">
        <v>485</v>
      </c>
      <c r="P23" s="14">
        <v>0.31</v>
      </c>
      <c r="Q23" s="15" t="s">
        <v>485</v>
      </c>
      <c r="R23" s="15" t="s">
        <v>485</v>
      </c>
      <c r="S23" s="14">
        <v>0.69000000000000006</v>
      </c>
      <c r="T23" s="15" t="s">
        <v>485</v>
      </c>
      <c r="U23" s="14">
        <v>0.68</v>
      </c>
      <c r="V23" s="15" t="s">
        <v>485</v>
      </c>
      <c r="W23" s="15" t="s">
        <v>485</v>
      </c>
      <c r="X23" s="15" t="s">
        <v>485</v>
      </c>
      <c r="Y23" s="15" t="s">
        <v>485</v>
      </c>
      <c r="Z23" s="15" t="s">
        <v>485</v>
      </c>
      <c r="AA23" s="15" t="s">
        <v>485</v>
      </c>
      <c r="AB23" s="15" t="s">
        <v>485</v>
      </c>
      <c r="AC23" s="15" t="s">
        <v>485</v>
      </c>
    </row>
    <row r="24" spans="1:29">
      <c r="A24" s="23"/>
      <c r="B24" s="11" t="s">
        <v>497</v>
      </c>
      <c r="C24" s="12">
        <v>28</v>
      </c>
      <c r="D24" s="12">
        <v>3</v>
      </c>
      <c r="E24" s="12">
        <v>2</v>
      </c>
      <c r="F24" s="12">
        <v>2</v>
      </c>
      <c r="G24" s="12">
        <v>0</v>
      </c>
      <c r="H24" s="12">
        <v>6</v>
      </c>
      <c r="I24" s="12">
        <v>6</v>
      </c>
      <c r="J24" s="12">
        <v>1</v>
      </c>
      <c r="K24" s="12">
        <v>0</v>
      </c>
      <c r="L24" s="12">
        <v>0</v>
      </c>
      <c r="M24" s="12">
        <v>1</v>
      </c>
      <c r="N24" s="12">
        <v>0</v>
      </c>
      <c r="O24" s="12">
        <v>0</v>
      </c>
      <c r="P24" s="12">
        <v>1</v>
      </c>
      <c r="Q24" s="12">
        <v>0</v>
      </c>
      <c r="R24" s="12">
        <v>0</v>
      </c>
      <c r="S24" s="12">
        <v>0</v>
      </c>
      <c r="T24" s="12">
        <v>1</v>
      </c>
      <c r="U24" s="12">
        <v>0</v>
      </c>
      <c r="V24" s="12">
        <v>0</v>
      </c>
      <c r="W24" s="12">
        <v>0</v>
      </c>
      <c r="X24" s="12">
        <v>0</v>
      </c>
      <c r="Y24" s="12">
        <v>2</v>
      </c>
      <c r="Z24" s="12">
        <v>1</v>
      </c>
      <c r="AA24" s="12">
        <v>0</v>
      </c>
      <c r="AB24" s="12">
        <v>0</v>
      </c>
      <c r="AC24" s="12">
        <v>2</v>
      </c>
    </row>
    <row r="25" spans="1:29">
      <c r="A25" s="23"/>
      <c r="B25" s="13" t="s">
        <v>498</v>
      </c>
      <c r="C25" s="14">
        <v>0.26</v>
      </c>
      <c r="D25" s="14">
        <v>0.23</v>
      </c>
      <c r="E25" s="14">
        <v>0.09</v>
      </c>
      <c r="F25" s="14">
        <v>0.28999999999999998</v>
      </c>
      <c r="G25" s="15" t="s">
        <v>485</v>
      </c>
      <c r="H25" s="14">
        <v>0.71</v>
      </c>
      <c r="I25" s="14">
        <v>0.76</v>
      </c>
      <c r="J25" s="14">
        <v>0.52</v>
      </c>
      <c r="K25" s="15" t="s">
        <v>485</v>
      </c>
      <c r="L25" s="15" t="s">
        <v>485</v>
      </c>
      <c r="M25" s="14">
        <v>0.43</v>
      </c>
      <c r="N25" s="15" t="s">
        <v>485</v>
      </c>
      <c r="O25" s="15" t="s">
        <v>485</v>
      </c>
      <c r="P25" s="14">
        <v>0.08</v>
      </c>
      <c r="Q25" s="15" t="s">
        <v>485</v>
      </c>
      <c r="R25" s="15" t="s">
        <v>485</v>
      </c>
      <c r="S25" s="15" t="s">
        <v>485</v>
      </c>
      <c r="T25" s="14">
        <v>0.51</v>
      </c>
      <c r="U25" s="15" t="s">
        <v>485</v>
      </c>
      <c r="V25" s="15" t="s">
        <v>485</v>
      </c>
      <c r="W25" s="15" t="s">
        <v>485</v>
      </c>
      <c r="X25" s="15" t="s">
        <v>485</v>
      </c>
      <c r="Y25" s="14">
        <v>0.86</v>
      </c>
      <c r="Z25" s="14">
        <v>0.44</v>
      </c>
      <c r="AA25" s="15" t="s">
        <v>485</v>
      </c>
      <c r="AB25" s="15" t="s">
        <v>485</v>
      </c>
      <c r="AC25" s="14">
        <v>0.88</v>
      </c>
    </row>
    <row r="26" spans="1:29">
      <c r="A26" s="23"/>
      <c r="B26" s="11" t="s">
        <v>1532</v>
      </c>
      <c r="C26" s="12">
        <v>25653.18</v>
      </c>
      <c r="D26" s="12">
        <v>764.46</v>
      </c>
      <c r="E26" s="12">
        <v>52.69</v>
      </c>
      <c r="F26" s="12">
        <v>490.89</v>
      </c>
      <c r="G26" s="12">
        <v>16</v>
      </c>
      <c r="H26" s="12">
        <v>295.99</v>
      </c>
      <c r="I26" s="12">
        <v>263.63</v>
      </c>
      <c r="J26" s="12">
        <v>0</v>
      </c>
      <c r="K26" s="12">
        <v>253.9</v>
      </c>
      <c r="L26" s="12">
        <v>5999999.5300000003</v>
      </c>
      <c r="M26" s="12">
        <v>10</v>
      </c>
      <c r="N26" s="12">
        <v>106.88</v>
      </c>
      <c r="O26" s="12">
        <v>58.67</v>
      </c>
      <c r="P26" s="12">
        <v>506.8</v>
      </c>
      <c r="Q26" s="12">
        <v>274.20999999999998</v>
      </c>
      <c r="R26" s="12">
        <v>177.4</v>
      </c>
      <c r="S26" s="12">
        <v>200</v>
      </c>
      <c r="T26" s="12">
        <v>0</v>
      </c>
      <c r="U26" s="12">
        <v>241</v>
      </c>
      <c r="V26" s="12">
        <v>500</v>
      </c>
      <c r="W26" s="12">
        <v>95.33</v>
      </c>
      <c r="X26" s="12">
        <v>118.32</v>
      </c>
      <c r="Y26" s="12">
        <v>0</v>
      </c>
      <c r="Z26" s="12">
        <v>136.57</v>
      </c>
      <c r="AA26" s="12">
        <v>408.54</v>
      </c>
      <c r="AB26" s="12">
        <v>152.68</v>
      </c>
      <c r="AC26" s="12">
        <v>43</v>
      </c>
    </row>
    <row r="27" spans="1:29">
      <c r="A27" s="23"/>
      <c r="B27" s="13" t="s">
        <v>1533</v>
      </c>
      <c r="C27" s="15" t="s">
        <v>485</v>
      </c>
      <c r="D27" s="15" t="s">
        <v>485</v>
      </c>
      <c r="E27" s="15" t="s">
        <v>485</v>
      </c>
      <c r="F27" s="15" t="s">
        <v>485</v>
      </c>
      <c r="G27" s="15" t="s">
        <v>485</v>
      </c>
      <c r="H27" s="15" t="s">
        <v>485</v>
      </c>
      <c r="I27" s="15" t="s">
        <v>485</v>
      </c>
      <c r="J27" s="15" t="s">
        <v>485</v>
      </c>
      <c r="K27" s="15" t="s">
        <v>485</v>
      </c>
      <c r="L27" s="15" t="s">
        <v>485</v>
      </c>
      <c r="M27" s="15" t="s">
        <v>485</v>
      </c>
      <c r="N27" s="15" t="s">
        <v>485</v>
      </c>
      <c r="O27" s="15" t="s">
        <v>485</v>
      </c>
      <c r="P27" s="15" t="s">
        <v>485</v>
      </c>
      <c r="Q27" s="15" t="s">
        <v>485</v>
      </c>
      <c r="R27" s="15" t="s">
        <v>485</v>
      </c>
      <c r="S27" s="15" t="s">
        <v>485</v>
      </c>
      <c r="T27" s="15" t="s">
        <v>485</v>
      </c>
      <c r="U27" s="15" t="s">
        <v>485</v>
      </c>
      <c r="V27" s="15" t="s">
        <v>485</v>
      </c>
      <c r="W27" s="15" t="s">
        <v>485</v>
      </c>
      <c r="X27" s="15" t="s">
        <v>485</v>
      </c>
      <c r="Y27" s="15" t="s">
        <v>485</v>
      </c>
      <c r="Z27" s="15" t="s">
        <v>485</v>
      </c>
      <c r="AA27" s="15" t="s">
        <v>485</v>
      </c>
      <c r="AB27" s="15" t="s">
        <v>485</v>
      </c>
      <c r="AC27" s="15" t="s">
        <v>485</v>
      </c>
    </row>
    <row r="28" spans="1:29">
      <c r="A28" s="23"/>
      <c r="B28" s="11" t="s">
        <v>1534</v>
      </c>
      <c r="C28" s="12">
        <v>50</v>
      </c>
      <c r="D28" s="12">
        <v>50</v>
      </c>
      <c r="E28" s="12">
        <v>25</v>
      </c>
      <c r="F28" s="12">
        <v>0</v>
      </c>
      <c r="G28" s="12">
        <v>0</v>
      </c>
      <c r="H28" s="12">
        <v>0</v>
      </c>
      <c r="I28" s="12">
        <v>0</v>
      </c>
      <c r="J28" s="12">
        <v>0</v>
      </c>
      <c r="K28" s="12">
        <v>0</v>
      </c>
      <c r="L28" s="12">
        <v>0</v>
      </c>
      <c r="M28" s="12">
        <v>0</v>
      </c>
      <c r="N28" s="12">
        <v>12</v>
      </c>
      <c r="O28" s="12">
        <v>45</v>
      </c>
      <c r="P28" s="12">
        <v>100</v>
      </c>
      <c r="Q28" s="12">
        <v>0</v>
      </c>
      <c r="R28" s="12">
        <v>50</v>
      </c>
      <c r="S28" s="12">
        <v>0</v>
      </c>
      <c r="T28" s="12">
        <v>0</v>
      </c>
      <c r="U28" s="12">
        <v>0</v>
      </c>
      <c r="V28" s="12">
        <v>0</v>
      </c>
      <c r="W28" s="12">
        <v>35</v>
      </c>
      <c r="X28" s="12">
        <v>47</v>
      </c>
      <c r="Y28" s="12">
        <v>0</v>
      </c>
      <c r="Z28" s="12">
        <v>0</v>
      </c>
      <c r="AA28" s="12">
        <v>70</v>
      </c>
      <c r="AB28" s="12">
        <v>50</v>
      </c>
      <c r="AC28" s="12">
        <v>0</v>
      </c>
    </row>
    <row r="29" spans="1:29">
      <c r="A29" s="23"/>
      <c r="B29" s="13" t="s">
        <v>1535</v>
      </c>
      <c r="C29" s="15" t="s">
        <v>485</v>
      </c>
      <c r="D29" s="15" t="s">
        <v>485</v>
      </c>
      <c r="E29" s="15" t="s">
        <v>485</v>
      </c>
      <c r="F29" s="15" t="s">
        <v>485</v>
      </c>
      <c r="G29" s="15" t="s">
        <v>485</v>
      </c>
      <c r="H29" s="15" t="s">
        <v>485</v>
      </c>
      <c r="I29" s="15" t="s">
        <v>485</v>
      </c>
      <c r="J29" s="15" t="s">
        <v>485</v>
      </c>
      <c r="K29" s="15" t="s">
        <v>485</v>
      </c>
      <c r="L29" s="15" t="s">
        <v>485</v>
      </c>
      <c r="M29" s="15" t="s">
        <v>485</v>
      </c>
      <c r="N29" s="15" t="s">
        <v>485</v>
      </c>
      <c r="O29" s="15" t="s">
        <v>485</v>
      </c>
      <c r="P29" s="15" t="s">
        <v>485</v>
      </c>
      <c r="Q29" s="15" t="s">
        <v>485</v>
      </c>
      <c r="R29" s="15" t="s">
        <v>485</v>
      </c>
      <c r="S29" s="15" t="s">
        <v>485</v>
      </c>
      <c r="T29" s="15" t="s">
        <v>485</v>
      </c>
      <c r="U29" s="15" t="s">
        <v>485</v>
      </c>
      <c r="V29" s="15" t="s">
        <v>485</v>
      </c>
      <c r="W29" s="15" t="s">
        <v>485</v>
      </c>
      <c r="X29" s="15" t="s">
        <v>485</v>
      </c>
      <c r="Y29" s="15" t="s">
        <v>485</v>
      </c>
      <c r="Z29" s="15" t="s">
        <v>485</v>
      </c>
      <c r="AA29" s="15" t="s">
        <v>485</v>
      </c>
      <c r="AB29" s="15" t="s">
        <v>485</v>
      </c>
      <c r="AC29" s="15" t="s">
        <v>485</v>
      </c>
    </row>
  </sheetData>
  <mergeCells count="9">
    <mergeCell ref="B4:F4"/>
    <mergeCell ref="C8:AC8"/>
    <mergeCell ref="H3:L3"/>
    <mergeCell ref="A10:A29"/>
    <mergeCell ref="B5:F5"/>
    <mergeCell ref="B3:F3"/>
    <mergeCell ref="H5:L5"/>
    <mergeCell ref="B10:B11"/>
    <mergeCell ref="H4:L4"/>
  </mergeCells>
  <pageMargins left="0.75" right="0.75" top="1" bottom="1" header="0.5" footer="0.5"/>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F00-000000000000}">
  <dimension ref="A1:W2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23" width="12.42578125" customWidth="1"/>
  </cols>
  <sheetData>
    <row r="1" spans="1:23">
      <c r="I1" s="7" t="s">
        <v>449</v>
      </c>
    </row>
    <row r="2" spans="1:23">
      <c r="C2" s="7" t="s">
        <v>450</v>
      </c>
      <c r="H2" s="7" t="s">
        <v>451</v>
      </c>
    </row>
    <row r="3" spans="1:23" ht="24" customHeight="1">
      <c r="B3" s="19" t="s">
        <v>325</v>
      </c>
      <c r="C3" s="19"/>
      <c r="D3" s="19"/>
      <c r="E3" s="19"/>
      <c r="F3" s="19"/>
      <c r="H3" s="19" t="s">
        <v>326</v>
      </c>
      <c r="I3" s="19"/>
      <c r="J3" s="19"/>
      <c r="K3" s="19"/>
      <c r="L3" s="19"/>
    </row>
    <row r="4" spans="1:23" ht="27" customHeight="1">
      <c r="B4" s="19"/>
      <c r="C4" s="19"/>
      <c r="D4" s="19"/>
      <c r="E4" s="19"/>
      <c r="F4" s="19"/>
      <c r="H4" s="19"/>
      <c r="I4" s="19"/>
      <c r="J4" s="19"/>
      <c r="K4" s="19"/>
      <c r="L4" s="19"/>
    </row>
    <row r="5" spans="1:23" ht="24" customHeight="1">
      <c r="B5" s="19" t="s">
        <v>1536</v>
      </c>
      <c r="C5" s="19"/>
      <c r="D5" s="19"/>
      <c r="E5" s="19"/>
      <c r="F5" s="19"/>
      <c r="H5" s="19" t="s">
        <v>1537</v>
      </c>
      <c r="I5" s="19"/>
      <c r="J5" s="19"/>
      <c r="K5" s="19"/>
      <c r="L5" s="19"/>
    </row>
    <row r="6" spans="1:23" ht="0.95" customHeight="1"/>
    <row r="7" spans="1:23" ht="0.95" customHeight="1"/>
    <row r="8" spans="1:23">
      <c r="C8" s="22"/>
      <c r="D8" s="22"/>
      <c r="E8" s="22"/>
      <c r="F8" s="22"/>
      <c r="G8" s="22"/>
      <c r="H8" s="22"/>
      <c r="I8" s="22"/>
      <c r="J8" s="22"/>
      <c r="K8" s="22"/>
      <c r="L8" s="22"/>
      <c r="M8" s="22"/>
      <c r="N8" s="22"/>
      <c r="O8" s="22"/>
      <c r="P8" s="22"/>
      <c r="Q8" s="22"/>
      <c r="R8" s="22"/>
      <c r="S8" s="22"/>
      <c r="T8" s="22"/>
      <c r="U8" s="22"/>
      <c r="V8" s="22"/>
      <c r="W8" s="22"/>
    </row>
    <row r="9" spans="1:23" ht="18">
      <c r="A9" s="5" t="str">
        <f>HYPERLINK("#Content!A164","&lt;&lt;Back to content")</f>
        <v>&lt;&lt;Back to content</v>
      </c>
      <c r="C9" s="8" t="s">
        <v>454</v>
      </c>
      <c r="D9" s="8" t="s">
        <v>455</v>
      </c>
      <c r="E9" s="8" t="s">
        <v>456</v>
      </c>
      <c r="F9" s="8" t="s">
        <v>457</v>
      </c>
      <c r="G9" s="8" t="s">
        <v>459</v>
      </c>
      <c r="H9" s="8" t="s">
        <v>460</v>
      </c>
      <c r="I9" s="8" t="s">
        <v>461</v>
      </c>
      <c r="J9" s="8" t="s">
        <v>464</v>
      </c>
      <c r="K9" s="8" t="s">
        <v>466</v>
      </c>
      <c r="L9" s="8" t="s">
        <v>467</v>
      </c>
      <c r="M9" s="8" t="s">
        <v>468</v>
      </c>
      <c r="N9" s="8" t="s">
        <v>469</v>
      </c>
      <c r="O9" s="8" t="s">
        <v>470</v>
      </c>
      <c r="P9" s="8" t="s">
        <v>471</v>
      </c>
      <c r="Q9" s="8" t="s">
        <v>474</v>
      </c>
      <c r="R9" s="8" t="s">
        <v>475</v>
      </c>
      <c r="S9" s="8" t="s">
        <v>476</v>
      </c>
      <c r="T9" s="8" t="s">
        <v>477</v>
      </c>
      <c r="U9" s="8" t="s">
        <v>479</v>
      </c>
      <c r="V9" s="8" t="s">
        <v>480</v>
      </c>
      <c r="W9" s="8" t="s">
        <v>481</v>
      </c>
    </row>
    <row r="10" spans="1:23">
      <c r="A10" s="23"/>
      <c r="B10" s="18" t="s">
        <v>484</v>
      </c>
      <c r="C10" s="10">
        <v>66</v>
      </c>
      <c r="D10" s="10">
        <v>10</v>
      </c>
      <c r="E10" s="10">
        <v>5</v>
      </c>
      <c r="F10" s="10">
        <v>1</v>
      </c>
      <c r="G10" s="10">
        <v>2</v>
      </c>
      <c r="H10" s="10">
        <v>3</v>
      </c>
      <c r="I10" s="10">
        <v>1</v>
      </c>
      <c r="J10" s="10">
        <v>5</v>
      </c>
      <c r="K10" s="10">
        <v>1</v>
      </c>
      <c r="L10" s="10">
        <v>4</v>
      </c>
      <c r="M10" s="10">
        <v>4</v>
      </c>
      <c r="N10" s="10">
        <v>2</v>
      </c>
      <c r="O10" s="10">
        <v>1</v>
      </c>
      <c r="P10" s="10">
        <v>1</v>
      </c>
      <c r="Q10" s="10">
        <v>1</v>
      </c>
      <c r="R10" s="10">
        <v>15</v>
      </c>
      <c r="S10" s="10">
        <v>5</v>
      </c>
      <c r="T10" s="10">
        <v>2</v>
      </c>
      <c r="U10" s="10">
        <v>4</v>
      </c>
      <c r="V10" s="10">
        <v>1</v>
      </c>
      <c r="W10" s="10">
        <v>1</v>
      </c>
    </row>
    <row r="11" spans="1:23">
      <c r="A11" s="22"/>
      <c r="B11" s="24"/>
      <c r="C11" s="9"/>
      <c r="D11" s="9"/>
      <c r="E11" s="9"/>
      <c r="F11" s="9"/>
      <c r="G11" s="9"/>
      <c r="H11" s="9"/>
      <c r="I11" s="9"/>
      <c r="J11" s="9"/>
      <c r="K11" s="9"/>
      <c r="L11" s="9"/>
      <c r="M11" s="9"/>
      <c r="N11" s="9"/>
      <c r="O11" s="9"/>
      <c r="P11" s="9"/>
      <c r="Q11" s="9"/>
      <c r="R11" s="9"/>
      <c r="S11" s="9"/>
      <c r="T11" s="9"/>
      <c r="U11" s="9"/>
      <c r="V11" s="9"/>
      <c r="W11" s="9"/>
    </row>
    <row r="12" spans="1:23">
      <c r="A12" s="23"/>
      <c r="B12" s="11" t="s">
        <v>1524</v>
      </c>
      <c r="C12" s="12">
        <v>11</v>
      </c>
      <c r="D12" s="12">
        <v>1</v>
      </c>
      <c r="E12" s="12">
        <v>0</v>
      </c>
      <c r="F12" s="12">
        <v>1</v>
      </c>
      <c r="G12" s="12">
        <v>0</v>
      </c>
      <c r="H12" s="12">
        <v>0</v>
      </c>
      <c r="I12" s="12">
        <v>0</v>
      </c>
      <c r="J12" s="12">
        <v>0</v>
      </c>
      <c r="K12" s="12">
        <v>0</v>
      </c>
      <c r="L12" s="12">
        <v>1</v>
      </c>
      <c r="M12" s="12">
        <v>0</v>
      </c>
      <c r="N12" s="12">
        <v>0</v>
      </c>
      <c r="O12" s="12">
        <v>1</v>
      </c>
      <c r="P12" s="12">
        <v>1</v>
      </c>
      <c r="Q12" s="12">
        <v>0</v>
      </c>
      <c r="R12" s="12">
        <v>6</v>
      </c>
      <c r="S12" s="12">
        <v>0</v>
      </c>
      <c r="T12" s="12">
        <v>0</v>
      </c>
      <c r="U12" s="12">
        <v>2</v>
      </c>
      <c r="V12" s="12">
        <v>0</v>
      </c>
      <c r="W12" s="12">
        <v>0</v>
      </c>
    </row>
    <row r="13" spans="1:23">
      <c r="A13" s="23"/>
      <c r="B13" s="13" t="s">
        <v>1524</v>
      </c>
      <c r="C13" s="14">
        <v>0.17</v>
      </c>
      <c r="D13" s="14">
        <v>0.14000000000000001</v>
      </c>
      <c r="E13" s="15" t="s">
        <v>485</v>
      </c>
      <c r="F13" s="14">
        <v>0.86</v>
      </c>
      <c r="G13" s="15" t="s">
        <v>485</v>
      </c>
      <c r="H13" s="14">
        <v>0.13</v>
      </c>
      <c r="I13" s="14">
        <v>0.44</v>
      </c>
      <c r="J13" s="15" t="s">
        <v>485</v>
      </c>
      <c r="K13" s="15" t="s">
        <v>485</v>
      </c>
      <c r="L13" s="14">
        <v>0.25</v>
      </c>
      <c r="M13" s="15" t="s">
        <v>485</v>
      </c>
      <c r="N13" s="15" t="s">
        <v>485</v>
      </c>
      <c r="O13" s="14">
        <v>0.88</v>
      </c>
      <c r="P13" s="14">
        <v>0.84</v>
      </c>
      <c r="Q13" s="15" t="s">
        <v>485</v>
      </c>
      <c r="R13" s="14">
        <v>0.39</v>
      </c>
      <c r="S13" s="15" t="s">
        <v>485</v>
      </c>
      <c r="T13" s="15" t="s">
        <v>485</v>
      </c>
      <c r="U13" s="14">
        <v>0.52</v>
      </c>
      <c r="V13" s="15" t="s">
        <v>485</v>
      </c>
      <c r="W13" s="15" t="s">
        <v>485</v>
      </c>
    </row>
    <row r="14" spans="1:23">
      <c r="A14" s="23"/>
      <c r="B14" s="11" t="s">
        <v>1525</v>
      </c>
      <c r="C14" s="12">
        <v>18</v>
      </c>
      <c r="D14" s="12">
        <v>1</v>
      </c>
      <c r="E14" s="12">
        <v>0</v>
      </c>
      <c r="F14" s="12">
        <v>0</v>
      </c>
      <c r="G14" s="12">
        <v>1</v>
      </c>
      <c r="H14" s="12">
        <v>1</v>
      </c>
      <c r="I14" s="12">
        <v>0</v>
      </c>
      <c r="J14" s="12">
        <v>0</v>
      </c>
      <c r="K14" s="12">
        <v>1</v>
      </c>
      <c r="L14" s="12">
        <v>0</v>
      </c>
      <c r="M14" s="12">
        <v>3</v>
      </c>
      <c r="N14" s="12">
        <v>0</v>
      </c>
      <c r="O14" s="12">
        <v>0</v>
      </c>
      <c r="P14" s="12">
        <v>0</v>
      </c>
      <c r="Q14" s="12">
        <v>0</v>
      </c>
      <c r="R14" s="12">
        <v>0</v>
      </c>
      <c r="S14" s="12">
        <v>1</v>
      </c>
      <c r="T14" s="12">
        <v>0</v>
      </c>
      <c r="U14" s="12">
        <v>0</v>
      </c>
      <c r="V14" s="12">
        <v>0</v>
      </c>
      <c r="W14" s="12">
        <v>0</v>
      </c>
    </row>
    <row r="15" spans="1:23">
      <c r="A15" s="23"/>
      <c r="B15" s="13" t="s">
        <v>1525</v>
      </c>
      <c r="C15" s="14">
        <v>0.27</v>
      </c>
      <c r="D15" s="14">
        <v>0.1</v>
      </c>
      <c r="E15" s="15" t="s">
        <v>485</v>
      </c>
      <c r="F15" s="15" t="s">
        <v>485</v>
      </c>
      <c r="G15" s="14">
        <v>0.63</v>
      </c>
      <c r="H15" s="14">
        <v>0.42</v>
      </c>
      <c r="I15" s="15" t="s">
        <v>485</v>
      </c>
      <c r="J15" s="15" t="s">
        <v>485</v>
      </c>
      <c r="K15" s="14">
        <v>0.52</v>
      </c>
      <c r="L15" s="15" t="s">
        <v>485</v>
      </c>
      <c r="M15" s="14">
        <v>0.73</v>
      </c>
      <c r="N15" s="15" t="s">
        <v>485</v>
      </c>
      <c r="O15" s="15" t="s">
        <v>485</v>
      </c>
      <c r="P15" s="15" t="s">
        <v>485</v>
      </c>
      <c r="Q15" s="15" t="s">
        <v>485</v>
      </c>
      <c r="R15" s="15" t="s">
        <v>485</v>
      </c>
      <c r="S15" s="14">
        <v>0.28999999999999998</v>
      </c>
      <c r="T15" s="15" t="s">
        <v>485</v>
      </c>
      <c r="U15" s="15" t="s">
        <v>485</v>
      </c>
      <c r="V15" s="15" t="s">
        <v>485</v>
      </c>
      <c r="W15" s="15" t="s">
        <v>485</v>
      </c>
    </row>
    <row r="16" spans="1:23">
      <c r="A16" s="23"/>
      <c r="B16" s="11" t="s">
        <v>1526</v>
      </c>
      <c r="C16" s="12">
        <v>9</v>
      </c>
      <c r="D16" s="12">
        <v>1</v>
      </c>
      <c r="E16" s="12">
        <v>1</v>
      </c>
      <c r="F16" s="12">
        <v>0</v>
      </c>
      <c r="G16" s="12">
        <v>0</v>
      </c>
      <c r="H16" s="12">
        <v>0</v>
      </c>
      <c r="I16" s="12">
        <v>0</v>
      </c>
      <c r="J16" s="12">
        <v>0</v>
      </c>
      <c r="K16" s="12">
        <v>0</v>
      </c>
      <c r="L16" s="12">
        <v>0</v>
      </c>
      <c r="M16" s="12">
        <v>0</v>
      </c>
      <c r="N16" s="12">
        <v>2</v>
      </c>
      <c r="O16" s="12">
        <v>0</v>
      </c>
      <c r="P16" s="12">
        <v>0</v>
      </c>
      <c r="Q16" s="12">
        <v>0</v>
      </c>
      <c r="R16" s="12">
        <v>3</v>
      </c>
      <c r="S16" s="12">
        <v>3</v>
      </c>
      <c r="T16" s="12">
        <v>1</v>
      </c>
      <c r="U16" s="12">
        <v>0</v>
      </c>
      <c r="V16" s="12">
        <v>0</v>
      </c>
      <c r="W16" s="12">
        <v>0</v>
      </c>
    </row>
    <row r="17" spans="1:23">
      <c r="A17" s="23"/>
      <c r="B17" s="13" t="s">
        <v>1526</v>
      </c>
      <c r="C17" s="14">
        <v>0.13</v>
      </c>
      <c r="D17" s="14">
        <v>0.09</v>
      </c>
      <c r="E17" s="14">
        <v>0.22</v>
      </c>
      <c r="F17" s="15" t="s">
        <v>485</v>
      </c>
      <c r="G17" s="15" t="s">
        <v>485</v>
      </c>
      <c r="H17" s="15" t="s">
        <v>485</v>
      </c>
      <c r="I17" s="15" t="s">
        <v>485</v>
      </c>
      <c r="J17" s="15" t="s">
        <v>485</v>
      </c>
      <c r="K17" s="15" t="s">
        <v>485</v>
      </c>
      <c r="L17" s="15" t="s">
        <v>485</v>
      </c>
      <c r="M17" s="15" t="s">
        <v>485</v>
      </c>
      <c r="N17" s="14">
        <v>1.08</v>
      </c>
      <c r="O17" s="15" t="s">
        <v>485</v>
      </c>
      <c r="P17" s="15" t="s">
        <v>485</v>
      </c>
      <c r="Q17" s="15" t="s">
        <v>485</v>
      </c>
      <c r="R17" s="14">
        <v>0.22</v>
      </c>
      <c r="S17" s="14">
        <v>0.5</v>
      </c>
      <c r="T17" s="14">
        <v>0.71</v>
      </c>
      <c r="U17" s="15" t="s">
        <v>485</v>
      </c>
      <c r="V17" s="15" t="s">
        <v>485</v>
      </c>
      <c r="W17" s="15" t="s">
        <v>485</v>
      </c>
    </row>
    <row r="18" spans="1:23">
      <c r="A18" s="23"/>
      <c r="B18" s="11" t="s">
        <v>1527</v>
      </c>
      <c r="C18" s="12">
        <v>11</v>
      </c>
      <c r="D18" s="12">
        <v>2</v>
      </c>
      <c r="E18" s="12">
        <v>1</v>
      </c>
      <c r="F18" s="12">
        <v>0</v>
      </c>
      <c r="G18" s="12">
        <v>0</v>
      </c>
      <c r="H18" s="12">
        <v>0</v>
      </c>
      <c r="I18" s="12">
        <v>0</v>
      </c>
      <c r="J18" s="12">
        <v>3</v>
      </c>
      <c r="K18" s="12">
        <v>0</v>
      </c>
      <c r="L18" s="12">
        <v>2</v>
      </c>
      <c r="M18" s="12">
        <v>0</v>
      </c>
      <c r="N18" s="12">
        <v>0</v>
      </c>
      <c r="O18" s="12">
        <v>0</v>
      </c>
      <c r="P18" s="12">
        <v>0</v>
      </c>
      <c r="Q18" s="12">
        <v>1</v>
      </c>
      <c r="R18" s="12">
        <v>5</v>
      </c>
      <c r="S18" s="12">
        <v>1</v>
      </c>
      <c r="T18" s="12">
        <v>0</v>
      </c>
      <c r="U18" s="12">
        <v>1</v>
      </c>
      <c r="V18" s="12">
        <v>0</v>
      </c>
      <c r="W18" s="12">
        <v>0</v>
      </c>
    </row>
    <row r="19" spans="1:23">
      <c r="A19" s="23"/>
      <c r="B19" s="13" t="s">
        <v>1527</v>
      </c>
      <c r="C19" s="14">
        <v>0.16</v>
      </c>
      <c r="D19" s="14">
        <v>0.18</v>
      </c>
      <c r="E19" s="14">
        <v>0.19</v>
      </c>
      <c r="F19" s="15" t="s">
        <v>485</v>
      </c>
      <c r="G19" s="15" t="s">
        <v>485</v>
      </c>
      <c r="H19" s="15" t="s">
        <v>485</v>
      </c>
      <c r="I19" s="15" t="s">
        <v>485</v>
      </c>
      <c r="J19" s="14">
        <v>0.62</v>
      </c>
      <c r="K19" s="15" t="s">
        <v>485</v>
      </c>
      <c r="L19" s="14">
        <v>0.46</v>
      </c>
      <c r="M19" s="15" t="s">
        <v>485</v>
      </c>
      <c r="N19" s="15" t="s">
        <v>485</v>
      </c>
      <c r="O19" s="15" t="s">
        <v>485</v>
      </c>
      <c r="P19" s="15" t="s">
        <v>485</v>
      </c>
      <c r="Q19" s="14">
        <v>1.32</v>
      </c>
      <c r="R19" s="14">
        <v>0.33</v>
      </c>
      <c r="S19" s="14">
        <v>0.16</v>
      </c>
      <c r="T19" s="15" t="s">
        <v>485</v>
      </c>
      <c r="U19" s="14">
        <v>0.3</v>
      </c>
      <c r="V19" s="15" t="s">
        <v>485</v>
      </c>
      <c r="W19" s="15" t="s">
        <v>485</v>
      </c>
    </row>
    <row r="20" spans="1:23">
      <c r="A20" s="23"/>
      <c r="B20" s="11" t="s">
        <v>1528</v>
      </c>
      <c r="C20" s="12">
        <v>1</v>
      </c>
      <c r="D20" s="12">
        <v>1</v>
      </c>
      <c r="E20" s="12">
        <v>0</v>
      </c>
      <c r="F20" s="12">
        <v>0</v>
      </c>
      <c r="G20" s="12">
        <v>0</v>
      </c>
      <c r="H20" s="12">
        <v>0</v>
      </c>
      <c r="I20" s="12">
        <v>0</v>
      </c>
      <c r="J20" s="12">
        <v>0</v>
      </c>
      <c r="K20" s="12">
        <v>0</v>
      </c>
      <c r="L20" s="12">
        <v>0</v>
      </c>
      <c r="M20" s="12">
        <v>0</v>
      </c>
      <c r="N20" s="12">
        <v>0</v>
      </c>
      <c r="O20" s="12">
        <v>0</v>
      </c>
      <c r="P20" s="12">
        <v>0</v>
      </c>
      <c r="Q20" s="12">
        <v>0</v>
      </c>
      <c r="R20" s="12">
        <v>0</v>
      </c>
      <c r="S20" s="12">
        <v>1</v>
      </c>
      <c r="T20" s="12">
        <v>0</v>
      </c>
      <c r="U20" s="12">
        <v>0</v>
      </c>
      <c r="V20" s="12">
        <v>1</v>
      </c>
      <c r="W20" s="12">
        <v>0</v>
      </c>
    </row>
    <row r="21" spans="1:23">
      <c r="A21" s="23"/>
      <c r="B21" s="13" t="s">
        <v>1529</v>
      </c>
      <c r="C21" s="14">
        <v>0.02</v>
      </c>
      <c r="D21" s="14">
        <v>0.14000000000000001</v>
      </c>
      <c r="E21" s="15" t="s">
        <v>485</v>
      </c>
      <c r="F21" s="15" t="s">
        <v>485</v>
      </c>
      <c r="G21" s="15" t="s">
        <v>485</v>
      </c>
      <c r="H21" s="15" t="s">
        <v>485</v>
      </c>
      <c r="I21" s="15" t="s">
        <v>485</v>
      </c>
      <c r="J21" s="15" t="s">
        <v>485</v>
      </c>
      <c r="K21" s="15" t="s">
        <v>485</v>
      </c>
      <c r="L21" s="15" t="s">
        <v>485</v>
      </c>
      <c r="M21" s="15" t="s">
        <v>485</v>
      </c>
      <c r="N21" s="15" t="s">
        <v>485</v>
      </c>
      <c r="O21" s="15" t="s">
        <v>485</v>
      </c>
      <c r="P21" s="15" t="s">
        <v>485</v>
      </c>
      <c r="Q21" s="15" t="s">
        <v>485</v>
      </c>
      <c r="R21" s="15" t="s">
        <v>485</v>
      </c>
      <c r="S21" s="14">
        <v>0.11</v>
      </c>
      <c r="T21" s="15" t="s">
        <v>485</v>
      </c>
      <c r="U21" s="15" t="s">
        <v>485</v>
      </c>
      <c r="V21" s="14">
        <v>1.08</v>
      </c>
      <c r="W21" s="15" t="s">
        <v>485</v>
      </c>
    </row>
    <row r="22" spans="1:23">
      <c r="A22" s="23"/>
      <c r="B22" s="11" t="s">
        <v>1530</v>
      </c>
      <c r="C22" s="12">
        <v>3</v>
      </c>
      <c r="D22" s="12">
        <v>0</v>
      </c>
      <c r="E22" s="12">
        <v>1</v>
      </c>
      <c r="F22" s="12">
        <v>0</v>
      </c>
      <c r="G22" s="12">
        <v>0</v>
      </c>
      <c r="H22" s="12">
        <v>0</v>
      </c>
      <c r="I22" s="12">
        <v>0</v>
      </c>
      <c r="J22" s="12">
        <v>2</v>
      </c>
      <c r="K22" s="12">
        <v>0</v>
      </c>
      <c r="L22" s="12">
        <v>1</v>
      </c>
      <c r="M22" s="12">
        <v>0</v>
      </c>
      <c r="N22" s="12">
        <v>0</v>
      </c>
      <c r="O22" s="12">
        <v>0</v>
      </c>
      <c r="P22" s="12">
        <v>0</v>
      </c>
      <c r="Q22" s="12">
        <v>0</v>
      </c>
      <c r="R22" s="12">
        <v>0</v>
      </c>
      <c r="S22" s="12">
        <v>0</v>
      </c>
      <c r="T22" s="12">
        <v>0</v>
      </c>
      <c r="U22" s="12">
        <v>1</v>
      </c>
      <c r="V22" s="12">
        <v>0</v>
      </c>
      <c r="W22" s="12">
        <v>0</v>
      </c>
    </row>
    <row r="23" spans="1:23">
      <c r="A23" s="23"/>
      <c r="B23" s="13" t="s">
        <v>1531</v>
      </c>
      <c r="C23" s="14">
        <v>0.04</v>
      </c>
      <c r="D23" s="15" t="s">
        <v>485</v>
      </c>
      <c r="E23" s="14">
        <v>0.17</v>
      </c>
      <c r="F23" s="15" t="s">
        <v>485</v>
      </c>
      <c r="G23" s="15" t="s">
        <v>485</v>
      </c>
      <c r="H23" s="15" t="s">
        <v>485</v>
      </c>
      <c r="I23" s="15" t="s">
        <v>485</v>
      </c>
      <c r="J23" s="14">
        <v>0.38</v>
      </c>
      <c r="K23" s="15" t="s">
        <v>485</v>
      </c>
      <c r="L23" s="14">
        <v>0.34</v>
      </c>
      <c r="M23" s="15" t="s">
        <v>485</v>
      </c>
      <c r="N23" s="15" t="s">
        <v>485</v>
      </c>
      <c r="O23" s="15" t="s">
        <v>485</v>
      </c>
      <c r="P23" s="15" t="s">
        <v>485</v>
      </c>
      <c r="Q23" s="15" t="s">
        <v>485</v>
      </c>
      <c r="R23" s="15" t="s">
        <v>485</v>
      </c>
      <c r="S23" s="15" t="s">
        <v>485</v>
      </c>
      <c r="T23" s="15" t="s">
        <v>485</v>
      </c>
      <c r="U23" s="14">
        <v>0.18</v>
      </c>
      <c r="V23" s="15" t="s">
        <v>485</v>
      </c>
      <c r="W23" s="15" t="s">
        <v>485</v>
      </c>
    </row>
    <row r="24" spans="1:23">
      <c r="A24" s="23"/>
      <c r="B24" s="11" t="s">
        <v>497</v>
      </c>
      <c r="C24" s="12">
        <v>13</v>
      </c>
      <c r="D24" s="12">
        <v>4</v>
      </c>
      <c r="E24" s="12">
        <v>2</v>
      </c>
      <c r="F24" s="12">
        <v>0</v>
      </c>
      <c r="G24" s="12">
        <v>1</v>
      </c>
      <c r="H24" s="12">
        <v>1</v>
      </c>
      <c r="I24" s="12">
        <v>1</v>
      </c>
      <c r="J24" s="12">
        <v>0</v>
      </c>
      <c r="K24" s="12">
        <v>0</v>
      </c>
      <c r="L24" s="12">
        <v>0</v>
      </c>
      <c r="M24" s="12">
        <v>1</v>
      </c>
      <c r="N24" s="12">
        <v>0</v>
      </c>
      <c r="O24" s="12">
        <v>0</v>
      </c>
      <c r="P24" s="12">
        <v>0</v>
      </c>
      <c r="Q24" s="12">
        <v>0</v>
      </c>
      <c r="R24" s="12">
        <v>1</v>
      </c>
      <c r="S24" s="12">
        <v>0</v>
      </c>
      <c r="T24" s="12">
        <v>1</v>
      </c>
      <c r="U24" s="12">
        <v>0</v>
      </c>
      <c r="V24" s="12">
        <v>0</v>
      </c>
      <c r="W24" s="12">
        <v>1</v>
      </c>
    </row>
    <row r="25" spans="1:23">
      <c r="A25" s="23"/>
      <c r="B25" s="13" t="s">
        <v>498</v>
      </c>
      <c r="C25" s="14">
        <v>0.21</v>
      </c>
      <c r="D25" s="14">
        <v>0.35</v>
      </c>
      <c r="E25" s="14">
        <v>0.42</v>
      </c>
      <c r="F25" s="15" t="s">
        <v>485</v>
      </c>
      <c r="G25" s="14">
        <v>0.41</v>
      </c>
      <c r="H25" s="14">
        <v>0.46</v>
      </c>
      <c r="I25" s="14">
        <v>0.56000000000000005</v>
      </c>
      <c r="J25" s="15" t="s">
        <v>485</v>
      </c>
      <c r="K25" s="15" t="s">
        <v>485</v>
      </c>
      <c r="L25" s="15" t="s">
        <v>485</v>
      </c>
      <c r="M25" s="14">
        <v>0.24</v>
      </c>
      <c r="N25" s="15" t="s">
        <v>485</v>
      </c>
      <c r="O25" s="15" t="s">
        <v>485</v>
      </c>
      <c r="P25" s="15" t="s">
        <v>485</v>
      </c>
      <c r="Q25" s="15" t="s">
        <v>485</v>
      </c>
      <c r="R25" s="14">
        <v>0.06</v>
      </c>
      <c r="S25" s="15" t="s">
        <v>485</v>
      </c>
      <c r="T25" s="14">
        <v>0.33</v>
      </c>
      <c r="U25" s="15" t="s">
        <v>485</v>
      </c>
      <c r="V25" s="15" t="s">
        <v>485</v>
      </c>
      <c r="W25" s="14">
        <v>0.82000000000000006</v>
      </c>
    </row>
    <row r="26" spans="1:23">
      <c r="A26" s="23"/>
      <c r="B26" s="11" t="s">
        <v>1532</v>
      </c>
      <c r="C26" s="12">
        <v>186.23</v>
      </c>
      <c r="D26" s="12">
        <v>861.07</v>
      </c>
      <c r="E26" s="12">
        <v>85.16</v>
      </c>
      <c r="F26" s="12">
        <v>19</v>
      </c>
      <c r="G26" s="12">
        <v>60.25</v>
      </c>
      <c r="H26" s="12">
        <v>42.5</v>
      </c>
      <c r="I26" s="12">
        <v>4.37</v>
      </c>
      <c r="J26" s="12">
        <v>604.49</v>
      </c>
      <c r="K26" s="12">
        <v>100</v>
      </c>
      <c r="L26" s="12">
        <v>274.17</v>
      </c>
      <c r="M26" s="12">
        <v>76.13</v>
      </c>
      <c r="N26" s="12">
        <v>200</v>
      </c>
      <c r="O26" s="12">
        <v>1</v>
      </c>
      <c r="P26" s="12">
        <v>50</v>
      </c>
      <c r="Q26" s="12">
        <v>365</v>
      </c>
      <c r="R26" s="12">
        <v>154.81</v>
      </c>
      <c r="S26" s="12">
        <v>163.05000000000001</v>
      </c>
      <c r="T26" s="12">
        <v>86.97</v>
      </c>
      <c r="U26" s="12">
        <v>86.44</v>
      </c>
      <c r="V26" s="12">
        <v>0</v>
      </c>
      <c r="W26" s="12">
        <v>0</v>
      </c>
    </row>
    <row r="27" spans="1:23">
      <c r="A27" s="23"/>
      <c r="B27" s="13" t="s">
        <v>1533</v>
      </c>
      <c r="C27" s="15" t="s">
        <v>485</v>
      </c>
      <c r="D27" s="15" t="s">
        <v>485</v>
      </c>
      <c r="E27" s="15" t="s">
        <v>485</v>
      </c>
      <c r="F27" s="15" t="s">
        <v>485</v>
      </c>
      <c r="G27" s="15" t="s">
        <v>485</v>
      </c>
      <c r="H27" s="15" t="s">
        <v>485</v>
      </c>
      <c r="I27" s="15" t="s">
        <v>485</v>
      </c>
      <c r="J27" s="15" t="s">
        <v>485</v>
      </c>
      <c r="K27" s="15" t="s">
        <v>485</v>
      </c>
      <c r="L27" s="15" t="s">
        <v>485</v>
      </c>
      <c r="M27" s="15" t="s">
        <v>485</v>
      </c>
      <c r="N27" s="15" t="s">
        <v>485</v>
      </c>
      <c r="O27" s="15" t="s">
        <v>485</v>
      </c>
      <c r="P27" s="15" t="s">
        <v>485</v>
      </c>
      <c r="Q27" s="15" t="s">
        <v>485</v>
      </c>
      <c r="R27" s="15" t="s">
        <v>485</v>
      </c>
      <c r="S27" s="15" t="s">
        <v>485</v>
      </c>
      <c r="T27" s="15" t="s">
        <v>485</v>
      </c>
      <c r="U27" s="15" t="s">
        <v>485</v>
      </c>
      <c r="V27" s="15" t="s">
        <v>485</v>
      </c>
      <c r="W27" s="15" t="s">
        <v>485</v>
      </c>
    </row>
    <row r="28" spans="1:23">
      <c r="A28" s="23"/>
      <c r="B28" s="11" t="s">
        <v>1534</v>
      </c>
      <c r="C28" s="12">
        <v>100</v>
      </c>
      <c r="D28" s="12">
        <v>0</v>
      </c>
      <c r="E28" s="12">
        <v>0</v>
      </c>
      <c r="F28" s="12">
        <v>0</v>
      </c>
      <c r="G28" s="12">
        <v>0</v>
      </c>
      <c r="H28" s="12">
        <v>0</v>
      </c>
      <c r="I28" s="12">
        <v>0</v>
      </c>
      <c r="J28" s="12">
        <v>500</v>
      </c>
      <c r="K28" s="12">
        <v>0</v>
      </c>
      <c r="L28" s="12">
        <v>50</v>
      </c>
      <c r="M28" s="12">
        <v>100</v>
      </c>
      <c r="N28" s="12">
        <v>0</v>
      </c>
      <c r="O28" s="12">
        <v>0</v>
      </c>
      <c r="P28" s="12">
        <v>0</v>
      </c>
      <c r="Q28" s="12">
        <v>0</v>
      </c>
      <c r="R28" s="12">
        <v>40</v>
      </c>
      <c r="S28" s="12">
        <v>150</v>
      </c>
      <c r="T28" s="12">
        <v>0</v>
      </c>
      <c r="U28" s="12">
        <v>20</v>
      </c>
      <c r="V28" s="12">
        <v>0</v>
      </c>
      <c r="W28" s="12">
        <v>0</v>
      </c>
    </row>
    <row r="29" spans="1:23">
      <c r="A29" s="23"/>
      <c r="B29" s="13" t="s">
        <v>1535</v>
      </c>
      <c r="C29" s="15" t="s">
        <v>485</v>
      </c>
      <c r="D29" s="15" t="s">
        <v>485</v>
      </c>
      <c r="E29" s="15" t="s">
        <v>485</v>
      </c>
      <c r="F29" s="15" t="s">
        <v>485</v>
      </c>
      <c r="G29" s="15" t="s">
        <v>485</v>
      </c>
      <c r="H29" s="15" t="s">
        <v>485</v>
      </c>
      <c r="I29" s="15" t="s">
        <v>485</v>
      </c>
      <c r="J29" s="15" t="s">
        <v>485</v>
      </c>
      <c r="K29" s="15" t="s">
        <v>485</v>
      </c>
      <c r="L29" s="15" t="s">
        <v>485</v>
      </c>
      <c r="M29" s="15" t="s">
        <v>485</v>
      </c>
      <c r="N29" s="15" t="s">
        <v>485</v>
      </c>
      <c r="O29" s="15" t="s">
        <v>485</v>
      </c>
      <c r="P29" s="15" t="s">
        <v>485</v>
      </c>
      <c r="Q29" s="15" t="s">
        <v>485</v>
      </c>
      <c r="R29" s="15" t="s">
        <v>485</v>
      </c>
      <c r="S29" s="15" t="s">
        <v>485</v>
      </c>
      <c r="T29" s="15" t="s">
        <v>485</v>
      </c>
      <c r="U29" s="15" t="s">
        <v>485</v>
      </c>
      <c r="V29" s="15" t="s">
        <v>485</v>
      </c>
      <c r="W29" s="15" t="s">
        <v>485</v>
      </c>
    </row>
  </sheetData>
  <mergeCells count="9">
    <mergeCell ref="B4:F4"/>
    <mergeCell ref="C8:W8"/>
    <mergeCell ref="H3:L3"/>
    <mergeCell ref="A10:A29"/>
    <mergeCell ref="B5:F5"/>
    <mergeCell ref="B3:F3"/>
    <mergeCell ref="H5:L5"/>
    <mergeCell ref="B10:B11"/>
    <mergeCell ref="H4:L4"/>
  </mergeCells>
  <pageMargins left="0.75" right="0.75" top="1" bottom="1" header="0.5" footer="0.5"/>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000-000000000000}">
  <dimension ref="A1:V2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22" width="12.42578125" customWidth="1"/>
  </cols>
  <sheetData>
    <row r="1" spans="1:22">
      <c r="I1" s="7" t="s">
        <v>449</v>
      </c>
    </row>
    <row r="2" spans="1:22">
      <c r="C2" s="7" t="s">
        <v>450</v>
      </c>
      <c r="H2" s="7" t="s">
        <v>451</v>
      </c>
    </row>
    <row r="3" spans="1:22" ht="24" customHeight="1">
      <c r="B3" s="19" t="s">
        <v>327</v>
      </c>
      <c r="C3" s="19"/>
      <c r="D3" s="19"/>
      <c r="E3" s="19"/>
      <c r="F3" s="19"/>
      <c r="H3" s="19" t="s">
        <v>328</v>
      </c>
      <c r="I3" s="19"/>
      <c r="J3" s="19"/>
      <c r="K3" s="19"/>
      <c r="L3" s="19"/>
    </row>
    <row r="4" spans="1:22" ht="27" customHeight="1">
      <c r="B4" s="19"/>
      <c r="C4" s="19"/>
      <c r="D4" s="19"/>
      <c r="E4" s="19"/>
      <c r="F4" s="19"/>
      <c r="H4" s="19"/>
      <c r="I4" s="19"/>
      <c r="J4" s="19"/>
      <c r="K4" s="19"/>
      <c r="L4" s="19"/>
    </row>
    <row r="5" spans="1:22" ht="24" customHeight="1">
      <c r="B5" s="19" t="s">
        <v>1538</v>
      </c>
      <c r="C5" s="19"/>
      <c r="D5" s="19"/>
      <c r="E5" s="19"/>
      <c r="F5" s="19"/>
      <c r="H5" s="19" t="s">
        <v>1539</v>
      </c>
      <c r="I5" s="19"/>
      <c r="J5" s="19"/>
      <c r="K5" s="19"/>
      <c r="L5" s="19"/>
    </row>
    <row r="6" spans="1:22" ht="0.95" customHeight="1"/>
    <row r="7" spans="1:22" ht="0.95" customHeight="1"/>
    <row r="8" spans="1:22">
      <c r="C8" s="22"/>
      <c r="D8" s="22"/>
      <c r="E8" s="22"/>
      <c r="F8" s="22"/>
      <c r="G8" s="22"/>
      <c r="H8" s="22"/>
      <c r="I8" s="22"/>
      <c r="J8" s="22"/>
      <c r="K8" s="22"/>
      <c r="L8" s="22"/>
      <c r="M8" s="22"/>
      <c r="N8" s="22"/>
      <c r="O8" s="22"/>
      <c r="P8" s="22"/>
      <c r="Q8" s="22"/>
      <c r="R8" s="22"/>
      <c r="S8" s="22"/>
      <c r="T8" s="22"/>
      <c r="U8" s="22"/>
      <c r="V8" s="22"/>
    </row>
    <row r="9" spans="1:22" ht="18">
      <c r="A9" s="5" t="str">
        <f>HYPERLINK("#Content!A165","&lt;&lt;Back to content")</f>
        <v>&lt;&lt;Back to content</v>
      </c>
      <c r="C9" s="8" t="s">
        <v>454</v>
      </c>
      <c r="D9" s="8" t="s">
        <v>455</v>
      </c>
      <c r="E9" s="8" t="s">
        <v>456</v>
      </c>
      <c r="F9" s="8" t="s">
        <v>457</v>
      </c>
      <c r="G9" s="8" t="s">
        <v>459</v>
      </c>
      <c r="H9" s="8" t="s">
        <v>460</v>
      </c>
      <c r="I9" s="8" t="s">
        <v>462</v>
      </c>
      <c r="J9" s="8" t="s">
        <v>464</v>
      </c>
      <c r="K9" s="8" t="s">
        <v>466</v>
      </c>
      <c r="L9" s="8" t="s">
        <v>467</v>
      </c>
      <c r="M9" s="8" t="s">
        <v>468</v>
      </c>
      <c r="N9" s="8" t="s">
        <v>469</v>
      </c>
      <c r="O9" s="8" t="s">
        <v>475</v>
      </c>
      <c r="P9" s="8" t="s">
        <v>476</v>
      </c>
      <c r="Q9" s="8" t="s">
        <v>477</v>
      </c>
      <c r="R9" s="8" t="s">
        <v>478</v>
      </c>
      <c r="S9" s="8" t="s">
        <v>479</v>
      </c>
      <c r="T9" s="8" t="s">
        <v>480</v>
      </c>
      <c r="U9" s="8" t="s">
        <v>481</v>
      </c>
      <c r="V9" s="8" t="s">
        <v>483</v>
      </c>
    </row>
    <row r="10" spans="1:22">
      <c r="A10" s="23"/>
      <c r="B10" s="18" t="s">
        <v>484</v>
      </c>
      <c r="C10" s="10">
        <v>49</v>
      </c>
      <c r="D10" s="10">
        <v>7</v>
      </c>
      <c r="E10" s="10">
        <v>6</v>
      </c>
      <c r="F10" s="10">
        <v>2</v>
      </c>
      <c r="G10" s="10">
        <v>3</v>
      </c>
      <c r="H10" s="10">
        <v>3</v>
      </c>
      <c r="I10" s="10">
        <v>1</v>
      </c>
      <c r="J10" s="10">
        <v>1</v>
      </c>
      <c r="K10" s="10">
        <v>1</v>
      </c>
      <c r="L10" s="10">
        <v>6</v>
      </c>
      <c r="M10" s="10">
        <v>2</v>
      </c>
      <c r="N10" s="10">
        <v>2</v>
      </c>
      <c r="O10" s="10">
        <v>2</v>
      </c>
      <c r="P10" s="10">
        <v>7</v>
      </c>
      <c r="Q10" s="10">
        <v>2</v>
      </c>
      <c r="R10" s="10">
        <v>7</v>
      </c>
      <c r="S10" s="10">
        <v>2</v>
      </c>
      <c r="T10" s="10">
        <v>1</v>
      </c>
      <c r="U10" s="10">
        <v>2</v>
      </c>
      <c r="V10" s="10">
        <v>2</v>
      </c>
    </row>
    <row r="11" spans="1:22">
      <c r="A11" s="22"/>
      <c r="B11" s="24"/>
      <c r="C11" s="9"/>
      <c r="D11" s="9"/>
      <c r="E11" s="9"/>
      <c r="F11" s="9"/>
      <c r="G11" s="9"/>
      <c r="H11" s="9"/>
      <c r="I11" s="9"/>
      <c r="J11" s="9"/>
      <c r="K11" s="9"/>
      <c r="L11" s="9"/>
      <c r="M11" s="9"/>
      <c r="N11" s="9"/>
      <c r="O11" s="9"/>
      <c r="P11" s="9"/>
      <c r="Q11" s="9"/>
      <c r="R11" s="9"/>
      <c r="S11" s="9"/>
      <c r="T11" s="9"/>
      <c r="U11" s="9"/>
      <c r="V11" s="9"/>
    </row>
    <row r="12" spans="1:22">
      <c r="A12" s="23"/>
      <c r="B12" s="11" t="s">
        <v>1524</v>
      </c>
      <c r="C12" s="12">
        <v>4</v>
      </c>
      <c r="D12" s="12">
        <v>2</v>
      </c>
      <c r="E12" s="12">
        <v>0</v>
      </c>
      <c r="F12" s="12">
        <v>1</v>
      </c>
      <c r="G12" s="12">
        <v>0</v>
      </c>
      <c r="H12" s="12">
        <v>0</v>
      </c>
      <c r="I12" s="12">
        <v>1</v>
      </c>
      <c r="J12" s="12">
        <v>0</v>
      </c>
      <c r="K12" s="12">
        <v>0</v>
      </c>
      <c r="L12" s="12">
        <v>0</v>
      </c>
      <c r="M12" s="12">
        <v>0</v>
      </c>
      <c r="N12" s="12">
        <v>0</v>
      </c>
      <c r="O12" s="12">
        <v>0</v>
      </c>
      <c r="P12" s="12">
        <v>1</v>
      </c>
      <c r="Q12" s="12">
        <v>0</v>
      </c>
      <c r="R12" s="12">
        <v>1</v>
      </c>
      <c r="S12" s="12">
        <v>0</v>
      </c>
      <c r="T12" s="12">
        <v>0</v>
      </c>
      <c r="U12" s="12">
        <v>1</v>
      </c>
      <c r="V12" s="12">
        <v>0</v>
      </c>
    </row>
    <row r="13" spans="1:22">
      <c r="A13" s="23"/>
      <c r="B13" s="13" t="s">
        <v>1524</v>
      </c>
      <c r="C13" s="14">
        <v>0.08</v>
      </c>
      <c r="D13" s="14">
        <v>0.36</v>
      </c>
      <c r="E13" s="15" t="s">
        <v>485</v>
      </c>
      <c r="F13" s="14">
        <v>0.45</v>
      </c>
      <c r="G13" s="15" t="s">
        <v>485</v>
      </c>
      <c r="H13" s="15" t="s">
        <v>485</v>
      </c>
      <c r="I13" s="14">
        <v>0.66</v>
      </c>
      <c r="J13" s="15" t="s">
        <v>485</v>
      </c>
      <c r="K13" s="15" t="s">
        <v>485</v>
      </c>
      <c r="L13" s="15" t="s">
        <v>485</v>
      </c>
      <c r="M13" s="15" t="s">
        <v>485</v>
      </c>
      <c r="N13" s="15" t="s">
        <v>485</v>
      </c>
      <c r="O13" s="15" t="s">
        <v>485</v>
      </c>
      <c r="P13" s="14">
        <v>0.16</v>
      </c>
      <c r="Q13" s="15" t="s">
        <v>485</v>
      </c>
      <c r="R13" s="14">
        <v>0.16</v>
      </c>
      <c r="S13" s="15" t="s">
        <v>485</v>
      </c>
      <c r="T13" s="15" t="s">
        <v>485</v>
      </c>
      <c r="U13" s="14">
        <v>0.48</v>
      </c>
      <c r="V13" s="15" t="s">
        <v>485</v>
      </c>
    </row>
    <row r="14" spans="1:22">
      <c r="A14" s="23"/>
      <c r="B14" s="11" t="s">
        <v>1525</v>
      </c>
      <c r="C14" s="12">
        <v>0</v>
      </c>
      <c r="D14" s="12">
        <v>0</v>
      </c>
      <c r="E14" s="12">
        <v>0</v>
      </c>
      <c r="F14" s="12">
        <v>0</v>
      </c>
      <c r="G14" s="12">
        <v>0</v>
      </c>
      <c r="H14" s="12">
        <v>0</v>
      </c>
      <c r="I14" s="12">
        <v>0</v>
      </c>
      <c r="J14" s="12">
        <v>0</v>
      </c>
      <c r="K14" s="12">
        <v>0</v>
      </c>
      <c r="L14" s="12">
        <v>0</v>
      </c>
      <c r="M14" s="12">
        <v>0</v>
      </c>
      <c r="N14" s="12">
        <v>0</v>
      </c>
      <c r="O14" s="12">
        <v>0</v>
      </c>
      <c r="P14" s="12">
        <v>0</v>
      </c>
      <c r="Q14" s="12">
        <v>0</v>
      </c>
      <c r="R14" s="12">
        <v>0</v>
      </c>
      <c r="S14" s="12">
        <v>0</v>
      </c>
      <c r="T14" s="12">
        <v>1</v>
      </c>
      <c r="U14" s="12">
        <v>1</v>
      </c>
      <c r="V14" s="12">
        <v>0</v>
      </c>
    </row>
    <row r="15" spans="1:22">
      <c r="A15" s="23"/>
      <c r="B15" s="13" t="s">
        <v>1525</v>
      </c>
      <c r="C15" s="14">
        <v>0.01</v>
      </c>
      <c r="D15" s="15" t="s">
        <v>485</v>
      </c>
      <c r="E15" s="15" t="s">
        <v>485</v>
      </c>
      <c r="F15" s="15" t="s">
        <v>485</v>
      </c>
      <c r="G15" s="15" t="s">
        <v>485</v>
      </c>
      <c r="H15" s="15" t="s">
        <v>485</v>
      </c>
      <c r="I15" s="15" t="s">
        <v>485</v>
      </c>
      <c r="J15" s="15" t="s">
        <v>485</v>
      </c>
      <c r="K15" s="15" t="s">
        <v>485</v>
      </c>
      <c r="L15" s="15" t="s">
        <v>485</v>
      </c>
      <c r="M15" s="15" t="s">
        <v>485</v>
      </c>
      <c r="N15" s="15" t="s">
        <v>485</v>
      </c>
      <c r="O15" s="15" t="s">
        <v>485</v>
      </c>
      <c r="P15" s="15" t="s">
        <v>485</v>
      </c>
      <c r="Q15" s="15" t="s">
        <v>485</v>
      </c>
      <c r="R15" s="15" t="s">
        <v>485</v>
      </c>
      <c r="S15" s="15" t="s">
        <v>485</v>
      </c>
      <c r="T15" s="14">
        <v>1.1100000000000001</v>
      </c>
      <c r="U15" s="14">
        <v>0.41</v>
      </c>
      <c r="V15" s="15" t="s">
        <v>485</v>
      </c>
    </row>
    <row r="16" spans="1:22">
      <c r="A16" s="23"/>
      <c r="B16" s="11" t="s">
        <v>1526</v>
      </c>
      <c r="C16" s="12">
        <v>2</v>
      </c>
      <c r="D16" s="12">
        <v>0</v>
      </c>
      <c r="E16" s="12">
        <v>0</v>
      </c>
      <c r="F16" s="12">
        <v>0</v>
      </c>
      <c r="G16" s="12">
        <v>0</v>
      </c>
      <c r="H16" s="12">
        <v>0</v>
      </c>
      <c r="I16" s="12">
        <v>0</v>
      </c>
      <c r="J16" s="12">
        <v>0</v>
      </c>
      <c r="K16" s="12">
        <v>0</v>
      </c>
      <c r="L16" s="12">
        <v>0</v>
      </c>
      <c r="M16" s="12">
        <v>0</v>
      </c>
      <c r="N16" s="12">
        <v>0</v>
      </c>
      <c r="O16" s="12">
        <v>0</v>
      </c>
      <c r="P16" s="12">
        <v>3</v>
      </c>
      <c r="Q16" s="12">
        <v>0</v>
      </c>
      <c r="R16" s="12">
        <v>0</v>
      </c>
      <c r="S16" s="12">
        <v>0</v>
      </c>
      <c r="T16" s="12">
        <v>0</v>
      </c>
      <c r="U16" s="12">
        <v>0</v>
      </c>
      <c r="V16" s="12">
        <v>0</v>
      </c>
    </row>
    <row r="17" spans="1:22">
      <c r="A17" s="23"/>
      <c r="B17" s="13" t="s">
        <v>1526</v>
      </c>
      <c r="C17" s="14">
        <v>0.03</v>
      </c>
      <c r="D17" s="15" t="s">
        <v>485</v>
      </c>
      <c r="E17" s="15" t="s">
        <v>485</v>
      </c>
      <c r="F17" s="15" t="s">
        <v>485</v>
      </c>
      <c r="G17" s="15" t="s">
        <v>485</v>
      </c>
      <c r="H17" s="15" t="s">
        <v>485</v>
      </c>
      <c r="I17" s="15" t="s">
        <v>485</v>
      </c>
      <c r="J17" s="15" t="s">
        <v>485</v>
      </c>
      <c r="K17" s="15" t="s">
        <v>485</v>
      </c>
      <c r="L17" s="15" t="s">
        <v>485</v>
      </c>
      <c r="M17" s="15" t="s">
        <v>485</v>
      </c>
      <c r="N17" s="15" t="s">
        <v>485</v>
      </c>
      <c r="O17" s="15" t="s">
        <v>485</v>
      </c>
      <c r="P17" s="14">
        <v>0.41</v>
      </c>
      <c r="Q17" s="15" t="s">
        <v>485</v>
      </c>
      <c r="R17" s="15" t="s">
        <v>485</v>
      </c>
      <c r="S17" s="15" t="s">
        <v>485</v>
      </c>
      <c r="T17" s="15" t="s">
        <v>485</v>
      </c>
      <c r="U17" s="15" t="s">
        <v>485</v>
      </c>
      <c r="V17" s="15" t="s">
        <v>485</v>
      </c>
    </row>
    <row r="18" spans="1:22">
      <c r="A18" s="23"/>
      <c r="B18" s="11" t="s">
        <v>1527</v>
      </c>
      <c r="C18" s="12">
        <v>18</v>
      </c>
      <c r="D18" s="12">
        <v>1</v>
      </c>
      <c r="E18" s="12">
        <v>2</v>
      </c>
      <c r="F18" s="12">
        <v>1</v>
      </c>
      <c r="G18" s="12">
        <v>1</v>
      </c>
      <c r="H18" s="12">
        <v>1</v>
      </c>
      <c r="I18" s="12">
        <v>0</v>
      </c>
      <c r="J18" s="12">
        <v>1</v>
      </c>
      <c r="K18" s="12">
        <v>0</v>
      </c>
      <c r="L18" s="12">
        <v>5</v>
      </c>
      <c r="M18" s="12">
        <v>0</v>
      </c>
      <c r="N18" s="12">
        <v>2</v>
      </c>
      <c r="O18" s="12">
        <v>2</v>
      </c>
      <c r="P18" s="12">
        <v>2</v>
      </c>
      <c r="Q18" s="12">
        <v>2</v>
      </c>
      <c r="R18" s="12">
        <v>1</v>
      </c>
      <c r="S18" s="12">
        <v>2</v>
      </c>
      <c r="T18" s="12">
        <v>0</v>
      </c>
      <c r="U18" s="12">
        <v>0</v>
      </c>
      <c r="V18" s="12">
        <v>0</v>
      </c>
    </row>
    <row r="19" spans="1:22">
      <c r="A19" s="23"/>
      <c r="B19" s="13" t="s">
        <v>1527</v>
      </c>
      <c r="C19" s="14">
        <v>0.37</v>
      </c>
      <c r="D19" s="14">
        <v>0.22</v>
      </c>
      <c r="E19" s="14">
        <v>0.32</v>
      </c>
      <c r="F19" s="14">
        <v>0.62</v>
      </c>
      <c r="G19" s="14">
        <v>0.31</v>
      </c>
      <c r="H19" s="14">
        <v>0.31</v>
      </c>
      <c r="I19" s="15" t="s">
        <v>485</v>
      </c>
      <c r="J19" s="14">
        <v>0.94000000000000006</v>
      </c>
      <c r="K19" s="15" t="s">
        <v>485</v>
      </c>
      <c r="L19" s="14">
        <v>0.8</v>
      </c>
      <c r="M19" s="15" t="s">
        <v>485</v>
      </c>
      <c r="N19" s="14">
        <v>1.08</v>
      </c>
      <c r="O19" s="14">
        <v>0.97</v>
      </c>
      <c r="P19" s="14">
        <v>0.2</v>
      </c>
      <c r="Q19" s="14">
        <v>1.22</v>
      </c>
      <c r="R19" s="14">
        <v>0.11</v>
      </c>
      <c r="S19" s="14">
        <v>1</v>
      </c>
      <c r="T19" s="15" t="s">
        <v>485</v>
      </c>
      <c r="U19" s="15" t="s">
        <v>485</v>
      </c>
      <c r="V19" s="15" t="s">
        <v>485</v>
      </c>
    </row>
    <row r="20" spans="1:22">
      <c r="A20" s="23"/>
      <c r="B20" s="11" t="s">
        <v>1528</v>
      </c>
      <c r="C20" s="12">
        <v>0</v>
      </c>
      <c r="D20" s="12">
        <v>1</v>
      </c>
      <c r="E20" s="12">
        <v>0</v>
      </c>
      <c r="F20" s="12">
        <v>0</v>
      </c>
      <c r="G20" s="12">
        <v>0</v>
      </c>
      <c r="H20" s="12">
        <v>0</v>
      </c>
      <c r="I20" s="12">
        <v>0</v>
      </c>
      <c r="J20" s="12">
        <v>0</v>
      </c>
      <c r="K20" s="12">
        <v>0</v>
      </c>
      <c r="L20" s="12">
        <v>0</v>
      </c>
      <c r="M20" s="12">
        <v>0</v>
      </c>
      <c r="N20" s="12">
        <v>0</v>
      </c>
      <c r="O20" s="12">
        <v>0</v>
      </c>
      <c r="P20" s="12">
        <v>0</v>
      </c>
      <c r="Q20" s="12">
        <v>0</v>
      </c>
      <c r="R20" s="12">
        <v>0</v>
      </c>
      <c r="S20" s="12">
        <v>0</v>
      </c>
      <c r="T20" s="12">
        <v>0</v>
      </c>
      <c r="U20" s="12">
        <v>0</v>
      </c>
      <c r="V20" s="12">
        <v>0</v>
      </c>
    </row>
    <row r="21" spans="1:22">
      <c r="A21" s="23"/>
      <c r="B21" s="13" t="s">
        <v>1529</v>
      </c>
      <c r="C21" s="14">
        <v>0.01</v>
      </c>
      <c r="D21" s="14">
        <v>0.11</v>
      </c>
      <c r="E21" s="15" t="s">
        <v>485</v>
      </c>
      <c r="F21" s="15" t="s">
        <v>485</v>
      </c>
      <c r="G21" s="15" t="s">
        <v>485</v>
      </c>
      <c r="H21" s="15" t="s">
        <v>485</v>
      </c>
      <c r="I21" s="15" t="s">
        <v>485</v>
      </c>
      <c r="J21" s="15" t="s">
        <v>485</v>
      </c>
      <c r="K21" s="15" t="s">
        <v>485</v>
      </c>
      <c r="L21" s="15" t="s">
        <v>485</v>
      </c>
      <c r="M21" s="15" t="s">
        <v>485</v>
      </c>
      <c r="N21" s="15" t="s">
        <v>485</v>
      </c>
      <c r="O21" s="15" t="s">
        <v>485</v>
      </c>
      <c r="P21" s="15" t="s">
        <v>485</v>
      </c>
      <c r="Q21" s="15" t="s">
        <v>485</v>
      </c>
      <c r="R21" s="15" t="s">
        <v>485</v>
      </c>
      <c r="S21" s="15" t="s">
        <v>485</v>
      </c>
      <c r="T21" s="15" t="s">
        <v>485</v>
      </c>
      <c r="U21" s="15" t="s">
        <v>485</v>
      </c>
      <c r="V21" s="15" t="s">
        <v>485</v>
      </c>
    </row>
    <row r="22" spans="1:22">
      <c r="A22" s="23"/>
      <c r="B22" s="11" t="s">
        <v>1530</v>
      </c>
      <c r="C22" s="12">
        <v>3</v>
      </c>
      <c r="D22" s="12">
        <v>0</v>
      </c>
      <c r="E22" s="12">
        <v>4</v>
      </c>
      <c r="F22" s="12">
        <v>0</v>
      </c>
      <c r="G22" s="12">
        <v>0</v>
      </c>
      <c r="H22" s="12">
        <v>0</v>
      </c>
      <c r="I22" s="12">
        <v>0</v>
      </c>
      <c r="J22" s="12">
        <v>0</v>
      </c>
      <c r="K22" s="12">
        <v>0</v>
      </c>
      <c r="L22" s="12">
        <v>0</v>
      </c>
      <c r="M22" s="12">
        <v>0</v>
      </c>
      <c r="N22" s="12">
        <v>0</v>
      </c>
      <c r="O22" s="12">
        <v>0</v>
      </c>
      <c r="P22" s="12">
        <v>2</v>
      </c>
      <c r="Q22" s="12">
        <v>0</v>
      </c>
      <c r="R22" s="12">
        <v>1</v>
      </c>
      <c r="S22" s="12">
        <v>0</v>
      </c>
      <c r="T22" s="12">
        <v>0</v>
      </c>
      <c r="U22" s="12">
        <v>0</v>
      </c>
      <c r="V22" s="12">
        <v>0</v>
      </c>
    </row>
    <row r="23" spans="1:22">
      <c r="A23" s="23"/>
      <c r="B23" s="13" t="s">
        <v>1531</v>
      </c>
      <c r="C23" s="14">
        <v>0.06</v>
      </c>
      <c r="D23" s="15" t="s">
        <v>485</v>
      </c>
      <c r="E23" s="14">
        <v>0.71</v>
      </c>
      <c r="F23" s="15" t="s">
        <v>485</v>
      </c>
      <c r="G23" s="15" t="s">
        <v>485</v>
      </c>
      <c r="H23" s="15" t="s">
        <v>485</v>
      </c>
      <c r="I23" s="15" t="s">
        <v>485</v>
      </c>
      <c r="J23" s="15" t="s">
        <v>485</v>
      </c>
      <c r="K23" s="15" t="s">
        <v>485</v>
      </c>
      <c r="L23" s="15" t="s">
        <v>485</v>
      </c>
      <c r="M23" s="15" t="s">
        <v>485</v>
      </c>
      <c r="N23" s="15" t="s">
        <v>485</v>
      </c>
      <c r="O23" s="15" t="s">
        <v>485</v>
      </c>
      <c r="P23" s="14">
        <v>0.23</v>
      </c>
      <c r="Q23" s="15" t="s">
        <v>485</v>
      </c>
      <c r="R23" s="14">
        <v>0.14000000000000001</v>
      </c>
      <c r="S23" s="15" t="s">
        <v>485</v>
      </c>
      <c r="T23" s="15" t="s">
        <v>485</v>
      </c>
      <c r="U23" s="15" t="s">
        <v>485</v>
      </c>
      <c r="V23" s="15" t="s">
        <v>485</v>
      </c>
    </row>
    <row r="24" spans="1:22">
      <c r="A24" s="23"/>
      <c r="B24" s="11" t="s">
        <v>497</v>
      </c>
      <c r="C24" s="12">
        <v>21</v>
      </c>
      <c r="D24" s="12">
        <v>2</v>
      </c>
      <c r="E24" s="12">
        <v>0</v>
      </c>
      <c r="F24" s="12">
        <v>0</v>
      </c>
      <c r="G24" s="12">
        <v>2</v>
      </c>
      <c r="H24" s="12">
        <v>2</v>
      </c>
      <c r="I24" s="12">
        <v>0</v>
      </c>
      <c r="J24" s="12">
        <v>0</v>
      </c>
      <c r="K24" s="12">
        <v>1</v>
      </c>
      <c r="L24" s="12">
        <v>1</v>
      </c>
      <c r="M24" s="12">
        <v>2</v>
      </c>
      <c r="N24" s="12">
        <v>0</v>
      </c>
      <c r="O24" s="12">
        <v>0</v>
      </c>
      <c r="P24" s="12">
        <v>0</v>
      </c>
      <c r="Q24" s="12">
        <v>0</v>
      </c>
      <c r="R24" s="12">
        <v>4</v>
      </c>
      <c r="S24" s="12">
        <v>0</v>
      </c>
      <c r="T24" s="12">
        <v>0</v>
      </c>
      <c r="U24" s="12">
        <v>0</v>
      </c>
      <c r="V24" s="12">
        <v>2</v>
      </c>
    </row>
    <row r="25" spans="1:22">
      <c r="A25" s="23"/>
      <c r="B25" s="13" t="s">
        <v>498</v>
      </c>
      <c r="C25" s="14">
        <v>0.44</v>
      </c>
      <c r="D25" s="14">
        <v>0.28000000000000003</v>
      </c>
      <c r="E25" s="15" t="s">
        <v>485</v>
      </c>
      <c r="F25" s="15" t="s">
        <v>485</v>
      </c>
      <c r="G25" s="14">
        <v>0.71</v>
      </c>
      <c r="H25" s="14">
        <v>0.71</v>
      </c>
      <c r="I25" s="15" t="s">
        <v>485</v>
      </c>
      <c r="J25" s="15" t="s">
        <v>485</v>
      </c>
      <c r="K25" s="14">
        <v>0.85</v>
      </c>
      <c r="L25" s="14">
        <v>0.15</v>
      </c>
      <c r="M25" s="14">
        <v>0.89</v>
      </c>
      <c r="N25" s="15" t="s">
        <v>485</v>
      </c>
      <c r="O25" s="15" t="s">
        <v>485</v>
      </c>
      <c r="P25" s="15" t="s">
        <v>485</v>
      </c>
      <c r="Q25" s="15" t="s">
        <v>485</v>
      </c>
      <c r="R25" s="14">
        <v>0.59</v>
      </c>
      <c r="S25" s="15" t="s">
        <v>485</v>
      </c>
      <c r="T25" s="15" t="s">
        <v>485</v>
      </c>
      <c r="U25" s="15" t="s">
        <v>485</v>
      </c>
      <c r="V25" s="14">
        <v>0.88</v>
      </c>
    </row>
    <row r="26" spans="1:22">
      <c r="A26" s="23"/>
      <c r="B26" s="11" t="s">
        <v>1532</v>
      </c>
      <c r="C26" s="12">
        <v>3833.8</v>
      </c>
      <c r="D26" s="12">
        <v>520.86</v>
      </c>
      <c r="E26" s="12">
        <v>510.5</v>
      </c>
      <c r="F26" s="12">
        <v>1723.45</v>
      </c>
      <c r="G26" s="12">
        <v>155.84</v>
      </c>
      <c r="H26" s="12">
        <v>155.84</v>
      </c>
      <c r="I26" s="12">
        <v>10</v>
      </c>
      <c r="J26" s="12">
        <v>1500</v>
      </c>
      <c r="K26" s="12">
        <v>0</v>
      </c>
      <c r="L26" s="12">
        <v>2425.0700000000002</v>
      </c>
      <c r="M26" s="12">
        <v>0</v>
      </c>
      <c r="N26" s="12">
        <v>300</v>
      </c>
      <c r="O26" s="12">
        <v>2450</v>
      </c>
      <c r="P26" s="12">
        <v>146.62</v>
      </c>
      <c r="Q26" s="12">
        <v>15544.93</v>
      </c>
      <c r="R26" s="12">
        <v>546.30999999999995</v>
      </c>
      <c r="S26" s="12">
        <v>26444.46</v>
      </c>
      <c r="T26" s="12">
        <v>100</v>
      </c>
      <c r="U26" s="12">
        <v>73.09</v>
      </c>
      <c r="V26" s="12">
        <v>0</v>
      </c>
    </row>
    <row r="27" spans="1:22">
      <c r="A27" s="23"/>
      <c r="B27" s="13" t="s">
        <v>1533</v>
      </c>
      <c r="C27" s="15" t="s">
        <v>485</v>
      </c>
      <c r="D27" s="15" t="s">
        <v>485</v>
      </c>
      <c r="E27" s="15" t="s">
        <v>485</v>
      </c>
      <c r="F27" s="15" t="s">
        <v>485</v>
      </c>
      <c r="G27" s="15" t="s">
        <v>485</v>
      </c>
      <c r="H27" s="15" t="s">
        <v>485</v>
      </c>
      <c r="I27" s="15" t="s">
        <v>485</v>
      </c>
      <c r="J27" s="15" t="s">
        <v>485</v>
      </c>
      <c r="K27" s="15" t="s">
        <v>485</v>
      </c>
      <c r="L27" s="15" t="s">
        <v>485</v>
      </c>
      <c r="M27" s="15" t="s">
        <v>485</v>
      </c>
      <c r="N27" s="15" t="s">
        <v>485</v>
      </c>
      <c r="O27" s="15" t="s">
        <v>485</v>
      </c>
      <c r="P27" s="15" t="s">
        <v>485</v>
      </c>
      <c r="Q27" s="15" t="s">
        <v>485</v>
      </c>
      <c r="R27" s="15" t="s">
        <v>485</v>
      </c>
      <c r="S27" s="15" t="s">
        <v>485</v>
      </c>
      <c r="T27" s="15" t="s">
        <v>485</v>
      </c>
      <c r="U27" s="15" t="s">
        <v>485</v>
      </c>
      <c r="V27" s="15" t="s">
        <v>485</v>
      </c>
    </row>
    <row r="28" spans="1:22">
      <c r="A28" s="23"/>
      <c r="B28" s="11" t="s">
        <v>1534</v>
      </c>
      <c r="C28" s="12">
        <v>50</v>
      </c>
      <c r="D28" s="12">
        <v>0</v>
      </c>
      <c r="E28" s="12">
        <v>255</v>
      </c>
      <c r="F28" s="12">
        <v>1</v>
      </c>
      <c r="G28" s="12">
        <v>0</v>
      </c>
      <c r="H28" s="12">
        <v>0</v>
      </c>
      <c r="I28" s="12">
        <v>0</v>
      </c>
      <c r="J28" s="12">
        <v>0</v>
      </c>
      <c r="K28" s="12">
        <v>0</v>
      </c>
      <c r="L28" s="12">
        <v>500</v>
      </c>
      <c r="M28" s="12">
        <v>0</v>
      </c>
      <c r="N28" s="12">
        <v>0</v>
      </c>
      <c r="O28" s="12">
        <v>0</v>
      </c>
      <c r="P28" s="12">
        <v>10</v>
      </c>
      <c r="Q28" s="12">
        <v>352</v>
      </c>
      <c r="R28" s="12">
        <v>0</v>
      </c>
      <c r="S28" s="12">
        <v>2010</v>
      </c>
      <c r="T28" s="12">
        <v>0</v>
      </c>
      <c r="U28" s="12">
        <v>0</v>
      </c>
      <c r="V28" s="12">
        <v>0</v>
      </c>
    </row>
    <row r="29" spans="1:22">
      <c r="A29" s="23"/>
      <c r="B29" s="13" t="s">
        <v>1535</v>
      </c>
      <c r="C29" s="15" t="s">
        <v>485</v>
      </c>
      <c r="D29" s="15" t="s">
        <v>485</v>
      </c>
      <c r="E29" s="15" t="s">
        <v>485</v>
      </c>
      <c r="F29" s="15" t="s">
        <v>485</v>
      </c>
      <c r="G29" s="15" t="s">
        <v>485</v>
      </c>
      <c r="H29" s="15" t="s">
        <v>485</v>
      </c>
      <c r="I29" s="15" t="s">
        <v>485</v>
      </c>
      <c r="J29" s="15" t="s">
        <v>485</v>
      </c>
      <c r="K29" s="15" t="s">
        <v>485</v>
      </c>
      <c r="L29" s="15" t="s">
        <v>485</v>
      </c>
      <c r="M29" s="15" t="s">
        <v>485</v>
      </c>
      <c r="N29" s="15" t="s">
        <v>485</v>
      </c>
      <c r="O29" s="15" t="s">
        <v>485</v>
      </c>
      <c r="P29" s="15" t="s">
        <v>485</v>
      </c>
      <c r="Q29" s="15" t="s">
        <v>485</v>
      </c>
      <c r="R29" s="15" t="s">
        <v>485</v>
      </c>
      <c r="S29" s="15" t="s">
        <v>485</v>
      </c>
      <c r="T29" s="15" t="s">
        <v>485</v>
      </c>
      <c r="U29" s="15" t="s">
        <v>485</v>
      </c>
      <c r="V29" s="15" t="s">
        <v>485</v>
      </c>
    </row>
  </sheetData>
  <mergeCells count="9">
    <mergeCell ref="B4:F4"/>
    <mergeCell ref="H3:L3"/>
    <mergeCell ref="C8:V8"/>
    <mergeCell ref="A10:A29"/>
    <mergeCell ref="B5:F5"/>
    <mergeCell ref="B3:F3"/>
    <mergeCell ref="H5:L5"/>
    <mergeCell ref="B10:B11"/>
    <mergeCell ref="H4:L4"/>
  </mergeCells>
  <pageMargins left="0.75" right="0.75" top="1" bottom="1" header="0.5" footer="0.5"/>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100-000000000000}">
  <dimension ref="A1:Y2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25" width="12.42578125" customWidth="1"/>
  </cols>
  <sheetData>
    <row r="1" spans="1:25">
      <c r="I1" s="7" t="s">
        <v>449</v>
      </c>
    </row>
    <row r="2" spans="1:25">
      <c r="C2" s="7" t="s">
        <v>450</v>
      </c>
      <c r="H2" s="7" t="s">
        <v>451</v>
      </c>
    </row>
    <row r="3" spans="1:25" ht="36" customHeight="1">
      <c r="B3" s="19" t="s">
        <v>329</v>
      </c>
      <c r="C3" s="19"/>
      <c r="D3" s="19"/>
      <c r="E3" s="19"/>
      <c r="F3" s="19"/>
      <c r="H3" s="19" t="s">
        <v>330</v>
      </c>
      <c r="I3" s="19"/>
      <c r="J3" s="19"/>
      <c r="K3" s="19"/>
      <c r="L3" s="19"/>
    </row>
    <row r="4" spans="1:25" ht="27" customHeight="1">
      <c r="B4" s="19"/>
      <c r="C4" s="19"/>
      <c r="D4" s="19"/>
      <c r="E4" s="19"/>
      <c r="F4" s="19"/>
      <c r="H4" s="19"/>
      <c r="I4" s="19"/>
      <c r="J4" s="19"/>
      <c r="K4" s="19"/>
      <c r="L4" s="19"/>
    </row>
    <row r="5" spans="1:25" ht="36" customHeight="1">
      <c r="B5" s="19" t="s">
        <v>1540</v>
      </c>
      <c r="C5" s="19"/>
      <c r="D5" s="19"/>
      <c r="E5" s="19"/>
      <c r="F5" s="19"/>
      <c r="H5" s="19" t="s">
        <v>1541</v>
      </c>
      <c r="I5" s="19"/>
      <c r="J5" s="19"/>
      <c r="K5" s="19"/>
      <c r="L5" s="19"/>
    </row>
    <row r="6" spans="1:25" ht="0.95" customHeight="1"/>
    <row r="7" spans="1:25" ht="0.95" customHeight="1"/>
    <row r="8" spans="1:25">
      <c r="C8" s="22"/>
      <c r="D8" s="22"/>
      <c r="E8" s="22"/>
      <c r="F8" s="22"/>
      <c r="G8" s="22"/>
      <c r="H8" s="22"/>
      <c r="I8" s="22"/>
      <c r="J8" s="22"/>
      <c r="K8" s="22"/>
      <c r="L8" s="22"/>
      <c r="M8" s="22"/>
      <c r="N8" s="22"/>
      <c r="O8" s="22"/>
      <c r="P8" s="22"/>
      <c r="Q8" s="22"/>
      <c r="R8" s="22"/>
      <c r="S8" s="22"/>
      <c r="T8" s="22"/>
      <c r="U8" s="22"/>
      <c r="V8" s="22"/>
      <c r="W8" s="22"/>
      <c r="X8" s="22"/>
      <c r="Y8" s="22"/>
    </row>
    <row r="9" spans="1:25" ht="18">
      <c r="A9" s="5" t="str">
        <f>HYPERLINK("#Content!A166","&lt;&lt;Back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467</v>
      </c>
      <c r="O9" s="8" t="s">
        <v>468</v>
      </c>
      <c r="P9" s="8" t="s">
        <v>469</v>
      </c>
      <c r="Q9" s="8" t="s">
        <v>470</v>
      </c>
      <c r="R9" s="8" t="s">
        <v>471</v>
      </c>
      <c r="S9" s="8" t="s">
        <v>473</v>
      </c>
      <c r="T9" s="8" t="s">
        <v>475</v>
      </c>
      <c r="U9" s="8" t="s">
        <v>476</v>
      </c>
      <c r="V9" s="8" t="s">
        <v>477</v>
      </c>
      <c r="W9" s="8" t="s">
        <v>479</v>
      </c>
      <c r="X9" s="8" t="s">
        <v>480</v>
      </c>
      <c r="Y9" s="8" t="s">
        <v>481</v>
      </c>
    </row>
    <row r="10" spans="1:25">
      <c r="A10" s="23"/>
      <c r="B10" s="18" t="s">
        <v>484</v>
      </c>
      <c r="C10" s="10">
        <v>70</v>
      </c>
      <c r="D10" s="10">
        <v>6</v>
      </c>
      <c r="E10" s="10">
        <v>14</v>
      </c>
      <c r="F10" s="10">
        <v>3</v>
      </c>
      <c r="G10" s="10">
        <v>2</v>
      </c>
      <c r="H10" s="10">
        <v>3</v>
      </c>
      <c r="I10" s="10">
        <v>4</v>
      </c>
      <c r="J10" s="10">
        <v>1</v>
      </c>
      <c r="K10" s="10">
        <v>4</v>
      </c>
      <c r="L10" s="10">
        <v>3</v>
      </c>
      <c r="M10" s="10">
        <v>1</v>
      </c>
      <c r="N10" s="10">
        <v>5</v>
      </c>
      <c r="O10" s="10">
        <v>4</v>
      </c>
      <c r="P10" s="10">
        <v>1</v>
      </c>
      <c r="Q10" s="10">
        <v>3</v>
      </c>
      <c r="R10" s="10">
        <v>2</v>
      </c>
      <c r="S10" s="10">
        <v>2</v>
      </c>
      <c r="T10" s="10">
        <v>4</v>
      </c>
      <c r="U10" s="10">
        <v>3</v>
      </c>
      <c r="V10" s="10">
        <v>6</v>
      </c>
      <c r="W10" s="10">
        <v>2</v>
      </c>
      <c r="X10" s="10">
        <v>1</v>
      </c>
      <c r="Y10" s="10">
        <v>13</v>
      </c>
    </row>
    <row r="11" spans="1:25">
      <c r="A11" s="22"/>
      <c r="B11" s="24"/>
      <c r="C11" s="9"/>
      <c r="D11" s="9"/>
      <c r="E11" s="9"/>
      <c r="F11" s="9"/>
      <c r="G11" s="9"/>
      <c r="H11" s="9"/>
      <c r="I11" s="9"/>
      <c r="J11" s="9"/>
      <c r="K11" s="9"/>
      <c r="L11" s="9"/>
      <c r="M11" s="9"/>
      <c r="N11" s="9"/>
      <c r="O11" s="9"/>
      <c r="P11" s="9"/>
      <c r="Q11" s="9"/>
      <c r="R11" s="9"/>
      <c r="S11" s="9"/>
      <c r="T11" s="9"/>
      <c r="U11" s="9"/>
      <c r="V11" s="9"/>
      <c r="W11" s="9"/>
      <c r="X11" s="9"/>
      <c r="Y11" s="9"/>
    </row>
    <row r="12" spans="1:25">
      <c r="A12" s="23"/>
      <c r="B12" s="11" t="s">
        <v>1524</v>
      </c>
      <c r="C12" s="12">
        <v>4</v>
      </c>
      <c r="D12" s="12">
        <v>2</v>
      </c>
      <c r="E12" s="12">
        <v>2</v>
      </c>
      <c r="F12" s="12">
        <v>0</v>
      </c>
      <c r="G12" s="12">
        <v>0</v>
      </c>
      <c r="H12" s="12">
        <v>0</v>
      </c>
      <c r="I12" s="12">
        <v>0</v>
      </c>
      <c r="J12" s="12">
        <v>0</v>
      </c>
      <c r="K12" s="12">
        <v>0</v>
      </c>
      <c r="L12" s="12">
        <v>0</v>
      </c>
      <c r="M12" s="12">
        <v>0</v>
      </c>
      <c r="N12" s="12">
        <v>0</v>
      </c>
      <c r="O12" s="12">
        <v>0</v>
      </c>
      <c r="P12" s="12">
        <v>1</v>
      </c>
      <c r="Q12" s="12">
        <v>1</v>
      </c>
      <c r="R12" s="12">
        <v>1</v>
      </c>
      <c r="S12" s="12">
        <v>0</v>
      </c>
      <c r="T12" s="12">
        <v>0</v>
      </c>
      <c r="U12" s="12">
        <v>0</v>
      </c>
      <c r="V12" s="12">
        <v>0</v>
      </c>
      <c r="W12" s="12">
        <v>1</v>
      </c>
      <c r="X12" s="12">
        <v>0</v>
      </c>
      <c r="Y12" s="12">
        <v>1</v>
      </c>
    </row>
    <row r="13" spans="1:25">
      <c r="A13" s="23"/>
      <c r="B13" s="13" t="s">
        <v>1524</v>
      </c>
      <c r="C13" s="14">
        <v>0.05</v>
      </c>
      <c r="D13" s="14">
        <v>0.33</v>
      </c>
      <c r="E13" s="14">
        <v>0.13</v>
      </c>
      <c r="F13" s="15" t="s">
        <v>485</v>
      </c>
      <c r="G13" s="15" t="s">
        <v>485</v>
      </c>
      <c r="H13" s="15" t="s">
        <v>485</v>
      </c>
      <c r="I13" s="15" t="s">
        <v>485</v>
      </c>
      <c r="J13" s="15" t="s">
        <v>485</v>
      </c>
      <c r="K13" s="15" t="s">
        <v>485</v>
      </c>
      <c r="L13" s="15" t="s">
        <v>485</v>
      </c>
      <c r="M13" s="15" t="s">
        <v>485</v>
      </c>
      <c r="N13" s="15" t="s">
        <v>485</v>
      </c>
      <c r="O13" s="15" t="s">
        <v>485</v>
      </c>
      <c r="P13" s="14">
        <v>1.33</v>
      </c>
      <c r="Q13" s="14">
        <v>0.36</v>
      </c>
      <c r="R13" s="14">
        <v>0.45</v>
      </c>
      <c r="S13" s="15" t="s">
        <v>485</v>
      </c>
      <c r="T13" s="15" t="s">
        <v>485</v>
      </c>
      <c r="U13" s="15" t="s">
        <v>485</v>
      </c>
      <c r="V13" s="15" t="s">
        <v>485</v>
      </c>
      <c r="W13" s="14">
        <v>0.41</v>
      </c>
      <c r="X13" s="15" t="s">
        <v>485</v>
      </c>
      <c r="Y13" s="14">
        <v>0.08</v>
      </c>
    </row>
    <row r="14" spans="1:25">
      <c r="A14" s="23"/>
      <c r="B14" s="11" t="s">
        <v>1525</v>
      </c>
      <c r="C14" s="12">
        <v>8</v>
      </c>
      <c r="D14" s="12">
        <v>0</v>
      </c>
      <c r="E14" s="12">
        <v>0</v>
      </c>
      <c r="F14" s="12">
        <v>1</v>
      </c>
      <c r="G14" s="12">
        <v>0</v>
      </c>
      <c r="H14" s="12">
        <v>0</v>
      </c>
      <c r="I14" s="12">
        <v>0</v>
      </c>
      <c r="J14" s="12">
        <v>0</v>
      </c>
      <c r="K14" s="12">
        <v>0</v>
      </c>
      <c r="L14" s="12">
        <v>0</v>
      </c>
      <c r="M14" s="12">
        <v>0</v>
      </c>
      <c r="N14" s="12">
        <v>1</v>
      </c>
      <c r="O14" s="12">
        <v>1</v>
      </c>
      <c r="P14" s="12">
        <v>0</v>
      </c>
      <c r="Q14" s="12">
        <v>0</v>
      </c>
      <c r="R14" s="12">
        <v>0</v>
      </c>
      <c r="S14" s="12">
        <v>0</v>
      </c>
      <c r="T14" s="12">
        <v>0</v>
      </c>
      <c r="U14" s="12">
        <v>1</v>
      </c>
      <c r="V14" s="12">
        <v>0</v>
      </c>
      <c r="W14" s="12">
        <v>1</v>
      </c>
      <c r="X14" s="12">
        <v>0</v>
      </c>
      <c r="Y14" s="12">
        <v>3</v>
      </c>
    </row>
    <row r="15" spans="1:25">
      <c r="A15" s="23"/>
      <c r="B15" s="13" t="s">
        <v>1525</v>
      </c>
      <c r="C15" s="14">
        <v>0.12</v>
      </c>
      <c r="D15" s="15" t="s">
        <v>485</v>
      </c>
      <c r="E15" s="15" t="s">
        <v>485</v>
      </c>
      <c r="F15" s="14">
        <v>0.3</v>
      </c>
      <c r="G15" s="15" t="s">
        <v>485</v>
      </c>
      <c r="H15" s="15" t="s">
        <v>485</v>
      </c>
      <c r="I15" s="15" t="s">
        <v>485</v>
      </c>
      <c r="J15" s="15" t="s">
        <v>485</v>
      </c>
      <c r="K15" s="15" t="s">
        <v>485</v>
      </c>
      <c r="L15" s="15" t="s">
        <v>485</v>
      </c>
      <c r="M15" s="15" t="s">
        <v>485</v>
      </c>
      <c r="N15" s="14">
        <v>0.16</v>
      </c>
      <c r="O15" s="14">
        <v>0.34</v>
      </c>
      <c r="P15" s="15" t="s">
        <v>485</v>
      </c>
      <c r="Q15" s="15" t="s">
        <v>485</v>
      </c>
      <c r="R15" s="15" t="s">
        <v>485</v>
      </c>
      <c r="S15" s="15" t="s">
        <v>485</v>
      </c>
      <c r="T15" s="15" t="s">
        <v>485</v>
      </c>
      <c r="U15" s="14">
        <v>0.5</v>
      </c>
      <c r="V15" s="15" t="s">
        <v>485</v>
      </c>
      <c r="W15" s="14">
        <v>0.62</v>
      </c>
      <c r="X15" s="15" t="s">
        <v>485</v>
      </c>
      <c r="Y15" s="14">
        <v>0.22</v>
      </c>
    </row>
    <row r="16" spans="1:25">
      <c r="A16" s="23"/>
      <c r="B16" s="11" t="s">
        <v>1526</v>
      </c>
      <c r="C16" s="12">
        <v>1</v>
      </c>
      <c r="D16" s="12">
        <v>0</v>
      </c>
      <c r="E16" s="12">
        <v>0</v>
      </c>
      <c r="F16" s="12">
        <v>0</v>
      </c>
      <c r="G16" s="12">
        <v>0</v>
      </c>
      <c r="H16" s="12">
        <v>0</v>
      </c>
      <c r="I16" s="12">
        <v>0</v>
      </c>
      <c r="J16" s="12">
        <v>0</v>
      </c>
      <c r="K16" s="12">
        <v>0</v>
      </c>
      <c r="L16" s="12">
        <v>0</v>
      </c>
      <c r="M16" s="12">
        <v>0</v>
      </c>
      <c r="N16" s="12">
        <v>1</v>
      </c>
      <c r="O16" s="12">
        <v>0</v>
      </c>
      <c r="P16" s="12">
        <v>0</v>
      </c>
      <c r="Q16" s="12">
        <v>0</v>
      </c>
      <c r="R16" s="12">
        <v>0</v>
      </c>
      <c r="S16" s="12">
        <v>1</v>
      </c>
      <c r="T16" s="12">
        <v>0</v>
      </c>
      <c r="U16" s="12">
        <v>1</v>
      </c>
      <c r="V16" s="12">
        <v>0</v>
      </c>
      <c r="W16" s="12">
        <v>0</v>
      </c>
      <c r="X16" s="12">
        <v>0</v>
      </c>
      <c r="Y16" s="12">
        <v>0</v>
      </c>
    </row>
    <row r="17" spans="1:25">
      <c r="A17" s="23"/>
      <c r="B17" s="13" t="s">
        <v>1526</v>
      </c>
      <c r="C17" s="14">
        <v>0.02</v>
      </c>
      <c r="D17" s="15" t="s">
        <v>485</v>
      </c>
      <c r="E17" s="15" t="s">
        <v>485</v>
      </c>
      <c r="F17" s="15" t="s">
        <v>485</v>
      </c>
      <c r="G17" s="15" t="s">
        <v>485</v>
      </c>
      <c r="H17" s="15" t="s">
        <v>485</v>
      </c>
      <c r="I17" s="15" t="s">
        <v>485</v>
      </c>
      <c r="J17" s="15" t="s">
        <v>485</v>
      </c>
      <c r="K17" s="15" t="s">
        <v>485</v>
      </c>
      <c r="L17" s="15" t="s">
        <v>485</v>
      </c>
      <c r="M17" s="15" t="s">
        <v>485</v>
      </c>
      <c r="N17" s="14">
        <v>0.22</v>
      </c>
      <c r="O17" s="15" t="s">
        <v>485</v>
      </c>
      <c r="P17" s="15" t="s">
        <v>485</v>
      </c>
      <c r="Q17" s="15" t="s">
        <v>485</v>
      </c>
      <c r="R17" s="15" t="s">
        <v>485</v>
      </c>
      <c r="S17" s="14">
        <v>0.39</v>
      </c>
      <c r="T17" s="15" t="s">
        <v>485</v>
      </c>
      <c r="U17" s="14">
        <v>0.41</v>
      </c>
      <c r="V17" s="15" t="s">
        <v>485</v>
      </c>
      <c r="W17" s="15" t="s">
        <v>485</v>
      </c>
      <c r="X17" s="15" t="s">
        <v>485</v>
      </c>
      <c r="Y17" s="15" t="s">
        <v>485</v>
      </c>
    </row>
    <row r="18" spans="1:25">
      <c r="A18" s="23"/>
      <c r="B18" s="11" t="s">
        <v>1527</v>
      </c>
      <c r="C18" s="12">
        <v>11</v>
      </c>
      <c r="D18" s="12">
        <v>0</v>
      </c>
      <c r="E18" s="12">
        <v>2</v>
      </c>
      <c r="F18" s="12">
        <v>2</v>
      </c>
      <c r="G18" s="12">
        <v>0</v>
      </c>
      <c r="H18" s="12">
        <v>0</v>
      </c>
      <c r="I18" s="12">
        <v>0</v>
      </c>
      <c r="J18" s="12">
        <v>0</v>
      </c>
      <c r="K18" s="12">
        <v>1</v>
      </c>
      <c r="L18" s="12">
        <v>1</v>
      </c>
      <c r="M18" s="12">
        <v>0</v>
      </c>
      <c r="N18" s="12">
        <v>3</v>
      </c>
      <c r="O18" s="12">
        <v>1</v>
      </c>
      <c r="P18" s="12">
        <v>0</v>
      </c>
      <c r="Q18" s="12">
        <v>0</v>
      </c>
      <c r="R18" s="12">
        <v>0</v>
      </c>
      <c r="S18" s="12">
        <v>0</v>
      </c>
      <c r="T18" s="12">
        <v>3</v>
      </c>
      <c r="U18" s="12">
        <v>0</v>
      </c>
      <c r="V18" s="12">
        <v>1</v>
      </c>
      <c r="W18" s="12">
        <v>0</v>
      </c>
      <c r="X18" s="12">
        <v>0</v>
      </c>
      <c r="Y18" s="12">
        <v>0</v>
      </c>
    </row>
    <row r="19" spans="1:25">
      <c r="A19" s="23"/>
      <c r="B19" s="13" t="s">
        <v>1527</v>
      </c>
      <c r="C19" s="14">
        <v>0.16</v>
      </c>
      <c r="D19" s="15" t="s">
        <v>485</v>
      </c>
      <c r="E19" s="14">
        <v>0.13</v>
      </c>
      <c r="F19" s="14">
        <v>0.5</v>
      </c>
      <c r="G19" s="15" t="s">
        <v>485</v>
      </c>
      <c r="H19" s="15" t="s">
        <v>485</v>
      </c>
      <c r="I19" s="15" t="s">
        <v>485</v>
      </c>
      <c r="J19" s="15" t="s">
        <v>485</v>
      </c>
      <c r="K19" s="14">
        <v>0.3</v>
      </c>
      <c r="L19" s="14">
        <v>0.26</v>
      </c>
      <c r="M19" s="15" t="s">
        <v>485</v>
      </c>
      <c r="N19" s="14">
        <v>0.62</v>
      </c>
      <c r="O19" s="14">
        <v>0.15</v>
      </c>
      <c r="P19" s="15" t="s">
        <v>485</v>
      </c>
      <c r="Q19" s="15" t="s">
        <v>485</v>
      </c>
      <c r="R19" s="15" t="s">
        <v>485</v>
      </c>
      <c r="S19" s="15" t="s">
        <v>485</v>
      </c>
      <c r="T19" s="14">
        <v>0.85</v>
      </c>
      <c r="U19" s="15" t="s">
        <v>485</v>
      </c>
      <c r="V19" s="14">
        <v>0.23</v>
      </c>
      <c r="W19" s="15" t="s">
        <v>485</v>
      </c>
      <c r="X19" s="15" t="s">
        <v>485</v>
      </c>
      <c r="Y19" s="15" t="s">
        <v>485</v>
      </c>
    </row>
    <row r="20" spans="1:25">
      <c r="A20" s="23"/>
      <c r="B20" s="11" t="s">
        <v>1528</v>
      </c>
      <c r="C20" s="12">
        <v>7</v>
      </c>
      <c r="D20" s="12">
        <v>1</v>
      </c>
      <c r="E20" s="12">
        <v>2</v>
      </c>
      <c r="F20" s="12">
        <v>0</v>
      </c>
      <c r="G20" s="12">
        <v>0</v>
      </c>
      <c r="H20" s="12">
        <v>0</v>
      </c>
      <c r="I20" s="12">
        <v>1</v>
      </c>
      <c r="J20" s="12">
        <v>1</v>
      </c>
      <c r="K20" s="12">
        <v>1</v>
      </c>
      <c r="L20" s="12">
        <v>0</v>
      </c>
      <c r="M20" s="12">
        <v>0</v>
      </c>
      <c r="N20" s="12">
        <v>0</v>
      </c>
      <c r="O20" s="12">
        <v>0</v>
      </c>
      <c r="P20" s="12">
        <v>0</v>
      </c>
      <c r="Q20" s="12">
        <v>0</v>
      </c>
      <c r="R20" s="12">
        <v>1</v>
      </c>
      <c r="S20" s="12">
        <v>0</v>
      </c>
      <c r="T20" s="12">
        <v>1</v>
      </c>
      <c r="U20" s="12">
        <v>0</v>
      </c>
      <c r="V20" s="12">
        <v>1</v>
      </c>
      <c r="W20" s="12">
        <v>0</v>
      </c>
      <c r="X20" s="12">
        <v>0</v>
      </c>
      <c r="Y20" s="12">
        <v>0</v>
      </c>
    </row>
    <row r="21" spans="1:25">
      <c r="A21" s="23"/>
      <c r="B21" s="13" t="s">
        <v>1529</v>
      </c>
      <c r="C21" s="14">
        <v>0.1</v>
      </c>
      <c r="D21" s="14">
        <v>0.25</v>
      </c>
      <c r="E21" s="14">
        <v>0.15</v>
      </c>
      <c r="F21" s="15" t="s">
        <v>485</v>
      </c>
      <c r="G21" s="15" t="s">
        <v>485</v>
      </c>
      <c r="H21" s="15" t="s">
        <v>485</v>
      </c>
      <c r="I21" s="14">
        <v>0.19</v>
      </c>
      <c r="J21" s="14">
        <v>0.83000000000000007</v>
      </c>
      <c r="K21" s="14">
        <v>0.25</v>
      </c>
      <c r="L21" s="15" t="s">
        <v>485</v>
      </c>
      <c r="M21" s="15" t="s">
        <v>485</v>
      </c>
      <c r="N21" s="15" t="s">
        <v>485</v>
      </c>
      <c r="O21" s="15" t="s">
        <v>485</v>
      </c>
      <c r="P21" s="15" t="s">
        <v>485</v>
      </c>
      <c r="Q21" s="15" t="s">
        <v>485</v>
      </c>
      <c r="R21" s="14">
        <v>0.32</v>
      </c>
      <c r="S21" s="15" t="s">
        <v>485</v>
      </c>
      <c r="T21" s="14">
        <v>0.2</v>
      </c>
      <c r="U21" s="15" t="s">
        <v>485</v>
      </c>
      <c r="V21" s="14">
        <v>0.13</v>
      </c>
      <c r="W21" s="15" t="s">
        <v>485</v>
      </c>
      <c r="X21" s="15" t="s">
        <v>485</v>
      </c>
      <c r="Y21" s="15" t="s">
        <v>485</v>
      </c>
    </row>
    <row r="22" spans="1:25">
      <c r="A22" s="23"/>
      <c r="B22" s="11" t="s">
        <v>1530</v>
      </c>
      <c r="C22" s="12">
        <v>5</v>
      </c>
      <c r="D22" s="12">
        <v>0</v>
      </c>
      <c r="E22" s="12">
        <v>2</v>
      </c>
      <c r="F22" s="12">
        <v>0</v>
      </c>
      <c r="G22" s="12">
        <v>0</v>
      </c>
      <c r="H22" s="12">
        <v>0</v>
      </c>
      <c r="I22" s="12">
        <v>0</v>
      </c>
      <c r="J22" s="12">
        <v>0</v>
      </c>
      <c r="K22" s="12">
        <v>1</v>
      </c>
      <c r="L22" s="12">
        <v>0</v>
      </c>
      <c r="M22" s="12">
        <v>1</v>
      </c>
      <c r="N22" s="12">
        <v>0</v>
      </c>
      <c r="O22" s="12">
        <v>1</v>
      </c>
      <c r="P22" s="12">
        <v>0</v>
      </c>
      <c r="Q22" s="12">
        <v>2</v>
      </c>
      <c r="R22" s="12">
        <v>0</v>
      </c>
      <c r="S22" s="12">
        <v>0</v>
      </c>
      <c r="T22" s="12">
        <v>0</v>
      </c>
      <c r="U22" s="12">
        <v>0</v>
      </c>
      <c r="V22" s="12">
        <v>0</v>
      </c>
      <c r="W22" s="12">
        <v>0</v>
      </c>
      <c r="X22" s="12">
        <v>0</v>
      </c>
      <c r="Y22" s="12">
        <v>1</v>
      </c>
    </row>
    <row r="23" spans="1:25">
      <c r="A23" s="23"/>
      <c r="B23" s="13" t="s">
        <v>1531</v>
      </c>
      <c r="C23" s="14">
        <v>7.0000000000000007E-2</v>
      </c>
      <c r="D23" s="15" t="s">
        <v>485</v>
      </c>
      <c r="E23" s="14">
        <v>0.13</v>
      </c>
      <c r="F23" s="15" t="s">
        <v>485</v>
      </c>
      <c r="G23" s="15" t="s">
        <v>485</v>
      </c>
      <c r="H23" s="15" t="s">
        <v>485</v>
      </c>
      <c r="I23" s="15" t="s">
        <v>485</v>
      </c>
      <c r="J23" s="15" t="s">
        <v>485</v>
      </c>
      <c r="K23" s="14">
        <v>0.21</v>
      </c>
      <c r="L23" s="15" t="s">
        <v>485</v>
      </c>
      <c r="M23" s="14">
        <v>0.74</v>
      </c>
      <c r="N23" s="15" t="s">
        <v>485</v>
      </c>
      <c r="O23" s="14">
        <v>0.21</v>
      </c>
      <c r="P23" s="15" t="s">
        <v>485</v>
      </c>
      <c r="Q23" s="14">
        <v>0.77</v>
      </c>
      <c r="R23" s="15" t="s">
        <v>485</v>
      </c>
      <c r="S23" s="15" t="s">
        <v>485</v>
      </c>
      <c r="T23" s="15" t="s">
        <v>485</v>
      </c>
      <c r="U23" s="15" t="s">
        <v>485</v>
      </c>
      <c r="V23" s="15" t="s">
        <v>485</v>
      </c>
      <c r="W23" s="15" t="s">
        <v>485</v>
      </c>
      <c r="X23" s="15" t="s">
        <v>485</v>
      </c>
      <c r="Y23" s="14">
        <v>0.1</v>
      </c>
    </row>
    <row r="24" spans="1:25">
      <c r="A24" s="23"/>
      <c r="B24" s="11" t="s">
        <v>497</v>
      </c>
      <c r="C24" s="12">
        <v>33</v>
      </c>
      <c r="D24" s="12">
        <v>2</v>
      </c>
      <c r="E24" s="12">
        <v>7</v>
      </c>
      <c r="F24" s="12">
        <v>1</v>
      </c>
      <c r="G24" s="12">
        <v>2</v>
      </c>
      <c r="H24" s="12">
        <v>3</v>
      </c>
      <c r="I24" s="12">
        <v>3</v>
      </c>
      <c r="J24" s="12">
        <v>0</v>
      </c>
      <c r="K24" s="12">
        <v>1</v>
      </c>
      <c r="L24" s="12">
        <v>3</v>
      </c>
      <c r="M24" s="12">
        <v>0</v>
      </c>
      <c r="N24" s="12">
        <v>0</v>
      </c>
      <c r="O24" s="12">
        <v>1</v>
      </c>
      <c r="P24" s="12">
        <v>0</v>
      </c>
      <c r="Q24" s="12">
        <v>0</v>
      </c>
      <c r="R24" s="12">
        <v>1</v>
      </c>
      <c r="S24" s="12">
        <v>1</v>
      </c>
      <c r="T24" s="12">
        <v>0</v>
      </c>
      <c r="U24" s="12">
        <v>0</v>
      </c>
      <c r="V24" s="12">
        <v>4</v>
      </c>
      <c r="W24" s="12">
        <v>0</v>
      </c>
      <c r="X24" s="12">
        <v>1</v>
      </c>
      <c r="Y24" s="12">
        <v>8</v>
      </c>
    </row>
    <row r="25" spans="1:25">
      <c r="A25" s="23"/>
      <c r="B25" s="13" t="s">
        <v>498</v>
      </c>
      <c r="C25" s="14">
        <v>0.48</v>
      </c>
      <c r="D25" s="14">
        <v>0.4</v>
      </c>
      <c r="E25" s="14">
        <v>0.46</v>
      </c>
      <c r="F25" s="14">
        <v>0.2</v>
      </c>
      <c r="G25" s="14">
        <v>1.17</v>
      </c>
      <c r="H25" s="14">
        <v>1.1499999999999999</v>
      </c>
      <c r="I25" s="14">
        <v>0.86</v>
      </c>
      <c r="J25" s="15" t="s">
        <v>485</v>
      </c>
      <c r="K25" s="14">
        <v>0.24</v>
      </c>
      <c r="L25" s="14">
        <v>0.87</v>
      </c>
      <c r="M25" s="15" t="s">
        <v>485</v>
      </c>
      <c r="N25" s="15" t="s">
        <v>485</v>
      </c>
      <c r="O25" s="14">
        <v>0.3</v>
      </c>
      <c r="P25" s="15" t="s">
        <v>485</v>
      </c>
      <c r="Q25" s="15" t="s">
        <v>485</v>
      </c>
      <c r="R25" s="14">
        <v>0.38</v>
      </c>
      <c r="S25" s="14">
        <v>0.4</v>
      </c>
      <c r="T25" s="15" t="s">
        <v>485</v>
      </c>
      <c r="U25" s="15" t="s">
        <v>485</v>
      </c>
      <c r="V25" s="14">
        <v>0.66</v>
      </c>
      <c r="W25" s="15" t="s">
        <v>485</v>
      </c>
      <c r="X25" s="14">
        <v>0.55000000000000004</v>
      </c>
      <c r="Y25" s="14">
        <v>0.6</v>
      </c>
    </row>
    <row r="26" spans="1:25">
      <c r="A26" s="23"/>
      <c r="B26" s="11" t="s">
        <v>1532</v>
      </c>
      <c r="C26" s="12">
        <v>278.18</v>
      </c>
      <c r="D26" s="12">
        <v>8.5299999999999994</v>
      </c>
      <c r="E26" s="12">
        <v>140.61000000000001</v>
      </c>
      <c r="F26" s="12">
        <v>714.15</v>
      </c>
      <c r="G26" s="12">
        <v>0</v>
      </c>
      <c r="H26" s="12">
        <v>0</v>
      </c>
      <c r="I26" s="12">
        <v>0</v>
      </c>
      <c r="J26" s="12">
        <v>0</v>
      </c>
      <c r="K26" s="12">
        <v>500</v>
      </c>
      <c r="L26" s="12">
        <v>70.91</v>
      </c>
      <c r="M26" s="12">
        <v>0</v>
      </c>
      <c r="N26" s="12">
        <v>580.65</v>
      </c>
      <c r="O26" s="12">
        <v>226.61</v>
      </c>
      <c r="P26" s="12">
        <v>50</v>
      </c>
      <c r="Q26" s="12">
        <v>50</v>
      </c>
      <c r="R26" s="12">
        <v>16.75</v>
      </c>
      <c r="S26" s="12">
        <v>59.27</v>
      </c>
      <c r="T26" s="12">
        <v>1409.09</v>
      </c>
      <c r="U26" s="12">
        <v>145.13999999999999</v>
      </c>
      <c r="V26" s="12">
        <v>374.41</v>
      </c>
      <c r="W26" s="12">
        <v>52.05</v>
      </c>
      <c r="X26" s="12">
        <v>0</v>
      </c>
      <c r="Y26" s="12">
        <v>26.79</v>
      </c>
    </row>
    <row r="27" spans="1:25">
      <c r="A27" s="23"/>
      <c r="B27" s="13" t="s">
        <v>1533</v>
      </c>
      <c r="C27" s="15" t="s">
        <v>485</v>
      </c>
      <c r="D27" s="15" t="s">
        <v>485</v>
      </c>
      <c r="E27" s="15" t="s">
        <v>485</v>
      </c>
      <c r="F27" s="15" t="s">
        <v>485</v>
      </c>
      <c r="G27" s="15" t="s">
        <v>485</v>
      </c>
      <c r="H27" s="15" t="s">
        <v>485</v>
      </c>
      <c r="I27" s="15" t="s">
        <v>485</v>
      </c>
      <c r="J27" s="15" t="s">
        <v>485</v>
      </c>
      <c r="K27" s="15" t="s">
        <v>485</v>
      </c>
      <c r="L27" s="15" t="s">
        <v>485</v>
      </c>
      <c r="M27" s="15" t="s">
        <v>485</v>
      </c>
      <c r="N27" s="15" t="s">
        <v>485</v>
      </c>
      <c r="O27" s="15" t="s">
        <v>485</v>
      </c>
      <c r="P27" s="15" t="s">
        <v>485</v>
      </c>
      <c r="Q27" s="15" t="s">
        <v>485</v>
      </c>
      <c r="R27" s="15" t="s">
        <v>485</v>
      </c>
      <c r="S27" s="15" t="s">
        <v>485</v>
      </c>
      <c r="T27" s="15" t="s">
        <v>485</v>
      </c>
      <c r="U27" s="15" t="s">
        <v>485</v>
      </c>
      <c r="V27" s="15" t="s">
        <v>485</v>
      </c>
      <c r="W27" s="15" t="s">
        <v>485</v>
      </c>
      <c r="X27" s="15" t="s">
        <v>485</v>
      </c>
      <c r="Y27" s="15" t="s">
        <v>485</v>
      </c>
    </row>
    <row r="28" spans="1:25">
      <c r="A28" s="23"/>
      <c r="B28" s="11" t="s">
        <v>1534</v>
      </c>
      <c r="C28" s="12">
        <v>0</v>
      </c>
      <c r="D28" s="12">
        <v>0</v>
      </c>
      <c r="E28" s="12">
        <v>0</v>
      </c>
      <c r="F28" s="12">
        <v>0</v>
      </c>
      <c r="G28" s="12">
        <v>0</v>
      </c>
      <c r="H28" s="12">
        <v>0</v>
      </c>
      <c r="I28" s="12">
        <v>0</v>
      </c>
      <c r="J28" s="12">
        <v>0</v>
      </c>
      <c r="K28" s="12">
        <v>0</v>
      </c>
      <c r="L28" s="12">
        <v>0</v>
      </c>
      <c r="M28" s="12">
        <v>0</v>
      </c>
      <c r="N28" s="12">
        <v>200</v>
      </c>
      <c r="O28" s="12">
        <v>0</v>
      </c>
      <c r="P28" s="12">
        <v>0</v>
      </c>
      <c r="Q28" s="12">
        <v>0</v>
      </c>
      <c r="R28" s="12">
        <v>0</v>
      </c>
      <c r="S28" s="12">
        <v>0</v>
      </c>
      <c r="T28" s="12">
        <v>500</v>
      </c>
      <c r="U28" s="12">
        <v>100</v>
      </c>
      <c r="V28" s="12">
        <v>0</v>
      </c>
      <c r="W28" s="12">
        <v>40</v>
      </c>
      <c r="X28" s="12">
        <v>0</v>
      </c>
      <c r="Y28" s="12">
        <v>0</v>
      </c>
    </row>
    <row r="29" spans="1:25">
      <c r="A29" s="23"/>
      <c r="B29" s="13" t="s">
        <v>1535</v>
      </c>
      <c r="C29" s="15" t="s">
        <v>485</v>
      </c>
      <c r="D29" s="15" t="s">
        <v>485</v>
      </c>
      <c r="E29" s="15" t="s">
        <v>485</v>
      </c>
      <c r="F29" s="15" t="s">
        <v>485</v>
      </c>
      <c r="G29" s="15" t="s">
        <v>485</v>
      </c>
      <c r="H29" s="15" t="s">
        <v>485</v>
      </c>
      <c r="I29" s="15" t="s">
        <v>485</v>
      </c>
      <c r="J29" s="15" t="s">
        <v>485</v>
      </c>
      <c r="K29" s="15" t="s">
        <v>485</v>
      </c>
      <c r="L29" s="15" t="s">
        <v>485</v>
      </c>
      <c r="M29" s="15" t="s">
        <v>485</v>
      </c>
      <c r="N29" s="15" t="s">
        <v>485</v>
      </c>
      <c r="O29" s="15" t="s">
        <v>485</v>
      </c>
      <c r="P29" s="15" t="s">
        <v>485</v>
      </c>
      <c r="Q29" s="15" t="s">
        <v>485</v>
      </c>
      <c r="R29" s="15" t="s">
        <v>485</v>
      </c>
      <c r="S29" s="15" t="s">
        <v>485</v>
      </c>
      <c r="T29" s="15" t="s">
        <v>485</v>
      </c>
      <c r="U29" s="15" t="s">
        <v>485</v>
      </c>
      <c r="V29" s="15" t="s">
        <v>485</v>
      </c>
      <c r="W29" s="15" t="s">
        <v>485</v>
      </c>
      <c r="X29" s="15" t="s">
        <v>485</v>
      </c>
      <c r="Y29" s="15" t="s">
        <v>485</v>
      </c>
    </row>
  </sheetData>
  <mergeCells count="9">
    <mergeCell ref="B4:F4"/>
    <mergeCell ref="H3:L3"/>
    <mergeCell ref="C8:Y8"/>
    <mergeCell ref="A10:A29"/>
    <mergeCell ref="B5:F5"/>
    <mergeCell ref="B3:F3"/>
    <mergeCell ref="H5:L5"/>
    <mergeCell ref="B10:B11"/>
    <mergeCell ref="H4:L4"/>
  </mergeCells>
  <pageMargins left="0.75" right="0.75" top="1" bottom="1" header="0.5" footer="0.5"/>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200-000000000000}">
  <dimension ref="A1:Q2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17" width="12.42578125" customWidth="1"/>
  </cols>
  <sheetData>
    <row r="1" spans="1:17">
      <c r="I1" s="7" t="s">
        <v>449</v>
      </c>
    </row>
    <row r="2" spans="1:17">
      <c r="C2" s="7" t="s">
        <v>450</v>
      </c>
      <c r="H2" s="7" t="s">
        <v>451</v>
      </c>
    </row>
    <row r="3" spans="1:17" ht="24" customHeight="1">
      <c r="B3" s="19" t="s">
        <v>331</v>
      </c>
      <c r="C3" s="19"/>
      <c r="D3" s="19"/>
      <c r="E3" s="19"/>
      <c r="F3" s="19"/>
      <c r="H3" s="19" t="s">
        <v>332</v>
      </c>
      <c r="I3" s="19"/>
      <c r="J3" s="19"/>
      <c r="K3" s="19"/>
      <c r="L3" s="19"/>
    </row>
    <row r="4" spans="1:17" ht="27" customHeight="1">
      <c r="B4" s="19"/>
      <c r="C4" s="19"/>
      <c r="D4" s="19"/>
      <c r="E4" s="19"/>
      <c r="F4" s="19"/>
      <c r="H4" s="19"/>
      <c r="I4" s="19"/>
      <c r="J4" s="19"/>
      <c r="K4" s="19"/>
      <c r="L4" s="19"/>
    </row>
    <row r="5" spans="1:17" ht="24" customHeight="1">
      <c r="B5" s="19" t="s">
        <v>1542</v>
      </c>
      <c r="C5" s="19"/>
      <c r="D5" s="19"/>
      <c r="E5" s="19"/>
      <c r="F5" s="19"/>
      <c r="H5" s="19" t="s">
        <v>1543</v>
      </c>
      <c r="I5" s="19"/>
      <c r="J5" s="19"/>
      <c r="K5" s="19"/>
      <c r="L5" s="19"/>
    </row>
    <row r="6" spans="1:17" ht="0.95" customHeight="1"/>
    <row r="7" spans="1:17" ht="0.95" customHeight="1"/>
    <row r="8" spans="1:17">
      <c r="C8" s="22"/>
      <c r="D8" s="22"/>
      <c r="E8" s="22"/>
      <c r="F8" s="22"/>
      <c r="G8" s="22"/>
      <c r="H8" s="22"/>
      <c r="I8" s="22"/>
      <c r="J8" s="22"/>
      <c r="K8" s="22"/>
      <c r="L8" s="22"/>
      <c r="M8" s="22"/>
      <c r="N8" s="22"/>
      <c r="O8" s="22"/>
      <c r="P8" s="22"/>
      <c r="Q8" s="22"/>
    </row>
    <row r="9" spans="1:17" ht="18">
      <c r="A9" s="5" t="str">
        <f>HYPERLINK("#Content!A167","&lt;&lt;Back to content")</f>
        <v>&lt;&lt;Back to content</v>
      </c>
      <c r="C9" s="8" t="s">
        <v>454</v>
      </c>
      <c r="D9" s="8" t="s">
        <v>455</v>
      </c>
      <c r="E9" s="8" t="s">
        <v>456</v>
      </c>
      <c r="F9" s="8" t="s">
        <v>457</v>
      </c>
      <c r="G9" s="8" t="s">
        <v>459</v>
      </c>
      <c r="H9" s="8" t="s">
        <v>460</v>
      </c>
      <c r="I9" s="8" t="s">
        <v>466</v>
      </c>
      <c r="J9" s="8" t="s">
        <v>467</v>
      </c>
      <c r="K9" s="8" t="s">
        <v>468</v>
      </c>
      <c r="L9" s="8" t="s">
        <v>473</v>
      </c>
      <c r="M9" s="8" t="s">
        <v>475</v>
      </c>
      <c r="N9" s="8" t="s">
        <v>476</v>
      </c>
      <c r="O9" s="8" t="s">
        <v>477</v>
      </c>
      <c r="P9" s="8" t="s">
        <v>478</v>
      </c>
      <c r="Q9" s="8" t="s">
        <v>479</v>
      </c>
    </row>
    <row r="10" spans="1:17">
      <c r="A10" s="23"/>
      <c r="B10" s="18" t="s">
        <v>484</v>
      </c>
      <c r="C10" s="10">
        <v>34</v>
      </c>
      <c r="D10" s="10">
        <v>1</v>
      </c>
      <c r="E10" s="10">
        <v>4</v>
      </c>
      <c r="F10" s="10">
        <v>2</v>
      </c>
      <c r="G10" s="10">
        <v>3</v>
      </c>
      <c r="H10" s="10">
        <v>3</v>
      </c>
      <c r="I10" s="10">
        <v>1</v>
      </c>
      <c r="J10" s="10">
        <v>4</v>
      </c>
      <c r="K10" s="10">
        <v>2</v>
      </c>
      <c r="L10" s="10">
        <v>1</v>
      </c>
      <c r="M10" s="10">
        <v>4</v>
      </c>
      <c r="N10" s="10">
        <v>9</v>
      </c>
      <c r="O10" s="10">
        <v>1</v>
      </c>
      <c r="P10" s="10">
        <v>1</v>
      </c>
      <c r="Q10" s="10">
        <v>1</v>
      </c>
    </row>
    <row r="11" spans="1:17">
      <c r="A11" s="22"/>
      <c r="B11" s="24"/>
      <c r="C11" s="9"/>
      <c r="D11" s="9"/>
      <c r="E11" s="9"/>
      <c r="F11" s="9"/>
      <c r="G11" s="9"/>
      <c r="H11" s="9"/>
      <c r="I11" s="9"/>
      <c r="J11" s="9"/>
      <c r="K11" s="9"/>
      <c r="L11" s="9"/>
      <c r="M11" s="9"/>
      <c r="N11" s="9"/>
      <c r="O11" s="9"/>
      <c r="P11" s="9"/>
      <c r="Q11" s="9"/>
    </row>
    <row r="12" spans="1:17">
      <c r="A12" s="23"/>
      <c r="B12" s="11" t="s">
        <v>1524</v>
      </c>
      <c r="C12" s="12">
        <v>6</v>
      </c>
      <c r="D12" s="12">
        <v>0</v>
      </c>
      <c r="E12" s="12">
        <v>2</v>
      </c>
      <c r="F12" s="12">
        <v>0</v>
      </c>
      <c r="G12" s="12">
        <v>0</v>
      </c>
      <c r="H12" s="12">
        <v>0</v>
      </c>
      <c r="I12" s="12">
        <v>0</v>
      </c>
      <c r="J12" s="12">
        <v>0</v>
      </c>
      <c r="K12" s="12">
        <v>0</v>
      </c>
      <c r="L12" s="12">
        <v>1</v>
      </c>
      <c r="M12" s="12">
        <v>3</v>
      </c>
      <c r="N12" s="12">
        <v>2</v>
      </c>
      <c r="O12" s="12">
        <v>0</v>
      </c>
      <c r="P12" s="12">
        <v>0</v>
      </c>
      <c r="Q12" s="12">
        <v>1</v>
      </c>
    </row>
    <row r="13" spans="1:17">
      <c r="A13" s="23"/>
      <c r="B13" s="13" t="s">
        <v>1524</v>
      </c>
      <c r="C13" s="14">
        <v>0.17</v>
      </c>
      <c r="D13" s="15" t="s">
        <v>485</v>
      </c>
      <c r="E13" s="14">
        <v>0.48</v>
      </c>
      <c r="F13" s="15" t="s">
        <v>485</v>
      </c>
      <c r="G13" s="15" t="s">
        <v>485</v>
      </c>
      <c r="H13" s="15" t="s">
        <v>485</v>
      </c>
      <c r="I13" s="15" t="s">
        <v>485</v>
      </c>
      <c r="J13" s="15" t="s">
        <v>485</v>
      </c>
      <c r="K13" s="15" t="s">
        <v>485</v>
      </c>
      <c r="L13" s="14">
        <v>0.91</v>
      </c>
      <c r="M13" s="14">
        <v>0.71</v>
      </c>
      <c r="N13" s="14">
        <v>0.17</v>
      </c>
      <c r="O13" s="15" t="s">
        <v>485</v>
      </c>
      <c r="P13" s="15" t="s">
        <v>485</v>
      </c>
      <c r="Q13" s="14">
        <v>0.85</v>
      </c>
    </row>
    <row r="14" spans="1:17">
      <c r="A14" s="23"/>
      <c r="B14" s="11" t="s">
        <v>1525</v>
      </c>
      <c r="C14" s="12">
        <v>2</v>
      </c>
      <c r="D14" s="12">
        <v>0</v>
      </c>
      <c r="E14" s="12">
        <v>0</v>
      </c>
      <c r="F14" s="12">
        <v>0</v>
      </c>
      <c r="G14" s="12">
        <v>0</v>
      </c>
      <c r="H14" s="12">
        <v>0</v>
      </c>
      <c r="I14" s="12">
        <v>0</v>
      </c>
      <c r="J14" s="12">
        <v>0</v>
      </c>
      <c r="K14" s="12">
        <v>0</v>
      </c>
      <c r="L14" s="12">
        <v>0</v>
      </c>
      <c r="M14" s="12">
        <v>0</v>
      </c>
      <c r="N14" s="12">
        <v>4</v>
      </c>
      <c r="O14" s="12">
        <v>0</v>
      </c>
      <c r="P14" s="12">
        <v>0</v>
      </c>
      <c r="Q14" s="12">
        <v>0</v>
      </c>
    </row>
    <row r="15" spans="1:17">
      <c r="A15" s="23"/>
      <c r="B15" s="13" t="s">
        <v>1525</v>
      </c>
      <c r="C15" s="14">
        <v>0.06</v>
      </c>
      <c r="D15" s="15" t="s">
        <v>485</v>
      </c>
      <c r="E15" s="15" t="s">
        <v>485</v>
      </c>
      <c r="F15" s="15" t="s">
        <v>485</v>
      </c>
      <c r="G15" s="15" t="s">
        <v>485</v>
      </c>
      <c r="H15" s="15" t="s">
        <v>485</v>
      </c>
      <c r="I15" s="15" t="s">
        <v>485</v>
      </c>
      <c r="J15" s="15" t="s">
        <v>485</v>
      </c>
      <c r="K15" s="15" t="s">
        <v>485</v>
      </c>
      <c r="L15" s="15" t="s">
        <v>485</v>
      </c>
      <c r="M15" s="15" t="s">
        <v>485</v>
      </c>
      <c r="N15" s="14">
        <v>0.45</v>
      </c>
      <c r="O15" s="15" t="s">
        <v>485</v>
      </c>
      <c r="P15" s="15" t="s">
        <v>485</v>
      </c>
      <c r="Q15" s="15" t="s">
        <v>485</v>
      </c>
    </row>
    <row r="16" spans="1:17">
      <c r="A16" s="23"/>
      <c r="B16" s="11" t="s">
        <v>1526</v>
      </c>
      <c r="C16" s="12">
        <v>2</v>
      </c>
      <c r="D16" s="12">
        <v>0</v>
      </c>
      <c r="E16" s="12">
        <v>0</v>
      </c>
      <c r="F16" s="12">
        <v>2</v>
      </c>
      <c r="G16" s="12">
        <v>0</v>
      </c>
      <c r="H16" s="12">
        <v>0</v>
      </c>
      <c r="I16" s="12">
        <v>0</v>
      </c>
      <c r="J16" s="12">
        <v>1</v>
      </c>
      <c r="K16" s="12">
        <v>0</v>
      </c>
      <c r="L16" s="12">
        <v>0</v>
      </c>
      <c r="M16" s="12">
        <v>0</v>
      </c>
      <c r="N16" s="12">
        <v>1</v>
      </c>
      <c r="O16" s="12">
        <v>0</v>
      </c>
      <c r="P16" s="12">
        <v>0</v>
      </c>
      <c r="Q16" s="12">
        <v>0</v>
      </c>
    </row>
    <row r="17" spans="1:17">
      <c r="A17" s="23"/>
      <c r="B17" s="13" t="s">
        <v>1526</v>
      </c>
      <c r="C17" s="14">
        <v>0.05</v>
      </c>
      <c r="D17" s="15" t="s">
        <v>485</v>
      </c>
      <c r="E17" s="15" t="s">
        <v>485</v>
      </c>
      <c r="F17" s="14">
        <v>0.85</v>
      </c>
      <c r="G17" s="15" t="s">
        <v>485</v>
      </c>
      <c r="H17" s="15" t="s">
        <v>485</v>
      </c>
      <c r="I17" s="15" t="s">
        <v>485</v>
      </c>
      <c r="J17" s="14">
        <v>0.25</v>
      </c>
      <c r="K17" s="15" t="s">
        <v>485</v>
      </c>
      <c r="L17" s="15" t="s">
        <v>485</v>
      </c>
      <c r="M17" s="15" t="s">
        <v>485</v>
      </c>
      <c r="N17" s="14">
        <v>0.12</v>
      </c>
      <c r="O17" s="15" t="s">
        <v>485</v>
      </c>
      <c r="P17" s="15" t="s">
        <v>485</v>
      </c>
      <c r="Q17" s="15" t="s">
        <v>485</v>
      </c>
    </row>
    <row r="18" spans="1:17">
      <c r="A18" s="23"/>
      <c r="B18" s="11" t="s">
        <v>1527</v>
      </c>
      <c r="C18" s="12">
        <v>16</v>
      </c>
      <c r="D18" s="12">
        <v>1</v>
      </c>
      <c r="E18" s="12">
        <v>0</v>
      </c>
      <c r="F18" s="12">
        <v>0</v>
      </c>
      <c r="G18" s="12">
        <v>3</v>
      </c>
      <c r="H18" s="12">
        <v>3</v>
      </c>
      <c r="I18" s="12">
        <v>1</v>
      </c>
      <c r="J18" s="12">
        <v>3</v>
      </c>
      <c r="K18" s="12">
        <v>1</v>
      </c>
      <c r="L18" s="12">
        <v>0</v>
      </c>
      <c r="M18" s="12">
        <v>0</v>
      </c>
      <c r="N18" s="12">
        <v>1</v>
      </c>
      <c r="O18" s="12">
        <v>0</v>
      </c>
      <c r="P18" s="12">
        <v>0</v>
      </c>
      <c r="Q18" s="12">
        <v>0</v>
      </c>
    </row>
    <row r="19" spans="1:17">
      <c r="A19" s="23"/>
      <c r="B19" s="13" t="s">
        <v>1527</v>
      </c>
      <c r="C19" s="14">
        <v>0.47</v>
      </c>
      <c r="D19" s="14">
        <v>0.69000000000000006</v>
      </c>
      <c r="E19" s="15" t="s">
        <v>485</v>
      </c>
      <c r="F19" s="15" t="s">
        <v>485</v>
      </c>
      <c r="G19" s="14">
        <v>0.88</v>
      </c>
      <c r="H19" s="14">
        <v>0.88</v>
      </c>
      <c r="I19" s="14">
        <v>0.6</v>
      </c>
      <c r="J19" s="14">
        <v>0.62</v>
      </c>
      <c r="K19" s="14">
        <v>0.52</v>
      </c>
      <c r="L19" s="15" t="s">
        <v>485</v>
      </c>
      <c r="M19" s="15" t="s">
        <v>485</v>
      </c>
      <c r="N19" s="14">
        <v>0.09</v>
      </c>
      <c r="O19" s="15" t="s">
        <v>485</v>
      </c>
      <c r="P19" s="15" t="s">
        <v>485</v>
      </c>
      <c r="Q19" s="15" t="s">
        <v>485</v>
      </c>
    </row>
    <row r="20" spans="1:17">
      <c r="A20" s="23"/>
      <c r="B20" s="11" t="s">
        <v>1528</v>
      </c>
      <c r="C20" s="12">
        <v>0</v>
      </c>
      <c r="D20" s="12">
        <v>0</v>
      </c>
      <c r="E20" s="12">
        <v>1</v>
      </c>
      <c r="F20" s="12">
        <v>0</v>
      </c>
      <c r="G20" s="12">
        <v>0</v>
      </c>
      <c r="H20" s="12">
        <v>0</v>
      </c>
      <c r="I20" s="12">
        <v>0</v>
      </c>
      <c r="J20" s="12">
        <v>0</v>
      </c>
      <c r="K20" s="12">
        <v>0</v>
      </c>
      <c r="L20" s="12">
        <v>0</v>
      </c>
      <c r="M20" s="12">
        <v>0</v>
      </c>
      <c r="N20" s="12">
        <v>0</v>
      </c>
      <c r="O20" s="12">
        <v>0</v>
      </c>
      <c r="P20" s="12">
        <v>0</v>
      </c>
      <c r="Q20" s="12">
        <v>0</v>
      </c>
    </row>
    <row r="21" spans="1:17">
      <c r="A21" s="23"/>
      <c r="B21" s="13" t="s">
        <v>1529</v>
      </c>
      <c r="C21" s="14">
        <v>0.01</v>
      </c>
      <c r="D21" s="15" t="s">
        <v>485</v>
      </c>
      <c r="E21" s="14">
        <v>0.22</v>
      </c>
      <c r="F21" s="15" t="s">
        <v>485</v>
      </c>
      <c r="G21" s="15" t="s">
        <v>485</v>
      </c>
      <c r="H21" s="15" t="s">
        <v>485</v>
      </c>
      <c r="I21" s="15" t="s">
        <v>485</v>
      </c>
      <c r="J21" s="15" t="s">
        <v>485</v>
      </c>
      <c r="K21" s="15" t="s">
        <v>485</v>
      </c>
      <c r="L21" s="15" t="s">
        <v>485</v>
      </c>
      <c r="M21" s="15" t="s">
        <v>485</v>
      </c>
      <c r="N21" s="15" t="s">
        <v>485</v>
      </c>
      <c r="O21" s="15" t="s">
        <v>485</v>
      </c>
      <c r="P21" s="15" t="s">
        <v>485</v>
      </c>
      <c r="Q21" s="15" t="s">
        <v>485</v>
      </c>
    </row>
    <row r="22" spans="1:17">
      <c r="A22" s="23"/>
      <c r="B22" s="11" t="s">
        <v>1530</v>
      </c>
      <c r="C22" s="12">
        <v>1</v>
      </c>
      <c r="D22" s="12">
        <v>0</v>
      </c>
      <c r="E22" s="12">
        <v>0</v>
      </c>
      <c r="F22" s="12">
        <v>0</v>
      </c>
      <c r="G22" s="12">
        <v>0</v>
      </c>
      <c r="H22" s="12">
        <v>0</v>
      </c>
      <c r="I22" s="12">
        <v>0</v>
      </c>
      <c r="J22" s="12">
        <v>0</v>
      </c>
      <c r="K22" s="12">
        <v>0</v>
      </c>
      <c r="L22" s="12">
        <v>0</v>
      </c>
      <c r="M22" s="12">
        <v>0</v>
      </c>
      <c r="N22" s="12">
        <v>1</v>
      </c>
      <c r="O22" s="12">
        <v>0</v>
      </c>
      <c r="P22" s="12">
        <v>0</v>
      </c>
      <c r="Q22" s="12">
        <v>0</v>
      </c>
    </row>
    <row r="23" spans="1:17">
      <c r="A23" s="23"/>
      <c r="B23" s="13" t="s">
        <v>1531</v>
      </c>
      <c r="C23" s="14">
        <v>0.02</v>
      </c>
      <c r="D23" s="15" t="s">
        <v>485</v>
      </c>
      <c r="E23" s="15" t="s">
        <v>485</v>
      </c>
      <c r="F23" s="15" t="s">
        <v>485</v>
      </c>
      <c r="G23" s="15" t="s">
        <v>485</v>
      </c>
      <c r="H23" s="15" t="s">
        <v>485</v>
      </c>
      <c r="I23" s="15" t="s">
        <v>485</v>
      </c>
      <c r="J23" s="15" t="s">
        <v>485</v>
      </c>
      <c r="K23" s="15" t="s">
        <v>485</v>
      </c>
      <c r="L23" s="15" t="s">
        <v>485</v>
      </c>
      <c r="M23" s="15" t="s">
        <v>485</v>
      </c>
      <c r="N23" s="14">
        <v>0.17</v>
      </c>
      <c r="O23" s="15" t="s">
        <v>485</v>
      </c>
      <c r="P23" s="15" t="s">
        <v>485</v>
      </c>
      <c r="Q23" s="15" t="s">
        <v>485</v>
      </c>
    </row>
    <row r="24" spans="1:17">
      <c r="A24" s="23"/>
      <c r="B24" s="11" t="s">
        <v>497</v>
      </c>
      <c r="C24" s="12">
        <v>8</v>
      </c>
      <c r="D24" s="12">
        <v>0</v>
      </c>
      <c r="E24" s="12">
        <v>1</v>
      </c>
      <c r="F24" s="12">
        <v>0</v>
      </c>
      <c r="G24" s="12">
        <v>0</v>
      </c>
      <c r="H24" s="12">
        <v>0</v>
      </c>
      <c r="I24" s="12">
        <v>0</v>
      </c>
      <c r="J24" s="12">
        <v>1</v>
      </c>
      <c r="K24" s="12">
        <v>1</v>
      </c>
      <c r="L24" s="12">
        <v>0</v>
      </c>
      <c r="M24" s="12">
        <v>1</v>
      </c>
      <c r="N24" s="12">
        <v>0</v>
      </c>
      <c r="O24" s="12">
        <v>1</v>
      </c>
      <c r="P24" s="12">
        <v>1</v>
      </c>
      <c r="Q24" s="12">
        <v>0</v>
      </c>
    </row>
    <row r="25" spans="1:17">
      <c r="A25" s="23"/>
      <c r="B25" s="13" t="s">
        <v>498</v>
      </c>
      <c r="C25" s="14">
        <v>0.22</v>
      </c>
      <c r="D25" s="15" t="s">
        <v>485</v>
      </c>
      <c r="E25" s="14">
        <v>0.22</v>
      </c>
      <c r="F25" s="15" t="s">
        <v>485</v>
      </c>
      <c r="G25" s="15" t="s">
        <v>485</v>
      </c>
      <c r="H25" s="15" t="s">
        <v>485</v>
      </c>
      <c r="I25" s="15" t="s">
        <v>485</v>
      </c>
      <c r="J25" s="14">
        <v>0.13</v>
      </c>
      <c r="K25" s="14">
        <v>0.4</v>
      </c>
      <c r="L25" s="15" t="s">
        <v>485</v>
      </c>
      <c r="M25" s="14">
        <v>0.23</v>
      </c>
      <c r="N25" s="15" t="s">
        <v>485</v>
      </c>
      <c r="O25" s="14">
        <v>1.33</v>
      </c>
      <c r="P25" s="14">
        <v>1.07</v>
      </c>
      <c r="Q25" s="15" t="s">
        <v>485</v>
      </c>
    </row>
    <row r="26" spans="1:17">
      <c r="A26" s="23"/>
      <c r="B26" s="11" t="s">
        <v>1532</v>
      </c>
      <c r="C26" s="12">
        <v>1339.44</v>
      </c>
      <c r="D26" s="12">
        <v>890</v>
      </c>
      <c r="E26" s="12">
        <v>16.68</v>
      </c>
      <c r="F26" s="12">
        <v>198</v>
      </c>
      <c r="G26" s="12">
        <v>4134.28</v>
      </c>
      <c r="H26" s="12">
        <v>4134.28</v>
      </c>
      <c r="I26" s="12">
        <v>1000</v>
      </c>
      <c r="J26" s="12">
        <v>1020.95</v>
      </c>
      <c r="K26" s="12">
        <v>565.73</v>
      </c>
      <c r="L26" s="12">
        <v>0</v>
      </c>
      <c r="M26" s="12">
        <v>11.44</v>
      </c>
      <c r="N26" s="12">
        <v>111.19</v>
      </c>
      <c r="O26" s="12">
        <v>0</v>
      </c>
      <c r="P26" s="12">
        <v>0</v>
      </c>
      <c r="Q26" s="12">
        <v>30</v>
      </c>
    </row>
    <row r="27" spans="1:17">
      <c r="A27" s="23"/>
      <c r="B27" s="13" t="s">
        <v>1533</v>
      </c>
      <c r="C27" s="15" t="s">
        <v>485</v>
      </c>
      <c r="D27" s="15" t="s">
        <v>485</v>
      </c>
      <c r="E27" s="15" t="s">
        <v>485</v>
      </c>
      <c r="F27" s="15" t="s">
        <v>485</v>
      </c>
      <c r="G27" s="15" t="s">
        <v>485</v>
      </c>
      <c r="H27" s="15" t="s">
        <v>485</v>
      </c>
      <c r="I27" s="15" t="s">
        <v>485</v>
      </c>
      <c r="J27" s="15" t="s">
        <v>485</v>
      </c>
      <c r="K27" s="15" t="s">
        <v>485</v>
      </c>
      <c r="L27" s="15" t="s">
        <v>485</v>
      </c>
      <c r="M27" s="15" t="s">
        <v>485</v>
      </c>
      <c r="N27" s="15" t="s">
        <v>485</v>
      </c>
      <c r="O27" s="15" t="s">
        <v>485</v>
      </c>
      <c r="P27" s="15" t="s">
        <v>485</v>
      </c>
      <c r="Q27" s="15" t="s">
        <v>485</v>
      </c>
    </row>
    <row r="28" spans="1:17">
      <c r="A28" s="23"/>
      <c r="B28" s="11" t="s">
        <v>1534</v>
      </c>
      <c r="C28" s="12">
        <v>150</v>
      </c>
      <c r="D28" s="12">
        <v>0</v>
      </c>
      <c r="E28" s="12">
        <v>0</v>
      </c>
      <c r="F28" s="12">
        <v>0</v>
      </c>
      <c r="G28" s="12">
        <v>2500</v>
      </c>
      <c r="H28" s="12">
        <v>2500</v>
      </c>
      <c r="I28" s="12">
        <v>0</v>
      </c>
      <c r="J28" s="12">
        <v>200</v>
      </c>
      <c r="K28" s="12">
        <v>0</v>
      </c>
      <c r="L28" s="12">
        <v>0</v>
      </c>
      <c r="M28" s="12">
        <v>0</v>
      </c>
      <c r="N28" s="12">
        <v>100</v>
      </c>
      <c r="O28" s="12">
        <v>0</v>
      </c>
      <c r="P28" s="12">
        <v>0</v>
      </c>
      <c r="Q28" s="12">
        <v>0</v>
      </c>
    </row>
    <row r="29" spans="1:17">
      <c r="A29" s="23"/>
      <c r="B29" s="13" t="s">
        <v>1535</v>
      </c>
      <c r="C29" s="15" t="s">
        <v>485</v>
      </c>
      <c r="D29" s="15" t="s">
        <v>485</v>
      </c>
      <c r="E29" s="15" t="s">
        <v>485</v>
      </c>
      <c r="F29" s="15" t="s">
        <v>485</v>
      </c>
      <c r="G29" s="15" t="s">
        <v>485</v>
      </c>
      <c r="H29" s="15" t="s">
        <v>485</v>
      </c>
      <c r="I29" s="15" t="s">
        <v>485</v>
      </c>
      <c r="J29" s="15" t="s">
        <v>485</v>
      </c>
      <c r="K29" s="15" t="s">
        <v>485</v>
      </c>
      <c r="L29" s="15" t="s">
        <v>485</v>
      </c>
      <c r="M29" s="15" t="s">
        <v>485</v>
      </c>
      <c r="N29" s="15" t="s">
        <v>485</v>
      </c>
      <c r="O29" s="15" t="s">
        <v>485</v>
      </c>
      <c r="P29" s="15" t="s">
        <v>485</v>
      </c>
      <c r="Q29" s="15" t="s">
        <v>485</v>
      </c>
    </row>
  </sheetData>
  <mergeCells count="9">
    <mergeCell ref="B4:F4"/>
    <mergeCell ref="H3:L3"/>
    <mergeCell ref="A10:A29"/>
    <mergeCell ref="B5:F5"/>
    <mergeCell ref="B3:F3"/>
    <mergeCell ref="B10:B11"/>
    <mergeCell ref="H5:L5"/>
    <mergeCell ref="C8:Q8"/>
    <mergeCell ref="H4:L4"/>
  </mergeCells>
  <pageMargins left="0.75" right="0.75" top="1" bottom="1" header="0.5" footer="0.5"/>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300-000000000000}">
  <dimension ref="A1:AB2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28" width="12.42578125" customWidth="1"/>
  </cols>
  <sheetData>
    <row r="1" spans="1:28">
      <c r="I1" s="7" t="s">
        <v>449</v>
      </c>
    </row>
    <row r="2" spans="1:28">
      <c r="C2" s="7" t="s">
        <v>450</v>
      </c>
      <c r="H2" s="7" t="s">
        <v>451</v>
      </c>
    </row>
    <row r="3" spans="1:28" ht="36" customHeight="1">
      <c r="B3" s="19" t="s">
        <v>333</v>
      </c>
      <c r="C3" s="19"/>
      <c r="D3" s="19"/>
      <c r="E3" s="19"/>
      <c r="F3" s="19"/>
      <c r="H3" s="19" t="s">
        <v>334</v>
      </c>
      <c r="I3" s="19"/>
      <c r="J3" s="19"/>
      <c r="K3" s="19"/>
      <c r="L3" s="19"/>
    </row>
    <row r="4" spans="1:28" ht="27" customHeight="1">
      <c r="B4" s="19"/>
      <c r="C4" s="19"/>
      <c r="D4" s="19"/>
      <c r="E4" s="19"/>
      <c r="F4" s="19"/>
      <c r="H4" s="19"/>
      <c r="I4" s="19"/>
      <c r="J4" s="19"/>
      <c r="K4" s="19"/>
      <c r="L4" s="19"/>
    </row>
    <row r="5" spans="1:28" ht="36" customHeight="1">
      <c r="B5" s="19" t="s">
        <v>1544</v>
      </c>
      <c r="C5" s="19"/>
      <c r="D5" s="19"/>
      <c r="E5" s="19"/>
      <c r="F5" s="19"/>
      <c r="H5" s="19" t="s">
        <v>1545</v>
      </c>
      <c r="I5" s="19"/>
      <c r="J5" s="19"/>
      <c r="K5" s="19"/>
      <c r="L5" s="19"/>
    </row>
    <row r="6" spans="1:28" ht="0.95" customHeight="1"/>
    <row r="7" spans="1:28" ht="0.95" customHeight="1"/>
    <row r="8" spans="1:28">
      <c r="C8" s="22"/>
      <c r="D8" s="22"/>
      <c r="E8" s="22"/>
      <c r="F8" s="22"/>
      <c r="G8" s="22"/>
      <c r="H8" s="22"/>
      <c r="I8" s="22"/>
      <c r="J8" s="22"/>
      <c r="K8" s="22"/>
      <c r="L8" s="22"/>
      <c r="M8" s="22"/>
      <c r="N8" s="22"/>
      <c r="O8" s="22"/>
      <c r="P8" s="22"/>
      <c r="Q8" s="22"/>
      <c r="R8" s="22"/>
      <c r="S8" s="22"/>
      <c r="T8" s="22"/>
      <c r="U8" s="22"/>
      <c r="V8" s="22"/>
      <c r="W8" s="22"/>
      <c r="X8" s="22"/>
      <c r="Y8" s="22"/>
      <c r="Z8" s="22"/>
      <c r="AA8" s="22"/>
      <c r="AB8" s="22"/>
    </row>
    <row r="9" spans="1:28" ht="18">
      <c r="A9" s="5" t="str">
        <f>HYPERLINK("#Content!A168","&lt;&lt;Back to content")</f>
        <v>&lt;&lt;Back to content</v>
      </c>
      <c r="C9" s="8" t="s">
        <v>454</v>
      </c>
      <c r="D9" s="8" t="s">
        <v>455</v>
      </c>
      <c r="E9" s="8" t="s">
        <v>456</v>
      </c>
      <c r="F9" s="8" t="s">
        <v>457</v>
      </c>
      <c r="G9" s="8" t="s">
        <v>458</v>
      </c>
      <c r="H9" s="8" t="s">
        <v>459</v>
      </c>
      <c r="I9" s="8" t="s">
        <v>460</v>
      </c>
      <c r="J9" s="8" t="s">
        <v>462</v>
      </c>
      <c r="K9" s="8" t="s">
        <v>464</v>
      </c>
      <c r="L9" s="8" t="s">
        <v>465</v>
      </c>
      <c r="M9" s="8" t="s">
        <v>466</v>
      </c>
      <c r="N9" s="8" t="s">
        <v>467</v>
      </c>
      <c r="O9" s="8" t="s">
        <v>468</v>
      </c>
      <c r="P9" s="8" t="s">
        <v>470</v>
      </c>
      <c r="Q9" s="8" t="s">
        <v>471</v>
      </c>
      <c r="R9" s="8" t="s">
        <v>472</v>
      </c>
      <c r="S9" s="8" t="s">
        <v>473</v>
      </c>
      <c r="T9" s="8" t="s">
        <v>474</v>
      </c>
      <c r="U9" s="8" t="s">
        <v>475</v>
      </c>
      <c r="V9" s="8" t="s">
        <v>476</v>
      </c>
      <c r="W9" s="8" t="s">
        <v>477</v>
      </c>
      <c r="X9" s="8" t="s">
        <v>479</v>
      </c>
      <c r="Y9" s="8" t="s">
        <v>480</v>
      </c>
      <c r="Z9" s="8" t="s">
        <v>481</v>
      </c>
      <c r="AA9" s="8" t="s">
        <v>482</v>
      </c>
      <c r="AB9" s="8" t="s">
        <v>483</v>
      </c>
    </row>
    <row r="10" spans="1:28">
      <c r="A10" s="23"/>
      <c r="B10" s="18" t="s">
        <v>484</v>
      </c>
      <c r="C10" s="10">
        <v>101</v>
      </c>
      <c r="D10" s="10">
        <v>29</v>
      </c>
      <c r="E10" s="10">
        <v>5</v>
      </c>
      <c r="F10" s="10">
        <v>2</v>
      </c>
      <c r="G10" s="10">
        <v>4</v>
      </c>
      <c r="H10" s="10">
        <v>9</v>
      </c>
      <c r="I10" s="10">
        <v>9</v>
      </c>
      <c r="J10" s="10">
        <v>2</v>
      </c>
      <c r="K10" s="10">
        <v>5</v>
      </c>
      <c r="L10" s="10">
        <v>2</v>
      </c>
      <c r="M10" s="10">
        <v>3</v>
      </c>
      <c r="N10" s="10">
        <v>5</v>
      </c>
      <c r="O10" s="10">
        <v>3</v>
      </c>
      <c r="P10" s="10">
        <v>2</v>
      </c>
      <c r="Q10" s="10">
        <v>1</v>
      </c>
      <c r="R10" s="10">
        <v>1</v>
      </c>
      <c r="S10" s="10">
        <v>2</v>
      </c>
      <c r="T10" s="10">
        <v>2</v>
      </c>
      <c r="U10" s="10">
        <v>4</v>
      </c>
      <c r="V10" s="10">
        <v>7</v>
      </c>
      <c r="W10" s="10">
        <v>1</v>
      </c>
      <c r="X10" s="10">
        <v>1</v>
      </c>
      <c r="Y10" s="10">
        <v>2</v>
      </c>
      <c r="Z10" s="10">
        <v>4</v>
      </c>
      <c r="AA10" s="10">
        <v>2</v>
      </c>
      <c r="AB10" s="10">
        <v>2</v>
      </c>
    </row>
    <row r="11" spans="1:28">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row>
    <row r="12" spans="1:28">
      <c r="A12" s="23"/>
      <c r="B12" s="11" t="s">
        <v>1524</v>
      </c>
      <c r="C12" s="12">
        <v>6</v>
      </c>
      <c r="D12" s="12">
        <v>2</v>
      </c>
      <c r="E12" s="12">
        <v>0</v>
      </c>
      <c r="F12" s="12">
        <v>0</v>
      </c>
      <c r="G12" s="12">
        <v>1</v>
      </c>
      <c r="H12" s="12">
        <v>0</v>
      </c>
      <c r="I12" s="12">
        <v>0</v>
      </c>
      <c r="J12" s="12">
        <v>0</v>
      </c>
      <c r="K12" s="12">
        <v>0</v>
      </c>
      <c r="L12" s="12">
        <v>0</v>
      </c>
      <c r="M12" s="12">
        <v>0</v>
      </c>
      <c r="N12" s="12">
        <v>0</v>
      </c>
      <c r="O12" s="12">
        <v>0</v>
      </c>
      <c r="P12" s="12">
        <v>1</v>
      </c>
      <c r="Q12" s="12">
        <v>1</v>
      </c>
      <c r="R12" s="12">
        <v>0</v>
      </c>
      <c r="S12" s="12">
        <v>0</v>
      </c>
      <c r="T12" s="12">
        <v>0</v>
      </c>
      <c r="U12" s="12">
        <v>4</v>
      </c>
      <c r="V12" s="12">
        <v>0</v>
      </c>
      <c r="W12" s="12">
        <v>0</v>
      </c>
      <c r="X12" s="12">
        <v>0</v>
      </c>
      <c r="Y12" s="12">
        <v>0</v>
      </c>
      <c r="Z12" s="12">
        <v>0</v>
      </c>
      <c r="AA12" s="12">
        <v>0</v>
      </c>
      <c r="AB12" s="12">
        <v>0</v>
      </c>
    </row>
    <row r="13" spans="1:28">
      <c r="A13" s="23"/>
      <c r="B13" s="13" t="s">
        <v>1524</v>
      </c>
      <c r="C13" s="14">
        <v>0.06</v>
      </c>
      <c r="D13" s="14">
        <v>0.08</v>
      </c>
      <c r="E13" s="15" t="s">
        <v>485</v>
      </c>
      <c r="F13" s="15" t="s">
        <v>485</v>
      </c>
      <c r="G13" s="14">
        <v>0.19</v>
      </c>
      <c r="H13" s="15" t="s">
        <v>485</v>
      </c>
      <c r="I13" s="15" t="s">
        <v>485</v>
      </c>
      <c r="J13" s="15" t="s">
        <v>485</v>
      </c>
      <c r="K13" s="15" t="s">
        <v>485</v>
      </c>
      <c r="L13" s="15" t="s">
        <v>485</v>
      </c>
      <c r="M13" s="15" t="s">
        <v>485</v>
      </c>
      <c r="N13" s="15" t="s">
        <v>485</v>
      </c>
      <c r="O13" s="15" t="s">
        <v>485</v>
      </c>
      <c r="P13" s="14">
        <v>0.54</v>
      </c>
      <c r="Q13" s="14">
        <v>1.1499999999999999</v>
      </c>
      <c r="R13" s="15" t="s">
        <v>485</v>
      </c>
      <c r="S13" s="15" t="s">
        <v>485</v>
      </c>
      <c r="T13" s="15" t="s">
        <v>485</v>
      </c>
      <c r="U13" s="14">
        <v>0.88</v>
      </c>
      <c r="V13" s="15" t="s">
        <v>485</v>
      </c>
      <c r="W13" s="15" t="s">
        <v>485</v>
      </c>
      <c r="X13" s="15" t="s">
        <v>485</v>
      </c>
      <c r="Y13" s="15" t="s">
        <v>485</v>
      </c>
      <c r="Z13" s="15" t="s">
        <v>485</v>
      </c>
      <c r="AA13" s="15" t="s">
        <v>485</v>
      </c>
      <c r="AB13" s="15" t="s">
        <v>485</v>
      </c>
    </row>
    <row r="14" spans="1:28">
      <c r="A14" s="23"/>
      <c r="B14" s="11" t="s">
        <v>1525</v>
      </c>
      <c r="C14" s="12">
        <v>4</v>
      </c>
      <c r="D14" s="12">
        <v>2</v>
      </c>
      <c r="E14" s="12">
        <v>0</v>
      </c>
      <c r="F14" s="12">
        <v>0</v>
      </c>
      <c r="G14" s="12">
        <v>0</v>
      </c>
      <c r="H14" s="12">
        <v>0</v>
      </c>
      <c r="I14" s="12">
        <v>0</v>
      </c>
      <c r="J14" s="12">
        <v>0</v>
      </c>
      <c r="K14" s="12">
        <v>0</v>
      </c>
      <c r="L14" s="12">
        <v>0</v>
      </c>
      <c r="M14" s="12">
        <v>0</v>
      </c>
      <c r="N14" s="12">
        <v>1</v>
      </c>
      <c r="O14" s="12">
        <v>0</v>
      </c>
      <c r="P14" s="12">
        <v>0</v>
      </c>
      <c r="Q14" s="12">
        <v>0</v>
      </c>
      <c r="R14" s="12">
        <v>0</v>
      </c>
      <c r="S14" s="12">
        <v>0</v>
      </c>
      <c r="T14" s="12">
        <v>0</v>
      </c>
      <c r="U14" s="12">
        <v>0</v>
      </c>
      <c r="V14" s="12">
        <v>2</v>
      </c>
      <c r="W14" s="12">
        <v>0</v>
      </c>
      <c r="X14" s="12">
        <v>1</v>
      </c>
      <c r="Y14" s="12">
        <v>0</v>
      </c>
      <c r="Z14" s="12">
        <v>1</v>
      </c>
      <c r="AA14" s="12">
        <v>0</v>
      </c>
      <c r="AB14" s="12">
        <v>0</v>
      </c>
    </row>
    <row r="15" spans="1:28">
      <c r="A15" s="23"/>
      <c r="B15" s="13" t="s">
        <v>1525</v>
      </c>
      <c r="C15" s="14">
        <v>0.04</v>
      </c>
      <c r="D15" s="14">
        <v>7.0000000000000007E-2</v>
      </c>
      <c r="E15" s="15" t="s">
        <v>485</v>
      </c>
      <c r="F15" s="15" t="s">
        <v>485</v>
      </c>
      <c r="G15" s="15" t="s">
        <v>485</v>
      </c>
      <c r="H15" s="15" t="s">
        <v>485</v>
      </c>
      <c r="I15" s="15" t="s">
        <v>485</v>
      </c>
      <c r="J15" s="15" t="s">
        <v>485</v>
      </c>
      <c r="K15" s="15" t="s">
        <v>485</v>
      </c>
      <c r="L15" s="15" t="s">
        <v>485</v>
      </c>
      <c r="M15" s="15" t="s">
        <v>485</v>
      </c>
      <c r="N15" s="14">
        <v>0.16</v>
      </c>
      <c r="O15" s="15" t="s">
        <v>485</v>
      </c>
      <c r="P15" s="15" t="s">
        <v>485</v>
      </c>
      <c r="Q15" s="15" t="s">
        <v>485</v>
      </c>
      <c r="R15" s="15" t="s">
        <v>485</v>
      </c>
      <c r="S15" s="15" t="s">
        <v>485</v>
      </c>
      <c r="T15" s="15" t="s">
        <v>485</v>
      </c>
      <c r="U15" s="15" t="s">
        <v>485</v>
      </c>
      <c r="V15" s="14">
        <v>0.28999999999999998</v>
      </c>
      <c r="W15" s="15" t="s">
        <v>485</v>
      </c>
      <c r="X15" s="14">
        <v>0.84</v>
      </c>
      <c r="Y15" s="15" t="s">
        <v>485</v>
      </c>
      <c r="Z15" s="14">
        <v>0.37</v>
      </c>
      <c r="AA15" s="15" t="s">
        <v>485</v>
      </c>
      <c r="AB15" s="14">
        <v>0.2</v>
      </c>
    </row>
    <row r="16" spans="1:28">
      <c r="A16" s="23"/>
      <c r="B16" s="11" t="s">
        <v>1526</v>
      </c>
      <c r="C16" s="12">
        <v>4</v>
      </c>
      <c r="D16" s="12">
        <v>1</v>
      </c>
      <c r="E16" s="12">
        <v>0</v>
      </c>
      <c r="F16" s="12">
        <v>0</v>
      </c>
      <c r="G16" s="12">
        <v>0</v>
      </c>
      <c r="H16" s="12">
        <v>0</v>
      </c>
      <c r="I16" s="12">
        <v>0</v>
      </c>
      <c r="J16" s="12">
        <v>0</v>
      </c>
      <c r="K16" s="12">
        <v>0</v>
      </c>
      <c r="L16" s="12">
        <v>1</v>
      </c>
      <c r="M16" s="12">
        <v>0</v>
      </c>
      <c r="N16" s="12">
        <v>2</v>
      </c>
      <c r="O16" s="12">
        <v>0</v>
      </c>
      <c r="P16" s="12">
        <v>0</v>
      </c>
      <c r="Q16" s="12">
        <v>0</v>
      </c>
      <c r="R16" s="12">
        <v>0</v>
      </c>
      <c r="S16" s="12">
        <v>0</v>
      </c>
      <c r="T16" s="12">
        <v>0</v>
      </c>
      <c r="U16" s="12">
        <v>0</v>
      </c>
      <c r="V16" s="12">
        <v>1</v>
      </c>
      <c r="W16" s="12">
        <v>0</v>
      </c>
      <c r="X16" s="12">
        <v>0</v>
      </c>
      <c r="Y16" s="12">
        <v>1</v>
      </c>
      <c r="Z16" s="12">
        <v>0</v>
      </c>
      <c r="AA16" s="12">
        <v>0</v>
      </c>
      <c r="AB16" s="12">
        <v>0</v>
      </c>
    </row>
    <row r="17" spans="1:28">
      <c r="A17" s="23"/>
      <c r="B17" s="13" t="s">
        <v>1526</v>
      </c>
      <c r="C17" s="14">
        <v>0.04</v>
      </c>
      <c r="D17" s="14">
        <v>0.03</v>
      </c>
      <c r="E17" s="15" t="s">
        <v>485</v>
      </c>
      <c r="F17" s="15" t="s">
        <v>485</v>
      </c>
      <c r="G17" s="15" t="s">
        <v>485</v>
      </c>
      <c r="H17" s="15" t="s">
        <v>485</v>
      </c>
      <c r="I17" s="15" t="s">
        <v>485</v>
      </c>
      <c r="J17" s="15" t="s">
        <v>485</v>
      </c>
      <c r="K17" s="15" t="s">
        <v>485</v>
      </c>
      <c r="L17" s="14">
        <v>0.45</v>
      </c>
      <c r="M17" s="15" t="s">
        <v>485</v>
      </c>
      <c r="N17" s="14">
        <v>0.41</v>
      </c>
      <c r="O17" s="15" t="s">
        <v>485</v>
      </c>
      <c r="P17" s="15" t="s">
        <v>485</v>
      </c>
      <c r="Q17" s="15" t="s">
        <v>485</v>
      </c>
      <c r="R17" s="15" t="s">
        <v>485</v>
      </c>
      <c r="S17" s="15" t="s">
        <v>485</v>
      </c>
      <c r="T17" s="15" t="s">
        <v>485</v>
      </c>
      <c r="U17" s="15" t="s">
        <v>485</v>
      </c>
      <c r="V17" s="14">
        <v>0.17</v>
      </c>
      <c r="W17" s="15" t="s">
        <v>485</v>
      </c>
      <c r="X17" s="15" t="s">
        <v>485</v>
      </c>
      <c r="Y17" s="14">
        <v>0.45</v>
      </c>
      <c r="Z17" s="15" t="s">
        <v>485</v>
      </c>
      <c r="AA17" s="15" t="s">
        <v>485</v>
      </c>
      <c r="AB17" s="15" t="s">
        <v>485</v>
      </c>
    </row>
    <row r="18" spans="1:28">
      <c r="A18" s="23"/>
      <c r="B18" s="11" t="s">
        <v>1527</v>
      </c>
      <c r="C18" s="12">
        <v>35</v>
      </c>
      <c r="D18" s="12">
        <v>3</v>
      </c>
      <c r="E18" s="12">
        <v>2</v>
      </c>
      <c r="F18" s="12">
        <v>0</v>
      </c>
      <c r="G18" s="12">
        <v>3</v>
      </c>
      <c r="H18" s="12">
        <v>4</v>
      </c>
      <c r="I18" s="12">
        <v>4</v>
      </c>
      <c r="J18" s="12">
        <v>1</v>
      </c>
      <c r="K18" s="12">
        <v>1</v>
      </c>
      <c r="L18" s="12">
        <v>0</v>
      </c>
      <c r="M18" s="12">
        <v>3</v>
      </c>
      <c r="N18" s="12">
        <v>1</v>
      </c>
      <c r="O18" s="12">
        <v>1</v>
      </c>
      <c r="P18" s="12">
        <v>0</v>
      </c>
      <c r="Q18" s="12">
        <v>0</v>
      </c>
      <c r="R18" s="12">
        <v>0</v>
      </c>
      <c r="S18" s="12">
        <v>1</v>
      </c>
      <c r="T18" s="12">
        <v>0</v>
      </c>
      <c r="U18" s="12">
        <v>1</v>
      </c>
      <c r="V18" s="12">
        <v>1</v>
      </c>
      <c r="W18" s="12">
        <v>1</v>
      </c>
      <c r="X18" s="12">
        <v>0</v>
      </c>
      <c r="Y18" s="12">
        <v>1</v>
      </c>
      <c r="Z18" s="12">
        <v>0</v>
      </c>
      <c r="AA18" s="12">
        <v>1</v>
      </c>
      <c r="AB18" s="12">
        <v>0</v>
      </c>
    </row>
    <row r="19" spans="1:28">
      <c r="A19" s="23"/>
      <c r="B19" s="13" t="s">
        <v>1527</v>
      </c>
      <c r="C19" s="14">
        <v>0.34</v>
      </c>
      <c r="D19" s="14">
        <v>0.09</v>
      </c>
      <c r="E19" s="14">
        <v>0.32</v>
      </c>
      <c r="F19" s="15" t="s">
        <v>485</v>
      </c>
      <c r="G19" s="14">
        <v>0.81</v>
      </c>
      <c r="H19" s="14">
        <v>0.4</v>
      </c>
      <c r="I19" s="14">
        <v>0.4</v>
      </c>
      <c r="J19" s="14">
        <v>0.36</v>
      </c>
      <c r="K19" s="14">
        <v>0.18</v>
      </c>
      <c r="L19" s="15" t="s">
        <v>485</v>
      </c>
      <c r="M19" s="14">
        <v>0.96</v>
      </c>
      <c r="N19" s="14">
        <v>0.15</v>
      </c>
      <c r="O19" s="14">
        <v>0.3</v>
      </c>
      <c r="P19" s="15" t="s">
        <v>485</v>
      </c>
      <c r="Q19" s="15" t="s">
        <v>485</v>
      </c>
      <c r="R19" s="15" t="s">
        <v>485</v>
      </c>
      <c r="S19" s="14">
        <v>0.37</v>
      </c>
      <c r="T19" s="15" t="s">
        <v>485</v>
      </c>
      <c r="U19" s="14">
        <v>0.17</v>
      </c>
      <c r="V19" s="14">
        <v>0.12</v>
      </c>
      <c r="W19" s="14">
        <v>0.92</v>
      </c>
      <c r="X19" s="15" t="s">
        <v>485</v>
      </c>
      <c r="Y19" s="14">
        <v>0.64</v>
      </c>
      <c r="Z19" s="15" t="s">
        <v>485</v>
      </c>
      <c r="AA19" s="14">
        <v>0.66</v>
      </c>
      <c r="AB19" s="15" t="s">
        <v>485</v>
      </c>
    </row>
    <row r="20" spans="1:28">
      <c r="A20" s="23"/>
      <c r="B20" s="11" t="s">
        <v>1528</v>
      </c>
      <c r="C20" s="12">
        <v>16</v>
      </c>
      <c r="D20" s="12">
        <v>1</v>
      </c>
      <c r="E20" s="12">
        <v>1</v>
      </c>
      <c r="F20" s="12">
        <v>0</v>
      </c>
      <c r="G20" s="12">
        <v>0</v>
      </c>
      <c r="H20" s="12">
        <v>3</v>
      </c>
      <c r="I20" s="12">
        <v>3</v>
      </c>
      <c r="J20" s="12">
        <v>0</v>
      </c>
      <c r="K20" s="12">
        <v>1</v>
      </c>
      <c r="L20" s="12">
        <v>1</v>
      </c>
      <c r="M20" s="12">
        <v>0</v>
      </c>
      <c r="N20" s="12">
        <v>0</v>
      </c>
      <c r="O20" s="12">
        <v>0</v>
      </c>
      <c r="P20" s="12">
        <v>0</v>
      </c>
      <c r="Q20" s="12">
        <v>0</v>
      </c>
      <c r="R20" s="12">
        <v>0</v>
      </c>
      <c r="S20" s="12">
        <v>0</v>
      </c>
      <c r="T20" s="12">
        <v>0</v>
      </c>
      <c r="U20" s="12">
        <v>0</v>
      </c>
      <c r="V20" s="12">
        <v>2</v>
      </c>
      <c r="W20" s="12">
        <v>0</v>
      </c>
      <c r="X20" s="12">
        <v>0</v>
      </c>
      <c r="Y20" s="12">
        <v>0</v>
      </c>
      <c r="Z20" s="12">
        <v>1</v>
      </c>
      <c r="AA20" s="12">
        <v>0</v>
      </c>
      <c r="AB20" s="12">
        <v>0</v>
      </c>
    </row>
    <row r="21" spans="1:28">
      <c r="A21" s="23"/>
      <c r="B21" s="13" t="s">
        <v>1529</v>
      </c>
      <c r="C21" s="14">
        <v>0.17</v>
      </c>
      <c r="D21" s="14">
        <v>0.03</v>
      </c>
      <c r="E21" s="14">
        <v>0.15</v>
      </c>
      <c r="F21" s="15" t="s">
        <v>485</v>
      </c>
      <c r="G21" s="15" t="s">
        <v>485</v>
      </c>
      <c r="H21" s="14">
        <v>0.34</v>
      </c>
      <c r="I21" s="14">
        <v>0.34</v>
      </c>
      <c r="J21" s="15" t="s">
        <v>485</v>
      </c>
      <c r="K21" s="14">
        <v>0.25</v>
      </c>
      <c r="L21" s="14">
        <v>0.47</v>
      </c>
      <c r="M21" s="15" t="s">
        <v>485</v>
      </c>
      <c r="N21" s="15" t="s">
        <v>485</v>
      </c>
      <c r="O21" s="15" t="s">
        <v>485</v>
      </c>
      <c r="P21" s="15" t="s">
        <v>485</v>
      </c>
      <c r="Q21" s="15" t="s">
        <v>485</v>
      </c>
      <c r="R21" s="15" t="s">
        <v>485</v>
      </c>
      <c r="S21" s="15" t="s">
        <v>485</v>
      </c>
      <c r="T21" s="15" t="s">
        <v>485</v>
      </c>
      <c r="U21" s="15" t="s">
        <v>485</v>
      </c>
      <c r="V21" s="14">
        <v>0.32</v>
      </c>
      <c r="W21" s="15" t="s">
        <v>485</v>
      </c>
      <c r="X21" s="15" t="s">
        <v>485</v>
      </c>
      <c r="Y21" s="15" t="s">
        <v>485</v>
      </c>
      <c r="Z21" s="14">
        <v>0.28999999999999998</v>
      </c>
      <c r="AA21" s="15" t="s">
        <v>485</v>
      </c>
      <c r="AB21" s="15" t="s">
        <v>485</v>
      </c>
    </row>
    <row r="22" spans="1:28">
      <c r="A22" s="23"/>
      <c r="B22" s="11" t="s">
        <v>1530</v>
      </c>
      <c r="C22" s="12">
        <v>12</v>
      </c>
      <c r="D22" s="12">
        <v>1</v>
      </c>
      <c r="E22" s="12">
        <v>2</v>
      </c>
      <c r="F22" s="12">
        <v>0</v>
      </c>
      <c r="G22" s="12">
        <v>0</v>
      </c>
      <c r="H22" s="12">
        <v>1</v>
      </c>
      <c r="I22" s="12">
        <v>1</v>
      </c>
      <c r="J22" s="12">
        <v>0</v>
      </c>
      <c r="K22" s="12">
        <v>0</v>
      </c>
      <c r="L22" s="12">
        <v>0</v>
      </c>
      <c r="M22" s="12">
        <v>0</v>
      </c>
      <c r="N22" s="12">
        <v>0</v>
      </c>
      <c r="O22" s="12">
        <v>2</v>
      </c>
      <c r="P22" s="12">
        <v>1</v>
      </c>
      <c r="Q22" s="12">
        <v>0</v>
      </c>
      <c r="R22" s="12">
        <v>0</v>
      </c>
      <c r="S22" s="12">
        <v>0</v>
      </c>
      <c r="T22" s="12">
        <v>0</v>
      </c>
      <c r="U22" s="12">
        <v>0</v>
      </c>
      <c r="V22" s="12">
        <v>0</v>
      </c>
      <c r="W22" s="12">
        <v>0</v>
      </c>
      <c r="X22" s="12">
        <v>0</v>
      </c>
      <c r="Y22" s="12">
        <v>0</v>
      </c>
      <c r="Z22" s="12">
        <v>1</v>
      </c>
      <c r="AA22" s="12">
        <v>0</v>
      </c>
      <c r="AB22" s="12">
        <v>0</v>
      </c>
    </row>
    <row r="23" spans="1:28">
      <c r="A23" s="23"/>
      <c r="B23" s="13" t="s">
        <v>1531</v>
      </c>
      <c r="C23" s="14">
        <v>0.12</v>
      </c>
      <c r="D23" s="14">
        <v>0.04</v>
      </c>
      <c r="E23" s="14">
        <v>0.36</v>
      </c>
      <c r="F23" s="15" t="s">
        <v>485</v>
      </c>
      <c r="G23" s="15" t="s">
        <v>485</v>
      </c>
      <c r="H23" s="14">
        <v>0.13</v>
      </c>
      <c r="I23" s="14">
        <v>0.13</v>
      </c>
      <c r="J23" s="15" t="s">
        <v>485</v>
      </c>
      <c r="K23" s="15" t="s">
        <v>485</v>
      </c>
      <c r="L23" s="15" t="s">
        <v>485</v>
      </c>
      <c r="M23" s="15" t="s">
        <v>485</v>
      </c>
      <c r="N23" s="15" t="s">
        <v>485</v>
      </c>
      <c r="O23" s="14">
        <v>0.61</v>
      </c>
      <c r="P23" s="14">
        <v>0.62</v>
      </c>
      <c r="Q23" s="15" t="s">
        <v>485</v>
      </c>
      <c r="R23" s="15" t="s">
        <v>485</v>
      </c>
      <c r="S23" s="15" t="s">
        <v>485</v>
      </c>
      <c r="T23" s="15" t="s">
        <v>485</v>
      </c>
      <c r="U23" s="15" t="s">
        <v>485</v>
      </c>
      <c r="V23" s="15" t="s">
        <v>485</v>
      </c>
      <c r="W23" s="15" t="s">
        <v>485</v>
      </c>
      <c r="X23" s="15" t="s">
        <v>485</v>
      </c>
      <c r="Y23" s="15" t="s">
        <v>485</v>
      </c>
      <c r="Z23" s="14">
        <v>0.28999999999999998</v>
      </c>
      <c r="AA23" s="15" t="s">
        <v>485</v>
      </c>
      <c r="AB23" s="15" t="s">
        <v>485</v>
      </c>
    </row>
    <row r="24" spans="1:28">
      <c r="A24" s="23"/>
      <c r="B24" s="11" t="s">
        <v>497</v>
      </c>
      <c r="C24" s="12">
        <v>23</v>
      </c>
      <c r="D24" s="12">
        <v>19</v>
      </c>
      <c r="E24" s="12">
        <v>1</v>
      </c>
      <c r="F24" s="12">
        <v>2</v>
      </c>
      <c r="G24" s="12">
        <v>0</v>
      </c>
      <c r="H24" s="12">
        <v>1</v>
      </c>
      <c r="I24" s="12">
        <v>1</v>
      </c>
      <c r="J24" s="12">
        <v>1</v>
      </c>
      <c r="K24" s="12">
        <v>3</v>
      </c>
      <c r="L24" s="12">
        <v>0</v>
      </c>
      <c r="M24" s="12">
        <v>0</v>
      </c>
      <c r="N24" s="12">
        <v>1</v>
      </c>
      <c r="O24" s="12">
        <v>0</v>
      </c>
      <c r="P24" s="12">
        <v>0</v>
      </c>
      <c r="Q24" s="12">
        <v>0</v>
      </c>
      <c r="R24" s="12">
        <v>1</v>
      </c>
      <c r="S24" s="12">
        <v>1</v>
      </c>
      <c r="T24" s="12">
        <v>2</v>
      </c>
      <c r="U24" s="12">
        <v>0</v>
      </c>
      <c r="V24" s="12">
        <v>1</v>
      </c>
      <c r="W24" s="12">
        <v>0</v>
      </c>
      <c r="X24" s="12">
        <v>0</v>
      </c>
      <c r="Y24" s="12">
        <v>0</v>
      </c>
      <c r="Z24" s="12">
        <v>0</v>
      </c>
      <c r="AA24" s="12">
        <v>1</v>
      </c>
      <c r="AB24" s="12">
        <v>1</v>
      </c>
    </row>
    <row r="25" spans="1:28">
      <c r="A25" s="23"/>
      <c r="B25" s="13" t="s">
        <v>498</v>
      </c>
      <c r="C25" s="14">
        <v>0.23</v>
      </c>
      <c r="D25" s="14">
        <v>0.66</v>
      </c>
      <c r="E25" s="14">
        <v>0.17</v>
      </c>
      <c r="F25" s="14">
        <v>0.8</v>
      </c>
      <c r="G25" s="15" t="s">
        <v>485</v>
      </c>
      <c r="H25" s="14">
        <v>0.14000000000000001</v>
      </c>
      <c r="I25" s="14">
        <v>0.14000000000000001</v>
      </c>
      <c r="J25" s="14">
        <v>0.52</v>
      </c>
      <c r="K25" s="14">
        <v>0.57000000000000006</v>
      </c>
      <c r="L25" s="15" t="s">
        <v>485</v>
      </c>
      <c r="M25" s="15" t="s">
        <v>485</v>
      </c>
      <c r="N25" s="14">
        <v>0.28000000000000003</v>
      </c>
      <c r="O25" s="15" t="s">
        <v>485</v>
      </c>
      <c r="P25" s="15" t="s">
        <v>485</v>
      </c>
      <c r="Q25" s="15" t="s">
        <v>485</v>
      </c>
      <c r="R25" s="14">
        <v>0.8</v>
      </c>
      <c r="S25" s="14">
        <v>0.63</v>
      </c>
      <c r="T25" s="14">
        <v>1.03</v>
      </c>
      <c r="U25" s="15" t="s">
        <v>485</v>
      </c>
      <c r="V25" s="14">
        <v>0.1</v>
      </c>
      <c r="W25" s="15" t="s">
        <v>485</v>
      </c>
      <c r="X25" s="15" t="s">
        <v>485</v>
      </c>
      <c r="Y25" s="15" t="s">
        <v>485</v>
      </c>
      <c r="Z25" s="15" t="s">
        <v>485</v>
      </c>
      <c r="AA25" s="14">
        <v>0.38</v>
      </c>
      <c r="AB25" s="14">
        <v>0.68</v>
      </c>
    </row>
    <row r="26" spans="1:28">
      <c r="A26" s="23"/>
      <c r="B26" s="11" t="s">
        <v>1532</v>
      </c>
      <c r="C26" s="12">
        <v>777.05</v>
      </c>
      <c r="D26" s="12">
        <v>183.35</v>
      </c>
      <c r="E26" s="12">
        <v>3290.24</v>
      </c>
      <c r="F26" s="12">
        <v>0</v>
      </c>
      <c r="G26" s="12">
        <v>224.69</v>
      </c>
      <c r="H26" s="12">
        <v>984.09</v>
      </c>
      <c r="I26" s="12">
        <v>984.09</v>
      </c>
      <c r="J26" s="12">
        <v>4067.86</v>
      </c>
      <c r="K26" s="12">
        <v>1000</v>
      </c>
      <c r="L26" s="12">
        <v>200</v>
      </c>
      <c r="M26" s="12">
        <v>1310.3800000000001</v>
      </c>
      <c r="N26" s="12">
        <v>946.76</v>
      </c>
      <c r="O26" s="12">
        <v>500</v>
      </c>
      <c r="P26" s="12">
        <v>50</v>
      </c>
      <c r="Q26" s="12">
        <v>25</v>
      </c>
      <c r="R26" s="12">
        <v>0</v>
      </c>
      <c r="S26" s="12">
        <v>4822</v>
      </c>
      <c r="T26" s="12">
        <v>0</v>
      </c>
      <c r="U26" s="12">
        <v>183.96</v>
      </c>
      <c r="V26" s="12">
        <v>214.53</v>
      </c>
      <c r="W26" s="12">
        <v>235</v>
      </c>
      <c r="X26" s="12">
        <v>50</v>
      </c>
      <c r="Y26" s="12">
        <v>29329.77</v>
      </c>
      <c r="Z26" s="12">
        <v>100</v>
      </c>
      <c r="AA26" s="12">
        <v>315.12</v>
      </c>
      <c r="AB26" s="12">
        <v>52</v>
      </c>
    </row>
    <row r="27" spans="1:28">
      <c r="A27" s="23"/>
      <c r="B27" s="13" t="s">
        <v>1533</v>
      </c>
      <c r="C27" s="15" t="s">
        <v>485</v>
      </c>
      <c r="D27" s="15" t="s">
        <v>485</v>
      </c>
      <c r="E27" s="15" t="s">
        <v>485</v>
      </c>
      <c r="F27" s="15" t="s">
        <v>485</v>
      </c>
      <c r="G27" s="15" t="s">
        <v>485</v>
      </c>
      <c r="H27" s="15" t="s">
        <v>485</v>
      </c>
      <c r="I27" s="15" t="s">
        <v>485</v>
      </c>
      <c r="J27" s="15" t="s">
        <v>485</v>
      </c>
      <c r="K27" s="15" t="s">
        <v>485</v>
      </c>
      <c r="L27" s="15" t="s">
        <v>485</v>
      </c>
      <c r="M27" s="15" t="s">
        <v>485</v>
      </c>
      <c r="N27" s="15" t="s">
        <v>485</v>
      </c>
      <c r="O27" s="15" t="s">
        <v>485</v>
      </c>
      <c r="P27" s="15" t="s">
        <v>485</v>
      </c>
      <c r="Q27" s="15" t="s">
        <v>485</v>
      </c>
      <c r="R27" s="15" t="s">
        <v>485</v>
      </c>
      <c r="S27" s="15" t="s">
        <v>485</v>
      </c>
      <c r="T27" s="15" t="s">
        <v>485</v>
      </c>
      <c r="U27" s="15" t="s">
        <v>485</v>
      </c>
      <c r="V27" s="15" t="s">
        <v>485</v>
      </c>
      <c r="W27" s="15" t="s">
        <v>485</v>
      </c>
      <c r="X27" s="15" t="s">
        <v>485</v>
      </c>
      <c r="Y27" s="15" t="s">
        <v>485</v>
      </c>
      <c r="Z27" s="15" t="s">
        <v>485</v>
      </c>
      <c r="AA27" s="15" t="s">
        <v>485</v>
      </c>
      <c r="AB27" s="15" t="s">
        <v>485</v>
      </c>
    </row>
    <row r="28" spans="1:28">
      <c r="A28" s="23"/>
      <c r="B28" s="11" t="s">
        <v>1534</v>
      </c>
      <c r="C28" s="12">
        <v>268</v>
      </c>
      <c r="D28" s="12">
        <v>0</v>
      </c>
      <c r="E28" s="12">
        <v>0</v>
      </c>
      <c r="F28" s="12">
        <v>0</v>
      </c>
      <c r="G28" s="12">
        <v>33</v>
      </c>
      <c r="H28" s="12">
        <v>500</v>
      </c>
      <c r="I28" s="12">
        <v>500</v>
      </c>
      <c r="J28" s="12">
        <v>0</v>
      </c>
      <c r="K28" s="12">
        <v>0</v>
      </c>
      <c r="L28" s="12">
        <v>0</v>
      </c>
      <c r="M28" s="12">
        <v>500</v>
      </c>
      <c r="N28" s="12">
        <v>200</v>
      </c>
      <c r="O28" s="12">
        <v>0</v>
      </c>
      <c r="P28" s="12">
        <v>0</v>
      </c>
      <c r="Q28" s="12">
        <v>0</v>
      </c>
      <c r="R28" s="12">
        <v>0</v>
      </c>
      <c r="S28" s="12">
        <v>0</v>
      </c>
      <c r="T28" s="12">
        <v>0</v>
      </c>
      <c r="U28" s="12">
        <v>0</v>
      </c>
      <c r="V28" s="12">
        <v>100</v>
      </c>
      <c r="W28" s="12">
        <v>0</v>
      </c>
      <c r="X28" s="12">
        <v>0</v>
      </c>
      <c r="Y28" s="12">
        <v>200</v>
      </c>
      <c r="Z28" s="12">
        <v>0</v>
      </c>
      <c r="AA28" s="12">
        <v>0</v>
      </c>
      <c r="AB28" s="12">
        <v>0</v>
      </c>
    </row>
    <row r="29" spans="1:28">
      <c r="A29" s="23"/>
      <c r="B29" s="13" t="s">
        <v>1535</v>
      </c>
      <c r="C29" s="15" t="s">
        <v>485</v>
      </c>
      <c r="D29" s="15" t="s">
        <v>485</v>
      </c>
      <c r="E29" s="15" t="s">
        <v>485</v>
      </c>
      <c r="F29" s="15" t="s">
        <v>485</v>
      </c>
      <c r="G29" s="15" t="s">
        <v>485</v>
      </c>
      <c r="H29" s="15" t="s">
        <v>485</v>
      </c>
      <c r="I29" s="15" t="s">
        <v>485</v>
      </c>
      <c r="J29" s="15" t="s">
        <v>485</v>
      </c>
      <c r="K29" s="15" t="s">
        <v>485</v>
      </c>
      <c r="L29" s="15" t="s">
        <v>485</v>
      </c>
      <c r="M29" s="15" t="s">
        <v>485</v>
      </c>
      <c r="N29" s="15" t="s">
        <v>485</v>
      </c>
      <c r="O29" s="15" t="s">
        <v>485</v>
      </c>
      <c r="P29" s="15" t="s">
        <v>485</v>
      </c>
      <c r="Q29" s="15" t="s">
        <v>485</v>
      </c>
      <c r="R29" s="15" t="s">
        <v>485</v>
      </c>
      <c r="S29" s="15" t="s">
        <v>485</v>
      </c>
      <c r="T29" s="15" t="s">
        <v>485</v>
      </c>
      <c r="U29" s="15" t="s">
        <v>485</v>
      </c>
      <c r="V29" s="15" t="s">
        <v>485</v>
      </c>
      <c r="W29" s="15" t="s">
        <v>485</v>
      </c>
      <c r="X29" s="15" t="s">
        <v>485</v>
      </c>
      <c r="Y29" s="15" t="s">
        <v>485</v>
      </c>
      <c r="Z29" s="15" t="s">
        <v>485</v>
      </c>
      <c r="AA29" s="15" t="s">
        <v>485</v>
      </c>
      <c r="AB29" s="15" t="s">
        <v>485</v>
      </c>
    </row>
  </sheetData>
  <mergeCells count="9">
    <mergeCell ref="B4:F4"/>
    <mergeCell ref="H3:L3"/>
    <mergeCell ref="C8:AB8"/>
    <mergeCell ref="A10:A29"/>
    <mergeCell ref="B5:F5"/>
    <mergeCell ref="B3:F3"/>
    <mergeCell ref="H5:L5"/>
    <mergeCell ref="B10:B11"/>
    <mergeCell ref="H4:L4"/>
  </mergeCells>
  <pageMargins left="0.75" right="0.75" top="1" bottom="1" header="0.5" footer="0.5"/>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400-000000000000}">
  <dimension ref="A1:Z2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26" width="12.42578125" customWidth="1"/>
  </cols>
  <sheetData>
    <row r="1" spans="1:26">
      <c r="I1" s="7" t="s">
        <v>449</v>
      </c>
    </row>
    <row r="2" spans="1:26">
      <c r="C2" s="7" t="s">
        <v>450</v>
      </c>
      <c r="H2" s="7" t="s">
        <v>451</v>
      </c>
    </row>
    <row r="3" spans="1:26" ht="24" customHeight="1">
      <c r="B3" s="19" t="s">
        <v>335</v>
      </c>
      <c r="C3" s="19"/>
      <c r="D3" s="19"/>
      <c r="E3" s="19"/>
      <c r="F3" s="19"/>
      <c r="H3" s="19" t="s">
        <v>336</v>
      </c>
      <c r="I3" s="19"/>
      <c r="J3" s="19"/>
      <c r="K3" s="19"/>
      <c r="L3" s="19"/>
    </row>
    <row r="4" spans="1:26" ht="27" customHeight="1">
      <c r="B4" s="19"/>
      <c r="C4" s="19"/>
      <c r="D4" s="19"/>
      <c r="E4" s="19"/>
      <c r="F4" s="19"/>
      <c r="H4" s="19"/>
      <c r="I4" s="19"/>
      <c r="J4" s="19"/>
      <c r="K4" s="19"/>
      <c r="L4" s="19"/>
    </row>
    <row r="5" spans="1:26" ht="24" customHeight="1">
      <c r="B5" s="19" t="s">
        <v>1546</v>
      </c>
      <c r="C5" s="19"/>
      <c r="D5" s="19"/>
      <c r="E5" s="19"/>
      <c r="F5" s="19"/>
      <c r="H5" s="19" t="s">
        <v>1547</v>
      </c>
      <c r="I5" s="19"/>
      <c r="J5" s="19"/>
      <c r="K5" s="19"/>
      <c r="L5" s="19"/>
    </row>
    <row r="6" spans="1:26" ht="0.95" customHeight="1"/>
    <row r="7" spans="1:26" ht="0.95" customHeight="1"/>
    <row r="8" spans="1:26">
      <c r="C8" s="22"/>
      <c r="D8" s="22"/>
      <c r="E8" s="22"/>
      <c r="F8" s="22"/>
      <c r="G8" s="22"/>
      <c r="H8" s="22"/>
      <c r="I8" s="22"/>
      <c r="J8" s="22"/>
      <c r="K8" s="22"/>
      <c r="L8" s="22"/>
      <c r="M8" s="22"/>
      <c r="N8" s="22"/>
      <c r="O8" s="22"/>
      <c r="P8" s="22"/>
      <c r="Q8" s="22"/>
      <c r="R8" s="22"/>
      <c r="S8" s="22"/>
      <c r="T8" s="22"/>
      <c r="U8" s="22"/>
      <c r="V8" s="22"/>
      <c r="W8" s="22"/>
      <c r="X8" s="22"/>
      <c r="Y8" s="22"/>
      <c r="Z8" s="22"/>
    </row>
    <row r="9" spans="1:26" ht="18">
      <c r="A9" s="5" t="str">
        <f>HYPERLINK("#Content!A169","&lt;&lt;Back to content")</f>
        <v>&lt;&lt;Back to content</v>
      </c>
      <c r="C9" s="8" t="s">
        <v>454</v>
      </c>
      <c r="D9" s="8" t="s">
        <v>455</v>
      </c>
      <c r="E9" s="8" t="s">
        <v>456</v>
      </c>
      <c r="F9" s="8" t="s">
        <v>457</v>
      </c>
      <c r="G9" s="8" t="s">
        <v>458</v>
      </c>
      <c r="H9" s="8" t="s">
        <v>459</v>
      </c>
      <c r="I9" s="8" t="s">
        <v>460</v>
      </c>
      <c r="J9" s="8" t="s">
        <v>462</v>
      </c>
      <c r="K9" s="8" t="s">
        <v>463</v>
      </c>
      <c r="L9" s="8" t="s">
        <v>466</v>
      </c>
      <c r="M9" s="8" t="s">
        <v>467</v>
      </c>
      <c r="N9" s="8" t="s">
        <v>468</v>
      </c>
      <c r="O9" s="8" t="s">
        <v>469</v>
      </c>
      <c r="P9" s="8" t="s">
        <v>470</v>
      </c>
      <c r="Q9" s="8" t="s">
        <v>471</v>
      </c>
      <c r="R9" s="8" t="s">
        <v>472</v>
      </c>
      <c r="S9" s="8" t="s">
        <v>473</v>
      </c>
      <c r="T9" s="8" t="s">
        <v>475</v>
      </c>
      <c r="U9" s="8" t="s">
        <v>476</v>
      </c>
      <c r="V9" s="8" t="s">
        <v>477</v>
      </c>
      <c r="W9" s="8" t="s">
        <v>478</v>
      </c>
      <c r="X9" s="8" t="s">
        <v>479</v>
      </c>
      <c r="Y9" s="8" t="s">
        <v>480</v>
      </c>
      <c r="Z9" s="8" t="s">
        <v>481</v>
      </c>
    </row>
    <row r="10" spans="1:26">
      <c r="A10" s="23"/>
      <c r="B10" s="18" t="s">
        <v>484</v>
      </c>
      <c r="C10" s="10">
        <v>119</v>
      </c>
      <c r="D10" s="10">
        <v>34</v>
      </c>
      <c r="E10" s="10">
        <v>4</v>
      </c>
      <c r="F10" s="10">
        <v>5</v>
      </c>
      <c r="G10" s="10">
        <v>0</v>
      </c>
      <c r="H10" s="10">
        <v>9</v>
      </c>
      <c r="I10" s="10">
        <v>9</v>
      </c>
      <c r="J10" s="10">
        <v>2</v>
      </c>
      <c r="K10" s="10">
        <v>2</v>
      </c>
      <c r="L10" s="10">
        <v>4</v>
      </c>
      <c r="M10" s="10">
        <v>5</v>
      </c>
      <c r="N10" s="10">
        <v>2</v>
      </c>
      <c r="O10" s="10">
        <v>7</v>
      </c>
      <c r="P10" s="10">
        <v>2</v>
      </c>
      <c r="Q10" s="10">
        <v>2</v>
      </c>
      <c r="R10" s="10">
        <v>1</v>
      </c>
      <c r="S10" s="10">
        <v>1</v>
      </c>
      <c r="T10" s="10">
        <v>9</v>
      </c>
      <c r="U10" s="10">
        <v>10</v>
      </c>
      <c r="V10" s="10">
        <v>5</v>
      </c>
      <c r="W10" s="10">
        <v>1</v>
      </c>
      <c r="X10" s="10">
        <v>8</v>
      </c>
      <c r="Y10" s="10">
        <v>5</v>
      </c>
      <c r="Z10" s="10">
        <v>1</v>
      </c>
    </row>
    <row r="11" spans="1:26">
      <c r="A11" s="22"/>
      <c r="B11" s="24"/>
      <c r="C11" s="9"/>
      <c r="D11" s="9"/>
      <c r="E11" s="9"/>
      <c r="F11" s="9"/>
      <c r="G11" s="9"/>
      <c r="H11" s="9"/>
      <c r="I11" s="9"/>
      <c r="J11" s="9"/>
      <c r="K11" s="9"/>
      <c r="L11" s="9"/>
      <c r="M11" s="9"/>
      <c r="N11" s="9"/>
      <c r="O11" s="9"/>
      <c r="P11" s="9"/>
      <c r="Q11" s="9"/>
      <c r="R11" s="9"/>
      <c r="S11" s="9"/>
      <c r="T11" s="9"/>
      <c r="U11" s="9"/>
      <c r="V11" s="9"/>
      <c r="W11" s="9"/>
      <c r="X11" s="9"/>
      <c r="Y11" s="9"/>
      <c r="Z11" s="9"/>
    </row>
    <row r="12" spans="1:26">
      <c r="A12" s="23"/>
      <c r="B12" s="11" t="s">
        <v>1524</v>
      </c>
      <c r="C12" s="12">
        <v>22</v>
      </c>
      <c r="D12" s="12">
        <v>2</v>
      </c>
      <c r="E12" s="12">
        <v>0</v>
      </c>
      <c r="F12" s="12">
        <v>2</v>
      </c>
      <c r="G12" s="12">
        <v>0</v>
      </c>
      <c r="H12" s="12">
        <v>3</v>
      </c>
      <c r="I12" s="12">
        <v>3</v>
      </c>
      <c r="J12" s="12">
        <v>0</v>
      </c>
      <c r="K12" s="12">
        <v>0</v>
      </c>
      <c r="L12" s="12">
        <v>0</v>
      </c>
      <c r="M12" s="12">
        <v>1</v>
      </c>
      <c r="N12" s="12">
        <v>0</v>
      </c>
      <c r="O12" s="12">
        <v>2</v>
      </c>
      <c r="P12" s="12">
        <v>0</v>
      </c>
      <c r="Q12" s="12">
        <v>0</v>
      </c>
      <c r="R12" s="12">
        <v>0</v>
      </c>
      <c r="S12" s="12">
        <v>0</v>
      </c>
      <c r="T12" s="12">
        <v>3</v>
      </c>
      <c r="U12" s="12">
        <v>2</v>
      </c>
      <c r="V12" s="12">
        <v>2</v>
      </c>
      <c r="W12" s="12">
        <v>0</v>
      </c>
      <c r="X12" s="12">
        <v>2</v>
      </c>
      <c r="Y12" s="12">
        <v>0</v>
      </c>
      <c r="Z12" s="12">
        <v>0</v>
      </c>
    </row>
    <row r="13" spans="1:26">
      <c r="A13" s="23"/>
      <c r="B13" s="13" t="s">
        <v>1524</v>
      </c>
      <c r="C13" s="14">
        <v>0.19</v>
      </c>
      <c r="D13" s="14">
        <v>7.0000000000000007E-2</v>
      </c>
      <c r="E13" s="15" t="s">
        <v>485</v>
      </c>
      <c r="F13" s="14">
        <v>0.33</v>
      </c>
      <c r="G13" s="15" t="s">
        <v>485</v>
      </c>
      <c r="H13" s="14">
        <v>0.3</v>
      </c>
      <c r="I13" s="14">
        <v>0.3</v>
      </c>
      <c r="J13" s="15" t="s">
        <v>485</v>
      </c>
      <c r="K13" s="15" t="s">
        <v>485</v>
      </c>
      <c r="L13" s="15" t="s">
        <v>485</v>
      </c>
      <c r="M13" s="14">
        <v>0.2</v>
      </c>
      <c r="N13" s="15" t="s">
        <v>485</v>
      </c>
      <c r="O13" s="14">
        <v>0.33</v>
      </c>
      <c r="P13" s="15" t="s">
        <v>485</v>
      </c>
      <c r="Q13" s="15" t="s">
        <v>485</v>
      </c>
      <c r="R13" s="15" t="s">
        <v>485</v>
      </c>
      <c r="S13" s="15" t="s">
        <v>485</v>
      </c>
      <c r="T13" s="14">
        <v>0.37</v>
      </c>
      <c r="U13" s="14">
        <v>0.16</v>
      </c>
      <c r="V13" s="14">
        <v>0.38</v>
      </c>
      <c r="W13" s="15" t="s">
        <v>485</v>
      </c>
      <c r="X13" s="14">
        <v>0.25</v>
      </c>
      <c r="Y13" s="15" t="s">
        <v>485</v>
      </c>
      <c r="Z13" s="15" t="s">
        <v>485</v>
      </c>
    </row>
    <row r="14" spans="1:26">
      <c r="A14" s="23"/>
      <c r="B14" s="11" t="s">
        <v>1525</v>
      </c>
      <c r="C14" s="12">
        <v>10</v>
      </c>
      <c r="D14" s="12">
        <v>0</v>
      </c>
      <c r="E14" s="12">
        <v>0</v>
      </c>
      <c r="F14" s="12">
        <v>0</v>
      </c>
      <c r="G14" s="12">
        <v>0</v>
      </c>
      <c r="H14" s="12">
        <v>0</v>
      </c>
      <c r="I14" s="12">
        <v>0</v>
      </c>
      <c r="J14" s="12">
        <v>1</v>
      </c>
      <c r="K14" s="12">
        <v>0</v>
      </c>
      <c r="L14" s="12">
        <v>1</v>
      </c>
      <c r="M14" s="12">
        <v>0</v>
      </c>
      <c r="N14" s="12">
        <v>1</v>
      </c>
      <c r="O14" s="12">
        <v>0</v>
      </c>
      <c r="P14" s="12">
        <v>0</v>
      </c>
      <c r="Q14" s="12">
        <v>0</v>
      </c>
      <c r="R14" s="12">
        <v>0</v>
      </c>
      <c r="S14" s="12">
        <v>0</v>
      </c>
      <c r="T14" s="12">
        <v>0</v>
      </c>
      <c r="U14" s="12">
        <v>3</v>
      </c>
      <c r="V14" s="12">
        <v>0</v>
      </c>
      <c r="W14" s="12">
        <v>0</v>
      </c>
      <c r="X14" s="12">
        <v>0</v>
      </c>
      <c r="Y14" s="12">
        <v>2</v>
      </c>
      <c r="Z14" s="12">
        <v>0</v>
      </c>
    </row>
    <row r="15" spans="1:26">
      <c r="A15" s="23"/>
      <c r="B15" s="13" t="s">
        <v>1525</v>
      </c>
      <c r="C15" s="14">
        <v>0.08</v>
      </c>
      <c r="D15" s="15" t="s">
        <v>485</v>
      </c>
      <c r="E15" s="15" t="s">
        <v>485</v>
      </c>
      <c r="F15" s="15" t="s">
        <v>485</v>
      </c>
      <c r="G15" s="15" t="s">
        <v>485</v>
      </c>
      <c r="H15" s="15" t="s">
        <v>485</v>
      </c>
      <c r="I15" s="15" t="s">
        <v>485</v>
      </c>
      <c r="J15" s="14">
        <v>0.6</v>
      </c>
      <c r="K15" s="15" t="s">
        <v>485</v>
      </c>
      <c r="L15" s="14">
        <v>0.23</v>
      </c>
      <c r="M15" s="15" t="s">
        <v>485</v>
      </c>
      <c r="N15" s="14">
        <v>0.53</v>
      </c>
      <c r="O15" s="15" t="s">
        <v>485</v>
      </c>
      <c r="P15" s="15" t="s">
        <v>485</v>
      </c>
      <c r="Q15" s="15" t="s">
        <v>485</v>
      </c>
      <c r="R15" s="15" t="s">
        <v>485</v>
      </c>
      <c r="S15" s="15" t="s">
        <v>485</v>
      </c>
      <c r="T15" s="14">
        <v>0.03</v>
      </c>
      <c r="U15" s="14">
        <v>0.31</v>
      </c>
      <c r="V15" s="15" t="s">
        <v>485</v>
      </c>
      <c r="W15" s="15" t="s">
        <v>485</v>
      </c>
      <c r="X15" s="15" t="s">
        <v>485</v>
      </c>
      <c r="Y15" s="14">
        <v>0.35</v>
      </c>
      <c r="Z15" s="15" t="s">
        <v>485</v>
      </c>
    </row>
    <row r="16" spans="1:26">
      <c r="A16" s="23"/>
      <c r="B16" s="11" t="s">
        <v>1526</v>
      </c>
      <c r="C16" s="12">
        <v>4</v>
      </c>
      <c r="D16" s="12">
        <v>0</v>
      </c>
      <c r="E16" s="12">
        <v>1</v>
      </c>
      <c r="F16" s="12">
        <v>0</v>
      </c>
      <c r="G16" s="12">
        <v>0</v>
      </c>
      <c r="H16" s="12">
        <v>0</v>
      </c>
      <c r="I16" s="12">
        <v>0</v>
      </c>
      <c r="J16" s="12">
        <v>0</v>
      </c>
      <c r="K16" s="12">
        <v>0</v>
      </c>
      <c r="L16" s="12">
        <v>0</v>
      </c>
      <c r="M16" s="12">
        <v>0</v>
      </c>
      <c r="N16" s="12">
        <v>0</v>
      </c>
      <c r="O16" s="12">
        <v>3</v>
      </c>
      <c r="P16" s="12">
        <v>0</v>
      </c>
      <c r="Q16" s="12">
        <v>0</v>
      </c>
      <c r="R16" s="12">
        <v>0</v>
      </c>
      <c r="S16" s="12">
        <v>0</v>
      </c>
      <c r="T16" s="12">
        <v>0</v>
      </c>
      <c r="U16" s="12">
        <v>2</v>
      </c>
      <c r="V16" s="12">
        <v>0</v>
      </c>
      <c r="W16" s="12">
        <v>0</v>
      </c>
      <c r="X16" s="12">
        <v>2</v>
      </c>
      <c r="Y16" s="12">
        <v>0</v>
      </c>
      <c r="Z16" s="12">
        <v>0</v>
      </c>
    </row>
    <row r="17" spans="1:26">
      <c r="A17" s="23"/>
      <c r="B17" s="13" t="s">
        <v>1526</v>
      </c>
      <c r="C17" s="14">
        <v>0.03</v>
      </c>
      <c r="D17" s="15" t="s">
        <v>485</v>
      </c>
      <c r="E17" s="14">
        <v>0.26</v>
      </c>
      <c r="F17" s="15" t="s">
        <v>485</v>
      </c>
      <c r="G17" s="15" t="s">
        <v>485</v>
      </c>
      <c r="H17" s="15" t="s">
        <v>485</v>
      </c>
      <c r="I17" s="15" t="s">
        <v>485</v>
      </c>
      <c r="J17" s="15" t="s">
        <v>485</v>
      </c>
      <c r="K17" s="15" t="s">
        <v>485</v>
      </c>
      <c r="L17" s="15" t="s">
        <v>485</v>
      </c>
      <c r="M17" s="15" t="s">
        <v>485</v>
      </c>
      <c r="N17" s="15" t="s">
        <v>485</v>
      </c>
      <c r="O17" s="14">
        <v>0.49</v>
      </c>
      <c r="P17" s="15" t="s">
        <v>485</v>
      </c>
      <c r="Q17" s="15" t="s">
        <v>485</v>
      </c>
      <c r="R17" s="15" t="s">
        <v>485</v>
      </c>
      <c r="S17" s="15" t="s">
        <v>485</v>
      </c>
      <c r="T17" s="15" t="s">
        <v>485</v>
      </c>
      <c r="U17" s="14">
        <v>0.17</v>
      </c>
      <c r="V17" s="15" t="s">
        <v>485</v>
      </c>
      <c r="W17" s="15" t="s">
        <v>485</v>
      </c>
      <c r="X17" s="14">
        <v>0.31</v>
      </c>
      <c r="Y17" s="15" t="s">
        <v>485</v>
      </c>
      <c r="Z17" s="15" t="s">
        <v>485</v>
      </c>
    </row>
    <row r="18" spans="1:26">
      <c r="A18" s="23"/>
      <c r="B18" s="11" t="s">
        <v>1527</v>
      </c>
      <c r="C18" s="12">
        <v>45</v>
      </c>
      <c r="D18" s="12">
        <v>16</v>
      </c>
      <c r="E18" s="12">
        <v>1</v>
      </c>
      <c r="F18" s="12">
        <v>1</v>
      </c>
      <c r="G18" s="12">
        <v>0</v>
      </c>
      <c r="H18" s="12">
        <v>4</v>
      </c>
      <c r="I18" s="12">
        <v>4</v>
      </c>
      <c r="J18" s="12">
        <v>1</v>
      </c>
      <c r="K18" s="12">
        <v>0</v>
      </c>
      <c r="L18" s="12">
        <v>2</v>
      </c>
      <c r="M18" s="12">
        <v>1</v>
      </c>
      <c r="N18" s="12">
        <v>0</v>
      </c>
      <c r="O18" s="12">
        <v>0</v>
      </c>
      <c r="P18" s="12">
        <v>0</v>
      </c>
      <c r="Q18" s="12">
        <v>0</v>
      </c>
      <c r="R18" s="12">
        <v>1</v>
      </c>
      <c r="S18" s="12">
        <v>0</v>
      </c>
      <c r="T18" s="12">
        <v>0</v>
      </c>
      <c r="U18" s="12">
        <v>0</v>
      </c>
      <c r="V18" s="12">
        <v>3</v>
      </c>
      <c r="W18" s="12">
        <v>0</v>
      </c>
      <c r="X18" s="12">
        <v>2</v>
      </c>
      <c r="Y18" s="12">
        <v>1</v>
      </c>
      <c r="Z18" s="12">
        <v>0</v>
      </c>
    </row>
    <row r="19" spans="1:26">
      <c r="A19" s="23"/>
      <c r="B19" s="13" t="s">
        <v>1527</v>
      </c>
      <c r="C19" s="14">
        <v>0.38</v>
      </c>
      <c r="D19" s="14">
        <v>0.47</v>
      </c>
      <c r="E19" s="14">
        <v>0.3</v>
      </c>
      <c r="F19" s="14">
        <v>0.28999999999999998</v>
      </c>
      <c r="G19" s="15" t="s">
        <v>485</v>
      </c>
      <c r="H19" s="14">
        <v>0.51</v>
      </c>
      <c r="I19" s="14">
        <v>0.51</v>
      </c>
      <c r="J19" s="14">
        <v>0.56000000000000005</v>
      </c>
      <c r="K19" s="15" t="s">
        <v>485</v>
      </c>
      <c r="L19" s="14">
        <v>0.48</v>
      </c>
      <c r="M19" s="14">
        <v>0.14000000000000001</v>
      </c>
      <c r="N19" s="15" t="s">
        <v>485</v>
      </c>
      <c r="O19" s="15" t="s">
        <v>485</v>
      </c>
      <c r="P19" s="14">
        <v>0.24</v>
      </c>
      <c r="Q19" s="15" t="s">
        <v>485</v>
      </c>
      <c r="R19" s="14">
        <v>0.49</v>
      </c>
      <c r="S19" s="15" t="s">
        <v>485</v>
      </c>
      <c r="T19" s="15" t="s">
        <v>485</v>
      </c>
      <c r="U19" s="15" t="s">
        <v>485</v>
      </c>
      <c r="V19" s="14">
        <v>0.69000000000000006</v>
      </c>
      <c r="W19" s="15" t="s">
        <v>485</v>
      </c>
      <c r="X19" s="14">
        <v>0.32</v>
      </c>
      <c r="Y19" s="14">
        <v>0.14000000000000001</v>
      </c>
      <c r="Z19" s="15" t="s">
        <v>485</v>
      </c>
    </row>
    <row r="20" spans="1:26">
      <c r="A20" s="23"/>
      <c r="B20" s="11" t="s">
        <v>1528</v>
      </c>
      <c r="C20" s="12">
        <v>10</v>
      </c>
      <c r="D20" s="12">
        <v>0</v>
      </c>
      <c r="E20" s="12">
        <v>0</v>
      </c>
      <c r="F20" s="12">
        <v>0</v>
      </c>
      <c r="G20" s="12">
        <v>0</v>
      </c>
      <c r="H20" s="12">
        <v>0</v>
      </c>
      <c r="I20" s="12">
        <v>0</v>
      </c>
      <c r="J20" s="12">
        <v>0</v>
      </c>
      <c r="K20" s="12">
        <v>0</v>
      </c>
      <c r="L20" s="12">
        <v>1</v>
      </c>
      <c r="M20" s="12">
        <v>0</v>
      </c>
      <c r="N20" s="12">
        <v>0</v>
      </c>
      <c r="O20" s="12">
        <v>0</v>
      </c>
      <c r="P20" s="12">
        <v>0</v>
      </c>
      <c r="Q20" s="12">
        <v>0</v>
      </c>
      <c r="R20" s="12">
        <v>0</v>
      </c>
      <c r="S20" s="12">
        <v>0</v>
      </c>
      <c r="T20" s="12">
        <v>4</v>
      </c>
      <c r="U20" s="12">
        <v>3</v>
      </c>
      <c r="V20" s="12">
        <v>0</v>
      </c>
      <c r="W20" s="12">
        <v>0</v>
      </c>
      <c r="X20" s="12">
        <v>0</v>
      </c>
      <c r="Y20" s="12">
        <v>0</v>
      </c>
      <c r="Z20" s="12">
        <v>0</v>
      </c>
    </row>
    <row r="21" spans="1:26">
      <c r="A21" s="23"/>
      <c r="B21" s="13" t="s">
        <v>1529</v>
      </c>
      <c r="C21" s="14">
        <v>0.08</v>
      </c>
      <c r="D21" s="15" t="s">
        <v>485</v>
      </c>
      <c r="E21" s="15" t="s">
        <v>485</v>
      </c>
      <c r="F21" s="15" t="s">
        <v>485</v>
      </c>
      <c r="G21" s="15" t="s">
        <v>485</v>
      </c>
      <c r="H21" s="15" t="s">
        <v>485</v>
      </c>
      <c r="I21" s="15" t="s">
        <v>485</v>
      </c>
      <c r="J21" s="15" t="s">
        <v>485</v>
      </c>
      <c r="K21" s="15" t="s">
        <v>485</v>
      </c>
      <c r="L21" s="14">
        <v>0.28999999999999998</v>
      </c>
      <c r="M21" s="15" t="s">
        <v>485</v>
      </c>
      <c r="N21" s="15" t="s">
        <v>485</v>
      </c>
      <c r="O21" s="15" t="s">
        <v>485</v>
      </c>
      <c r="P21" s="15" t="s">
        <v>485</v>
      </c>
      <c r="Q21" s="15" t="s">
        <v>485</v>
      </c>
      <c r="R21" s="15" t="s">
        <v>485</v>
      </c>
      <c r="S21" s="15" t="s">
        <v>485</v>
      </c>
      <c r="T21" s="14">
        <v>0.4</v>
      </c>
      <c r="U21" s="14">
        <v>0.28000000000000003</v>
      </c>
      <c r="V21" s="15" t="s">
        <v>485</v>
      </c>
      <c r="W21" s="15" t="s">
        <v>485</v>
      </c>
      <c r="X21" s="15" t="s">
        <v>485</v>
      </c>
      <c r="Y21" s="15" t="s">
        <v>485</v>
      </c>
      <c r="Z21" s="15" t="s">
        <v>485</v>
      </c>
    </row>
    <row r="22" spans="1:26">
      <c r="A22" s="23"/>
      <c r="B22" s="11" t="s">
        <v>1530</v>
      </c>
      <c r="C22" s="12">
        <v>4</v>
      </c>
      <c r="D22" s="12">
        <v>1</v>
      </c>
      <c r="E22" s="12">
        <v>1</v>
      </c>
      <c r="F22" s="12">
        <v>0</v>
      </c>
      <c r="G22" s="12">
        <v>0</v>
      </c>
      <c r="H22" s="12">
        <v>0</v>
      </c>
      <c r="I22" s="12">
        <v>0</v>
      </c>
      <c r="J22" s="12">
        <v>0</v>
      </c>
      <c r="K22" s="12">
        <v>0</v>
      </c>
      <c r="L22" s="12">
        <v>0</v>
      </c>
      <c r="M22" s="12">
        <v>1</v>
      </c>
      <c r="N22" s="12">
        <v>0</v>
      </c>
      <c r="O22" s="12">
        <v>0</v>
      </c>
      <c r="P22" s="12">
        <v>1</v>
      </c>
      <c r="Q22" s="12">
        <v>2</v>
      </c>
      <c r="R22" s="12">
        <v>0</v>
      </c>
      <c r="S22" s="12">
        <v>1</v>
      </c>
      <c r="T22" s="12">
        <v>0</v>
      </c>
      <c r="U22" s="12">
        <v>1</v>
      </c>
      <c r="V22" s="12">
        <v>0</v>
      </c>
      <c r="W22" s="12">
        <v>0</v>
      </c>
      <c r="X22" s="12">
        <v>0</v>
      </c>
      <c r="Y22" s="12">
        <v>2</v>
      </c>
      <c r="Z22" s="12">
        <v>0</v>
      </c>
    </row>
    <row r="23" spans="1:26">
      <c r="A23" s="23"/>
      <c r="B23" s="13" t="s">
        <v>1531</v>
      </c>
      <c r="C23" s="14">
        <v>0.03</v>
      </c>
      <c r="D23" s="14">
        <v>0.03</v>
      </c>
      <c r="E23" s="14">
        <v>0.26</v>
      </c>
      <c r="F23" s="15" t="s">
        <v>485</v>
      </c>
      <c r="G23" s="15" t="s">
        <v>485</v>
      </c>
      <c r="H23" s="15" t="s">
        <v>485</v>
      </c>
      <c r="I23" s="15" t="s">
        <v>485</v>
      </c>
      <c r="J23" s="15" t="s">
        <v>485</v>
      </c>
      <c r="K23" s="15" t="s">
        <v>485</v>
      </c>
      <c r="L23" s="15" t="s">
        <v>485</v>
      </c>
      <c r="M23" s="14">
        <v>0.22</v>
      </c>
      <c r="N23" s="15" t="s">
        <v>485</v>
      </c>
      <c r="O23" s="15" t="s">
        <v>485</v>
      </c>
      <c r="P23" s="14">
        <v>0.64</v>
      </c>
      <c r="Q23" s="14">
        <v>1.1499999999999999</v>
      </c>
      <c r="R23" s="15" t="s">
        <v>485</v>
      </c>
      <c r="S23" s="14">
        <v>0.77</v>
      </c>
      <c r="T23" s="14">
        <v>0.05</v>
      </c>
      <c r="U23" s="14">
        <v>0.08</v>
      </c>
      <c r="V23" s="15" t="s">
        <v>485</v>
      </c>
      <c r="W23" s="15" t="s">
        <v>485</v>
      </c>
      <c r="X23" s="15" t="s">
        <v>485</v>
      </c>
      <c r="Y23" s="14">
        <v>0.5</v>
      </c>
      <c r="Z23" s="15" t="s">
        <v>485</v>
      </c>
    </row>
    <row r="24" spans="1:26">
      <c r="A24" s="23"/>
      <c r="B24" s="11" t="s">
        <v>497</v>
      </c>
      <c r="C24" s="12">
        <v>25</v>
      </c>
      <c r="D24" s="12">
        <v>15</v>
      </c>
      <c r="E24" s="12">
        <v>1</v>
      </c>
      <c r="F24" s="12">
        <v>2</v>
      </c>
      <c r="G24" s="12">
        <v>0</v>
      </c>
      <c r="H24" s="12">
        <v>2</v>
      </c>
      <c r="I24" s="12">
        <v>2</v>
      </c>
      <c r="J24" s="12">
        <v>0</v>
      </c>
      <c r="K24" s="12">
        <v>2</v>
      </c>
      <c r="L24" s="12">
        <v>0</v>
      </c>
      <c r="M24" s="12">
        <v>2</v>
      </c>
      <c r="N24" s="12">
        <v>1</v>
      </c>
      <c r="O24" s="12">
        <v>1</v>
      </c>
      <c r="P24" s="12">
        <v>0</v>
      </c>
      <c r="Q24" s="12">
        <v>0</v>
      </c>
      <c r="R24" s="12">
        <v>1</v>
      </c>
      <c r="S24" s="12">
        <v>0</v>
      </c>
      <c r="T24" s="12">
        <v>1</v>
      </c>
      <c r="U24" s="12">
        <v>0</v>
      </c>
      <c r="V24" s="12">
        <v>0</v>
      </c>
      <c r="W24" s="12">
        <v>1</v>
      </c>
      <c r="X24" s="12">
        <v>1</v>
      </c>
      <c r="Y24" s="12">
        <v>0</v>
      </c>
      <c r="Z24" s="12">
        <v>1</v>
      </c>
    </row>
    <row r="25" spans="1:26">
      <c r="A25" s="23"/>
      <c r="B25" s="13" t="s">
        <v>498</v>
      </c>
      <c r="C25" s="14">
        <v>0.21</v>
      </c>
      <c r="D25" s="14">
        <v>0.43</v>
      </c>
      <c r="E25" s="14">
        <v>0.18</v>
      </c>
      <c r="F25" s="14">
        <v>0.38</v>
      </c>
      <c r="G25" s="15" t="s">
        <v>485</v>
      </c>
      <c r="H25" s="14">
        <v>0.18</v>
      </c>
      <c r="I25" s="14">
        <v>0.18</v>
      </c>
      <c r="J25" s="15" t="s">
        <v>485</v>
      </c>
      <c r="K25" s="14">
        <v>0.81</v>
      </c>
      <c r="L25" s="15" t="s">
        <v>485</v>
      </c>
      <c r="M25" s="14">
        <v>0.47</v>
      </c>
      <c r="N25" s="14">
        <v>0.57999999999999996</v>
      </c>
      <c r="O25" s="14">
        <v>0.18</v>
      </c>
      <c r="P25" s="15" t="s">
        <v>485</v>
      </c>
      <c r="Q25" s="15" t="s">
        <v>485</v>
      </c>
      <c r="R25" s="14">
        <v>0.78</v>
      </c>
      <c r="S25" s="15" t="s">
        <v>485</v>
      </c>
      <c r="T25" s="14">
        <v>0.15</v>
      </c>
      <c r="U25" s="15" t="s">
        <v>485</v>
      </c>
      <c r="V25" s="15" t="s">
        <v>485</v>
      </c>
      <c r="W25" s="14">
        <v>0.96</v>
      </c>
      <c r="X25" s="14">
        <v>0.12</v>
      </c>
      <c r="Y25" s="15" t="s">
        <v>485</v>
      </c>
      <c r="Z25" s="14">
        <v>0.57999999999999996</v>
      </c>
    </row>
    <row r="26" spans="1:26">
      <c r="A26" s="23"/>
      <c r="B26" s="11" t="s">
        <v>1532</v>
      </c>
      <c r="C26" s="12">
        <v>15933.51</v>
      </c>
      <c r="D26" s="12">
        <v>50782.23</v>
      </c>
      <c r="E26" s="12">
        <v>140.43</v>
      </c>
      <c r="F26" s="12">
        <v>1166.05</v>
      </c>
      <c r="G26" s="12">
        <v>0</v>
      </c>
      <c r="H26" s="12">
        <v>15756.25</v>
      </c>
      <c r="I26" s="12">
        <v>15756.25</v>
      </c>
      <c r="J26" s="12">
        <v>1016.52</v>
      </c>
      <c r="K26" s="12">
        <v>0</v>
      </c>
      <c r="L26" s="12">
        <v>379.65</v>
      </c>
      <c r="M26" s="12">
        <v>355.64</v>
      </c>
      <c r="N26" s="12">
        <v>100</v>
      </c>
      <c r="O26" s="12">
        <v>107.44</v>
      </c>
      <c r="P26" s="12">
        <v>500</v>
      </c>
      <c r="Q26" s="12">
        <v>0</v>
      </c>
      <c r="R26" s="12">
        <v>1171.04</v>
      </c>
      <c r="S26" s="12">
        <v>0</v>
      </c>
      <c r="T26" s="12">
        <v>25.9</v>
      </c>
      <c r="U26" s="12">
        <v>97.21</v>
      </c>
      <c r="V26" s="12">
        <v>484.53</v>
      </c>
      <c r="W26" s="12">
        <v>0</v>
      </c>
      <c r="X26" s="12">
        <v>155.25</v>
      </c>
      <c r="Y26" s="12">
        <v>900.44</v>
      </c>
      <c r="Z26" s="12">
        <v>0</v>
      </c>
    </row>
    <row r="27" spans="1:26">
      <c r="A27" s="23"/>
      <c r="B27" s="13" t="s">
        <v>1533</v>
      </c>
      <c r="C27" s="15" t="s">
        <v>485</v>
      </c>
      <c r="D27" s="15" t="s">
        <v>485</v>
      </c>
      <c r="E27" s="15" t="s">
        <v>485</v>
      </c>
      <c r="F27" s="15" t="s">
        <v>485</v>
      </c>
      <c r="G27" s="15" t="s">
        <v>485</v>
      </c>
      <c r="H27" s="15" t="s">
        <v>485</v>
      </c>
      <c r="I27" s="15" t="s">
        <v>485</v>
      </c>
      <c r="J27" s="15" t="s">
        <v>485</v>
      </c>
      <c r="K27" s="15" t="s">
        <v>485</v>
      </c>
      <c r="L27" s="15" t="s">
        <v>485</v>
      </c>
      <c r="M27" s="15" t="s">
        <v>485</v>
      </c>
      <c r="N27" s="15" t="s">
        <v>485</v>
      </c>
      <c r="O27" s="15" t="s">
        <v>485</v>
      </c>
      <c r="P27" s="15" t="s">
        <v>485</v>
      </c>
      <c r="Q27" s="15" t="s">
        <v>485</v>
      </c>
      <c r="R27" s="15" t="s">
        <v>485</v>
      </c>
      <c r="S27" s="15" t="s">
        <v>485</v>
      </c>
      <c r="T27" s="15" t="s">
        <v>485</v>
      </c>
      <c r="U27" s="15" t="s">
        <v>485</v>
      </c>
      <c r="V27" s="15" t="s">
        <v>485</v>
      </c>
      <c r="W27" s="15" t="s">
        <v>485</v>
      </c>
      <c r="X27" s="15" t="s">
        <v>485</v>
      </c>
      <c r="Y27" s="15" t="s">
        <v>485</v>
      </c>
      <c r="Z27" s="15" t="s">
        <v>485</v>
      </c>
    </row>
    <row r="28" spans="1:26">
      <c r="A28" s="23"/>
      <c r="B28" s="11" t="s">
        <v>1534</v>
      </c>
      <c r="C28" s="12">
        <v>100</v>
      </c>
      <c r="D28" s="12">
        <v>20</v>
      </c>
      <c r="E28" s="12">
        <v>0</v>
      </c>
      <c r="F28" s="12">
        <v>0</v>
      </c>
      <c r="G28" s="12">
        <v>0</v>
      </c>
      <c r="H28" s="12">
        <v>50</v>
      </c>
      <c r="I28" s="12">
        <v>50</v>
      </c>
      <c r="J28" s="12">
        <v>0</v>
      </c>
      <c r="K28" s="12">
        <v>0</v>
      </c>
      <c r="L28" s="12">
        <v>100</v>
      </c>
      <c r="M28" s="12">
        <v>0</v>
      </c>
      <c r="N28" s="12">
        <v>0</v>
      </c>
      <c r="O28" s="12">
        <v>0</v>
      </c>
      <c r="P28" s="12">
        <v>0</v>
      </c>
      <c r="Q28" s="12">
        <v>0</v>
      </c>
      <c r="R28" s="12">
        <v>0</v>
      </c>
      <c r="S28" s="12">
        <v>0</v>
      </c>
      <c r="T28" s="12">
        <v>25</v>
      </c>
      <c r="U28" s="12">
        <v>100</v>
      </c>
      <c r="V28" s="12">
        <v>47</v>
      </c>
      <c r="W28" s="12">
        <v>0</v>
      </c>
      <c r="X28" s="12">
        <v>30</v>
      </c>
      <c r="Y28" s="12">
        <v>0</v>
      </c>
      <c r="Z28" s="12">
        <v>0</v>
      </c>
    </row>
    <row r="29" spans="1:26">
      <c r="A29" s="23"/>
      <c r="B29" s="13" t="s">
        <v>1535</v>
      </c>
      <c r="C29" s="15" t="s">
        <v>485</v>
      </c>
      <c r="D29" s="15" t="s">
        <v>485</v>
      </c>
      <c r="E29" s="15" t="s">
        <v>485</v>
      </c>
      <c r="F29" s="15" t="s">
        <v>485</v>
      </c>
      <c r="G29" s="15" t="s">
        <v>485</v>
      </c>
      <c r="H29" s="15" t="s">
        <v>485</v>
      </c>
      <c r="I29" s="15" t="s">
        <v>485</v>
      </c>
      <c r="J29" s="15" t="s">
        <v>485</v>
      </c>
      <c r="K29" s="15" t="s">
        <v>485</v>
      </c>
      <c r="L29" s="15" t="s">
        <v>485</v>
      </c>
      <c r="M29" s="15" t="s">
        <v>485</v>
      </c>
      <c r="N29" s="15" t="s">
        <v>485</v>
      </c>
      <c r="O29" s="15" t="s">
        <v>485</v>
      </c>
      <c r="P29" s="15" t="s">
        <v>485</v>
      </c>
      <c r="Q29" s="15" t="s">
        <v>485</v>
      </c>
      <c r="R29" s="15" t="s">
        <v>485</v>
      </c>
      <c r="S29" s="15" t="s">
        <v>485</v>
      </c>
      <c r="T29" s="15" t="s">
        <v>485</v>
      </c>
      <c r="U29" s="15" t="s">
        <v>485</v>
      </c>
      <c r="V29" s="15" t="s">
        <v>485</v>
      </c>
      <c r="W29" s="15" t="s">
        <v>485</v>
      </c>
      <c r="X29" s="15" t="s">
        <v>485</v>
      </c>
      <c r="Y29" s="15" t="s">
        <v>485</v>
      </c>
      <c r="Z29" s="15" t="s">
        <v>485</v>
      </c>
    </row>
  </sheetData>
  <mergeCells count="9">
    <mergeCell ref="B4:F4"/>
    <mergeCell ref="H3:L3"/>
    <mergeCell ref="A10:A29"/>
    <mergeCell ref="B5:F5"/>
    <mergeCell ref="B3:F3"/>
    <mergeCell ref="H5:L5"/>
    <mergeCell ref="B10:B11"/>
    <mergeCell ref="H4:L4"/>
    <mergeCell ref="C8:Z8"/>
  </mergeCells>
  <pageMargins left="0.75" right="0.75" top="1" bottom="1" header="0.5" footer="0.5"/>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500-000000000000}">
  <dimension ref="A1:AB2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28" width="12.42578125" customWidth="1"/>
  </cols>
  <sheetData>
    <row r="1" spans="1:28">
      <c r="I1" s="7" t="s">
        <v>449</v>
      </c>
    </row>
    <row r="2" spans="1:28">
      <c r="C2" s="7" t="s">
        <v>450</v>
      </c>
      <c r="H2" s="7" t="s">
        <v>451</v>
      </c>
    </row>
    <row r="3" spans="1:28" ht="36" customHeight="1">
      <c r="B3" s="19" t="s">
        <v>337</v>
      </c>
      <c r="C3" s="19"/>
      <c r="D3" s="19"/>
      <c r="E3" s="19"/>
      <c r="F3" s="19"/>
      <c r="H3" s="19" t="s">
        <v>338</v>
      </c>
      <c r="I3" s="19"/>
      <c r="J3" s="19"/>
      <c r="K3" s="19"/>
      <c r="L3" s="19"/>
    </row>
    <row r="4" spans="1:28" ht="27" customHeight="1">
      <c r="B4" s="19"/>
      <c r="C4" s="19"/>
      <c r="D4" s="19"/>
      <c r="E4" s="19"/>
      <c r="F4" s="19"/>
      <c r="H4" s="19"/>
      <c r="I4" s="19"/>
      <c r="J4" s="19"/>
      <c r="K4" s="19"/>
      <c r="L4" s="19"/>
    </row>
    <row r="5" spans="1:28" ht="36" customHeight="1">
      <c r="B5" s="19" t="s">
        <v>1548</v>
      </c>
      <c r="C5" s="19"/>
      <c r="D5" s="19"/>
      <c r="E5" s="19"/>
      <c r="F5" s="19"/>
      <c r="H5" s="19" t="s">
        <v>1549</v>
      </c>
      <c r="I5" s="19"/>
      <c r="J5" s="19"/>
      <c r="K5" s="19"/>
      <c r="L5" s="19"/>
    </row>
    <row r="6" spans="1:28" ht="0.95" customHeight="1"/>
    <row r="7" spans="1:28" ht="0.95" customHeight="1"/>
    <row r="8" spans="1:28">
      <c r="C8" s="22"/>
      <c r="D8" s="22"/>
      <c r="E8" s="22"/>
      <c r="F8" s="22"/>
      <c r="G8" s="22"/>
      <c r="H8" s="22"/>
      <c r="I8" s="22"/>
      <c r="J8" s="22"/>
      <c r="K8" s="22"/>
      <c r="L8" s="22"/>
      <c r="M8" s="22"/>
      <c r="N8" s="22"/>
      <c r="O8" s="22"/>
      <c r="P8" s="22"/>
      <c r="Q8" s="22"/>
      <c r="R8" s="22"/>
      <c r="S8" s="22"/>
      <c r="T8" s="22"/>
      <c r="U8" s="22"/>
      <c r="V8" s="22"/>
      <c r="W8" s="22"/>
      <c r="X8" s="22"/>
      <c r="Y8" s="22"/>
      <c r="Z8" s="22"/>
      <c r="AA8" s="22"/>
      <c r="AB8" s="22"/>
    </row>
    <row r="9" spans="1:28" ht="18">
      <c r="A9" s="5" t="str">
        <f>HYPERLINK("#Content!A170","&lt;&lt;Back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472</v>
      </c>
      <c r="U9" s="8" t="s">
        <v>473</v>
      </c>
      <c r="V9" s="8" t="s">
        <v>475</v>
      </c>
      <c r="W9" s="8" t="s">
        <v>476</v>
      </c>
      <c r="X9" s="8" t="s">
        <v>477</v>
      </c>
      <c r="Y9" s="8" t="s">
        <v>480</v>
      </c>
      <c r="Z9" s="8" t="s">
        <v>481</v>
      </c>
      <c r="AA9" s="8" t="s">
        <v>482</v>
      </c>
      <c r="AB9" s="8" t="s">
        <v>483</v>
      </c>
    </row>
    <row r="10" spans="1:28">
      <c r="A10" s="23"/>
      <c r="B10" s="18" t="s">
        <v>484</v>
      </c>
      <c r="C10" s="10">
        <v>80</v>
      </c>
      <c r="D10" s="10">
        <v>6</v>
      </c>
      <c r="E10" s="10">
        <v>4</v>
      </c>
      <c r="F10" s="10">
        <v>8</v>
      </c>
      <c r="G10" s="10">
        <v>3</v>
      </c>
      <c r="H10" s="10">
        <v>4</v>
      </c>
      <c r="I10" s="10">
        <v>5</v>
      </c>
      <c r="J10" s="10">
        <v>2</v>
      </c>
      <c r="K10" s="10">
        <v>2</v>
      </c>
      <c r="L10" s="10">
        <v>1</v>
      </c>
      <c r="M10" s="10">
        <v>2</v>
      </c>
      <c r="N10" s="10">
        <v>1</v>
      </c>
      <c r="O10" s="10">
        <v>2</v>
      </c>
      <c r="P10" s="10">
        <v>13</v>
      </c>
      <c r="Q10" s="10">
        <v>3</v>
      </c>
      <c r="R10" s="10">
        <v>2</v>
      </c>
      <c r="S10" s="10">
        <v>1</v>
      </c>
      <c r="T10" s="10">
        <v>1</v>
      </c>
      <c r="U10" s="10">
        <v>1</v>
      </c>
      <c r="V10" s="10">
        <v>0</v>
      </c>
      <c r="W10" s="10">
        <v>13</v>
      </c>
      <c r="X10" s="10">
        <v>7</v>
      </c>
      <c r="Y10" s="10">
        <v>5</v>
      </c>
      <c r="Z10" s="10">
        <v>2</v>
      </c>
      <c r="AA10" s="10">
        <v>1</v>
      </c>
      <c r="AB10" s="10">
        <v>1</v>
      </c>
    </row>
    <row r="11" spans="1:28">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row>
    <row r="12" spans="1:28">
      <c r="A12" s="23"/>
      <c r="B12" s="11" t="s">
        <v>1524</v>
      </c>
      <c r="C12" s="12">
        <v>5</v>
      </c>
      <c r="D12" s="12">
        <v>0</v>
      </c>
      <c r="E12" s="12">
        <v>0</v>
      </c>
      <c r="F12" s="12">
        <v>0</v>
      </c>
      <c r="G12" s="12">
        <v>0</v>
      </c>
      <c r="H12" s="12">
        <v>0</v>
      </c>
      <c r="I12" s="12">
        <v>1</v>
      </c>
      <c r="J12" s="12">
        <v>1</v>
      </c>
      <c r="K12" s="12">
        <v>0</v>
      </c>
      <c r="L12" s="12">
        <v>0</v>
      </c>
      <c r="M12" s="12">
        <v>0</v>
      </c>
      <c r="N12" s="12">
        <v>0</v>
      </c>
      <c r="O12" s="12">
        <v>0</v>
      </c>
      <c r="P12" s="12">
        <v>0</v>
      </c>
      <c r="Q12" s="12">
        <v>0</v>
      </c>
      <c r="R12" s="12">
        <v>0</v>
      </c>
      <c r="S12" s="12">
        <v>0</v>
      </c>
      <c r="T12" s="12">
        <v>0</v>
      </c>
      <c r="U12" s="12">
        <v>0</v>
      </c>
      <c r="V12" s="12">
        <v>0</v>
      </c>
      <c r="W12" s="12">
        <v>2</v>
      </c>
      <c r="X12" s="12">
        <v>1</v>
      </c>
      <c r="Y12" s="12">
        <v>0</v>
      </c>
      <c r="Z12" s="12">
        <v>0</v>
      </c>
      <c r="AA12" s="12">
        <v>0</v>
      </c>
      <c r="AB12" s="12">
        <v>0</v>
      </c>
    </row>
    <row r="13" spans="1:28">
      <c r="A13" s="23"/>
      <c r="B13" s="13" t="s">
        <v>1524</v>
      </c>
      <c r="C13" s="14">
        <v>7.0000000000000007E-2</v>
      </c>
      <c r="D13" s="15" t="s">
        <v>485</v>
      </c>
      <c r="E13" s="15" t="s">
        <v>485</v>
      </c>
      <c r="F13" s="15" t="s">
        <v>485</v>
      </c>
      <c r="G13" s="15" t="s">
        <v>485</v>
      </c>
      <c r="H13" s="15" t="s">
        <v>485</v>
      </c>
      <c r="I13" s="14">
        <v>0.09</v>
      </c>
      <c r="J13" s="14">
        <v>0.27</v>
      </c>
      <c r="K13" s="15" t="s">
        <v>485</v>
      </c>
      <c r="L13" s="15" t="s">
        <v>485</v>
      </c>
      <c r="M13" s="15" t="s">
        <v>485</v>
      </c>
      <c r="N13" s="15" t="s">
        <v>485</v>
      </c>
      <c r="O13" s="15" t="s">
        <v>485</v>
      </c>
      <c r="P13" s="15" t="s">
        <v>485</v>
      </c>
      <c r="Q13" s="15" t="s">
        <v>485</v>
      </c>
      <c r="R13" s="15" t="s">
        <v>485</v>
      </c>
      <c r="S13" s="15" t="s">
        <v>485</v>
      </c>
      <c r="T13" s="15" t="s">
        <v>485</v>
      </c>
      <c r="U13" s="15" t="s">
        <v>485</v>
      </c>
      <c r="V13" s="15" t="s">
        <v>485</v>
      </c>
      <c r="W13" s="14">
        <v>0.18</v>
      </c>
      <c r="X13" s="14">
        <v>0.13</v>
      </c>
      <c r="Y13" s="15" t="s">
        <v>485</v>
      </c>
      <c r="Z13" s="15" t="s">
        <v>485</v>
      </c>
      <c r="AA13" s="15" t="s">
        <v>485</v>
      </c>
      <c r="AB13" s="15" t="s">
        <v>485</v>
      </c>
    </row>
    <row r="14" spans="1:28">
      <c r="A14" s="23"/>
      <c r="B14" s="11" t="s">
        <v>1525</v>
      </c>
      <c r="C14" s="12">
        <v>6</v>
      </c>
      <c r="D14" s="12">
        <v>1</v>
      </c>
      <c r="E14" s="12">
        <v>0</v>
      </c>
      <c r="F14" s="12">
        <v>0</v>
      </c>
      <c r="G14" s="12">
        <v>0</v>
      </c>
      <c r="H14" s="12">
        <v>0</v>
      </c>
      <c r="I14" s="12">
        <v>0</v>
      </c>
      <c r="J14" s="12">
        <v>0</v>
      </c>
      <c r="K14" s="12">
        <v>0</v>
      </c>
      <c r="L14" s="12">
        <v>0</v>
      </c>
      <c r="M14" s="12">
        <v>0</v>
      </c>
      <c r="N14" s="12">
        <v>0</v>
      </c>
      <c r="O14" s="12">
        <v>1</v>
      </c>
      <c r="P14" s="12">
        <v>0</v>
      </c>
      <c r="Q14" s="12">
        <v>0</v>
      </c>
      <c r="R14" s="12">
        <v>0</v>
      </c>
      <c r="S14" s="12">
        <v>0</v>
      </c>
      <c r="T14" s="12">
        <v>0</v>
      </c>
      <c r="U14" s="12">
        <v>0</v>
      </c>
      <c r="V14" s="12">
        <v>0</v>
      </c>
      <c r="W14" s="12">
        <v>3</v>
      </c>
      <c r="X14" s="12">
        <v>0</v>
      </c>
      <c r="Y14" s="12">
        <v>1</v>
      </c>
      <c r="Z14" s="12">
        <v>0</v>
      </c>
      <c r="AA14" s="12">
        <v>0</v>
      </c>
      <c r="AB14" s="12">
        <v>0</v>
      </c>
    </row>
    <row r="15" spans="1:28">
      <c r="A15" s="23"/>
      <c r="B15" s="13" t="s">
        <v>1525</v>
      </c>
      <c r="C15" s="14">
        <v>0.08</v>
      </c>
      <c r="D15" s="14">
        <v>0.17</v>
      </c>
      <c r="E15" s="15" t="s">
        <v>485</v>
      </c>
      <c r="F15" s="15" t="s">
        <v>485</v>
      </c>
      <c r="G15" s="15" t="s">
        <v>485</v>
      </c>
      <c r="H15" s="15" t="s">
        <v>485</v>
      </c>
      <c r="I15" s="15" t="s">
        <v>485</v>
      </c>
      <c r="J15" s="15" t="s">
        <v>485</v>
      </c>
      <c r="K15" s="15" t="s">
        <v>485</v>
      </c>
      <c r="L15" s="15" t="s">
        <v>485</v>
      </c>
      <c r="M15" s="15" t="s">
        <v>485</v>
      </c>
      <c r="N15" s="15" t="s">
        <v>485</v>
      </c>
      <c r="O15" s="14">
        <v>0.46</v>
      </c>
      <c r="P15" s="15" t="s">
        <v>485</v>
      </c>
      <c r="Q15" s="15" t="s">
        <v>485</v>
      </c>
      <c r="R15" s="15" t="s">
        <v>485</v>
      </c>
      <c r="S15" s="15" t="s">
        <v>485</v>
      </c>
      <c r="T15" s="15" t="s">
        <v>485</v>
      </c>
      <c r="U15" s="15" t="s">
        <v>485</v>
      </c>
      <c r="V15" s="15" t="s">
        <v>485</v>
      </c>
      <c r="W15" s="14">
        <v>0.26</v>
      </c>
      <c r="X15" s="15" t="s">
        <v>485</v>
      </c>
      <c r="Y15" s="14">
        <v>0.27</v>
      </c>
      <c r="Z15" s="15" t="s">
        <v>485</v>
      </c>
      <c r="AA15" s="15" t="s">
        <v>485</v>
      </c>
      <c r="AB15" s="15" t="s">
        <v>485</v>
      </c>
    </row>
    <row r="16" spans="1:28">
      <c r="A16" s="23"/>
      <c r="B16" s="11" t="s">
        <v>1526</v>
      </c>
      <c r="C16" s="12">
        <v>9</v>
      </c>
      <c r="D16" s="12">
        <v>0</v>
      </c>
      <c r="E16" s="12">
        <v>1</v>
      </c>
      <c r="F16" s="12">
        <v>0</v>
      </c>
      <c r="G16" s="12">
        <v>1</v>
      </c>
      <c r="H16" s="12">
        <v>0</v>
      </c>
      <c r="I16" s="12">
        <v>0</v>
      </c>
      <c r="J16" s="12">
        <v>0</v>
      </c>
      <c r="K16" s="12">
        <v>0</v>
      </c>
      <c r="L16" s="12">
        <v>1</v>
      </c>
      <c r="M16" s="12">
        <v>0</v>
      </c>
      <c r="N16" s="12">
        <v>0</v>
      </c>
      <c r="O16" s="12">
        <v>0</v>
      </c>
      <c r="P16" s="12">
        <v>1</v>
      </c>
      <c r="Q16" s="12">
        <v>0</v>
      </c>
      <c r="R16" s="12">
        <v>0</v>
      </c>
      <c r="S16" s="12">
        <v>1</v>
      </c>
      <c r="T16" s="12">
        <v>0</v>
      </c>
      <c r="U16" s="12">
        <v>0</v>
      </c>
      <c r="V16" s="12">
        <v>0</v>
      </c>
      <c r="W16" s="12">
        <v>0</v>
      </c>
      <c r="X16" s="12">
        <v>4</v>
      </c>
      <c r="Y16" s="12">
        <v>1</v>
      </c>
      <c r="Z16" s="12">
        <v>0</v>
      </c>
      <c r="AA16" s="12">
        <v>0</v>
      </c>
      <c r="AB16" s="12">
        <v>0</v>
      </c>
    </row>
    <row r="17" spans="1:28">
      <c r="A17" s="23"/>
      <c r="B17" s="13" t="s">
        <v>1526</v>
      </c>
      <c r="C17" s="14">
        <v>0.11</v>
      </c>
      <c r="D17" s="15" t="s">
        <v>485</v>
      </c>
      <c r="E17" s="14">
        <v>0.22</v>
      </c>
      <c r="F17" s="15" t="s">
        <v>485</v>
      </c>
      <c r="G17" s="14">
        <v>0.41</v>
      </c>
      <c r="H17" s="15" t="s">
        <v>485</v>
      </c>
      <c r="I17" s="15" t="s">
        <v>485</v>
      </c>
      <c r="J17" s="15" t="s">
        <v>485</v>
      </c>
      <c r="K17" s="15" t="s">
        <v>485</v>
      </c>
      <c r="L17" s="14">
        <v>1.27</v>
      </c>
      <c r="M17" s="15" t="s">
        <v>485</v>
      </c>
      <c r="N17" s="15" t="s">
        <v>485</v>
      </c>
      <c r="O17" s="15" t="s">
        <v>485</v>
      </c>
      <c r="P17" s="14">
        <v>0.1</v>
      </c>
      <c r="Q17" s="15" t="s">
        <v>485</v>
      </c>
      <c r="R17" s="15" t="s">
        <v>485</v>
      </c>
      <c r="S17" s="14">
        <v>1.04</v>
      </c>
      <c r="T17" s="15" t="s">
        <v>485</v>
      </c>
      <c r="U17" s="15" t="s">
        <v>485</v>
      </c>
      <c r="V17" s="15" t="s">
        <v>485</v>
      </c>
      <c r="W17" s="15" t="s">
        <v>485</v>
      </c>
      <c r="X17" s="14">
        <v>0.52</v>
      </c>
      <c r="Y17" s="14">
        <v>0.19</v>
      </c>
      <c r="Z17" s="15" t="s">
        <v>485</v>
      </c>
      <c r="AA17" s="15" t="s">
        <v>485</v>
      </c>
      <c r="AB17" s="15" t="s">
        <v>485</v>
      </c>
    </row>
    <row r="18" spans="1:28">
      <c r="A18" s="23"/>
      <c r="B18" s="11" t="s">
        <v>1527</v>
      </c>
      <c r="C18" s="12">
        <v>21</v>
      </c>
      <c r="D18" s="12">
        <v>2</v>
      </c>
      <c r="E18" s="12">
        <v>0</v>
      </c>
      <c r="F18" s="12">
        <v>2</v>
      </c>
      <c r="G18" s="12">
        <v>0</v>
      </c>
      <c r="H18" s="12">
        <v>1</v>
      </c>
      <c r="I18" s="12">
        <v>1</v>
      </c>
      <c r="J18" s="12">
        <v>0</v>
      </c>
      <c r="K18" s="12">
        <v>0</v>
      </c>
      <c r="L18" s="12">
        <v>0</v>
      </c>
      <c r="M18" s="12">
        <v>0</v>
      </c>
      <c r="N18" s="12">
        <v>1</v>
      </c>
      <c r="O18" s="12">
        <v>1</v>
      </c>
      <c r="P18" s="12">
        <v>5</v>
      </c>
      <c r="Q18" s="12">
        <v>1</v>
      </c>
      <c r="R18" s="12">
        <v>2</v>
      </c>
      <c r="S18" s="12">
        <v>0</v>
      </c>
      <c r="T18" s="12">
        <v>1</v>
      </c>
      <c r="U18" s="12">
        <v>1</v>
      </c>
      <c r="V18" s="12">
        <v>0</v>
      </c>
      <c r="W18" s="12">
        <v>4</v>
      </c>
      <c r="X18" s="12">
        <v>1</v>
      </c>
      <c r="Y18" s="12">
        <v>2</v>
      </c>
      <c r="Z18" s="12">
        <v>0</v>
      </c>
      <c r="AA18" s="12">
        <v>0</v>
      </c>
      <c r="AB18" s="12">
        <v>0</v>
      </c>
    </row>
    <row r="19" spans="1:28">
      <c r="A19" s="23"/>
      <c r="B19" s="13" t="s">
        <v>1527</v>
      </c>
      <c r="C19" s="14">
        <v>0.26</v>
      </c>
      <c r="D19" s="14">
        <v>0.26</v>
      </c>
      <c r="E19" s="15" t="s">
        <v>485</v>
      </c>
      <c r="F19" s="14">
        <v>0.31</v>
      </c>
      <c r="G19" s="15" t="s">
        <v>485</v>
      </c>
      <c r="H19" s="14">
        <v>0.18</v>
      </c>
      <c r="I19" s="14">
        <v>0.21</v>
      </c>
      <c r="J19" s="14">
        <v>0.23</v>
      </c>
      <c r="K19" s="15" t="s">
        <v>485</v>
      </c>
      <c r="L19" s="15" t="s">
        <v>485</v>
      </c>
      <c r="M19" s="15" t="s">
        <v>485</v>
      </c>
      <c r="N19" s="14">
        <v>0.9</v>
      </c>
      <c r="O19" s="14">
        <v>0.28999999999999998</v>
      </c>
      <c r="P19" s="14">
        <v>0.43</v>
      </c>
      <c r="Q19" s="14">
        <v>0.34</v>
      </c>
      <c r="R19" s="14">
        <v>0.76</v>
      </c>
      <c r="S19" s="15" t="s">
        <v>485</v>
      </c>
      <c r="T19" s="14">
        <v>0.51</v>
      </c>
      <c r="U19" s="14">
        <v>1.25</v>
      </c>
      <c r="V19" s="15" t="s">
        <v>485</v>
      </c>
      <c r="W19" s="14">
        <v>0.31</v>
      </c>
      <c r="X19" s="14">
        <v>0.11</v>
      </c>
      <c r="Y19" s="14">
        <v>0.35</v>
      </c>
      <c r="Z19" s="15" t="s">
        <v>485</v>
      </c>
      <c r="AA19" s="15" t="s">
        <v>485</v>
      </c>
      <c r="AB19" s="15" t="s">
        <v>485</v>
      </c>
    </row>
    <row r="20" spans="1:28">
      <c r="A20" s="23"/>
      <c r="B20" s="11" t="s">
        <v>1528</v>
      </c>
      <c r="C20" s="12">
        <v>4</v>
      </c>
      <c r="D20" s="12">
        <v>1</v>
      </c>
      <c r="E20" s="12">
        <v>2</v>
      </c>
      <c r="F20" s="12">
        <v>2</v>
      </c>
      <c r="G20" s="12">
        <v>0</v>
      </c>
      <c r="H20" s="12">
        <v>0</v>
      </c>
      <c r="I20" s="12">
        <v>0</v>
      </c>
      <c r="J20" s="12">
        <v>0</v>
      </c>
      <c r="K20" s="12">
        <v>0</v>
      </c>
      <c r="L20" s="12">
        <v>0</v>
      </c>
      <c r="M20" s="12">
        <v>0</v>
      </c>
      <c r="N20" s="12">
        <v>0</v>
      </c>
      <c r="O20" s="12">
        <v>0</v>
      </c>
      <c r="P20" s="12">
        <v>0</v>
      </c>
      <c r="Q20" s="12">
        <v>0</v>
      </c>
      <c r="R20" s="12">
        <v>0</v>
      </c>
      <c r="S20" s="12">
        <v>0</v>
      </c>
      <c r="T20" s="12">
        <v>0</v>
      </c>
      <c r="U20" s="12">
        <v>0</v>
      </c>
      <c r="V20" s="12">
        <v>0</v>
      </c>
      <c r="W20" s="12">
        <v>2</v>
      </c>
      <c r="X20" s="12">
        <v>0</v>
      </c>
      <c r="Y20" s="12">
        <v>0</v>
      </c>
      <c r="Z20" s="12">
        <v>0</v>
      </c>
      <c r="AA20" s="12">
        <v>0</v>
      </c>
      <c r="AB20" s="12">
        <v>0</v>
      </c>
    </row>
    <row r="21" spans="1:28">
      <c r="A21" s="23"/>
      <c r="B21" s="13" t="s">
        <v>1529</v>
      </c>
      <c r="C21" s="14">
        <v>0.04</v>
      </c>
      <c r="D21" s="14">
        <v>0.18</v>
      </c>
      <c r="E21" s="14">
        <v>0.41</v>
      </c>
      <c r="F21" s="14">
        <v>0.2</v>
      </c>
      <c r="G21" s="15" t="s">
        <v>485</v>
      </c>
      <c r="H21" s="15" t="s">
        <v>485</v>
      </c>
      <c r="I21" s="15" t="s">
        <v>485</v>
      </c>
      <c r="J21" s="15" t="s">
        <v>485</v>
      </c>
      <c r="K21" s="15" t="s">
        <v>485</v>
      </c>
      <c r="L21" s="15" t="s">
        <v>485</v>
      </c>
      <c r="M21" s="15" t="s">
        <v>485</v>
      </c>
      <c r="N21" s="15" t="s">
        <v>485</v>
      </c>
      <c r="O21" s="15" t="s">
        <v>485</v>
      </c>
      <c r="P21" s="15" t="s">
        <v>485</v>
      </c>
      <c r="Q21" s="15" t="s">
        <v>485</v>
      </c>
      <c r="R21" s="15" t="s">
        <v>485</v>
      </c>
      <c r="S21" s="15" t="s">
        <v>485</v>
      </c>
      <c r="T21" s="15" t="s">
        <v>485</v>
      </c>
      <c r="U21" s="15" t="s">
        <v>485</v>
      </c>
      <c r="V21" s="15" t="s">
        <v>485</v>
      </c>
      <c r="W21" s="14">
        <v>0.17</v>
      </c>
      <c r="X21" s="15" t="s">
        <v>485</v>
      </c>
      <c r="Y21" s="15" t="s">
        <v>485</v>
      </c>
      <c r="Z21" s="15" t="s">
        <v>485</v>
      </c>
      <c r="AA21" s="15" t="s">
        <v>485</v>
      </c>
      <c r="AB21" s="15" t="s">
        <v>485</v>
      </c>
    </row>
    <row r="22" spans="1:28">
      <c r="A22" s="23"/>
      <c r="B22" s="11" t="s">
        <v>1530</v>
      </c>
      <c r="C22" s="12">
        <v>15</v>
      </c>
      <c r="D22" s="12">
        <v>0</v>
      </c>
      <c r="E22" s="12">
        <v>1</v>
      </c>
      <c r="F22" s="12">
        <v>1</v>
      </c>
      <c r="G22" s="12">
        <v>0</v>
      </c>
      <c r="H22" s="12">
        <v>1</v>
      </c>
      <c r="I22" s="12">
        <v>2</v>
      </c>
      <c r="J22" s="12">
        <v>1</v>
      </c>
      <c r="K22" s="12">
        <v>1</v>
      </c>
      <c r="L22" s="12">
        <v>0</v>
      </c>
      <c r="M22" s="12">
        <v>1</v>
      </c>
      <c r="N22" s="12">
        <v>0</v>
      </c>
      <c r="O22" s="12">
        <v>1</v>
      </c>
      <c r="P22" s="12">
        <v>2</v>
      </c>
      <c r="Q22" s="12">
        <v>1</v>
      </c>
      <c r="R22" s="12">
        <v>0</v>
      </c>
      <c r="S22" s="12">
        <v>0</v>
      </c>
      <c r="T22" s="12">
        <v>0</v>
      </c>
      <c r="U22" s="12">
        <v>0</v>
      </c>
      <c r="V22" s="12">
        <v>0</v>
      </c>
      <c r="W22" s="12">
        <v>0</v>
      </c>
      <c r="X22" s="12">
        <v>0</v>
      </c>
      <c r="Y22" s="12">
        <v>0</v>
      </c>
      <c r="Z22" s="12">
        <v>0</v>
      </c>
      <c r="AA22" s="12">
        <v>0</v>
      </c>
      <c r="AB22" s="12">
        <v>0</v>
      </c>
    </row>
    <row r="23" spans="1:28">
      <c r="A23" s="23"/>
      <c r="B23" s="13" t="s">
        <v>1531</v>
      </c>
      <c r="C23" s="14">
        <v>0.18</v>
      </c>
      <c r="D23" s="15" t="s">
        <v>485</v>
      </c>
      <c r="E23" s="14">
        <v>0.2</v>
      </c>
      <c r="F23" s="14">
        <v>0.12</v>
      </c>
      <c r="G23" s="15" t="s">
        <v>485</v>
      </c>
      <c r="H23" s="14">
        <v>0.32</v>
      </c>
      <c r="I23" s="14">
        <v>0.4</v>
      </c>
      <c r="J23" s="14">
        <v>0.42</v>
      </c>
      <c r="K23" s="14">
        <v>0.49</v>
      </c>
      <c r="L23" s="15" t="s">
        <v>485</v>
      </c>
      <c r="M23" s="14">
        <v>0.47</v>
      </c>
      <c r="N23" s="15" t="s">
        <v>485</v>
      </c>
      <c r="O23" s="14">
        <v>0.25</v>
      </c>
      <c r="P23" s="14">
        <v>0.19</v>
      </c>
      <c r="Q23" s="14">
        <v>0.34</v>
      </c>
      <c r="R23" s="15" t="s">
        <v>485</v>
      </c>
      <c r="S23" s="15" t="s">
        <v>485</v>
      </c>
      <c r="T23" s="15" t="s">
        <v>485</v>
      </c>
      <c r="U23" s="15" t="s">
        <v>485</v>
      </c>
      <c r="V23" s="15" t="s">
        <v>485</v>
      </c>
      <c r="W23" s="15" t="s">
        <v>485</v>
      </c>
      <c r="X23" s="15" t="s">
        <v>485</v>
      </c>
      <c r="Y23" s="15" t="s">
        <v>485</v>
      </c>
      <c r="Z23" s="15" t="s">
        <v>485</v>
      </c>
      <c r="AA23" s="15" t="s">
        <v>485</v>
      </c>
      <c r="AB23" s="15" t="s">
        <v>485</v>
      </c>
    </row>
    <row r="24" spans="1:28">
      <c r="A24" s="23"/>
      <c r="B24" s="11" t="s">
        <v>497</v>
      </c>
      <c r="C24" s="12">
        <v>21</v>
      </c>
      <c r="D24" s="12">
        <v>2</v>
      </c>
      <c r="E24" s="12">
        <v>1</v>
      </c>
      <c r="F24" s="12">
        <v>3</v>
      </c>
      <c r="G24" s="12">
        <v>2</v>
      </c>
      <c r="H24" s="12">
        <v>2</v>
      </c>
      <c r="I24" s="12">
        <v>2</v>
      </c>
      <c r="J24" s="12">
        <v>0</v>
      </c>
      <c r="K24" s="12">
        <v>1</v>
      </c>
      <c r="L24" s="12">
        <v>0</v>
      </c>
      <c r="M24" s="12">
        <v>1</v>
      </c>
      <c r="N24" s="12">
        <v>0</v>
      </c>
      <c r="O24" s="12">
        <v>0</v>
      </c>
      <c r="P24" s="12">
        <v>3</v>
      </c>
      <c r="Q24" s="12">
        <v>1</v>
      </c>
      <c r="R24" s="12">
        <v>0</v>
      </c>
      <c r="S24" s="12">
        <v>0</v>
      </c>
      <c r="T24" s="12">
        <v>0</v>
      </c>
      <c r="U24" s="12">
        <v>0</v>
      </c>
      <c r="V24" s="12">
        <v>0</v>
      </c>
      <c r="W24" s="12">
        <v>1</v>
      </c>
      <c r="X24" s="12">
        <v>2</v>
      </c>
      <c r="Y24" s="12">
        <v>1</v>
      </c>
      <c r="Z24" s="12">
        <v>2</v>
      </c>
      <c r="AA24" s="12">
        <v>1</v>
      </c>
      <c r="AB24" s="12">
        <v>1</v>
      </c>
    </row>
    <row r="25" spans="1:28">
      <c r="A25" s="23"/>
      <c r="B25" s="13" t="s">
        <v>498</v>
      </c>
      <c r="C25" s="14">
        <v>0.26</v>
      </c>
      <c r="D25" s="14">
        <v>0.39</v>
      </c>
      <c r="E25" s="14">
        <v>0.21</v>
      </c>
      <c r="F25" s="14">
        <v>0.37</v>
      </c>
      <c r="G25" s="14">
        <v>0.59</v>
      </c>
      <c r="H25" s="14">
        <v>0.44</v>
      </c>
      <c r="I25" s="14">
        <v>0.34</v>
      </c>
      <c r="J25" s="15" t="s">
        <v>485</v>
      </c>
      <c r="K25" s="14">
        <v>0.69000000000000006</v>
      </c>
      <c r="L25" s="15" t="s">
        <v>485</v>
      </c>
      <c r="M25" s="14">
        <v>0.48</v>
      </c>
      <c r="N25" s="15" t="s">
        <v>485</v>
      </c>
      <c r="O25" s="15" t="s">
        <v>485</v>
      </c>
      <c r="P25" s="14">
        <v>0.28000000000000003</v>
      </c>
      <c r="Q25" s="14">
        <v>0.32</v>
      </c>
      <c r="R25" s="15" t="s">
        <v>485</v>
      </c>
      <c r="S25" s="15" t="s">
        <v>485</v>
      </c>
      <c r="T25" s="15" t="s">
        <v>485</v>
      </c>
      <c r="U25" s="15" t="s">
        <v>485</v>
      </c>
      <c r="V25" s="15" t="s">
        <v>485</v>
      </c>
      <c r="W25" s="14">
        <v>0.08</v>
      </c>
      <c r="X25" s="14">
        <v>0.24</v>
      </c>
      <c r="Y25" s="14">
        <v>0.19</v>
      </c>
      <c r="Z25" s="14">
        <v>1.19</v>
      </c>
      <c r="AA25" s="14">
        <v>0.92</v>
      </c>
      <c r="AB25" s="14">
        <v>1.32</v>
      </c>
    </row>
    <row r="26" spans="1:28">
      <c r="A26" s="23"/>
      <c r="B26" s="11" t="s">
        <v>1532</v>
      </c>
      <c r="C26" s="12">
        <v>1214.17</v>
      </c>
      <c r="D26" s="12">
        <v>969.91</v>
      </c>
      <c r="E26" s="12">
        <v>65.25</v>
      </c>
      <c r="F26" s="12">
        <v>364.75</v>
      </c>
      <c r="G26" s="12">
        <v>65.81</v>
      </c>
      <c r="H26" s="12">
        <v>1500</v>
      </c>
      <c r="I26" s="12">
        <v>765.09</v>
      </c>
      <c r="J26" s="12">
        <v>229.87</v>
      </c>
      <c r="K26" s="12">
        <v>0</v>
      </c>
      <c r="L26" s="12">
        <v>200</v>
      </c>
      <c r="M26" s="12">
        <v>0</v>
      </c>
      <c r="N26" s="12">
        <v>450</v>
      </c>
      <c r="O26" s="12">
        <v>7858.98</v>
      </c>
      <c r="P26" s="12">
        <v>695.91</v>
      </c>
      <c r="Q26" s="12">
        <v>309.39999999999998</v>
      </c>
      <c r="R26" s="12">
        <v>3000</v>
      </c>
      <c r="S26" s="12">
        <v>200</v>
      </c>
      <c r="T26" s="12">
        <v>3000</v>
      </c>
      <c r="U26" s="12">
        <v>241</v>
      </c>
      <c r="V26" s="12">
        <v>10</v>
      </c>
      <c r="W26" s="12">
        <v>218.39</v>
      </c>
      <c r="X26" s="12">
        <v>165.58</v>
      </c>
      <c r="Y26" s="12">
        <v>1020</v>
      </c>
      <c r="Z26" s="12">
        <v>0</v>
      </c>
      <c r="AA26" s="12">
        <v>0</v>
      </c>
      <c r="AB26" s="12">
        <v>0</v>
      </c>
    </row>
    <row r="27" spans="1:28">
      <c r="A27" s="23"/>
      <c r="B27" s="13" t="s">
        <v>1533</v>
      </c>
      <c r="C27" s="15" t="s">
        <v>485</v>
      </c>
      <c r="D27" s="15" t="s">
        <v>485</v>
      </c>
      <c r="E27" s="15" t="s">
        <v>485</v>
      </c>
      <c r="F27" s="15" t="s">
        <v>485</v>
      </c>
      <c r="G27" s="15" t="s">
        <v>485</v>
      </c>
      <c r="H27" s="15" t="s">
        <v>485</v>
      </c>
      <c r="I27" s="15" t="s">
        <v>485</v>
      </c>
      <c r="J27" s="15" t="s">
        <v>485</v>
      </c>
      <c r="K27" s="15" t="s">
        <v>485</v>
      </c>
      <c r="L27" s="15" t="s">
        <v>485</v>
      </c>
      <c r="M27" s="15" t="s">
        <v>485</v>
      </c>
      <c r="N27" s="15" t="s">
        <v>485</v>
      </c>
      <c r="O27" s="15" t="s">
        <v>485</v>
      </c>
      <c r="P27" s="15" t="s">
        <v>485</v>
      </c>
      <c r="Q27" s="15" t="s">
        <v>485</v>
      </c>
      <c r="R27" s="15" t="s">
        <v>485</v>
      </c>
      <c r="S27" s="15" t="s">
        <v>485</v>
      </c>
      <c r="T27" s="15" t="s">
        <v>485</v>
      </c>
      <c r="U27" s="15" t="s">
        <v>485</v>
      </c>
      <c r="V27" s="15" t="s">
        <v>485</v>
      </c>
      <c r="W27" s="15" t="s">
        <v>485</v>
      </c>
      <c r="X27" s="15" t="s">
        <v>485</v>
      </c>
      <c r="Y27" s="15" t="s">
        <v>485</v>
      </c>
      <c r="Z27" s="15" t="s">
        <v>485</v>
      </c>
      <c r="AA27" s="15" t="s">
        <v>485</v>
      </c>
      <c r="AB27" s="15" t="s">
        <v>485</v>
      </c>
    </row>
    <row r="28" spans="1:28">
      <c r="A28" s="23"/>
      <c r="B28" s="11" t="s">
        <v>1534</v>
      </c>
      <c r="C28" s="12">
        <v>100</v>
      </c>
      <c r="D28" s="12">
        <v>0</v>
      </c>
      <c r="E28" s="12">
        <v>0</v>
      </c>
      <c r="F28" s="12">
        <v>0</v>
      </c>
      <c r="G28" s="12">
        <v>0</v>
      </c>
      <c r="H28" s="12">
        <v>0</v>
      </c>
      <c r="I28" s="12">
        <v>5</v>
      </c>
      <c r="J28" s="12">
        <v>0</v>
      </c>
      <c r="K28" s="12">
        <v>0</v>
      </c>
      <c r="L28" s="12">
        <v>0</v>
      </c>
      <c r="M28" s="12">
        <v>0</v>
      </c>
      <c r="N28" s="12">
        <v>0</v>
      </c>
      <c r="O28" s="12">
        <v>0</v>
      </c>
      <c r="P28" s="12">
        <v>500</v>
      </c>
      <c r="Q28" s="12">
        <v>0</v>
      </c>
      <c r="R28" s="12">
        <v>0</v>
      </c>
      <c r="S28" s="12">
        <v>0</v>
      </c>
      <c r="T28" s="12">
        <v>0</v>
      </c>
      <c r="U28" s="12">
        <v>0</v>
      </c>
      <c r="V28" s="12">
        <v>0</v>
      </c>
      <c r="W28" s="12">
        <v>100</v>
      </c>
      <c r="X28" s="12">
        <v>23</v>
      </c>
      <c r="Y28" s="12">
        <v>100</v>
      </c>
      <c r="Z28" s="12">
        <v>0</v>
      </c>
      <c r="AA28" s="12">
        <v>0</v>
      </c>
      <c r="AB28" s="12">
        <v>0</v>
      </c>
    </row>
    <row r="29" spans="1:28">
      <c r="A29" s="23"/>
      <c r="B29" s="13" t="s">
        <v>1535</v>
      </c>
      <c r="C29" s="15" t="s">
        <v>485</v>
      </c>
      <c r="D29" s="15" t="s">
        <v>485</v>
      </c>
      <c r="E29" s="15" t="s">
        <v>485</v>
      </c>
      <c r="F29" s="15" t="s">
        <v>485</v>
      </c>
      <c r="G29" s="15" t="s">
        <v>485</v>
      </c>
      <c r="H29" s="15" t="s">
        <v>485</v>
      </c>
      <c r="I29" s="15" t="s">
        <v>485</v>
      </c>
      <c r="J29" s="15" t="s">
        <v>485</v>
      </c>
      <c r="K29" s="15" t="s">
        <v>485</v>
      </c>
      <c r="L29" s="15" t="s">
        <v>485</v>
      </c>
      <c r="M29" s="15" t="s">
        <v>485</v>
      </c>
      <c r="N29" s="15" t="s">
        <v>485</v>
      </c>
      <c r="O29" s="15" t="s">
        <v>485</v>
      </c>
      <c r="P29" s="15" t="s">
        <v>485</v>
      </c>
      <c r="Q29" s="15" t="s">
        <v>485</v>
      </c>
      <c r="R29" s="15" t="s">
        <v>485</v>
      </c>
      <c r="S29" s="15" t="s">
        <v>485</v>
      </c>
      <c r="T29" s="15" t="s">
        <v>485</v>
      </c>
      <c r="U29" s="15" t="s">
        <v>485</v>
      </c>
      <c r="V29" s="15" t="s">
        <v>485</v>
      </c>
      <c r="W29" s="15" t="s">
        <v>485</v>
      </c>
      <c r="X29" s="15" t="s">
        <v>485</v>
      </c>
      <c r="Y29" s="15" t="s">
        <v>485</v>
      </c>
      <c r="Z29" s="15" t="s">
        <v>485</v>
      </c>
      <c r="AA29" s="15" t="s">
        <v>485</v>
      </c>
      <c r="AB29" s="15" t="s">
        <v>485</v>
      </c>
    </row>
  </sheetData>
  <mergeCells count="9">
    <mergeCell ref="B4:F4"/>
    <mergeCell ref="H3:L3"/>
    <mergeCell ref="C8:AB8"/>
    <mergeCell ref="A10:A29"/>
    <mergeCell ref="B5:F5"/>
    <mergeCell ref="B3:F3"/>
    <mergeCell ref="H5:L5"/>
    <mergeCell ref="B10:B11"/>
    <mergeCell ref="H4:L4"/>
  </mergeCells>
  <pageMargins left="0.75" right="0.75" top="1" bottom="1" header="0.5" footer="0.5"/>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600-000000000000}">
  <dimension ref="A1:AB2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28" width="12.42578125" customWidth="1"/>
  </cols>
  <sheetData>
    <row r="1" spans="1:28">
      <c r="I1" s="7" t="s">
        <v>449</v>
      </c>
    </row>
    <row r="2" spans="1:28">
      <c r="C2" s="7" t="s">
        <v>450</v>
      </c>
      <c r="H2" s="7" t="s">
        <v>451</v>
      </c>
    </row>
    <row r="3" spans="1:28" ht="36" customHeight="1">
      <c r="B3" s="19" t="s">
        <v>339</v>
      </c>
      <c r="C3" s="19"/>
      <c r="D3" s="19"/>
      <c r="E3" s="19"/>
      <c r="F3" s="19"/>
      <c r="H3" s="19" t="s">
        <v>340</v>
      </c>
      <c r="I3" s="19"/>
      <c r="J3" s="19"/>
      <c r="K3" s="19"/>
      <c r="L3" s="19"/>
    </row>
    <row r="4" spans="1:28" ht="27" customHeight="1">
      <c r="B4" s="19"/>
      <c r="C4" s="19"/>
      <c r="D4" s="19"/>
      <c r="E4" s="19"/>
      <c r="F4" s="19"/>
      <c r="H4" s="19"/>
      <c r="I4" s="19"/>
      <c r="J4" s="19"/>
      <c r="K4" s="19"/>
      <c r="L4" s="19"/>
    </row>
    <row r="5" spans="1:28" ht="36" customHeight="1">
      <c r="B5" s="19" t="s">
        <v>1550</v>
      </c>
      <c r="C5" s="19"/>
      <c r="D5" s="19"/>
      <c r="E5" s="19"/>
      <c r="F5" s="19"/>
      <c r="H5" s="19" t="s">
        <v>1551</v>
      </c>
      <c r="I5" s="19"/>
      <c r="J5" s="19"/>
      <c r="K5" s="19"/>
      <c r="L5" s="19"/>
    </row>
    <row r="6" spans="1:28" ht="0.95" customHeight="1"/>
    <row r="7" spans="1:28" ht="0.95" customHeight="1"/>
    <row r="8" spans="1:28">
      <c r="C8" s="22"/>
      <c r="D8" s="22"/>
      <c r="E8" s="22"/>
      <c r="F8" s="22"/>
      <c r="G8" s="22"/>
      <c r="H8" s="22"/>
      <c r="I8" s="22"/>
      <c r="J8" s="22"/>
      <c r="K8" s="22"/>
      <c r="L8" s="22"/>
      <c r="M8" s="22"/>
      <c r="N8" s="22"/>
      <c r="O8" s="22"/>
      <c r="P8" s="22"/>
      <c r="Q8" s="22"/>
      <c r="R8" s="22"/>
      <c r="S8" s="22"/>
      <c r="T8" s="22"/>
      <c r="U8" s="22"/>
      <c r="V8" s="22"/>
      <c r="W8" s="22"/>
      <c r="X8" s="22"/>
      <c r="Y8" s="22"/>
      <c r="Z8" s="22"/>
      <c r="AA8" s="22"/>
      <c r="AB8" s="22"/>
    </row>
    <row r="9" spans="1:28" ht="18">
      <c r="A9" s="5" t="str">
        <f>HYPERLINK("#Content!A171","&lt;&lt;Back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466</v>
      </c>
      <c r="O9" s="8" t="s">
        <v>467</v>
      </c>
      <c r="P9" s="8" t="s">
        <v>468</v>
      </c>
      <c r="Q9" s="8" t="s">
        <v>469</v>
      </c>
      <c r="R9" s="8" t="s">
        <v>470</v>
      </c>
      <c r="S9" s="8" t="s">
        <v>471</v>
      </c>
      <c r="T9" s="8" t="s">
        <v>472</v>
      </c>
      <c r="U9" s="8" t="s">
        <v>473</v>
      </c>
      <c r="V9" s="8" t="s">
        <v>474</v>
      </c>
      <c r="W9" s="8" t="s">
        <v>475</v>
      </c>
      <c r="X9" s="8" t="s">
        <v>476</v>
      </c>
      <c r="Y9" s="8" t="s">
        <v>477</v>
      </c>
      <c r="Z9" s="8" t="s">
        <v>480</v>
      </c>
      <c r="AA9" s="8" t="s">
        <v>481</v>
      </c>
      <c r="AB9" s="8" t="s">
        <v>482</v>
      </c>
    </row>
    <row r="10" spans="1:28">
      <c r="A10" s="23"/>
      <c r="B10" s="18" t="s">
        <v>484</v>
      </c>
      <c r="C10" s="10">
        <v>73</v>
      </c>
      <c r="D10" s="10">
        <v>5</v>
      </c>
      <c r="E10" s="10">
        <v>5</v>
      </c>
      <c r="F10" s="10">
        <v>4</v>
      </c>
      <c r="G10" s="10">
        <v>3</v>
      </c>
      <c r="H10" s="10">
        <v>1</v>
      </c>
      <c r="I10" s="10">
        <v>2</v>
      </c>
      <c r="J10" s="10">
        <v>0</v>
      </c>
      <c r="K10" s="10">
        <v>1</v>
      </c>
      <c r="L10" s="10">
        <v>3</v>
      </c>
      <c r="M10" s="10">
        <v>3</v>
      </c>
      <c r="N10" s="10">
        <v>2</v>
      </c>
      <c r="O10" s="10">
        <v>6</v>
      </c>
      <c r="P10" s="10">
        <v>6</v>
      </c>
      <c r="Q10" s="10">
        <v>1</v>
      </c>
      <c r="R10" s="10">
        <v>4</v>
      </c>
      <c r="S10" s="10">
        <v>4</v>
      </c>
      <c r="T10" s="10">
        <v>2</v>
      </c>
      <c r="U10" s="10">
        <v>7</v>
      </c>
      <c r="V10" s="10">
        <v>3</v>
      </c>
      <c r="W10" s="10">
        <v>4</v>
      </c>
      <c r="X10" s="10">
        <v>8</v>
      </c>
      <c r="Y10" s="10">
        <v>6</v>
      </c>
      <c r="Z10" s="10">
        <v>3</v>
      </c>
      <c r="AA10" s="10">
        <v>3</v>
      </c>
      <c r="AB10" s="10">
        <v>1</v>
      </c>
    </row>
    <row r="11" spans="1:28">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row>
    <row r="12" spans="1:28">
      <c r="A12" s="23"/>
      <c r="B12" s="11" t="s">
        <v>1524</v>
      </c>
      <c r="C12" s="12">
        <v>3</v>
      </c>
      <c r="D12" s="12">
        <v>0</v>
      </c>
      <c r="E12" s="12">
        <v>0</v>
      </c>
      <c r="F12" s="12">
        <v>1</v>
      </c>
      <c r="G12" s="12">
        <v>0</v>
      </c>
      <c r="H12" s="12">
        <v>0</v>
      </c>
      <c r="I12" s="12">
        <v>0</v>
      </c>
      <c r="J12" s="12">
        <v>0</v>
      </c>
      <c r="K12" s="12">
        <v>0</v>
      </c>
      <c r="L12" s="12">
        <v>0</v>
      </c>
      <c r="M12" s="12">
        <v>0</v>
      </c>
      <c r="N12" s="12">
        <v>0</v>
      </c>
      <c r="O12" s="12">
        <v>1</v>
      </c>
      <c r="P12" s="12">
        <v>0</v>
      </c>
      <c r="Q12" s="12">
        <v>0</v>
      </c>
      <c r="R12" s="12">
        <v>0</v>
      </c>
      <c r="S12" s="12">
        <v>0</v>
      </c>
      <c r="T12" s="12">
        <v>0</v>
      </c>
      <c r="U12" s="12">
        <v>0</v>
      </c>
      <c r="V12" s="12">
        <v>0</v>
      </c>
      <c r="W12" s="12">
        <v>0</v>
      </c>
      <c r="X12" s="12">
        <v>0</v>
      </c>
      <c r="Y12" s="12">
        <v>1</v>
      </c>
      <c r="Z12" s="12">
        <v>0</v>
      </c>
      <c r="AA12" s="12">
        <v>1</v>
      </c>
      <c r="AB12" s="12">
        <v>0</v>
      </c>
    </row>
    <row r="13" spans="1:28">
      <c r="A13" s="23"/>
      <c r="B13" s="13" t="s">
        <v>1524</v>
      </c>
      <c r="C13" s="14">
        <v>0.05</v>
      </c>
      <c r="D13" s="15" t="s">
        <v>485</v>
      </c>
      <c r="E13" s="15" t="s">
        <v>485</v>
      </c>
      <c r="F13" s="14">
        <v>0.37</v>
      </c>
      <c r="G13" s="15" t="s">
        <v>485</v>
      </c>
      <c r="H13" s="15" t="s">
        <v>485</v>
      </c>
      <c r="I13" s="15" t="s">
        <v>485</v>
      </c>
      <c r="J13" s="15" t="s">
        <v>485</v>
      </c>
      <c r="K13" s="15" t="s">
        <v>485</v>
      </c>
      <c r="L13" s="15" t="s">
        <v>485</v>
      </c>
      <c r="M13" s="15" t="s">
        <v>485</v>
      </c>
      <c r="N13" s="15" t="s">
        <v>485</v>
      </c>
      <c r="O13" s="14">
        <v>0.08</v>
      </c>
      <c r="P13" s="15" t="s">
        <v>485</v>
      </c>
      <c r="Q13" s="15" t="s">
        <v>485</v>
      </c>
      <c r="R13" s="15" t="s">
        <v>485</v>
      </c>
      <c r="S13" s="15" t="s">
        <v>485</v>
      </c>
      <c r="T13" s="15" t="s">
        <v>485</v>
      </c>
      <c r="U13" s="15" t="s">
        <v>485</v>
      </c>
      <c r="V13" s="15" t="s">
        <v>485</v>
      </c>
      <c r="W13" s="15" t="s">
        <v>485</v>
      </c>
      <c r="X13" s="15" t="s">
        <v>485</v>
      </c>
      <c r="Y13" s="14">
        <v>0.17</v>
      </c>
      <c r="Z13" s="15" t="s">
        <v>485</v>
      </c>
      <c r="AA13" s="14">
        <v>0.24</v>
      </c>
      <c r="AB13" s="15" t="s">
        <v>485</v>
      </c>
    </row>
    <row r="14" spans="1:28">
      <c r="A14" s="23"/>
      <c r="B14" s="11" t="s">
        <v>1525</v>
      </c>
      <c r="C14" s="12">
        <v>9</v>
      </c>
      <c r="D14" s="12">
        <v>0</v>
      </c>
      <c r="E14" s="12">
        <v>2</v>
      </c>
      <c r="F14" s="12">
        <v>0</v>
      </c>
      <c r="G14" s="12">
        <v>0</v>
      </c>
      <c r="H14" s="12">
        <v>0</v>
      </c>
      <c r="I14" s="12">
        <v>0</v>
      </c>
      <c r="J14" s="12">
        <v>0</v>
      </c>
      <c r="K14" s="12">
        <v>0</v>
      </c>
      <c r="L14" s="12">
        <v>0</v>
      </c>
      <c r="M14" s="12">
        <v>0</v>
      </c>
      <c r="N14" s="12">
        <v>1</v>
      </c>
      <c r="O14" s="12">
        <v>0</v>
      </c>
      <c r="P14" s="12">
        <v>1</v>
      </c>
      <c r="Q14" s="12">
        <v>0</v>
      </c>
      <c r="R14" s="12">
        <v>0</v>
      </c>
      <c r="S14" s="12">
        <v>2</v>
      </c>
      <c r="T14" s="12">
        <v>0</v>
      </c>
      <c r="U14" s="12">
        <v>0</v>
      </c>
      <c r="V14" s="12">
        <v>0</v>
      </c>
      <c r="W14" s="12">
        <v>0</v>
      </c>
      <c r="X14" s="12">
        <v>1</v>
      </c>
      <c r="Y14" s="12">
        <v>0</v>
      </c>
      <c r="Z14" s="12">
        <v>0</v>
      </c>
      <c r="AA14" s="12">
        <v>0</v>
      </c>
      <c r="AB14" s="12">
        <v>1</v>
      </c>
    </row>
    <row r="15" spans="1:28">
      <c r="A15" s="23"/>
      <c r="B15" s="13" t="s">
        <v>1525</v>
      </c>
      <c r="C15" s="14">
        <v>0.12</v>
      </c>
      <c r="D15" s="15" t="s">
        <v>485</v>
      </c>
      <c r="E15" s="14">
        <v>0.47</v>
      </c>
      <c r="F15" s="15" t="s">
        <v>485</v>
      </c>
      <c r="G15" s="15" t="s">
        <v>485</v>
      </c>
      <c r="H15" s="15" t="s">
        <v>485</v>
      </c>
      <c r="I15" s="15" t="s">
        <v>485</v>
      </c>
      <c r="J15" s="15" t="s">
        <v>485</v>
      </c>
      <c r="K15" s="15" t="s">
        <v>485</v>
      </c>
      <c r="L15" s="15" t="s">
        <v>485</v>
      </c>
      <c r="M15" s="15" t="s">
        <v>485</v>
      </c>
      <c r="N15" s="14">
        <v>0.4</v>
      </c>
      <c r="O15" s="15" t="s">
        <v>485</v>
      </c>
      <c r="P15" s="14">
        <v>0.18</v>
      </c>
      <c r="Q15" s="15" t="s">
        <v>485</v>
      </c>
      <c r="R15" s="15" t="s">
        <v>485</v>
      </c>
      <c r="S15" s="14">
        <v>0.51</v>
      </c>
      <c r="T15" s="15" t="s">
        <v>485</v>
      </c>
      <c r="U15" s="15" t="s">
        <v>485</v>
      </c>
      <c r="V15" s="15" t="s">
        <v>485</v>
      </c>
      <c r="W15" s="15" t="s">
        <v>485</v>
      </c>
      <c r="X15" s="14">
        <v>0.11</v>
      </c>
      <c r="Y15" s="15" t="s">
        <v>485</v>
      </c>
      <c r="Z15" s="15" t="s">
        <v>485</v>
      </c>
      <c r="AA15" s="15" t="s">
        <v>485</v>
      </c>
      <c r="AB15" s="14">
        <v>0.84</v>
      </c>
    </row>
    <row r="16" spans="1:28">
      <c r="A16" s="23"/>
      <c r="B16" s="11" t="s">
        <v>1526</v>
      </c>
      <c r="C16" s="12">
        <v>7</v>
      </c>
      <c r="D16" s="12">
        <v>0</v>
      </c>
      <c r="E16" s="12">
        <v>0</v>
      </c>
      <c r="F16" s="12">
        <v>1</v>
      </c>
      <c r="G16" s="12">
        <v>0</v>
      </c>
      <c r="H16" s="12">
        <v>0</v>
      </c>
      <c r="I16" s="12">
        <v>0</v>
      </c>
      <c r="J16" s="12">
        <v>0</v>
      </c>
      <c r="K16" s="12">
        <v>0</v>
      </c>
      <c r="L16" s="12">
        <v>1</v>
      </c>
      <c r="M16" s="12">
        <v>0</v>
      </c>
      <c r="N16" s="12">
        <v>0</v>
      </c>
      <c r="O16" s="12">
        <v>1</v>
      </c>
      <c r="P16" s="12">
        <v>0</v>
      </c>
      <c r="Q16" s="12">
        <v>0</v>
      </c>
      <c r="R16" s="12">
        <v>0</v>
      </c>
      <c r="S16" s="12">
        <v>2</v>
      </c>
      <c r="T16" s="12">
        <v>0</v>
      </c>
      <c r="U16" s="12">
        <v>1</v>
      </c>
      <c r="V16" s="12">
        <v>0</v>
      </c>
      <c r="W16" s="12">
        <v>0</v>
      </c>
      <c r="X16" s="12">
        <v>2</v>
      </c>
      <c r="Y16" s="12">
        <v>2</v>
      </c>
      <c r="Z16" s="12">
        <v>0</v>
      </c>
      <c r="AA16" s="12">
        <v>0</v>
      </c>
      <c r="AB16" s="12">
        <v>0</v>
      </c>
    </row>
    <row r="17" spans="1:28">
      <c r="A17" s="23"/>
      <c r="B17" s="13" t="s">
        <v>1526</v>
      </c>
      <c r="C17" s="14">
        <v>0.1</v>
      </c>
      <c r="D17" s="15" t="s">
        <v>485</v>
      </c>
      <c r="E17" s="15" t="s">
        <v>485</v>
      </c>
      <c r="F17" s="14">
        <v>0.36</v>
      </c>
      <c r="G17" s="15" t="s">
        <v>485</v>
      </c>
      <c r="H17" s="15" t="s">
        <v>485</v>
      </c>
      <c r="I17" s="15" t="s">
        <v>485</v>
      </c>
      <c r="J17" s="15" t="s">
        <v>485</v>
      </c>
      <c r="K17" s="15" t="s">
        <v>485</v>
      </c>
      <c r="L17" s="14">
        <v>0.31</v>
      </c>
      <c r="M17" s="15" t="s">
        <v>485</v>
      </c>
      <c r="N17" s="15" t="s">
        <v>485</v>
      </c>
      <c r="O17" s="14">
        <v>0.2</v>
      </c>
      <c r="P17" s="15" t="s">
        <v>485</v>
      </c>
      <c r="Q17" s="15" t="s">
        <v>485</v>
      </c>
      <c r="R17" s="15" t="s">
        <v>485</v>
      </c>
      <c r="S17" s="14">
        <v>0.49</v>
      </c>
      <c r="T17" s="15" t="s">
        <v>485</v>
      </c>
      <c r="U17" s="14">
        <v>0.19</v>
      </c>
      <c r="V17" s="15" t="s">
        <v>485</v>
      </c>
      <c r="W17" s="15" t="s">
        <v>485</v>
      </c>
      <c r="X17" s="14">
        <v>0.3</v>
      </c>
      <c r="Y17" s="14">
        <v>0.28000000000000003</v>
      </c>
      <c r="Z17" s="15" t="s">
        <v>485</v>
      </c>
      <c r="AA17" s="15" t="s">
        <v>485</v>
      </c>
      <c r="AB17" s="15" t="s">
        <v>485</v>
      </c>
    </row>
    <row r="18" spans="1:28">
      <c r="A18" s="23"/>
      <c r="B18" s="11" t="s">
        <v>1527</v>
      </c>
      <c r="C18" s="12">
        <v>35</v>
      </c>
      <c r="D18" s="12">
        <v>2</v>
      </c>
      <c r="E18" s="12">
        <v>0</v>
      </c>
      <c r="F18" s="12">
        <v>1</v>
      </c>
      <c r="G18" s="12">
        <v>3</v>
      </c>
      <c r="H18" s="12">
        <v>1</v>
      </c>
      <c r="I18" s="12">
        <v>1</v>
      </c>
      <c r="J18" s="12">
        <v>0</v>
      </c>
      <c r="K18" s="12">
        <v>0</v>
      </c>
      <c r="L18" s="12">
        <v>0</v>
      </c>
      <c r="M18" s="12">
        <v>3</v>
      </c>
      <c r="N18" s="12">
        <v>0</v>
      </c>
      <c r="O18" s="12">
        <v>2</v>
      </c>
      <c r="P18" s="12">
        <v>5</v>
      </c>
      <c r="Q18" s="12">
        <v>1</v>
      </c>
      <c r="R18" s="12">
        <v>1</v>
      </c>
      <c r="S18" s="12">
        <v>0</v>
      </c>
      <c r="T18" s="12">
        <v>2</v>
      </c>
      <c r="U18" s="12">
        <v>4</v>
      </c>
      <c r="V18" s="12">
        <v>0</v>
      </c>
      <c r="W18" s="12">
        <v>2</v>
      </c>
      <c r="X18" s="12">
        <v>1</v>
      </c>
      <c r="Y18" s="12">
        <v>2</v>
      </c>
      <c r="Z18" s="12">
        <v>0</v>
      </c>
      <c r="AA18" s="12">
        <v>1</v>
      </c>
      <c r="AB18" s="12">
        <v>0</v>
      </c>
    </row>
    <row r="19" spans="1:28">
      <c r="A19" s="23"/>
      <c r="B19" s="13" t="s">
        <v>1527</v>
      </c>
      <c r="C19" s="14">
        <v>0.47</v>
      </c>
      <c r="D19" s="14">
        <v>0.39</v>
      </c>
      <c r="E19" s="15" t="s">
        <v>485</v>
      </c>
      <c r="F19" s="14">
        <v>0.27</v>
      </c>
      <c r="G19" s="14">
        <v>1.05</v>
      </c>
      <c r="H19" s="14">
        <v>1.02</v>
      </c>
      <c r="I19" s="14">
        <v>0.52</v>
      </c>
      <c r="J19" s="15" t="s">
        <v>485</v>
      </c>
      <c r="K19" s="15" t="s">
        <v>485</v>
      </c>
      <c r="L19" s="15" t="s">
        <v>485</v>
      </c>
      <c r="M19" s="14">
        <v>0.88</v>
      </c>
      <c r="N19" s="15" t="s">
        <v>485</v>
      </c>
      <c r="O19" s="14">
        <v>0.42</v>
      </c>
      <c r="P19" s="14">
        <v>0.79</v>
      </c>
      <c r="Q19" s="14">
        <v>1.18</v>
      </c>
      <c r="R19" s="14">
        <v>0.32</v>
      </c>
      <c r="S19" s="15" t="s">
        <v>485</v>
      </c>
      <c r="T19" s="14">
        <v>0.97</v>
      </c>
      <c r="U19" s="14">
        <v>0.63</v>
      </c>
      <c r="V19" s="15" t="s">
        <v>485</v>
      </c>
      <c r="W19" s="14">
        <v>0.6</v>
      </c>
      <c r="X19" s="14">
        <v>0.11</v>
      </c>
      <c r="Y19" s="14">
        <v>0.28999999999999998</v>
      </c>
      <c r="Z19" s="15" t="s">
        <v>485</v>
      </c>
      <c r="AA19" s="14">
        <v>0.36</v>
      </c>
      <c r="AB19" s="15" t="s">
        <v>485</v>
      </c>
    </row>
    <row r="20" spans="1:28">
      <c r="A20" s="23"/>
      <c r="B20" s="11" t="s">
        <v>1528</v>
      </c>
      <c r="C20" s="12">
        <v>1</v>
      </c>
      <c r="D20" s="12">
        <v>0</v>
      </c>
      <c r="E20" s="12">
        <v>0</v>
      </c>
      <c r="F20" s="12">
        <v>0</v>
      </c>
      <c r="G20" s="12">
        <v>0</v>
      </c>
      <c r="H20" s="12">
        <v>0</v>
      </c>
      <c r="I20" s="12">
        <v>0</v>
      </c>
      <c r="J20" s="12">
        <v>0</v>
      </c>
      <c r="K20" s="12">
        <v>0</v>
      </c>
      <c r="L20" s="12">
        <v>0</v>
      </c>
      <c r="M20" s="12">
        <v>0</v>
      </c>
      <c r="N20" s="12">
        <v>0</v>
      </c>
      <c r="O20" s="12">
        <v>0</v>
      </c>
      <c r="P20" s="12">
        <v>0</v>
      </c>
      <c r="Q20" s="12">
        <v>0</v>
      </c>
      <c r="R20" s="12">
        <v>1</v>
      </c>
      <c r="S20" s="12">
        <v>0</v>
      </c>
      <c r="T20" s="12">
        <v>0</v>
      </c>
      <c r="U20" s="12">
        <v>0</v>
      </c>
      <c r="V20" s="12">
        <v>2</v>
      </c>
      <c r="W20" s="12">
        <v>0</v>
      </c>
      <c r="X20" s="12">
        <v>1</v>
      </c>
      <c r="Y20" s="12">
        <v>0</v>
      </c>
      <c r="Z20" s="12">
        <v>2</v>
      </c>
      <c r="AA20" s="12">
        <v>0</v>
      </c>
      <c r="AB20" s="12">
        <v>0</v>
      </c>
    </row>
    <row r="21" spans="1:28">
      <c r="A21" s="23"/>
      <c r="B21" s="13" t="s">
        <v>1529</v>
      </c>
      <c r="C21" s="14">
        <v>0.01</v>
      </c>
      <c r="D21" s="15" t="s">
        <v>485</v>
      </c>
      <c r="E21" s="15" t="s">
        <v>485</v>
      </c>
      <c r="F21" s="15" t="s">
        <v>485</v>
      </c>
      <c r="G21" s="15" t="s">
        <v>485</v>
      </c>
      <c r="H21" s="15" t="s">
        <v>485</v>
      </c>
      <c r="I21" s="15" t="s">
        <v>485</v>
      </c>
      <c r="J21" s="15" t="s">
        <v>485</v>
      </c>
      <c r="K21" s="15" t="s">
        <v>485</v>
      </c>
      <c r="L21" s="15" t="s">
        <v>485</v>
      </c>
      <c r="M21" s="15" t="s">
        <v>485</v>
      </c>
      <c r="N21" s="15" t="s">
        <v>485</v>
      </c>
      <c r="O21" s="15" t="s">
        <v>485</v>
      </c>
      <c r="P21" s="15" t="s">
        <v>485</v>
      </c>
      <c r="Q21" s="15" t="s">
        <v>485</v>
      </c>
      <c r="R21" s="14">
        <v>0.36</v>
      </c>
      <c r="S21" s="15" t="s">
        <v>485</v>
      </c>
      <c r="T21" s="15" t="s">
        <v>485</v>
      </c>
      <c r="U21" s="15" t="s">
        <v>485</v>
      </c>
      <c r="V21" s="14">
        <v>0.65</v>
      </c>
      <c r="W21" s="15" t="s">
        <v>485</v>
      </c>
      <c r="X21" s="14">
        <v>0.14000000000000001</v>
      </c>
      <c r="Y21" s="15" t="s">
        <v>485</v>
      </c>
      <c r="Z21" s="14">
        <v>0.53</v>
      </c>
      <c r="AA21" s="15" t="s">
        <v>485</v>
      </c>
      <c r="AB21" s="15" t="s">
        <v>485</v>
      </c>
    </row>
    <row r="22" spans="1:28">
      <c r="A22" s="23"/>
      <c r="B22" s="11" t="s">
        <v>1530</v>
      </c>
      <c r="C22" s="12">
        <v>2</v>
      </c>
      <c r="D22" s="12">
        <v>0</v>
      </c>
      <c r="E22" s="12">
        <v>2</v>
      </c>
      <c r="F22" s="12">
        <v>0</v>
      </c>
      <c r="G22" s="12">
        <v>0</v>
      </c>
      <c r="H22" s="12">
        <v>0</v>
      </c>
      <c r="I22" s="12">
        <v>0</v>
      </c>
      <c r="J22" s="12">
        <v>0</v>
      </c>
      <c r="K22" s="12">
        <v>0</v>
      </c>
      <c r="L22" s="12">
        <v>0</v>
      </c>
      <c r="M22" s="12">
        <v>0</v>
      </c>
      <c r="N22" s="12">
        <v>0</v>
      </c>
      <c r="O22" s="12">
        <v>1</v>
      </c>
      <c r="P22" s="12">
        <v>0</v>
      </c>
      <c r="Q22" s="12">
        <v>0</v>
      </c>
      <c r="R22" s="12">
        <v>1</v>
      </c>
      <c r="S22" s="12">
        <v>0</v>
      </c>
      <c r="T22" s="12">
        <v>0</v>
      </c>
      <c r="U22" s="12">
        <v>0</v>
      </c>
      <c r="V22" s="12">
        <v>0</v>
      </c>
      <c r="W22" s="12">
        <v>0</v>
      </c>
      <c r="X22" s="12">
        <v>2</v>
      </c>
      <c r="Y22" s="12">
        <v>0</v>
      </c>
      <c r="Z22" s="12">
        <v>0</v>
      </c>
      <c r="AA22" s="12">
        <v>0</v>
      </c>
      <c r="AB22" s="12">
        <v>0</v>
      </c>
    </row>
    <row r="23" spans="1:28">
      <c r="A23" s="23"/>
      <c r="B23" s="13" t="s">
        <v>1531</v>
      </c>
      <c r="C23" s="14">
        <v>0.03</v>
      </c>
      <c r="D23" s="15" t="s">
        <v>485</v>
      </c>
      <c r="E23" s="14">
        <v>0.34</v>
      </c>
      <c r="F23" s="15" t="s">
        <v>485</v>
      </c>
      <c r="G23" s="15" t="s">
        <v>485</v>
      </c>
      <c r="H23" s="15" t="s">
        <v>485</v>
      </c>
      <c r="I23" s="15" t="s">
        <v>485</v>
      </c>
      <c r="J23" s="15" t="s">
        <v>485</v>
      </c>
      <c r="K23" s="15" t="s">
        <v>485</v>
      </c>
      <c r="L23" s="15" t="s">
        <v>485</v>
      </c>
      <c r="M23" s="15" t="s">
        <v>485</v>
      </c>
      <c r="N23" s="15" t="s">
        <v>485</v>
      </c>
      <c r="O23" s="14">
        <v>0.13</v>
      </c>
      <c r="P23" s="15" t="s">
        <v>485</v>
      </c>
      <c r="Q23" s="15" t="s">
        <v>485</v>
      </c>
      <c r="R23" s="14">
        <v>0.32</v>
      </c>
      <c r="S23" s="15" t="s">
        <v>485</v>
      </c>
      <c r="T23" s="15" t="s">
        <v>485</v>
      </c>
      <c r="U23" s="15" t="s">
        <v>485</v>
      </c>
      <c r="V23" s="15" t="s">
        <v>485</v>
      </c>
      <c r="W23" s="15" t="s">
        <v>485</v>
      </c>
      <c r="X23" s="14">
        <v>0.24</v>
      </c>
      <c r="Y23" s="15" t="s">
        <v>485</v>
      </c>
      <c r="Z23" s="15" t="s">
        <v>485</v>
      </c>
      <c r="AA23" s="15" t="s">
        <v>485</v>
      </c>
      <c r="AB23" s="15" t="s">
        <v>485</v>
      </c>
    </row>
    <row r="24" spans="1:28">
      <c r="A24" s="23"/>
      <c r="B24" s="11" t="s">
        <v>497</v>
      </c>
      <c r="C24" s="12">
        <v>16</v>
      </c>
      <c r="D24" s="12">
        <v>3</v>
      </c>
      <c r="E24" s="12">
        <v>1</v>
      </c>
      <c r="F24" s="12">
        <v>0</v>
      </c>
      <c r="G24" s="12">
        <v>0</v>
      </c>
      <c r="H24" s="12">
        <v>0</v>
      </c>
      <c r="I24" s="12">
        <v>0</v>
      </c>
      <c r="J24" s="12">
        <v>0</v>
      </c>
      <c r="K24" s="12">
        <v>1</v>
      </c>
      <c r="L24" s="12">
        <v>2</v>
      </c>
      <c r="M24" s="12">
        <v>0</v>
      </c>
      <c r="N24" s="12">
        <v>1</v>
      </c>
      <c r="O24" s="12">
        <v>1</v>
      </c>
      <c r="P24" s="12">
        <v>0</v>
      </c>
      <c r="Q24" s="12">
        <v>0</v>
      </c>
      <c r="R24" s="12">
        <v>0</v>
      </c>
      <c r="S24" s="12">
        <v>0</v>
      </c>
      <c r="T24" s="12">
        <v>1</v>
      </c>
      <c r="U24" s="12">
        <v>1</v>
      </c>
      <c r="V24" s="12">
        <v>1</v>
      </c>
      <c r="W24" s="12">
        <v>1</v>
      </c>
      <c r="X24" s="12">
        <v>1</v>
      </c>
      <c r="Y24" s="12">
        <v>2</v>
      </c>
      <c r="Z24" s="12">
        <v>1</v>
      </c>
      <c r="AA24" s="12">
        <v>2</v>
      </c>
      <c r="AB24" s="12">
        <v>0</v>
      </c>
    </row>
    <row r="25" spans="1:28">
      <c r="A25" s="23"/>
      <c r="B25" s="13" t="s">
        <v>498</v>
      </c>
      <c r="C25" s="14">
        <v>0.22</v>
      </c>
      <c r="D25" s="14">
        <v>0.53</v>
      </c>
      <c r="E25" s="14">
        <v>0.2</v>
      </c>
      <c r="F25" s="15" t="s">
        <v>485</v>
      </c>
      <c r="G25" s="15" t="s">
        <v>485</v>
      </c>
      <c r="H25" s="15" t="s">
        <v>485</v>
      </c>
      <c r="I25" s="14">
        <v>0.25</v>
      </c>
      <c r="J25" s="15" t="s">
        <v>485</v>
      </c>
      <c r="K25" s="14">
        <v>0.98</v>
      </c>
      <c r="L25" s="14">
        <v>0.76</v>
      </c>
      <c r="M25" s="15" t="s">
        <v>485</v>
      </c>
      <c r="N25" s="14">
        <v>0.67</v>
      </c>
      <c r="O25" s="14">
        <v>0.17</v>
      </c>
      <c r="P25" s="15" t="s">
        <v>485</v>
      </c>
      <c r="Q25" s="15" t="s">
        <v>485</v>
      </c>
      <c r="R25" s="15" t="s">
        <v>485</v>
      </c>
      <c r="S25" s="15" t="s">
        <v>485</v>
      </c>
      <c r="T25" s="14">
        <v>0.24</v>
      </c>
      <c r="U25" s="14">
        <v>0.17</v>
      </c>
      <c r="V25" s="14">
        <v>0.35</v>
      </c>
      <c r="W25" s="14">
        <v>0.32</v>
      </c>
      <c r="X25" s="14">
        <v>0.1</v>
      </c>
      <c r="Y25" s="14">
        <v>0.26</v>
      </c>
      <c r="Z25" s="14">
        <v>0.42</v>
      </c>
      <c r="AA25" s="14">
        <v>0.51</v>
      </c>
      <c r="AB25" s="15" t="s">
        <v>485</v>
      </c>
    </row>
    <row r="26" spans="1:28">
      <c r="A26" s="23"/>
      <c r="B26" s="11" t="s">
        <v>1532</v>
      </c>
      <c r="C26" s="12">
        <v>1255.77</v>
      </c>
      <c r="D26" s="12">
        <v>281.94</v>
      </c>
      <c r="E26" s="12">
        <v>41.63</v>
      </c>
      <c r="F26" s="12">
        <v>186.27</v>
      </c>
      <c r="G26" s="12">
        <v>268</v>
      </c>
      <c r="H26" s="12">
        <v>300</v>
      </c>
      <c r="I26" s="12">
        <v>300</v>
      </c>
      <c r="J26" s="12">
        <v>0</v>
      </c>
      <c r="K26" s="12">
        <v>0</v>
      </c>
      <c r="L26" s="12">
        <v>58.91</v>
      </c>
      <c r="M26" s="12">
        <v>685.34</v>
      </c>
      <c r="N26" s="12">
        <v>100</v>
      </c>
      <c r="O26" s="12">
        <v>387.27</v>
      </c>
      <c r="P26" s="12">
        <v>2121.19</v>
      </c>
      <c r="Q26" s="12">
        <v>300</v>
      </c>
      <c r="R26" s="12">
        <v>2500</v>
      </c>
      <c r="S26" s="12">
        <v>124.43</v>
      </c>
      <c r="T26" s="12">
        <v>16300.51</v>
      </c>
      <c r="U26" s="12">
        <v>282.24</v>
      </c>
      <c r="V26" s="12">
        <v>0</v>
      </c>
      <c r="W26" s="12">
        <v>6221.84</v>
      </c>
      <c r="X26" s="12">
        <v>204.22</v>
      </c>
      <c r="Y26" s="12">
        <v>388.78</v>
      </c>
      <c r="Z26" s="12">
        <v>0</v>
      </c>
      <c r="AA26" s="12">
        <v>172.99</v>
      </c>
      <c r="AB26" s="12">
        <v>100</v>
      </c>
    </row>
    <row r="27" spans="1:28">
      <c r="A27" s="23"/>
      <c r="B27" s="13" t="s">
        <v>1533</v>
      </c>
      <c r="C27" s="15" t="s">
        <v>485</v>
      </c>
      <c r="D27" s="15" t="s">
        <v>485</v>
      </c>
      <c r="E27" s="15" t="s">
        <v>485</v>
      </c>
      <c r="F27" s="15" t="s">
        <v>485</v>
      </c>
      <c r="G27" s="15" t="s">
        <v>485</v>
      </c>
      <c r="H27" s="15" t="s">
        <v>485</v>
      </c>
      <c r="I27" s="15" t="s">
        <v>485</v>
      </c>
      <c r="J27" s="15" t="s">
        <v>485</v>
      </c>
      <c r="K27" s="15" t="s">
        <v>485</v>
      </c>
      <c r="L27" s="15" t="s">
        <v>485</v>
      </c>
      <c r="M27" s="15" t="s">
        <v>485</v>
      </c>
      <c r="N27" s="15" t="s">
        <v>485</v>
      </c>
      <c r="O27" s="15" t="s">
        <v>485</v>
      </c>
      <c r="P27" s="15" t="s">
        <v>485</v>
      </c>
      <c r="Q27" s="15" t="s">
        <v>485</v>
      </c>
      <c r="R27" s="15" t="s">
        <v>485</v>
      </c>
      <c r="S27" s="15" t="s">
        <v>485</v>
      </c>
      <c r="T27" s="15" t="s">
        <v>485</v>
      </c>
      <c r="U27" s="15" t="s">
        <v>485</v>
      </c>
      <c r="V27" s="15" t="s">
        <v>485</v>
      </c>
      <c r="W27" s="15" t="s">
        <v>485</v>
      </c>
      <c r="X27" s="15" t="s">
        <v>485</v>
      </c>
      <c r="Y27" s="15" t="s">
        <v>485</v>
      </c>
      <c r="Z27" s="15" t="s">
        <v>485</v>
      </c>
      <c r="AA27" s="15" t="s">
        <v>485</v>
      </c>
      <c r="AB27" s="15" t="s">
        <v>485</v>
      </c>
    </row>
    <row r="28" spans="1:28">
      <c r="A28" s="23"/>
      <c r="B28" s="11" t="s">
        <v>1534</v>
      </c>
      <c r="C28" s="12">
        <v>268</v>
      </c>
      <c r="D28" s="12">
        <v>0</v>
      </c>
      <c r="E28" s="12">
        <v>0</v>
      </c>
      <c r="F28" s="12">
        <v>39</v>
      </c>
      <c r="G28" s="12">
        <v>0</v>
      </c>
      <c r="H28" s="12">
        <v>0</v>
      </c>
      <c r="I28" s="12">
        <v>0</v>
      </c>
      <c r="J28" s="12">
        <v>0</v>
      </c>
      <c r="K28" s="12">
        <v>0</v>
      </c>
      <c r="L28" s="12">
        <v>0</v>
      </c>
      <c r="M28" s="12">
        <v>500</v>
      </c>
      <c r="N28" s="12">
        <v>0</v>
      </c>
      <c r="O28" s="12">
        <v>150</v>
      </c>
      <c r="P28" s="12">
        <v>300</v>
      </c>
      <c r="Q28" s="12">
        <v>0</v>
      </c>
      <c r="R28" s="12">
        <v>0</v>
      </c>
      <c r="S28" s="12">
        <v>0</v>
      </c>
      <c r="T28" s="12">
        <v>2000</v>
      </c>
      <c r="U28" s="12">
        <v>361</v>
      </c>
      <c r="V28" s="12">
        <v>0</v>
      </c>
      <c r="W28" s="12">
        <v>0</v>
      </c>
      <c r="X28" s="12">
        <v>110</v>
      </c>
      <c r="Y28" s="12">
        <v>23</v>
      </c>
      <c r="Z28" s="12">
        <v>0</v>
      </c>
      <c r="AA28" s="12">
        <v>0</v>
      </c>
      <c r="AB28" s="12">
        <v>0</v>
      </c>
    </row>
    <row r="29" spans="1:28">
      <c r="A29" s="23"/>
      <c r="B29" s="13" t="s">
        <v>1535</v>
      </c>
      <c r="C29" s="15" t="s">
        <v>485</v>
      </c>
      <c r="D29" s="15" t="s">
        <v>485</v>
      </c>
      <c r="E29" s="15" t="s">
        <v>485</v>
      </c>
      <c r="F29" s="15" t="s">
        <v>485</v>
      </c>
      <c r="G29" s="15" t="s">
        <v>485</v>
      </c>
      <c r="H29" s="15" t="s">
        <v>485</v>
      </c>
      <c r="I29" s="15" t="s">
        <v>485</v>
      </c>
      <c r="J29" s="15" t="s">
        <v>485</v>
      </c>
      <c r="K29" s="15" t="s">
        <v>485</v>
      </c>
      <c r="L29" s="15" t="s">
        <v>485</v>
      </c>
      <c r="M29" s="15" t="s">
        <v>485</v>
      </c>
      <c r="N29" s="15" t="s">
        <v>485</v>
      </c>
      <c r="O29" s="15" t="s">
        <v>485</v>
      </c>
      <c r="P29" s="15" t="s">
        <v>485</v>
      </c>
      <c r="Q29" s="15" t="s">
        <v>485</v>
      </c>
      <c r="R29" s="15" t="s">
        <v>485</v>
      </c>
      <c r="S29" s="15" t="s">
        <v>485</v>
      </c>
      <c r="T29" s="15" t="s">
        <v>485</v>
      </c>
      <c r="U29" s="15" t="s">
        <v>485</v>
      </c>
      <c r="V29" s="15" t="s">
        <v>485</v>
      </c>
      <c r="W29" s="15" t="s">
        <v>485</v>
      </c>
      <c r="X29" s="15" t="s">
        <v>485</v>
      </c>
      <c r="Y29" s="15" t="s">
        <v>485</v>
      </c>
      <c r="Z29" s="15" t="s">
        <v>485</v>
      </c>
      <c r="AA29" s="15" t="s">
        <v>485</v>
      </c>
      <c r="AB29" s="15" t="s">
        <v>485</v>
      </c>
    </row>
  </sheetData>
  <mergeCells count="9">
    <mergeCell ref="B4:F4"/>
    <mergeCell ref="H3:L3"/>
    <mergeCell ref="C8:AB8"/>
    <mergeCell ref="A10:A29"/>
    <mergeCell ref="B5:F5"/>
    <mergeCell ref="B3:F3"/>
    <mergeCell ref="H5:L5"/>
    <mergeCell ref="B10:B11"/>
    <mergeCell ref="H4:L4"/>
  </mergeCells>
  <pageMargins left="0.75" right="0.75" top="1" bottom="1" header="0.5" footer="0.5"/>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700-000000000000}">
  <dimension ref="A1:X2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24" width="12.42578125" customWidth="1"/>
  </cols>
  <sheetData>
    <row r="1" spans="1:24">
      <c r="I1" s="7" t="s">
        <v>449</v>
      </c>
    </row>
    <row r="2" spans="1:24">
      <c r="C2" s="7" t="s">
        <v>450</v>
      </c>
      <c r="H2" s="7" t="s">
        <v>451</v>
      </c>
    </row>
    <row r="3" spans="1:24" ht="36" customHeight="1">
      <c r="B3" s="19" t="s">
        <v>341</v>
      </c>
      <c r="C3" s="19"/>
      <c r="D3" s="19"/>
      <c r="E3" s="19"/>
      <c r="F3" s="19"/>
      <c r="H3" s="19" t="s">
        <v>342</v>
      </c>
      <c r="I3" s="19"/>
      <c r="J3" s="19"/>
      <c r="K3" s="19"/>
      <c r="L3" s="19"/>
    </row>
    <row r="4" spans="1:24" ht="27" customHeight="1">
      <c r="B4" s="19"/>
      <c r="C4" s="19"/>
      <c r="D4" s="19"/>
      <c r="E4" s="19"/>
      <c r="F4" s="19"/>
      <c r="H4" s="19"/>
      <c r="I4" s="19"/>
      <c r="J4" s="19"/>
      <c r="K4" s="19"/>
      <c r="L4" s="19"/>
    </row>
    <row r="5" spans="1:24" ht="36" customHeight="1">
      <c r="B5" s="19" t="s">
        <v>1552</v>
      </c>
      <c r="C5" s="19"/>
      <c r="D5" s="19"/>
      <c r="E5" s="19"/>
      <c r="F5" s="19"/>
      <c r="H5" s="19" t="s">
        <v>1553</v>
      </c>
      <c r="I5" s="19"/>
      <c r="J5" s="19"/>
      <c r="K5" s="19"/>
      <c r="L5" s="19"/>
    </row>
    <row r="6" spans="1:24" ht="0.95" customHeight="1"/>
    <row r="7" spans="1:24" ht="0.95" customHeight="1"/>
    <row r="8" spans="1:24">
      <c r="C8" s="22"/>
      <c r="D8" s="22"/>
      <c r="E8" s="22"/>
      <c r="F8" s="22"/>
      <c r="G8" s="22"/>
      <c r="H8" s="22"/>
      <c r="I8" s="22"/>
      <c r="J8" s="22"/>
      <c r="K8" s="22"/>
      <c r="L8" s="22"/>
      <c r="M8" s="22"/>
      <c r="N8" s="22"/>
      <c r="O8" s="22"/>
      <c r="P8" s="22"/>
      <c r="Q8" s="22"/>
      <c r="R8" s="22"/>
      <c r="S8" s="22"/>
      <c r="T8" s="22"/>
      <c r="U8" s="22"/>
      <c r="V8" s="22"/>
      <c r="W8" s="22"/>
      <c r="X8" s="22"/>
    </row>
    <row r="9" spans="1:24" ht="18">
      <c r="A9" s="5" t="str">
        <f>HYPERLINK("#Content!A172","&lt;&lt;Back to content")</f>
        <v>&lt;&lt;Back to content</v>
      </c>
      <c r="C9" s="8" t="s">
        <v>454</v>
      </c>
      <c r="D9" s="8" t="s">
        <v>455</v>
      </c>
      <c r="E9" s="8" t="s">
        <v>456</v>
      </c>
      <c r="F9" s="8" t="s">
        <v>457</v>
      </c>
      <c r="G9" s="8" t="s">
        <v>459</v>
      </c>
      <c r="H9" s="8" t="s">
        <v>460</v>
      </c>
      <c r="I9" s="8" t="s">
        <v>461</v>
      </c>
      <c r="J9" s="8" t="s">
        <v>462</v>
      </c>
      <c r="K9" s="8" t="s">
        <v>463</v>
      </c>
      <c r="L9" s="8" t="s">
        <v>464</v>
      </c>
      <c r="M9" s="8" t="s">
        <v>466</v>
      </c>
      <c r="N9" s="8" t="s">
        <v>467</v>
      </c>
      <c r="O9" s="8" t="s">
        <v>468</v>
      </c>
      <c r="P9" s="8" t="s">
        <v>473</v>
      </c>
      <c r="Q9" s="8" t="s">
        <v>475</v>
      </c>
      <c r="R9" s="8" t="s">
        <v>476</v>
      </c>
      <c r="S9" s="8" t="s">
        <v>477</v>
      </c>
      <c r="T9" s="8" t="s">
        <v>478</v>
      </c>
      <c r="U9" s="8" t="s">
        <v>479</v>
      </c>
      <c r="V9" s="8" t="s">
        <v>480</v>
      </c>
      <c r="W9" s="8" t="s">
        <v>481</v>
      </c>
      <c r="X9" s="8" t="s">
        <v>482</v>
      </c>
    </row>
    <row r="10" spans="1:24">
      <c r="A10" s="23"/>
      <c r="B10" s="18" t="s">
        <v>484</v>
      </c>
      <c r="C10" s="10">
        <v>73</v>
      </c>
      <c r="D10" s="10">
        <v>3</v>
      </c>
      <c r="E10" s="10">
        <v>10</v>
      </c>
      <c r="F10" s="10">
        <v>4</v>
      </c>
      <c r="G10" s="10">
        <v>3</v>
      </c>
      <c r="H10" s="10">
        <v>4</v>
      </c>
      <c r="I10" s="10">
        <v>1</v>
      </c>
      <c r="J10" s="10">
        <v>3</v>
      </c>
      <c r="K10" s="10">
        <v>4</v>
      </c>
      <c r="L10" s="10">
        <v>1</v>
      </c>
      <c r="M10" s="10">
        <v>1</v>
      </c>
      <c r="N10" s="10">
        <v>8</v>
      </c>
      <c r="O10" s="10">
        <v>1</v>
      </c>
      <c r="P10" s="10">
        <v>2</v>
      </c>
      <c r="Q10" s="10">
        <v>1</v>
      </c>
      <c r="R10" s="10">
        <v>10</v>
      </c>
      <c r="S10" s="10">
        <v>14</v>
      </c>
      <c r="T10" s="10">
        <v>1</v>
      </c>
      <c r="U10" s="10">
        <v>3</v>
      </c>
      <c r="V10" s="10">
        <v>1</v>
      </c>
      <c r="W10" s="10">
        <v>1</v>
      </c>
      <c r="X10" s="10">
        <v>1</v>
      </c>
    </row>
    <row r="11" spans="1:24">
      <c r="A11" s="22"/>
      <c r="B11" s="24"/>
      <c r="C11" s="9"/>
      <c r="D11" s="9"/>
      <c r="E11" s="9"/>
      <c r="F11" s="9"/>
      <c r="G11" s="9"/>
      <c r="H11" s="9"/>
      <c r="I11" s="9"/>
      <c r="J11" s="9"/>
      <c r="K11" s="9"/>
      <c r="L11" s="9"/>
      <c r="M11" s="9"/>
      <c r="N11" s="9"/>
      <c r="O11" s="9"/>
      <c r="P11" s="9"/>
      <c r="Q11" s="9"/>
      <c r="R11" s="9"/>
      <c r="S11" s="9"/>
      <c r="T11" s="9"/>
      <c r="U11" s="9"/>
      <c r="V11" s="9"/>
      <c r="W11" s="9"/>
      <c r="X11" s="9"/>
    </row>
    <row r="12" spans="1:24">
      <c r="A12" s="23"/>
      <c r="B12" s="11" t="s">
        <v>1524</v>
      </c>
      <c r="C12" s="12">
        <v>7</v>
      </c>
      <c r="D12" s="12">
        <v>1</v>
      </c>
      <c r="E12" s="12">
        <v>0</v>
      </c>
      <c r="F12" s="12">
        <v>0</v>
      </c>
      <c r="G12" s="12">
        <v>1</v>
      </c>
      <c r="H12" s="12">
        <v>1</v>
      </c>
      <c r="I12" s="12">
        <v>0</v>
      </c>
      <c r="J12" s="12">
        <v>0</v>
      </c>
      <c r="K12" s="12">
        <v>0</v>
      </c>
      <c r="L12" s="12">
        <v>0</v>
      </c>
      <c r="M12" s="12">
        <v>0</v>
      </c>
      <c r="N12" s="12">
        <v>1</v>
      </c>
      <c r="O12" s="12">
        <v>0</v>
      </c>
      <c r="P12" s="12">
        <v>0</v>
      </c>
      <c r="Q12" s="12">
        <v>1</v>
      </c>
      <c r="R12" s="12">
        <v>0</v>
      </c>
      <c r="S12" s="12">
        <v>0</v>
      </c>
      <c r="T12" s="12">
        <v>0</v>
      </c>
      <c r="U12" s="12">
        <v>0</v>
      </c>
      <c r="V12" s="12">
        <v>0</v>
      </c>
      <c r="W12" s="12">
        <v>0</v>
      </c>
      <c r="X12" s="12">
        <v>0</v>
      </c>
    </row>
    <row r="13" spans="1:24">
      <c r="A13" s="23"/>
      <c r="B13" s="13" t="s">
        <v>1524</v>
      </c>
      <c r="C13" s="14">
        <v>0.1</v>
      </c>
      <c r="D13" s="14">
        <v>0.41</v>
      </c>
      <c r="E13" s="15" t="s">
        <v>485</v>
      </c>
      <c r="F13" s="15" t="s">
        <v>485</v>
      </c>
      <c r="G13" s="14">
        <v>0.33</v>
      </c>
      <c r="H13" s="14">
        <v>0.36</v>
      </c>
      <c r="I13" s="14">
        <v>0.45</v>
      </c>
      <c r="J13" s="15" t="s">
        <v>485</v>
      </c>
      <c r="K13" s="15" t="s">
        <v>485</v>
      </c>
      <c r="L13" s="15" t="s">
        <v>485</v>
      </c>
      <c r="M13" s="15" t="s">
        <v>485</v>
      </c>
      <c r="N13" s="14">
        <v>0.09</v>
      </c>
      <c r="O13" s="15" t="s">
        <v>485</v>
      </c>
      <c r="P13" s="15" t="s">
        <v>485</v>
      </c>
      <c r="Q13" s="14">
        <v>1.37</v>
      </c>
      <c r="R13" s="15" t="s">
        <v>485</v>
      </c>
      <c r="S13" s="15" t="s">
        <v>485</v>
      </c>
      <c r="T13" s="15" t="s">
        <v>485</v>
      </c>
      <c r="U13" s="15" t="s">
        <v>485</v>
      </c>
      <c r="V13" s="15" t="s">
        <v>485</v>
      </c>
      <c r="W13" s="15" t="s">
        <v>485</v>
      </c>
      <c r="X13" s="15" t="s">
        <v>485</v>
      </c>
    </row>
    <row r="14" spans="1:24">
      <c r="A14" s="23"/>
      <c r="B14" s="11" t="s">
        <v>1525</v>
      </c>
      <c r="C14" s="12">
        <v>5</v>
      </c>
      <c r="D14" s="12">
        <v>0</v>
      </c>
      <c r="E14" s="12">
        <v>0</v>
      </c>
      <c r="F14" s="12">
        <v>1</v>
      </c>
      <c r="G14" s="12">
        <v>0</v>
      </c>
      <c r="H14" s="12">
        <v>0</v>
      </c>
      <c r="I14" s="12">
        <v>0</v>
      </c>
      <c r="J14" s="12">
        <v>0</v>
      </c>
      <c r="K14" s="12">
        <v>0</v>
      </c>
      <c r="L14" s="12">
        <v>0</v>
      </c>
      <c r="M14" s="12">
        <v>0</v>
      </c>
      <c r="N14" s="12">
        <v>1</v>
      </c>
      <c r="O14" s="12">
        <v>0</v>
      </c>
      <c r="P14" s="12">
        <v>0</v>
      </c>
      <c r="Q14" s="12">
        <v>0</v>
      </c>
      <c r="R14" s="12">
        <v>5</v>
      </c>
      <c r="S14" s="12">
        <v>0</v>
      </c>
      <c r="T14" s="12">
        <v>0</v>
      </c>
      <c r="U14" s="12">
        <v>1</v>
      </c>
      <c r="V14" s="12">
        <v>0</v>
      </c>
      <c r="W14" s="12">
        <v>0</v>
      </c>
      <c r="X14" s="12">
        <v>0</v>
      </c>
    </row>
    <row r="15" spans="1:24">
      <c r="A15" s="23"/>
      <c r="B15" s="13" t="s">
        <v>1525</v>
      </c>
      <c r="C15" s="14">
        <v>0.06</v>
      </c>
      <c r="D15" s="15" t="s">
        <v>485</v>
      </c>
      <c r="E15" s="15" t="s">
        <v>485</v>
      </c>
      <c r="F15" s="14">
        <v>0.25</v>
      </c>
      <c r="G15" s="15" t="s">
        <v>485</v>
      </c>
      <c r="H15" s="15" t="s">
        <v>485</v>
      </c>
      <c r="I15" s="15" t="s">
        <v>485</v>
      </c>
      <c r="J15" s="15" t="s">
        <v>485</v>
      </c>
      <c r="K15" s="15" t="s">
        <v>485</v>
      </c>
      <c r="L15" s="15" t="s">
        <v>485</v>
      </c>
      <c r="M15" s="15" t="s">
        <v>485</v>
      </c>
      <c r="N15" s="14">
        <v>0.14000000000000001</v>
      </c>
      <c r="O15" s="15" t="s">
        <v>485</v>
      </c>
      <c r="P15" s="15" t="s">
        <v>485</v>
      </c>
      <c r="Q15" s="15" t="s">
        <v>485</v>
      </c>
      <c r="R15" s="14">
        <v>0.45</v>
      </c>
      <c r="S15" s="15" t="s">
        <v>485</v>
      </c>
      <c r="T15" s="15" t="s">
        <v>485</v>
      </c>
      <c r="U15" s="14">
        <v>0.43</v>
      </c>
      <c r="V15" s="15" t="s">
        <v>485</v>
      </c>
      <c r="W15" s="15" t="s">
        <v>485</v>
      </c>
      <c r="X15" s="15" t="s">
        <v>485</v>
      </c>
    </row>
    <row r="16" spans="1:24">
      <c r="A16" s="23"/>
      <c r="B16" s="11" t="s">
        <v>1526</v>
      </c>
      <c r="C16" s="12">
        <v>10</v>
      </c>
      <c r="D16" s="12">
        <v>0</v>
      </c>
      <c r="E16" s="12">
        <v>0</v>
      </c>
      <c r="F16" s="12">
        <v>0</v>
      </c>
      <c r="G16" s="12">
        <v>1</v>
      </c>
      <c r="H16" s="12">
        <v>1</v>
      </c>
      <c r="I16" s="12">
        <v>0</v>
      </c>
      <c r="J16" s="12">
        <v>1</v>
      </c>
      <c r="K16" s="12">
        <v>1</v>
      </c>
      <c r="L16" s="12">
        <v>0</v>
      </c>
      <c r="M16" s="12">
        <v>0</v>
      </c>
      <c r="N16" s="12">
        <v>2</v>
      </c>
      <c r="O16" s="12">
        <v>0</v>
      </c>
      <c r="P16" s="12">
        <v>1</v>
      </c>
      <c r="Q16" s="12">
        <v>0</v>
      </c>
      <c r="R16" s="12">
        <v>2</v>
      </c>
      <c r="S16" s="12">
        <v>2</v>
      </c>
      <c r="T16" s="12">
        <v>0</v>
      </c>
      <c r="U16" s="12">
        <v>0</v>
      </c>
      <c r="V16" s="12">
        <v>1</v>
      </c>
      <c r="W16" s="12">
        <v>0</v>
      </c>
      <c r="X16" s="12">
        <v>0</v>
      </c>
    </row>
    <row r="17" spans="1:24">
      <c r="A17" s="23"/>
      <c r="B17" s="13" t="s">
        <v>1526</v>
      </c>
      <c r="C17" s="14">
        <v>0.13</v>
      </c>
      <c r="D17" s="15" t="s">
        <v>485</v>
      </c>
      <c r="E17" s="15" t="s">
        <v>485</v>
      </c>
      <c r="F17" s="15" t="s">
        <v>485</v>
      </c>
      <c r="G17" s="14">
        <v>0.36</v>
      </c>
      <c r="H17" s="14">
        <v>0.27</v>
      </c>
      <c r="I17" s="15" t="s">
        <v>485</v>
      </c>
      <c r="J17" s="14">
        <v>0.35</v>
      </c>
      <c r="K17" s="14">
        <v>0.32</v>
      </c>
      <c r="L17" s="15" t="s">
        <v>485</v>
      </c>
      <c r="M17" s="15" t="s">
        <v>485</v>
      </c>
      <c r="N17" s="14">
        <v>0.21</v>
      </c>
      <c r="O17" s="15" t="s">
        <v>485</v>
      </c>
      <c r="P17" s="14">
        <v>0.45</v>
      </c>
      <c r="Q17" s="15" t="s">
        <v>485</v>
      </c>
      <c r="R17" s="14">
        <v>0.21</v>
      </c>
      <c r="S17" s="14">
        <v>0.11</v>
      </c>
      <c r="T17" s="15" t="s">
        <v>485</v>
      </c>
      <c r="U17" s="15" t="s">
        <v>485</v>
      </c>
      <c r="V17" s="14">
        <v>0.96</v>
      </c>
      <c r="W17" s="15" t="s">
        <v>485</v>
      </c>
      <c r="X17" s="15" t="s">
        <v>485</v>
      </c>
    </row>
    <row r="18" spans="1:24">
      <c r="A18" s="23"/>
      <c r="B18" s="11" t="s">
        <v>1527</v>
      </c>
      <c r="C18" s="12">
        <v>10</v>
      </c>
      <c r="D18" s="12">
        <v>0</v>
      </c>
      <c r="E18" s="12">
        <v>2</v>
      </c>
      <c r="F18" s="12">
        <v>1</v>
      </c>
      <c r="G18" s="12">
        <v>0</v>
      </c>
      <c r="H18" s="12">
        <v>0</v>
      </c>
      <c r="I18" s="12">
        <v>0</v>
      </c>
      <c r="J18" s="12">
        <v>0</v>
      </c>
      <c r="K18" s="12">
        <v>1</v>
      </c>
      <c r="L18" s="12">
        <v>0</v>
      </c>
      <c r="M18" s="12">
        <v>0</v>
      </c>
      <c r="N18" s="12">
        <v>2</v>
      </c>
      <c r="O18" s="12">
        <v>0</v>
      </c>
      <c r="P18" s="12">
        <v>1</v>
      </c>
      <c r="Q18" s="12">
        <v>0</v>
      </c>
      <c r="R18" s="12">
        <v>0</v>
      </c>
      <c r="S18" s="12">
        <v>3</v>
      </c>
      <c r="T18" s="12">
        <v>0</v>
      </c>
      <c r="U18" s="12">
        <v>1</v>
      </c>
      <c r="V18" s="12">
        <v>0</v>
      </c>
      <c r="W18" s="12">
        <v>0</v>
      </c>
      <c r="X18" s="12">
        <v>0</v>
      </c>
    </row>
    <row r="19" spans="1:24">
      <c r="A19" s="23"/>
      <c r="B19" s="13" t="s">
        <v>1527</v>
      </c>
      <c r="C19" s="14">
        <v>0.13</v>
      </c>
      <c r="D19" s="15" t="s">
        <v>485</v>
      </c>
      <c r="E19" s="14">
        <v>0.18</v>
      </c>
      <c r="F19" s="14">
        <v>0.25</v>
      </c>
      <c r="G19" s="15" t="s">
        <v>485</v>
      </c>
      <c r="H19" s="15" t="s">
        <v>485</v>
      </c>
      <c r="I19" s="15" t="s">
        <v>485</v>
      </c>
      <c r="J19" s="15" t="s">
        <v>485</v>
      </c>
      <c r="K19" s="14">
        <v>0.28000000000000003</v>
      </c>
      <c r="L19" s="15" t="s">
        <v>485</v>
      </c>
      <c r="M19" s="15" t="s">
        <v>485</v>
      </c>
      <c r="N19" s="14">
        <v>0.22</v>
      </c>
      <c r="O19" s="15" t="s">
        <v>485</v>
      </c>
      <c r="P19" s="14">
        <v>0.61</v>
      </c>
      <c r="Q19" s="15" t="s">
        <v>485</v>
      </c>
      <c r="R19" s="15" t="s">
        <v>485</v>
      </c>
      <c r="S19" s="14">
        <v>0.19</v>
      </c>
      <c r="T19" s="15" t="s">
        <v>485</v>
      </c>
      <c r="U19" s="14">
        <v>0.36</v>
      </c>
      <c r="V19" s="15" t="s">
        <v>485</v>
      </c>
      <c r="W19" s="15" t="s">
        <v>485</v>
      </c>
      <c r="X19" s="15" t="s">
        <v>485</v>
      </c>
    </row>
    <row r="20" spans="1:24">
      <c r="A20" s="23"/>
      <c r="B20" s="11" t="s">
        <v>1528</v>
      </c>
      <c r="C20" s="12">
        <v>4</v>
      </c>
      <c r="D20" s="12">
        <v>0</v>
      </c>
      <c r="E20" s="12">
        <v>0</v>
      </c>
      <c r="F20" s="12">
        <v>0</v>
      </c>
      <c r="G20" s="12">
        <v>0</v>
      </c>
      <c r="H20" s="12">
        <v>0</v>
      </c>
      <c r="I20" s="12">
        <v>0</v>
      </c>
      <c r="J20" s="12">
        <v>0</v>
      </c>
      <c r="K20" s="12">
        <v>2</v>
      </c>
      <c r="L20" s="12">
        <v>1</v>
      </c>
      <c r="M20" s="12">
        <v>0</v>
      </c>
      <c r="N20" s="12">
        <v>0</v>
      </c>
      <c r="O20" s="12">
        <v>0</v>
      </c>
      <c r="P20" s="12">
        <v>0</v>
      </c>
      <c r="Q20" s="12">
        <v>0</v>
      </c>
      <c r="R20" s="12">
        <v>2</v>
      </c>
      <c r="S20" s="12">
        <v>0</v>
      </c>
      <c r="T20" s="12">
        <v>1</v>
      </c>
      <c r="U20" s="12">
        <v>1</v>
      </c>
      <c r="V20" s="12">
        <v>0</v>
      </c>
      <c r="W20" s="12">
        <v>0</v>
      </c>
      <c r="X20" s="12">
        <v>1</v>
      </c>
    </row>
    <row r="21" spans="1:24">
      <c r="A21" s="23"/>
      <c r="B21" s="13" t="s">
        <v>1529</v>
      </c>
      <c r="C21" s="14">
        <v>0.05</v>
      </c>
      <c r="D21" s="15" t="s">
        <v>485</v>
      </c>
      <c r="E21" s="15" t="s">
        <v>485</v>
      </c>
      <c r="F21" s="15" t="s">
        <v>485</v>
      </c>
      <c r="G21" s="15" t="s">
        <v>485</v>
      </c>
      <c r="H21" s="15" t="s">
        <v>485</v>
      </c>
      <c r="I21" s="15" t="s">
        <v>485</v>
      </c>
      <c r="J21" s="15" t="s">
        <v>485</v>
      </c>
      <c r="K21" s="14">
        <v>0.4</v>
      </c>
      <c r="L21" s="14">
        <v>0.74</v>
      </c>
      <c r="M21" s="15" t="s">
        <v>485</v>
      </c>
      <c r="N21" s="15" t="s">
        <v>485</v>
      </c>
      <c r="O21" s="15" t="s">
        <v>485</v>
      </c>
      <c r="P21" s="15" t="s">
        <v>485</v>
      </c>
      <c r="Q21" s="15" t="s">
        <v>485</v>
      </c>
      <c r="R21" s="14">
        <v>0.19</v>
      </c>
      <c r="S21" s="15" t="s">
        <v>485</v>
      </c>
      <c r="T21" s="14">
        <v>0.83000000000000007</v>
      </c>
      <c r="U21" s="14">
        <v>0.28999999999999998</v>
      </c>
      <c r="V21" s="15" t="s">
        <v>485</v>
      </c>
      <c r="W21" s="15" t="s">
        <v>485</v>
      </c>
      <c r="X21" s="14">
        <v>1.21</v>
      </c>
    </row>
    <row r="22" spans="1:24">
      <c r="A22" s="23"/>
      <c r="B22" s="11" t="s">
        <v>1530</v>
      </c>
      <c r="C22" s="12">
        <v>6</v>
      </c>
      <c r="D22" s="12">
        <v>0</v>
      </c>
      <c r="E22" s="12">
        <v>6</v>
      </c>
      <c r="F22" s="12">
        <v>0</v>
      </c>
      <c r="G22" s="12">
        <v>0</v>
      </c>
      <c r="H22" s="12">
        <v>0</v>
      </c>
      <c r="I22" s="12">
        <v>0</v>
      </c>
      <c r="J22" s="12">
        <v>1</v>
      </c>
      <c r="K22" s="12">
        <v>0</v>
      </c>
      <c r="L22" s="12">
        <v>0</v>
      </c>
      <c r="M22" s="12">
        <v>0</v>
      </c>
      <c r="N22" s="12">
        <v>1</v>
      </c>
      <c r="O22" s="12">
        <v>0</v>
      </c>
      <c r="P22" s="12">
        <v>0</v>
      </c>
      <c r="Q22" s="12">
        <v>0</v>
      </c>
      <c r="R22" s="12">
        <v>0</v>
      </c>
      <c r="S22" s="12">
        <v>1</v>
      </c>
      <c r="T22" s="12">
        <v>0</v>
      </c>
      <c r="U22" s="12">
        <v>0</v>
      </c>
      <c r="V22" s="12">
        <v>0</v>
      </c>
      <c r="W22" s="12">
        <v>0</v>
      </c>
      <c r="X22" s="12">
        <v>0</v>
      </c>
    </row>
    <row r="23" spans="1:24">
      <c r="A23" s="23"/>
      <c r="B23" s="13" t="s">
        <v>1531</v>
      </c>
      <c r="C23" s="14">
        <v>0.08</v>
      </c>
      <c r="D23" s="15" t="s">
        <v>485</v>
      </c>
      <c r="E23" s="14">
        <v>0.63</v>
      </c>
      <c r="F23" s="15" t="s">
        <v>485</v>
      </c>
      <c r="G23" s="15" t="s">
        <v>485</v>
      </c>
      <c r="H23" s="14">
        <v>0.12</v>
      </c>
      <c r="I23" s="14">
        <v>0.44</v>
      </c>
      <c r="J23" s="14">
        <v>0.33</v>
      </c>
      <c r="K23" s="15" t="s">
        <v>485</v>
      </c>
      <c r="L23" s="15" t="s">
        <v>485</v>
      </c>
      <c r="M23" s="15" t="s">
        <v>485</v>
      </c>
      <c r="N23" s="14">
        <v>0.12</v>
      </c>
      <c r="O23" s="15" t="s">
        <v>485</v>
      </c>
      <c r="P23" s="15" t="s">
        <v>485</v>
      </c>
      <c r="Q23" s="15" t="s">
        <v>485</v>
      </c>
      <c r="R23" s="15" t="s">
        <v>485</v>
      </c>
      <c r="S23" s="14">
        <v>0.05</v>
      </c>
      <c r="T23" s="15" t="s">
        <v>485</v>
      </c>
      <c r="U23" s="15" t="s">
        <v>485</v>
      </c>
      <c r="V23" s="15" t="s">
        <v>485</v>
      </c>
      <c r="W23" s="15" t="s">
        <v>485</v>
      </c>
      <c r="X23" s="15" t="s">
        <v>485</v>
      </c>
    </row>
    <row r="24" spans="1:24">
      <c r="A24" s="23"/>
      <c r="B24" s="11" t="s">
        <v>497</v>
      </c>
      <c r="C24" s="12">
        <v>32</v>
      </c>
      <c r="D24" s="12">
        <v>2</v>
      </c>
      <c r="E24" s="12">
        <v>2</v>
      </c>
      <c r="F24" s="12">
        <v>2</v>
      </c>
      <c r="G24" s="12">
        <v>1</v>
      </c>
      <c r="H24" s="12">
        <v>1</v>
      </c>
      <c r="I24" s="12">
        <v>0</v>
      </c>
      <c r="J24" s="12">
        <v>1</v>
      </c>
      <c r="K24" s="12">
        <v>0</v>
      </c>
      <c r="L24" s="12">
        <v>0</v>
      </c>
      <c r="M24" s="12">
        <v>1</v>
      </c>
      <c r="N24" s="12">
        <v>2</v>
      </c>
      <c r="O24" s="12">
        <v>1</v>
      </c>
      <c r="P24" s="12">
        <v>0</v>
      </c>
      <c r="Q24" s="12">
        <v>0</v>
      </c>
      <c r="R24" s="12">
        <v>2</v>
      </c>
      <c r="S24" s="12">
        <v>9</v>
      </c>
      <c r="T24" s="12">
        <v>0</v>
      </c>
      <c r="U24" s="12">
        <v>0</v>
      </c>
      <c r="V24" s="12">
        <v>0</v>
      </c>
      <c r="W24" s="12">
        <v>1</v>
      </c>
      <c r="X24" s="12">
        <v>0</v>
      </c>
    </row>
    <row r="25" spans="1:24">
      <c r="A25" s="23"/>
      <c r="B25" s="13" t="s">
        <v>498</v>
      </c>
      <c r="C25" s="14">
        <v>0.45</v>
      </c>
      <c r="D25" s="14">
        <v>0.59</v>
      </c>
      <c r="E25" s="14">
        <v>0.18</v>
      </c>
      <c r="F25" s="14">
        <v>0.43</v>
      </c>
      <c r="G25" s="14">
        <v>0.28999999999999998</v>
      </c>
      <c r="H25" s="14">
        <v>0.22</v>
      </c>
      <c r="I25" s="15" t="s">
        <v>485</v>
      </c>
      <c r="J25" s="14">
        <v>0.24</v>
      </c>
      <c r="K25" s="15" t="s">
        <v>485</v>
      </c>
      <c r="L25" s="15" t="s">
        <v>485</v>
      </c>
      <c r="M25" s="14">
        <v>0.52</v>
      </c>
      <c r="N25" s="14">
        <v>0.22</v>
      </c>
      <c r="O25" s="14">
        <v>1.1000000000000001</v>
      </c>
      <c r="P25" s="15" t="s">
        <v>485</v>
      </c>
      <c r="Q25" s="15" t="s">
        <v>485</v>
      </c>
      <c r="R25" s="14">
        <v>0.15</v>
      </c>
      <c r="S25" s="14">
        <v>0.65</v>
      </c>
      <c r="T25" s="15" t="s">
        <v>485</v>
      </c>
      <c r="U25" s="15" t="s">
        <v>485</v>
      </c>
      <c r="V25" s="15" t="s">
        <v>485</v>
      </c>
      <c r="W25" s="14">
        <v>1.04</v>
      </c>
      <c r="X25" s="15" t="s">
        <v>485</v>
      </c>
    </row>
    <row r="26" spans="1:24">
      <c r="A26" s="23"/>
      <c r="B26" s="11" t="s">
        <v>1532</v>
      </c>
      <c r="C26" s="12">
        <v>104.35</v>
      </c>
      <c r="D26" s="12">
        <v>20.46</v>
      </c>
      <c r="E26" s="12">
        <v>541.08000000000004</v>
      </c>
      <c r="F26" s="12">
        <v>437</v>
      </c>
      <c r="G26" s="12">
        <v>83.34</v>
      </c>
      <c r="H26" s="12">
        <v>72.92</v>
      </c>
      <c r="I26" s="12">
        <v>5</v>
      </c>
      <c r="J26" s="12">
        <v>118.71</v>
      </c>
      <c r="K26" s="12">
        <v>661.81</v>
      </c>
      <c r="L26" s="12">
        <v>0</v>
      </c>
      <c r="M26" s="12">
        <v>0</v>
      </c>
      <c r="N26" s="12">
        <v>408.39</v>
      </c>
      <c r="O26" s="12">
        <v>0</v>
      </c>
      <c r="P26" s="12">
        <v>220.31</v>
      </c>
      <c r="Q26" s="12">
        <v>20</v>
      </c>
      <c r="R26" s="12">
        <v>110.44</v>
      </c>
      <c r="S26" s="12">
        <v>65.819999999999993</v>
      </c>
      <c r="T26" s="12">
        <v>0</v>
      </c>
      <c r="U26" s="12">
        <v>171.56</v>
      </c>
      <c r="V26" s="12">
        <v>200</v>
      </c>
      <c r="W26" s="12">
        <v>0</v>
      </c>
      <c r="X26" s="12">
        <v>0</v>
      </c>
    </row>
    <row r="27" spans="1:24">
      <c r="A27" s="23"/>
      <c r="B27" s="13" t="s">
        <v>1533</v>
      </c>
      <c r="C27" s="15" t="s">
        <v>485</v>
      </c>
      <c r="D27" s="15" t="s">
        <v>485</v>
      </c>
      <c r="E27" s="15" t="s">
        <v>485</v>
      </c>
      <c r="F27" s="15" t="s">
        <v>485</v>
      </c>
      <c r="G27" s="15" t="s">
        <v>485</v>
      </c>
      <c r="H27" s="15" t="s">
        <v>485</v>
      </c>
      <c r="I27" s="15" t="s">
        <v>485</v>
      </c>
      <c r="J27" s="15" t="s">
        <v>485</v>
      </c>
      <c r="K27" s="15" t="s">
        <v>485</v>
      </c>
      <c r="L27" s="15" t="s">
        <v>485</v>
      </c>
      <c r="M27" s="15" t="s">
        <v>485</v>
      </c>
      <c r="N27" s="15" t="s">
        <v>485</v>
      </c>
      <c r="O27" s="15" t="s">
        <v>485</v>
      </c>
      <c r="P27" s="15" t="s">
        <v>485</v>
      </c>
      <c r="Q27" s="15" t="s">
        <v>485</v>
      </c>
      <c r="R27" s="15" t="s">
        <v>485</v>
      </c>
      <c r="S27" s="15" t="s">
        <v>485</v>
      </c>
      <c r="T27" s="15" t="s">
        <v>485</v>
      </c>
      <c r="U27" s="15" t="s">
        <v>485</v>
      </c>
      <c r="V27" s="15" t="s">
        <v>485</v>
      </c>
      <c r="W27" s="15" t="s">
        <v>485</v>
      </c>
      <c r="X27" s="15" t="s">
        <v>485</v>
      </c>
    </row>
    <row r="28" spans="1:24">
      <c r="A28" s="23"/>
      <c r="B28" s="11" t="s">
        <v>1534</v>
      </c>
      <c r="C28" s="12">
        <v>0</v>
      </c>
      <c r="D28" s="12">
        <v>0</v>
      </c>
      <c r="E28" s="12">
        <v>0</v>
      </c>
      <c r="F28" s="12">
        <v>79</v>
      </c>
      <c r="G28" s="12">
        <v>0</v>
      </c>
      <c r="H28" s="12">
        <v>5</v>
      </c>
      <c r="I28" s="12">
        <v>0</v>
      </c>
      <c r="J28" s="12">
        <v>0</v>
      </c>
      <c r="K28" s="12">
        <v>0</v>
      </c>
      <c r="L28" s="12">
        <v>0</v>
      </c>
      <c r="M28" s="12">
        <v>0</v>
      </c>
      <c r="N28" s="12">
        <v>100</v>
      </c>
      <c r="O28" s="12">
        <v>0</v>
      </c>
      <c r="P28" s="12">
        <v>192</v>
      </c>
      <c r="Q28" s="12">
        <v>0</v>
      </c>
      <c r="R28" s="12">
        <v>100</v>
      </c>
      <c r="S28" s="12">
        <v>0</v>
      </c>
      <c r="T28" s="12">
        <v>0</v>
      </c>
      <c r="U28" s="12">
        <v>0</v>
      </c>
      <c r="V28" s="12">
        <v>0</v>
      </c>
      <c r="W28" s="12">
        <v>0</v>
      </c>
      <c r="X28" s="12">
        <v>0</v>
      </c>
    </row>
    <row r="29" spans="1:24">
      <c r="A29" s="23"/>
      <c r="B29" s="13" t="s">
        <v>1535</v>
      </c>
      <c r="C29" s="15" t="s">
        <v>485</v>
      </c>
      <c r="D29" s="15" t="s">
        <v>485</v>
      </c>
      <c r="E29" s="15" t="s">
        <v>485</v>
      </c>
      <c r="F29" s="15" t="s">
        <v>485</v>
      </c>
      <c r="G29" s="15" t="s">
        <v>485</v>
      </c>
      <c r="H29" s="15" t="s">
        <v>485</v>
      </c>
      <c r="I29" s="15" t="s">
        <v>485</v>
      </c>
      <c r="J29" s="15" t="s">
        <v>485</v>
      </c>
      <c r="K29" s="15" t="s">
        <v>485</v>
      </c>
      <c r="L29" s="15" t="s">
        <v>485</v>
      </c>
      <c r="M29" s="15" t="s">
        <v>485</v>
      </c>
      <c r="N29" s="15" t="s">
        <v>485</v>
      </c>
      <c r="O29" s="15" t="s">
        <v>485</v>
      </c>
      <c r="P29" s="15" t="s">
        <v>485</v>
      </c>
      <c r="Q29" s="15" t="s">
        <v>485</v>
      </c>
      <c r="R29" s="15" t="s">
        <v>485</v>
      </c>
      <c r="S29" s="15" t="s">
        <v>485</v>
      </c>
      <c r="T29" s="15" t="s">
        <v>485</v>
      </c>
      <c r="U29" s="15" t="s">
        <v>485</v>
      </c>
      <c r="V29" s="15" t="s">
        <v>485</v>
      </c>
      <c r="W29" s="15" t="s">
        <v>485</v>
      </c>
      <c r="X29" s="15" t="s">
        <v>485</v>
      </c>
    </row>
  </sheetData>
  <mergeCells count="9">
    <mergeCell ref="B4:F4"/>
    <mergeCell ref="H3:L3"/>
    <mergeCell ref="A10:A29"/>
    <mergeCell ref="B5:F5"/>
    <mergeCell ref="B3:F3"/>
    <mergeCell ref="C8:X8"/>
    <mergeCell ref="H5:L5"/>
    <mergeCell ref="B10:B11"/>
    <mergeCell ref="H4:L4"/>
  </mergeCells>
  <pageMargins left="0.75" right="0.75" top="1" bottom="1" header="0.5" footer="0.5"/>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800-000000000000}">
  <dimension ref="A1:AC2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29" width="12.42578125" customWidth="1"/>
  </cols>
  <sheetData>
    <row r="1" spans="1:29">
      <c r="I1" s="7" t="s">
        <v>449</v>
      </c>
    </row>
    <row r="2" spans="1:29">
      <c r="C2" s="7" t="s">
        <v>450</v>
      </c>
      <c r="H2" s="7" t="s">
        <v>451</v>
      </c>
    </row>
    <row r="3" spans="1:29" ht="24" customHeight="1">
      <c r="B3" s="19" t="s">
        <v>343</v>
      </c>
      <c r="C3" s="19"/>
      <c r="D3" s="19"/>
      <c r="E3" s="19"/>
      <c r="F3" s="19"/>
      <c r="H3" s="19" t="s">
        <v>344</v>
      </c>
      <c r="I3" s="19"/>
      <c r="J3" s="19"/>
      <c r="K3" s="19"/>
      <c r="L3" s="19"/>
    </row>
    <row r="4" spans="1:29" ht="27" customHeight="1">
      <c r="B4" s="19"/>
      <c r="C4" s="19"/>
      <c r="D4" s="19"/>
      <c r="E4" s="19"/>
      <c r="F4" s="19"/>
      <c r="H4" s="19"/>
      <c r="I4" s="19"/>
      <c r="J4" s="19"/>
      <c r="K4" s="19"/>
      <c r="L4" s="19"/>
    </row>
    <row r="5" spans="1:29" ht="24" customHeight="1">
      <c r="B5" s="19" t="s">
        <v>1554</v>
      </c>
      <c r="C5" s="19"/>
      <c r="D5" s="19"/>
      <c r="E5" s="19"/>
      <c r="F5" s="19"/>
      <c r="H5" s="19" t="s">
        <v>1555</v>
      </c>
      <c r="I5" s="19"/>
      <c r="J5" s="19"/>
      <c r="K5" s="19"/>
      <c r="L5" s="19"/>
    </row>
    <row r="6" spans="1:29" ht="0.95" customHeight="1"/>
    <row r="7" spans="1:29" ht="0.95" customHeight="1"/>
    <row r="8" spans="1:29">
      <c r="C8" s="22"/>
      <c r="D8" s="22"/>
      <c r="E8" s="22"/>
      <c r="F8" s="22"/>
      <c r="G8" s="22"/>
      <c r="H8" s="22"/>
      <c r="I8" s="22"/>
      <c r="J8" s="22"/>
      <c r="K8" s="22"/>
      <c r="L8" s="22"/>
      <c r="M8" s="22"/>
      <c r="N8" s="22"/>
      <c r="O8" s="22"/>
      <c r="P8" s="22"/>
      <c r="Q8" s="22"/>
      <c r="R8" s="22"/>
      <c r="S8" s="22"/>
      <c r="T8" s="22"/>
      <c r="U8" s="22"/>
      <c r="V8" s="22"/>
      <c r="W8" s="22"/>
      <c r="X8" s="22"/>
      <c r="Y8" s="22"/>
      <c r="Z8" s="22"/>
      <c r="AA8" s="22"/>
      <c r="AB8" s="22"/>
      <c r="AC8" s="22"/>
    </row>
    <row r="9" spans="1:29" ht="18">
      <c r="A9" s="5" t="str">
        <f>HYPERLINK("#Content!A173","&lt;&lt;Back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466</v>
      </c>
      <c r="O9" s="8" t="s">
        <v>467</v>
      </c>
      <c r="P9" s="8" t="s">
        <v>468</v>
      </c>
      <c r="Q9" s="8" t="s">
        <v>469</v>
      </c>
      <c r="R9" s="8" t="s">
        <v>470</v>
      </c>
      <c r="S9" s="8" t="s">
        <v>471</v>
      </c>
      <c r="T9" s="8" t="s">
        <v>473</v>
      </c>
      <c r="U9" s="8" t="s">
        <v>475</v>
      </c>
      <c r="V9" s="8" t="s">
        <v>476</v>
      </c>
      <c r="W9" s="8" t="s">
        <v>477</v>
      </c>
      <c r="X9" s="8" t="s">
        <v>478</v>
      </c>
      <c r="Y9" s="8" t="s">
        <v>479</v>
      </c>
      <c r="Z9" s="8" t="s">
        <v>480</v>
      </c>
      <c r="AA9" s="8" t="s">
        <v>481</v>
      </c>
      <c r="AB9" s="8" t="s">
        <v>482</v>
      </c>
      <c r="AC9" s="8" t="s">
        <v>483</v>
      </c>
    </row>
    <row r="10" spans="1:29">
      <c r="A10" s="23"/>
      <c r="B10" s="18" t="s">
        <v>484</v>
      </c>
      <c r="C10" s="10">
        <v>492</v>
      </c>
      <c r="D10" s="10">
        <v>32</v>
      </c>
      <c r="E10" s="10">
        <v>65</v>
      </c>
      <c r="F10" s="10">
        <v>35</v>
      </c>
      <c r="G10" s="10">
        <v>6</v>
      </c>
      <c r="H10" s="10">
        <v>19</v>
      </c>
      <c r="I10" s="10">
        <v>26</v>
      </c>
      <c r="J10" s="10">
        <v>7</v>
      </c>
      <c r="K10" s="10">
        <v>11</v>
      </c>
      <c r="L10" s="10">
        <v>14</v>
      </c>
      <c r="M10" s="10">
        <v>69</v>
      </c>
      <c r="N10" s="10">
        <v>8</v>
      </c>
      <c r="O10" s="10">
        <v>44</v>
      </c>
      <c r="P10" s="10">
        <v>22</v>
      </c>
      <c r="Q10" s="10">
        <v>13</v>
      </c>
      <c r="R10" s="10">
        <v>34</v>
      </c>
      <c r="S10" s="10">
        <v>66</v>
      </c>
      <c r="T10" s="10">
        <v>34</v>
      </c>
      <c r="U10" s="10">
        <v>9</v>
      </c>
      <c r="V10" s="10">
        <v>23</v>
      </c>
      <c r="W10" s="10">
        <v>32</v>
      </c>
      <c r="X10" s="10">
        <v>5</v>
      </c>
      <c r="Y10" s="10">
        <v>30</v>
      </c>
      <c r="Z10" s="10">
        <v>8</v>
      </c>
      <c r="AA10" s="10">
        <v>41</v>
      </c>
      <c r="AB10" s="10">
        <v>6</v>
      </c>
      <c r="AC10" s="10">
        <v>1</v>
      </c>
    </row>
    <row r="11" spans="1:29">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row>
    <row r="12" spans="1:29">
      <c r="A12" s="23"/>
      <c r="B12" s="11" t="s">
        <v>1524</v>
      </c>
      <c r="C12" s="12">
        <v>126</v>
      </c>
      <c r="D12" s="12">
        <v>11</v>
      </c>
      <c r="E12" s="12">
        <v>14</v>
      </c>
      <c r="F12" s="12">
        <v>10</v>
      </c>
      <c r="G12" s="12">
        <v>0</v>
      </c>
      <c r="H12" s="12">
        <v>10</v>
      </c>
      <c r="I12" s="12">
        <v>15</v>
      </c>
      <c r="J12" s="12">
        <v>5</v>
      </c>
      <c r="K12" s="12">
        <v>3</v>
      </c>
      <c r="L12" s="12">
        <v>5</v>
      </c>
      <c r="M12" s="12">
        <v>2</v>
      </c>
      <c r="N12" s="12">
        <v>0</v>
      </c>
      <c r="O12" s="12">
        <v>5</v>
      </c>
      <c r="P12" s="12">
        <v>4</v>
      </c>
      <c r="Q12" s="12">
        <v>3</v>
      </c>
      <c r="R12" s="12">
        <v>8</v>
      </c>
      <c r="S12" s="12">
        <v>31</v>
      </c>
      <c r="T12" s="12">
        <v>9</v>
      </c>
      <c r="U12" s="12">
        <v>5</v>
      </c>
      <c r="V12" s="12">
        <v>4</v>
      </c>
      <c r="W12" s="12">
        <v>3</v>
      </c>
      <c r="X12" s="12">
        <v>0</v>
      </c>
      <c r="Y12" s="12">
        <v>7</v>
      </c>
      <c r="Z12" s="12">
        <v>1</v>
      </c>
      <c r="AA12" s="12">
        <v>20</v>
      </c>
      <c r="AB12" s="12">
        <v>5</v>
      </c>
      <c r="AC12" s="12">
        <v>0</v>
      </c>
    </row>
    <row r="13" spans="1:29">
      <c r="A13" s="23"/>
      <c r="B13" s="13" t="s">
        <v>1524</v>
      </c>
      <c r="C13" s="14">
        <v>0.25</v>
      </c>
      <c r="D13" s="14">
        <v>0.33</v>
      </c>
      <c r="E13" s="14">
        <v>0.21</v>
      </c>
      <c r="F13" s="14">
        <v>0.27</v>
      </c>
      <c r="G13" s="14">
        <v>0.09</v>
      </c>
      <c r="H13" s="14">
        <v>0.55000000000000004</v>
      </c>
      <c r="I13" s="14">
        <v>0.59</v>
      </c>
      <c r="J13" s="14">
        <v>0.71</v>
      </c>
      <c r="K13" s="14">
        <v>0.31</v>
      </c>
      <c r="L13" s="14">
        <v>0.38</v>
      </c>
      <c r="M13" s="14">
        <v>0.02</v>
      </c>
      <c r="N13" s="15" t="s">
        <v>485</v>
      </c>
      <c r="O13" s="14">
        <v>0.11</v>
      </c>
      <c r="P13" s="14">
        <v>0.18</v>
      </c>
      <c r="Q13" s="14">
        <v>0.22</v>
      </c>
      <c r="R13" s="14">
        <v>0.22</v>
      </c>
      <c r="S13" s="14">
        <v>0.47</v>
      </c>
      <c r="T13" s="14">
        <v>0.27</v>
      </c>
      <c r="U13" s="14">
        <v>0.53</v>
      </c>
      <c r="V13" s="14">
        <v>0.16</v>
      </c>
      <c r="W13" s="14">
        <v>0.08</v>
      </c>
      <c r="X13" s="15" t="s">
        <v>485</v>
      </c>
      <c r="Y13" s="14">
        <v>0.22</v>
      </c>
      <c r="Z13" s="14">
        <v>0.18</v>
      </c>
      <c r="AA13" s="14">
        <v>0.48</v>
      </c>
      <c r="AB13" s="14">
        <v>0.87</v>
      </c>
      <c r="AC13" s="15" t="s">
        <v>485</v>
      </c>
    </row>
    <row r="14" spans="1:29">
      <c r="A14" s="23"/>
      <c r="B14" s="11" t="s">
        <v>1525</v>
      </c>
      <c r="C14" s="12">
        <v>33</v>
      </c>
      <c r="D14" s="12">
        <v>2</v>
      </c>
      <c r="E14" s="12">
        <v>10</v>
      </c>
      <c r="F14" s="12">
        <v>6</v>
      </c>
      <c r="G14" s="12">
        <v>1</v>
      </c>
      <c r="H14" s="12">
        <v>1</v>
      </c>
      <c r="I14" s="12">
        <v>1</v>
      </c>
      <c r="J14" s="12">
        <v>0</v>
      </c>
      <c r="K14" s="12">
        <v>0</v>
      </c>
      <c r="L14" s="12">
        <v>2</v>
      </c>
      <c r="M14" s="12">
        <v>3</v>
      </c>
      <c r="N14" s="12">
        <v>1</v>
      </c>
      <c r="O14" s="12">
        <v>9</v>
      </c>
      <c r="P14" s="12">
        <v>2</v>
      </c>
      <c r="Q14" s="12">
        <v>2</v>
      </c>
      <c r="R14" s="12">
        <v>4</v>
      </c>
      <c r="S14" s="12">
        <v>10</v>
      </c>
      <c r="T14" s="12">
        <v>2</v>
      </c>
      <c r="U14" s="12">
        <v>0</v>
      </c>
      <c r="V14" s="12">
        <v>3</v>
      </c>
      <c r="W14" s="12">
        <v>0</v>
      </c>
      <c r="X14" s="12">
        <v>0</v>
      </c>
      <c r="Y14" s="12">
        <v>1</v>
      </c>
      <c r="Z14" s="12">
        <v>0</v>
      </c>
      <c r="AA14" s="12">
        <v>7</v>
      </c>
      <c r="AB14" s="12">
        <v>0</v>
      </c>
      <c r="AC14" s="12">
        <v>1</v>
      </c>
    </row>
    <row r="15" spans="1:29">
      <c r="A15" s="23"/>
      <c r="B15" s="13" t="s">
        <v>1525</v>
      </c>
      <c r="C15" s="14">
        <v>7.0000000000000007E-2</v>
      </c>
      <c r="D15" s="14">
        <v>0.05</v>
      </c>
      <c r="E15" s="14">
        <v>0.15</v>
      </c>
      <c r="F15" s="14">
        <v>0.16</v>
      </c>
      <c r="G15" s="14">
        <v>0.22</v>
      </c>
      <c r="H15" s="14">
        <v>0.05</v>
      </c>
      <c r="I15" s="14">
        <v>0.04</v>
      </c>
      <c r="J15" s="15" t="s">
        <v>485</v>
      </c>
      <c r="K15" s="15" t="s">
        <v>485</v>
      </c>
      <c r="L15" s="14">
        <v>0.13</v>
      </c>
      <c r="M15" s="14">
        <v>0.04</v>
      </c>
      <c r="N15" s="14">
        <v>0.09</v>
      </c>
      <c r="O15" s="14">
        <v>0.2</v>
      </c>
      <c r="P15" s="14">
        <v>0.08</v>
      </c>
      <c r="Q15" s="14">
        <v>0.13</v>
      </c>
      <c r="R15" s="14">
        <v>0.11</v>
      </c>
      <c r="S15" s="14">
        <v>0.15</v>
      </c>
      <c r="T15" s="14">
        <v>0.05</v>
      </c>
      <c r="U15" s="15" t="s">
        <v>485</v>
      </c>
      <c r="V15" s="14">
        <v>0.12</v>
      </c>
      <c r="W15" s="15" t="s">
        <v>485</v>
      </c>
      <c r="X15" s="15" t="s">
        <v>485</v>
      </c>
      <c r="Y15" s="14">
        <v>0.03</v>
      </c>
      <c r="Z15" s="15" t="s">
        <v>485</v>
      </c>
      <c r="AA15" s="14">
        <v>0.17</v>
      </c>
      <c r="AB15" s="15" t="s">
        <v>485</v>
      </c>
      <c r="AC15" s="14">
        <v>0.49</v>
      </c>
    </row>
    <row r="16" spans="1:29">
      <c r="A16" s="23"/>
      <c r="B16" s="11" t="s">
        <v>1526</v>
      </c>
      <c r="C16" s="12">
        <v>28</v>
      </c>
      <c r="D16" s="12">
        <v>3</v>
      </c>
      <c r="E16" s="12">
        <v>7</v>
      </c>
      <c r="F16" s="12">
        <v>3</v>
      </c>
      <c r="G16" s="12">
        <v>0</v>
      </c>
      <c r="H16" s="12">
        <v>0</v>
      </c>
      <c r="I16" s="12">
        <v>0</v>
      </c>
      <c r="J16" s="12">
        <v>0</v>
      </c>
      <c r="K16" s="12">
        <v>2</v>
      </c>
      <c r="L16" s="12">
        <v>0</v>
      </c>
      <c r="M16" s="12">
        <v>8</v>
      </c>
      <c r="N16" s="12">
        <v>1</v>
      </c>
      <c r="O16" s="12">
        <v>6</v>
      </c>
      <c r="P16" s="12">
        <v>0</v>
      </c>
      <c r="Q16" s="12">
        <v>3</v>
      </c>
      <c r="R16" s="12">
        <v>2</v>
      </c>
      <c r="S16" s="12">
        <v>3</v>
      </c>
      <c r="T16" s="12">
        <v>4</v>
      </c>
      <c r="U16" s="12">
        <v>0</v>
      </c>
      <c r="V16" s="12">
        <v>3</v>
      </c>
      <c r="W16" s="12">
        <v>0</v>
      </c>
      <c r="X16" s="12">
        <v>0</v>
      </c>
      <c r="Y16" s="12">
        <v>6</v>
      </c>
      <c r="Z16" s="12">
        <v>1</v>
      </c>
      <c r="AA16" s="12">
        <v>2</v>
      </c>
      <c r="AB16" s="12">
        <v>0</v>
      </c>
      <c r="AC16" s="12">
        <v>0</v>
      </c>
    </row>
    <row r="17" spans="1:29">
      <c r="A17" s="23"/>
      <c r="B17" s="13" t="s">
        <v>1526</v>
      </c>
      <c r="C17" s="14">
        <v>0.06</v>
      </c>
      <c r="D17" s="14">
        <v>0.1</v>
      </c>
      <c r="E17" s="14">
        <v>0.1</v>
      </c>
      <c r="F17" s="14">
        <v>0.09</v>
      </c>
      <c r="G17" s="15" t="s">
        <v>485</v>
      </c>
      <c r="H17" s="15" t="s">
        <v>485</v>
      </c>
      <c r="I17" s="15" t="s">
        <v>485</v>
      </c>
      <c r="J17" s="15" t="s">
        <v>485</v>
      </c>
      <c r="K17" s="14">
        <v>0.17</v>
      </c>
      <c r="L17" s="15" t="s">
        <v>485</v>
      </c>
      <c r="M17" s="14">
        <v>0.11</v>
      </c>
      <c r="N17" s="14">
        <v>0.1</v>
      </c>
      <c r="O17" s="14">
        <v>0.14000000000000001</v>
      </c>
      <c r="P17" s="15" t="s">
        <v>485</v>
      </c>
      <c r="Q17" s="14">
        <v>0.26</v>
      </c>
      <c r="R17" s="14">
        <v>0.05</v>
      </c>
      <c r="S17" s="14">
        <v>0.05</v>
      </c>
      <c r="T17" s="14">
        <v>0.13</v>
      </c>
      <c r="U17" s="15" t="s">
        <v>485</v>
      </c>
      <c r="V17" s="14">
        <v>0.11</v>
      </c>
      <c r="W17" s="15" t="s">
        <v>485</v>
      </c>
      <c r="X17" s="15" t="s">
        <v>485</v>
      </c>
      <c r="Y17" s="14">
        <v>0.21</v>
      </c>
      <c r="Z17" s="14">
        <v>0.19</v>
      </c>
      <c r="AA17" s="14">
        <v>0.05</v>
      </c>
      <c r="AB17" s="15" t="s">
        <v>485</v>
      </c>
      <c r="AC17" s="15" t="s">
        <v>485</v>
      </c>
    </row>
    <row r="18" spans="1:29">
      <c r="A18" s="23"/>
      <c r="B18" s="11" t="s">
        <v>1527</v>
      </c>
      <c r="C18" s="12">
        <v>87</v>
      </c>
      <c r="D18" s="12">
        <v>8</v>
      </c>
      <c r="E18" s="12">
        <v>13</v>
      </c>
      <c r="F18" s="12">
        <v>5</v>
      </c>
      <c r="G18" s="12">
        <v>3</v>
      </c>
      <c r="H18" s="12">
        <v>2</v>
      </c>
      <c r="I18" s="12">
        <v>2</v>
      </c>
      <c r="J18" s="12">
        <v>0</v>
      </c>
      <c r="K18" s="12">
        <v>1</v>
      </c>
      <c r="L18" s="12">
        <v>1</v>
      </c>
      <c r="M18" s="12">
        <v>42</v>
      </c>
      <c r="N18" s="12">
        <v>3</v>
      </c>
      <c r="O18" s="12">
        <v>10</v>
      </c>
      <c r="P18" s="12">
        <v>3</v>
      </c>
      <c r="Q18" s="12">
        <v>3</v>
      </c>
      <c r="R18" s="12">
        <v>4</v>
      </c>
      <c r="S18" s="12">
        <v>6</v>
      </c>
      <c r="T18" s="12">
        <v>1</v>
      </c>
      <c r="U18" s="12">
        <v>0</v>
      </c>
      <c r="V18" s="12">
        <v>2</v>
      </c>
      <c r="W18" s="12">
        <v>1</v>
      </c>
      <c r="X18" s="12">
        <v>0</v>
      </c>
      <c r="Y18" s="12">
        <v>8</v>
      </c>
      <c r="Z18" s="12">
        <v>0</v>
      </c>
      <c r="AA18" s="12">
        <v>4</v>
      </c>
      <c r="AB18" s="12">
        <v>0</v>
      </c>
      <c r="AC18" s="12">
        <v>0</v>
      </c>
    </row>
    <row r="19" spans="1:29">
      <c r="A19" s="23"/>
      <c r="B19" s="13" t="s">
        <v>1527</v>
      </c>
      <c r="C19" s="14">
        <v>0.17</v>
      </c>
      <c r="D19" s="14">
        <v>0.24</v>
      </c>
      <c r="E19" s="14">
        <v>0.19</v>
      </c>
      <c r="F19" s="14">
        <v>0.15</v>
      </c>
      <c r="G19" s="14">
        <v>0.54</v>
      </c>
      <c r="H19" s="14">
        <v>0.09</v>
      </c>
      <c r="I19" s="14">
        <v>7.0000000000000007E-2</v>
      </c>
      <c r="J19" s="15" t="s">
        <v>485</v>
      </c>
      <c r="K19" s="14">
        <v>0.11</v>
      </c>
      <c r="L19" s="14">
        <v>0.08</v>
      </c>
      <c r="M19" s="14">
        <v>0.6</v>
      </c>
      <c r="N19" s="14">
        <v>0.44</v>
      </c>
      <c r="O19" s="14">
        <v>0.22</v>
      </c>
      <c r="P19" s="14">
        <v>0.14000000000000001</v>
      </c>
      <c r="Q19" s="14">
        <v>0.25</v>
      </c>
      <c r="R19" s="14">
        <v>0.11</v>
      </c>
      <c r="S19" s="14">
        <v>0.09</v>
      </c>
      <c r="T19" s="14">
        <v>0.03</v>
      </c>
      <c r="U19" s="15" t="s">
        <v>485</v>
      </c>
      <c r="V19" s="14">
        <v>0.09</v>
      </c>
      <c r="W19" s="14">
        <v>0.03</v>
      </c>
      <c r="X19" s="15" t="s">
        <v>485</v>
      </c>
      <c r="Y19" s="14">
        <v>0.27</v>
      </c>
      <c r="Z19" s="15" t="s">
        <v>485</v>
      </c>
      <c r="AA19" s="14">
        <v>0.1</v>
      </c>
      <c r="AB19" s="15" t="s">
        <v>485</v>
      </c>
      <c r="AC19" s="15" t="s">
        <v>485</v>
      </c>
    </row>
    <row r="20" spans="1:29">
      <c r="A20" s="23"/>
      <c r="B20" s="11" t="s">
        <v>1528</v>
      </c>
      <c r="C20" s="12">
        <v>39</v>
      </c>
      <c r="D20" s="12">
        <v>0</v>
      </c>
      <c r="E20" s="12">
        <v>2</v>
      </c>
      <c r="F20" s="12">
        <v>3</v>
      </c>
      <c r="G20" s="12">
        <v>0</v>
      </c>
      <c r="H20" s="12">
        <v>2</v>
      </c>
      <c r="I20" s="12">
        <v>2</v>
      </c>
      <c r="J20" s="12">
        <v>0</v>
      </c>
      <c r="K20" s="12">
        <v>2</v>
      </c>
      <c r="L20" s="12">
        <v>0</v>
      </c>
      <c r="M20" s="12">
        <v>6</v>
      </c>
      <c r="N20" s="12">
        <v>1</v>
      </c>
      <c r="O20" s="12">
        <v>1</v>
      </c>
      <c r="P20" s="12">
        <v>2</v>
      </c>
      <c r="Q20" s="12">
        <v>0</v>
      </c>
      <c r="R20" s="12">
        <v>5</v>
      </c>
      <c r="S20" s="12">
        <v>3</v>
      </c>
      <c r="T20" s="12">
        <v>2</v>
      </c>
      <c r="U20" s="12">
        <v>3</v>
      </c>
      <c r="V20" s="12">
        <v>7</v>
      </c>
      <c r="W20" s="12">
        <v>2</v>
      </c>
      <c r="X20" s="12">
        <v>1</v>
      </c>
      <c r="Y20" s="12">
        <v>2</v>
      </c>
      <c r="Z20" s="12">
        <v>0</v>
      </c>
      <c r="AA20" s="12">
        <v>1</v>
      </c>
      <c r="AB20" s="12">
        <v>0</v>
      </c>
      <c r="AC20" s="12">
        <v>0</v>
      </c>
    </row>
    <row r="21" spans="1:29">
      <c r="A21" s="23"/>
      <c r="B21" s="13" t="s">
        <v>1529</v>
      </c>
      <c r="C21" s="14">
        <v>0.08</v>
      </c>
      <c r="D21" s="15" t="s">
        <v>485</v>
      </c>
      <c r="E21" s="14">
        <v>0.02</v>
      </c>
      <c r="F21" s="14">
        <v>0.1</v>
      </c>
      <c r="G21" s="15" t="s">
        <v>485</v>
      </c>
      <c r="H21" s="14">
        <v>0.09</v>
      </c>
      <c r="I21" s="14">
        <v>7.0000000000000007E-2</v>
      </c>
      <c r="J21" s="15" t="s">
        <v>485</v>
      </c>
      <c r="K21" s="14">
        <v>0.18</v>
      </c>
      <c r="L21" s="15" t="s">
        <v>485</v>
      </c>
      <c r="M21" s="14">
        <v>0.09</v>
      </c>
      <c r="N21" s="14">
        <v>0.17</v>
      </c>
      <c r="O21" s="14">
        <v>0.03</v>
      </c>
      <c r="P21" s="14">
        <v>7.0000000000000007E-2</v>
      </c>
      <c r="Q21" s="15" t="s">
        <v>485</v>
      </c>
      <c r="R21" s="14">
        <v>0.13</v>
      </c>
      <c r="S21" s="14">
        <v>0.05</v>
      </c>
      <c r="T21" s="14">
        <v>0.05</v>
      </c>
      <c r="U21" s="14">
        <v>0.34</v>
      </c>
      <c r="V21" s="14">
        <v>0.32</v>
      </c>
      <c r="W21" s="14">
        <v>0.06</v>
      </c>
      <c r="X21" s="14">
        <v>0.2</v>
      </c>
      <c r="Y21" s="14">
        <v>0.06</v>
      </c>
      <c r="Z21" s="15" t="s">
        <v>485</v>
      </c>
      <c r="AA21" s="14">
        <v>0.03</v>
      </c>
      <c r="AB21" s="15" t="s">
        <v>485</v>
      </c>
      <c r="AC21" s="15" t="s">
        <v>485</v>
      </c>
    </row>
    <row r="22" spans="1:29">
      <c r="A22" s="23"/>
      <c r="B22" s="11" t="s">
        <v>1530</v>
      </c>
      <c r="C22" s="12">
        <v>38</v>
      </c>
      <c r="D22" s="12">
        <v>1</v>
      </c>
      <c r="E22" s="12">
        <v>11</v>
      </c>
      <c r="F22" s="12">
        <v>2</v>
      </c>
      <c r="G22" s="12">
        <v>0</v>
      </c>
      <c r="H22" s="12">
        <v>2</v>
      </c>
      <c r="I22" s="12">
        <v>2</v>
      </c>
      <c r="J22" s="12">
        <v>0</v>
      </c>
      <c r="K22" s="12">
        <v>2</v>
      </c>
      <c r="L22" s="12">
        <v>1</v>
      </c>
      <c r="M22" s="12">
        <v>7</v>
      </c>
      <c r="N22" s="12">
        <v>0</v>
      </c>
      <c r="O22" s="12">
        <v>8</v>
      </c>
      <c r="P22" s="12">
        <v>0</v>
      </c>
      <c r="Q22" s="12">
        <v>1</v>
      </c>
      <c r="R22" s="12">
        <v>6</v>
      </c>
      <c r="S22" s="12">
        <v>6</v>
      </c>
      <c r="T22" s="12">
        <v>9</v>
      </c>
      <c r="U22" s="12">
        <v>0</v>
      </c>
      <c r="V22" s="12">
        <v>4</v>
      </c>
      <c r="W22" s="12">
        <v>3</v>
      </c>
      <c r="X22" s="12">
        <v>1</v>
      </c>
      <c r="Y22" s="12">
        <v>3</v>
      </c>
      <c r="Z22" s="12">
        <v>1</v>
      </c>
      <c r="AA22" s="12">
        <v>3</v>
      </c>
      <c r="AB22" s="12">
        <v>1</v>
      </c>
      <c r="AC22" s="12">
        <v>0</v>
      </c>
    </row>
    <row r="23" spans="1:29">
      <c r="A23" s="23"/>
      <c r="B23" s="13" t="s">
        <v>1531</v>
      </c>
      <c r="C23" s="14">
        <v>0.08</v>
      </c>
      <c r="D23" s="14">
        <v>0.04</v>
      </c>
      <c r="E23" s="14">
        <v>0.18</v>
      </c>
      <c r="F23" s="14">
        <v>0.06</v>
      </c>
      <c r="G23" s="15" t="s">
        <v>485</v>
      </c>
      <c r="H23" s="14">
        <v>0.09</v>
      </c>
      <c r="I23" s="14">
        <v>7.0000000000000007E-2</v>
      </c>
      <c r="J23" s="15" t="s">
        <v>485</v>
      </c>
      <c r="K23" s="14">
        <v>0.17</v>
      </c>
      <c r="L23" s="14">
        <v>7.0000000000000007E-2</v>
      </c>
      <c r="M23" s="14">
        <v>0.11</v>
      </c>
      <c r="N23" s="15" t="s">
        <v>485</v>
      </c>
      <c r="O23" s="14">
        <v>0.18</v>
      </c>
      <c r="P23" s="15" t="s">
        <v>485</v>
      </c>
      <c r="Q23" s="14">
        <v>7.0000000000000007E-2</v>
      </c>
      <c r="R23" s="14">
        <v>0.19</v>
      </c>
      <c r="S23" s="14">
        <v>0.1</v>
      </c>
      <c r="T23" s="14">
        <v>0.25</v>
      </c>
      <c r="U23" s="15" t="s">
        <v>485</v>
      </c>
      <c r="V23" s="14">
        <v>0.18</v>
      </c>
      <c r="W23" s="14">
        <v>0.09</v>
      </c>
      <c r="X23" s="14">
        <v>0.13</v>
      </c>
      <c r="Y23" s="14">
        <v>0.09</v>
      </c>
      <c r="Z23" s="14">
        <v>0.11</v>
      </c>
      <c r="AA23" s="14">
        <v>0.08</v>
      </c>
      <c r="AB23" s="14">
        <v>0.13</v>
      </c>
      <c r="AC23" s="15" t="s">
        <v>485</v>
      </c>
    </row>
    <row r="24" spans="1:29">
      <c r="A24" s="23"/>
      <c r="B24" s="11" t="s">
        <v>497</v>
      </c>
      <c r="C24" s="12">
        <v>142</v>
      </c>
      <c r="D24" s="12">
        <v>8</v>
      </c>
      <c r="E24" s="12">
        <v>9</v>
      </c>
      <c r="F24" s="12">
        <v>6</v>
      </c>
      <c r="G24" s="12">
        <v>1</v>
      </c>
      <c r="H24" s="12">
        <v>2</v>
      </c>
      <c r="I24" s="12">
        <v>4</v>
      </c>
      <c r="J24" s="12">
        <v>2</v>
      </c>
      <c r="K24" s="12">
        <v>1</v>
      </c>
      <c r="L24" s="12">
        <v>5</v>
      </c>
      <c r="M24" s="12">
        <v>2</v>
      </c>
      <c r="N24" s="12">
        <v>2</v>
      </c>
      <c r="O24" s="12">
        <v>5</v>
      </c>
      <c r="P24" s="12">
        <v>12</v>
      </c>
      <c r="Q24" s="12">
        <v>1</v>
      </c>
      <c r="R24" s="12">
        <v>6</v>
      </c>
      <c r="S24" s="12">
        <v>6</v>
      </c>
      <c r="T24" s="12">
        <v>8</v>
      </c>
      <c r="U24" s="12">
        <v>1</v>
      </c>
      <c r="V24" s="12">
        <v>1</v>
      </c>
      <c r="W24" s="12">
        <v>24</v>
      </c>
      <c r="X24" s="12">
        <v>4</v>
      </c>
      <c r="Y24" s="12">
        <v>4</v>
      </c>
      <c r="Z24" s="12">
        <v>4</v>
      </c>
      <c r="AA24" s="12">
        <v>4</v>
      </c>
      <c r="AB24" s="12">
        <v>0</v>
      </c>
      <c r="AC24" s="12">
        <v>1</v>
      </c>
    </row>
    <row r="25" spans="1:29">
      <c r="A25" s="23"/>
      <c r="B25" s="13" t="s">
        <v>498</v>
      </c>
      <c r="C25" s="14">
        <v>0.28999999999999998</v>
      </c>
      <c r="D25" s="14">
        <v>0.24</v>
      </c>
      <c r="E25" s="14">
        <v>0.15</v>
      </c>
      <c r="F25" s="14">
        <v>0.17</v>
      </c>
      <c r="G25" s="14">
        <v>0.14000000000000001</v>
      </c>
      <c r="H25" s="14">
        <v>0.13</v>
      </c>
      <c r="I25" s="14">
        <v>0.16</v>
      </c>
      <c r="J25" s="14">
        <v>0.25</v>
      </c>
      <c r="K25" s="14">
        <v>0.06</v>
      </c>
      <c r="L25" s="14">
        <v>0.34</v>
      </c>
      <c r="M25" s="14">
        <v>0.03</v>
      </c>
      <c r="N25" s="14">
        <v>0.2</v>
      </c>
      <c r="O25" s="14">
        <v>0.12</v>
      </c>
      <c r="P25" s="14">
        <v>0.53</v>
      </c>
      <c r="Q25" s="14">
        <v>7.0000000000000007E-2</v>
      </c>
      <c r="R25" s="14">
        <v>0.19</v>
      </c>
      <c r="S25" s="14">
        <v>0.09</v>
      </c>
      <c r="T25" s="14">
        <v>0.22</v>
      </c>
      <c r="U25" s="14">
        <v>0.13</v>
      </c>
      <c r="V25" s="14">
        <v>0.02</v>
      </c>
      <c r="W25" s="14">
        <v>0.74</v>
      </c>
      <c r="X25" s="14">
        <v>0.74</v>
      </c>
      <c r="Y25" s="14">
        <v>0.12</v>
      </c>
      <c r="Z25" s="14">
        <v>0.5</v>
      </c>
      <c r="AA25" s="14">
        <v>0.09</v>
      </c>
      <c r="AB25" s="15" t="s">
        <v>485</v>
      </c>
      <c r="AC25" s="14">
        <v>0.64</v>
      </c>
    </row>
    <row r="26" spans="1:29">
      <c r="A26" s="23"/>
      <c r="B26" s="11" t="s">
        <v>1532</v>
      </c>
      <c r="C26" s="12">
        <v>203.65</v>
      </c>
      <c r="D26" s="12">
        <v>197.14</v>
      </c>
      <c r="E26" s="12">
        <v>190.07</v>
      </c>
      <c r="F26" s="12">
        <v>223.81</v>
      </c>
      <c r="G26" s="12">
        <v>393.37</v>
      </c>
      <c r="H26" s="12">
        <v>261.52</v>
      </c>
      <c r="I26" s="12">
        <v>188</v>
      </c>
      <c r="J26" s="12">
        <v>16.329999999999998</v>
      </c>
      <c r="K26" s="12">
        <v>119.5</v>
      </c>
      <c r="L26" s="12">
        <v>68.88</v>
      </c>
      <c r="M26" s="12">
        <v>723</v>
      </c>
      <c r="N26" s="12">
        <v>397.08</v>
      </c>
      <c r="O26" s="12">
        <v>290.85000000000002</v>
      </c>
      <c r="P26" s="12">
        <v>108.36</v>
      </c>
      <c r="Q26" s="12">
        <v>224.13</v>
      </c>
      <c r="R26" s="12">
        <v>403.28</v>
      </c>
      <c r="S26" s="12">
        <v>140.97</v>
      </c>
      <c r="T26" s="12">
        <v>61.7</v>
      </c>
      <c r="U26" s="12">
        <v>21.08</v>
      </c>
      <c r="V26" s="12">
        <v>223.28</v>
      </c>
      <c r="W26" s="12">
        <v>11.85</v>
      </c>
      <c r="X26" s="12">
        <v>0</v>
      </c>
      <c r="Y26" s="12">
        <v>222.95</v>
      </c>
      <c r="Z26" s="12">
        <v>88.87</v>
      </c>
      <c r="AA26" s="12">
        <v>92.21</v>
      </c>
      <c r="AB26" s="12">
        <v>13.98</v>
      </c>
      <c r="AC26" s="12">
        <v>87</v>
      </c>
    </row>
    <row r="27" spans="1:29">
      <c r="A27" s="23"/>
      <c r="B27" s="13" t="s">
        <v>1533</v>
      </c>
      <c r="C27" s="15" t="s">
        <v>485</v>
      </c>
      <c r="D27" s="15" t="s">
        <v>485</v>
      </c>
      <c r="E27" s="15" t="s">
        <v>485</v>
      </c>
      <c r="F27" s="15" t="s">
        <v>485</v>
      </c>
      <c r="G27" s="15" t="s">
        <v>485</v>
      </c>
      <c r="H27" s="15" t="s">
        <v>485</v>
      </c>
      <c r="I27" s="15" t="s">
        <v>485</v>
      </c>
      <c r="J27" s="15" t="s">
        <v>485</v>
      </c>
      <c r="K27" s="15" t="s">
        <v>485</v>
      </c>
      <c r="L27" s="15" t="s">
        <v>485</v>
      </c>
      <c r="M27" s="15" t="s">
        <v>485</v>
      </c>
      <c r="N27" s="15" t="s">
        <v>485</v>
      </c>
      <c r="O27" s="15" t="s">
        <v>485</v>
      </c>
      <c r="P27" s="15" t="s">
        <v>485</v>
      </c>
      <c r="Q27" s="15" t="s">
        <v>485</v>
      </c>
      <c r="R27" s="15" t="s">
        <v>485</v>
      </c>
      <c r="S27" s="15" t="s">
        <v>485</v>
      </c>
      <c r="T27" s="15" t="s">
        <v>485</v>
      </c>
      <c r="U27" s="15" t="s">
        <v>485</v>
      </c>
      <c r="V27" s="15" t="s">
        <v>485</v>
      </c>
      <c r="W27" s="15" t="s">
        <v>485</v>
      </c>
      <c r="X27" s="15" t="s">
        <v>485</v>
      </c>
      <c r="Y27" s="15" t="s">
        <v>485</v>
      </c>
      <c r="Z27" s="15" t="s">
        <v>485</v>
      </c>
      <c r="AA27" s="15" t="s">
        <v>485</v>
      </c>
      <c r="AB27" s="15" t="s">
        <v>485</v>
      </c>
      <c r="AC27" s="15" t="s">
        <v>485</v>
      </c>
    </row>
    <row r="28" spans="1:29">
      <c r="A28" s="23"/>
      <c r="B28" s="11" t="s">
        <v>1534</v>
      </c>
      <c r="C28" s="12">
        <v>25</v>
      </c>
      <c r="D28" s="12">
        <v>40</v>
      </c>
      <c r="E28" s="12">
        <v>51</v>
      </c>
      <c r="F28" s="12">
        <v>39</v>
      </c>
      <c r="G28" s="12">
        <v>80</v>
      </c>
      <c r="H28" s="12">
        <v>20</v>
      </c>
      <c r="I28" s="12">
        <v>20</v>
      </c>
      <c r="J28" s="12">
        <v>5</v>
      </c>
      <c r="K28" s="12">
        <v>20</v>
      </c>
      <c r="L28" s="12">
        <v>5</v>
      </c>
      <c r="M28" s="12">
        <v>500</v>
      </c>
      <c r="N28" s="12">
        <v>250</v>
      </c>
      <c r="O28" s="12">
        <v>100</v>
      </c>
      <c r="P28" s="12">
        <v>0</v>
      </c>
      <c r="Q28" s="12">
        <v>100</v>
      </c>
      <c r="R28" s="12">
        <v>50</v>
      </c>
      <c r="S28" s="12">
        <v>50</v>
      </c>
      <c r="T28" s="12">
        <v>12</v>
      </c>
      <c r="U28" s="12">
        <v>10</v>
      </c>
      <c r="V28" s="12">
        <v>90</v>
      </c>
      <c r="W28" s="12">
        <v>0</v>
      </c>
      <c r="X28" s="12">
        <v>0</v>
      </c>
      <c r="Y28" s="12">
        <v>100</v>
      </c>
      <c r="Z28" s="12">
        <v>0</v>
      </c>
      <c r="AA28" s="12">
        <v>50</v>
      </c>
      <c r="AB28" s="12">
        <v>10</v>
      </c>
      <c r="AC28" s="12">
        <v>0</v>
      </c>
    </row>
    <row r="29" spans="1:29">
      <c r="A29" s="23"/>
      <c r="B29" s="13" t="s">
        <v>1535</v>
      </c>
      <c r="C29" s="15" t="s">
        <v>485</v>
      </c>
      <c r="D29" s="15" t="s">
        <v>485</v>
      </c>
      <c r="E29" s="15" t="s">
        <v>485</v>
      </c>
      <c r="F29" s="15" t="s">
        <v>485</v>
      </c>
      <c r="G29" s="15" t="s">
        <v>485</v>
      </c>
      <c r="H29" s="15" t="s">
        <v>485</v>
      </c>
      <c r="I29" s="15" t="s">
        <v>485</v>
      </c>
      <c r="J29" s="15" t="s">
        <v>485</v>
      </c>
      <c r="K29" s="15" t="s">
        <v>485</v>
      </c>
      <c r="L29" s="15" t="s">
        <v>485</v>
      </c>
      <c r="M29" s="15" t="s">
        <v>485</v>
      </c>
      <c r="N29" s="15" t="s">
        <v>485</v>
      </c>
      <c r="O29" s="15" t="s">
        <v>485</v>
      </c>
      <c r="P29" s="15" t="s">
        <v>485</v>
      </c>
      <c r="Q29" s="15" t="s">
        <v>485</v>
      </c>
      <c r="R29" s="15" t="s">
        <v>485</v>
      </c>
      <c r="S29" s="15" t="s">
        <v>485</v>
      </c>
      <c r="T29" s="15" t="s">
        <v>485</v>
      </c>
      <c r="U29" s="15" t="s">
        <v>485</v>
      </c>
      <c r="V29" s="15" t="s">
        <v>485</v>
      </c>
      <c r="W29" s="15" t="s">
        <v>485</v>
      </c>
      <c r="X29" s="15" t="s">
        <v>485</v>
      </c>
      <c r="Y29" s="15" t="s">
        <v>485</v>
      </c>
      <c r="Z29" s="15" t="s">
        <v>485</v>
      </c>
      <c r="AA29" s="15" t="s">
        <v>485</v>
      </c>
      <c r="AB29" s="15" t="s">
        <v>485</v>
      </c>
      <c r="AC29" s="15" t="s">
        <v>485</v>
      </c>
    </row>
  </sheetData>
  <mergeCells count="9">
    <mergeCell ref="B4:F4"/>
    <mergeCell ref="C8:AC8"/>
    <mergeCell ref="H3:L3"/>
    <mergeCell ref="A10:A29"/>
    <mergeCell ref="B5:F5"/>
    <mergeCell ref="B3:F3"/>
    <mergeCell ref="H5:L5"/>
    <mergeCell ref="B10:B11"/>
    <mergeCell ref="H4:L4"/>
  </mergeCells>
  <pageMargins left="0.75" right="0.75" top="1" bottom="1" header="0.5" footer="0.5"/>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900-000000000000}">
  <dimension ref="A1:AA2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27" width="12.42578125" customWidth="1"/>
  </cols>
  <sheetData>
    <row r="1" spans="1:27">
      <c r="I1" s="7" t="s">
        <v>449</v>
      </c>
    </row>
    <row r="2" spans="1:27">
      <c r="C2" s="7" t="s">
        <v>450</v>
      </c>
      <c r="H2" s="7" t="s">
        <v>451</v>
      </c>
    </row>
    <row r="3" spans="1:27" ht="24" customHeight="1">
      <c r="B3" s="19" t="s">
        <v>345</v>
      </c>
      <c r="C3" s="19"/>
      <c r="D3" s="19"/>
      <c r="E3" s="19"/>
      <c r="F3" s="19"/>
      <c r="H3" s="19" t="s">
        <v>346</v>
      </c>
      <c r="I3" s="19"/>
      <c r="J3" s="19"/>
      <c r="K3" s="19"/>
      <c r="L3" s="19"/>
    </row>
    <row r="4" spans="1:27" ht="27" customHeight="1">
      <c r="B4" s="19"/>
      <c r="C4" s="19"/>
      <c r="D4" s="19"/>
      <c r="E4" s="19"/>
      <c r="F4" s="19"/>
      <c r="H4" s="19"/>
      <c r="I4" s="19"/>
      <c r="J4" s="19"/>
      <c r="K4" s="19"/>
      <c r="L4" s="19"/>
    </row>
    <row r="5" spans="1:27" ht="24" customHeight="1">
      <c r="B5" s="19" t="s">
        <v>1556</v>
      </c>
      <c r="C5" s="19"/>
      <c r="D5" s="19"/>
      <c r="E5" s="19"/>
      <c r="F5" s="19"/>
      <c r="H5" s="19" t="s">
        <v>1557</v>
      </c>
      <c r="I5" s="19"/>
      <c r="J5" s="19"/>
      <c r="K5" s="19"/>
      <c r="L5" s="19"/>
    </row>
    <row r="6" spans="1:27" ht="0.95" customHeight="1"/>
    <row r="7" spans="1:27" ht="0.95" customHeight="1"/>
    <row r="8" spans="1:27">
      <c r="C8" s="22"/>
      <c r="D8" s="22"/>
      <c r="E8" s="22"/>
      <c r="F8" s="22"/>
      <c r="G8" s="22"/>
      <c r="H8" s="22"/>
      <c r="I8" s="22"/>
      <c r="J8" s="22"/>
      <c r="K8" s="22"/>
      <c r="L8" s="22"/>
      <c r="M8" s="22"/>
      <c r="N8" s="22"/>
      <c r="O8" s="22"/>
      <c r="P8" s="22"/>
      <c r="Q8" s="22"/>
      <c r="R8" s="22"/>
      <c r="S8" s="22"/>
      <c r="T8" s="22"/>
      <c r="U8" s="22"/>
      <c r="V8" s="22"/>
      <c r="W8" s="22"/>
      <c r="X8" s="22"/>
      <c r="Y8" s="22"/>
      <c r="Z8" s="22"/>
      <c r="AA8" s="22"/>
    </row>
    <row r="9" spans="1:27" ht="18">
      <c r="A9" s="5" t="str">
        <f>HYPERLINK("#Content!A174","&lt;&lt;Back to content")</f>
        <v>&lt;&lt;Back to content</v>
      </c>
      <c r="C9" s="8" t="s">
        <v>454</v>
      </c>
      <c r="D9" s="8" t="s">
        <v>455</v>
      </c>
      <c r="E9" s="8" t="s">
        <v>456</v>
      </c>
      <c r="F9" s="8" t="s">
        <v>457</v>
      </c>
      <c r="G9" s="8" t="s">
        <v>459</v>
      </c>
      <c r="H9" s="8" t="s">
        <v>460</v>
      </c>
      <c r="I9" s="8" t="s">
        <v>461</v>
      </c>
      <c r="J9" s="8" t="s">
        <v>462</v>
      </c>
      <c r="K9" s="8" t="s">
        <v>463</v>
      </c>
      <c r="L9" s="8" t="s">
        <v>464</v>
      </c>
      <c r="M9" s="8" t="s">
        <v>466</v>
      </c>
      <c r="N9" s="8" t="s">
        <v>467</v>
      </c>
      <c r="O9" s="8" t="s">
        <v>468</v>
      </c>
      <c r="P9" s="8" t="s">
        <v>469</v>
      </c>
      <c r="Q9" s="8" t="s">
        <v>470</v>
      </c>
      <c r="R9" s="8" t="s">
        <v>471</v>
      </c>
      <c r="S9" s="8" t="s">
        <v>472</v>
      </c>
      <c r="T9" s="8" t="s">
        <v>473</v>
      </c>
      <c r="U9" s="8" t="s">
        <v>474</v>
      </c>
      <c r="V9" s="8" t="s">
        <v>476</v>
      </c>
      <c r="W9" s="8" t="s">
        <v>477</v>
      </c>
      <c r="X9" s="8" t="s">
        <v>478</v>
      </c>
      <c r="Y9" s="8" t="s">
        <v>479</v>
      </c>
      <c r="Z9" s="8" t="s">
        <v>480</v>
      </c>
      <c r="AA9" s="8" t="s">
        <v>481</v>
      </c>
    </row>
    <row r="10" spans="1:27">
      <c r="A10" s="23"/>
      <c r="B10" s="18" t="s">
        <v>484</v>
      </c>
      <c r="C10" s="10">
        <v>119</v>
      </c>
      <c r="D10" s="10">
        <v>13</v>
      </c>
      <c r="E10" s="10">
        <v>14</v>
      </c>
      <c r="F10" s="10">
        <v>7</v>
      </c>
      <c r="G10" s="10">
        <v>9</v>
      </c>
      <c r="H10" s="10">
        <v>15</v>
      </c>
      <c r="I10" s="10">
        <v>5</v>
      </c>
      <c r="J10" s="10">
        <v>3</v>
      </c>
      <c r="K10" s="10">
        <v>6</v>
      </c>
      <c r="L10" s="10">
        <v>2</v>
      </c>
      <c r="M10" s="10">
        <v>1</v>
      </c>
      <c r="N10" s="10">
        <v>5</v>
      </c>
      <c r="O10" s="10">
        <v>2</v>
      </c>
      <c r="P10" s="10">
        <v>7</v>
      </c>
      <c r="Q10" s="10">
        <v>3</v>
      </c>
      <c r="R10" s="10">
        <v>2</v>
      </c>
      <c r="S10" s="10">
        <v>1</v>
      </c>
      <c r="T10" s="10">
        <v>1</v>
      </c>
      <c r="U10" s="10">
        <v>1</v>
      </c>
      <c r="V10" s="10">
        <v>21</v>
      </c>
      <c r="W10" s="10">
        <v>7</v>
      </c>
      <c r="X10" s="10">
        <v>1</v>
      </c>
      <c r="Y10" s="10">
        <v>6</v>
      </c>
      <c r="Z10" s="10">
        <v>1</v>
      </c>
      <c r="AA10" s="10">
        <v>4</v>
      </c>
    </row>
    <row r="11" spans="1:27">
      <c r="A11" s="22"/>
      <c r="B11" s="24"/>
      <c r="C11" s="9"/>
      <c r="D11" s="9"/>
      <c r="E11" s="9"/>
      <c r="F11" s="9"/>
      <c r="G11" s="9"/>
      <c r="H11" s="9"/>
      <c r="I11" s="9"/>
      <c r="J11" s="9"/>
      <c r="K11" s="9"/>
      <c r="L11" s="9"/>
      <c r="M11" s="9"/>
      <c r="N11" s="9"/>
      <c r="O11" s="9"/>
      <c r="P11" s="9"/>
      <c r="Q11" s="9"/>
      <c r="R11" s="9"/>
      <c r="S11" s="9"/>
      <c r="T11" s="9"/>
      <c r="U11" s="9"/>
      <c r="V11" s="9"/>
      <c r="W11" s="9"/>
      <c r="X11" s="9"/>
      <c r="Y11" s="9"/>
      <c r="Z11" s="9"/>
      <c r="AA11" s="9"/>
    </row>
    <row r="12" spans="1:27">
      <c r="A12" s="23"/>
      <c r="B12" s="11" t="s">
        <v>1524</v>
      </c>
      <c r="C12" s="12">
        <v>36</v>
      </c>
      <c r="D12" s="12">
        <v>4</v>
      </c>
      <c r="E12" s="12">
        <v>1</v>
      </c>
      <c r="F12" s="12">
        <v>4</v>
      </c>
      <c r="G12" s="12">
        <v>3</v>
      </c>
      <c r="H12" s="12">
        <v>6</v>
      </c>
      <c r="I12" s="12">
        <v>4</v>
      </c>
      <c r="J12" s="12">
        <v>2</v>
      </c>
      <c r="K12" s="12">
        <v>0</v>
      </c>
      <c r="L12" s="12">
        <v>0</v>
      </c>
      <c r="M12" s="12">
        <v>0</v>
      </c>
      <c r="N12" s="12">
        <v>1</v>
      </c>
      <c r="O12" s="12">
        <v>0</v>
      </c>
      <c r="P12" s="12">
        <v>2</v>
      </c>
      <c r="Q12" s="12">
        <v>3</v>
      </c>
      <c r="R12" s="12">
        <v>0</v>
      </c>
      <c r="S12" s="12">
        <v>0</v>
      </c>
      <c r="T12" s="12">
        <v>0</v>
      </c>
      <c r="U12" s="12">
        <v>0</v>
      </c>
      <c r="V12" s="12">
        <v>4</v>
      </c>
      <c r="W12" s="12">
        <v>1</v>
      </c>
      <c r="X12" s="12">
        <v>0</v>
      </c>
      <c r="Y12" s="12">
        <v>4</v>
      </c>
      <c r="Z12" s="12">
        <v>0</v>
      </c>
      <c r="AA12" s="12">
        <v>1</v>
      </c>
    </row>
    <row r="13" spans="1:27">
      <c r="A13" s="23"/>
      <c r="B13" s="13" t="s">
        <v>1524</v>
      </c>
      <c r="C13" s="14">
        <v>0.3</v>
      </c>
      <c r="D13" s="14">
        <v>0.28999999999999998</v>
      </c>
      <c r="E13" s="14">
        <v>0.06</v>
      </c>
      <c r="F13" s="14">
        <v>0.56000000000000005</v>
      </c>
      <c r="G13" s="14">
        <v>0.31</v>
      </c>
      <c r="H13" s="14">
        <v>0.44</v>
      </c>
      <c r="I13" s="14">
        <v>0.70000000000000007</v>
      </c>
      <c r="J13" s="14">
        <v>0.61</v>
      </c>
      <c r="K13" s="15" t="s">
        <v>485</v>
      </c>
      <c r="L13" s="15" t="s">
        <v>485</v>
      </c>
      <c r="M13" s="15" t="s">
        <v>485</v>
      </c>
      <c r="N13" s="14">
        <v>0.14000000000000001</v>
      </c>
      <c r="O13" s="15" t="s">
        <v>485</v>
      </c>
      <c r="P13" s="14">
        <v>0.31</v>
      </c>
      <c r="Q13" s="14">
        <v>1.01</v>
      </c>
      <c r="R13" s="15" t="s">
        <v>485</v>
      </c>
      <c r="S13" s="15" t="s">
        <v>485</v>
      </c>
      <c r="T13" s="15" t="s">
        <v>485</v>
      </c>
      <c r="U13" s="15" t="s">
        <v>485</v>
      </c>
      <c r="V13" s="14">
        <v>0.2</v>
      </c>
      <c r="W13" s="14">
        <v>0.13</v>
      </c>
      <c r="X13" s="15" t="s">
        <v>485</v>
      </c>
      <c r="Y13" s="14">
        <v>0.63</v>
      </c>
      <c r="Z13" s="15" t="s">
        <v>485</v>
      </c>
      <c r="AA13" s="14">
        <v>0.28999999999999998</v>
      </c>
    </row>
    <row r="14" spans="1:27">
      <c r="A14" s="23"/>
      <c r="B14" s="11" t="s">
        <v>1525</v>
      </c>
      <c r="C14" s="12">
        <v>21</v>
      </c>
      <c r="D14" s="12">
        <v>0</v>
      </c>
      <c r="E14" s="12">
        <v>3</v>
      </c>
      <c r="F14" s="12">
        <v>0</v>
      </c>
      <c r="G14" s="12">
        <v>2</v>
      </c>
      <c r="H14" s="12">
        <v>3</v>
      </c>
      <c r="I14" s="12">
        <v>1</v>
      </c>
      <c r="J14" s="12">
        <v>0</v>
      </c>
      <c r="K14" s="12">
        <v>0</v>
      </c>
      <c r="L14" s="12">
        <v>1</v>
      </c>
      <c r="M14" s="12">
        <v>1</v>
      </c>
      <c r="N14" s="12">
        <v>0</v>
      </c>
      <c r="O14" s="12">
        <v>0</v>
      </c>
      <c r="P14" s="12">
        <v>2</v>
      </c>
      <c r="Q14" s="12">
        <v>0</v>
      </c>
      <c r="R14" s="12">
        <v>0</v>
      </c>
      <c r="S14" s="12">
        <v>0</v>
      </c>
      <c r="T14" s="12">
        <v>0</v>
      </c>
      <c r="U14" s="12">
        <v>0</v>
      </c>
      <c r="V14" s="12">
        <v>6</v>
      </c>
      <c r="W14" s="12">
        <v>0</v>
      </c>
      <c r="X14" s="12">
        <v>0</v>
      </c>
      <c r="Y14" s="12">
        <v>1</v>
      </c>
      <c r="Z14" s="12">
        <v>1</v>
      </c>
      <c r="AA14" s="12">
        <v>0</v>
      </c>
    </row>
    <row r="15" spans="1:27">
      <c r="A15" s="23"/>
      <c r="B15" s="13" t="s">
        <v>1525</v>
      </c>
      <c r="C15" s="14">
        <v>0.18</v>
      </c>
      <c r="D15" s="15" t="s">
        <v>485</v>
      </c>
      <c r="E15" s="14">
        <v>0.19</v>
      </c>
      <c r="F15" s="15" t="s">
        <v>485</v>
      </c>
      <c r="G15" s="14">
        <v>0.26</v>
      </c>
      <c r="H15" s="14">
        <v>0.23</v>
      </c>
      <c r="I15" s="14">
        <v>0.18</v>
      </c>
      <c r="J15" s="15" t="s">
        <v>485</v>
      </c>
      <c r="K15" s="15" t="s">
        <v>485</v>
      </c>
      <c r="L15" s="14">
        <v>0.59</v>
      </c>
      <c r="M15" s="14">
        <v>0.91</v>
      </c>
      <c r="N15" s="15" t="s">
        <v>485</v>
      </c>
      <c r="O15" s="15" t="s">
        <v>485</v>
      </c>
      <c r="P15" s="14">
        <v>0.32</v>
      </c>
      <c r="Q15" s="15" t="s">
        <v>485</v>
      </c>
      <c r="R15" s="15" t="s">
        <v>485</v>
      </c>
      <c r="S15" s="15" t="s">
        <v>485</v>
      </c>
      <c r="T15" s="15" t="s">
        <v>485</v>
      </c>
      <c r="U15" s="15" t="s">
        <v>485</v>
      </c>
      <c r="V15" s="14">
        <v>0.3</v>
      </c>
      <c r="W15" s="15" t="s">
        <v>485</v>
      </c>
      <c r="X15" s="15" t="s">
        <v>485</v>
      </c>
      <c r="Y15" s="14">
        <v>0.19</v>
      </c>
      <c r="Z15" s="14">
        <v>0.91</v>
      </c>
      <c r="AA15" s="15" t="s">
        <v>485</v>
      </c>
    </row>
    <row r="16" spans="1:27">
      <c r="A16" s="23"/>
      <c r="B16" s="11" t="s">
        <v>1526</v>
      </c>
      <c r="C16" s="12">
        <v>9</v>
      </c>
      <c r="D16" s="12">
        <v>0</v>
      </c>
      <c r="E16" s="12">
        <v>5</v>
      </c>
      <c r="F16" s="12">
        <v>0</v>
      </c>
      <c r="G16" s="12">
        <v>0</v>
      </c>
      <c r="H16" s="12">
        <v>0</v>
      </c>
      <c r="I16" s="12">
        <v>0</v>
      </c>
      <c r="J16" s="12">
        <v>0</v>
      </c>
      <c r="K16" s="12">
        <v>0</v>
      </c>
      <c r="L16" s="12">
        <v>0</v>
      </c>
      <c r="M16" s="12">
        <v>0</v>
      </c>
      <c r="N16" s="12">
        <v>1</v>
      </c>
      <c r="O16" s="12">
        <v>0</v>
      </c>
      <c r="P16" s="12">
        <v>0</v>
      </c>
      <c r="Q16" s="12">
        <v>0</v>
      </c>
      <c r="R16" s="12">
        <v>0</v>
      </c>
      <c r="S16" s="12">
        <v>0</v>
      </c>
      <c r="T16" s="12">
        <v>1</v>
      </c>
      <c r="U16" s="12">
        <v>0</v>
      </c>
      <c r="V16" s="12">
        <v>4</v>
      </c>
      <c r="W16" s="12">
        <v>2</v>
      </c>
      <c r="X16" s="12">
        <v>0</v>
      </c>
      <c r="Y16" s="12">
        <v>0</v>
      </c>
      <c r="Z16" s="12">
        <v>0</v>
      </c>
      <c r="AA16" s="12">
        <v>0</v>
      </c>
    </row>
    <row r="17" spans="1:27">
      <c r="A17" s="23"/>
      <c r="B17" s="13" t="s">
        <v>1526</v>
      </c>
      <c r="C17" s="14">
        <v>0.08</v>
      </c>
      <c r="D17" s="15" t="s">
        <v>485</v>
      </c>
      <c r="E17" s="14">
        <v>0.33</v>
      </c>
      <c r="F17" s="15" t="s">
        <v>485</v>
      </c>
      <c r="G17" s="15" t="s">
        <v>485</v>
      </c>
      <c r="H17" s="15" t="s">
        <v>485</v>
      </c>
      <c r="I17" s="15" t="s">
        <v>485</v>
      </c>
      <c r="J17" s="15" t="s">
        <v>485</v>
      </c>
      <c r="K17" s="15" t="s">
        <v>485</v>
      </c>
      <c r="L17" s="15" t="s">
        <v>485</v>
      </c>
      <c r="M17" s="15" t="s">
        <v>485</v>
      </c>
      <c r="N17" s="14">
        <v>0.24</v>
      </c>
      <c r="O17" s="15" t="s">
        <v>485</v>
      </c>
      <c r="P17" s="15" t="s">
        <v>485</v>
      </c>
      <c r="Q17" s="15" t="s">
        <v>485</v>
      </c>
      <c r="R17" s="15" t="s">
        <v>485</v>
      </c>
      <c r="S17" s="15" t="s">
        <v>485</v>
      </c>
      <c r="T17" s="14">
        <v>1.28</v>
      </c>
      <c r="U17" s="15" t="s">
        <v>485</v>
      </c>
      <c r="V17" s="14">
        <v>0.2</v>
      </c>
      <c r="W17" s="14">
        <v>0.28999999999999998</v>
      </c>
      <c r="X17" s="15" t="s">
        <v>485</v>
      </c>
      <c r="Y17" s="15" t="s">
        <v>485</v>
      </c>
      <c r="Z17" s="15" t="s">
        <v>485</v>
      </c>
      <c r="AA17" s="15" t="s">
        <v>485</v>
      </c>
    </row>
    <row r="18" spans="1:27">
      <c r="A18" s="23"/>
      <c r="B18" s="11" t="s">
        <v>1527</v>
      </c>
      <c r="C18" s="12">
        <v>13</v>
      </c>
      <c r="D18" s="12">
        <v>2</v>
      </c>
      <c r="E18" s="12">
        <v>2</v>
      </c>
      <c r="F18" s="12">
        <v>2</v>
      </c>
      <c r="G18" s="12">
        <v>2</v>
      </c>
      <c r="H18" s="12">
        <v>2</v>
      </c>
      <c r="I18" s="12">
        <v>0</v>
      </c>
      <c r="J18" s="12">
        <v>0</v>
      </c>
      <c r="K18" s="12">
        <v>0</v>
      </c>
      <c r="L18" s="12">
        <v>1</v>
      </c>
      <c r="M18" s="12">
        <v>0</v>
      </c>
      <c r="N18" s="12">
        <v>2</v>
      </c>
      <c r="O18" s="12">
        <v>0</v>
      </c>
      <c r="P18" s="12">
        <v>2</v>
      </c>
      <c r="Q18" s="12">
        <v>0</v>
      </c>
      <c r="R18" s="12">
        <v>0</v>
      </c>
      <c r="S18" s="12">
        <v>1</v>
      </c>
      <c r="T18" s="12">
        <v>0</v>
      </c>
      <c r="U18" s="12">
        <v>0</v>
      </c>
      <c r="V18" s="12">
        <v>1</v>
      </c>
      <c r="W18" s="12">
        <v>0</v>
      </c>
      <c r="X18" s="12">
        <v>0</v>
      </c>
      <c r="Y18" s="12">
        <v>1</v>
      </c>
      <c r="Z18" s="12">
        <v>0</v>
      </c>
      <c r="AA18" s="12">
        <v>0</v>
      </c>
    </row>
    <row r="19" spans="1:27">
      <c r="A19" s="23"/>
      <c r="B19" s="13" t="s">
        <v>1527</v>
      </c>
      <c r="C19" s="14">
        <v>0.11</v>
      </c>
      <c r="D19" s="14">
        <v>0.2</v>
      </c>
      <c r="E19" s="14">
        <v>0.18</v>
      </c>
      <c r="F19" s="14">
        <v>0.31</v>
      </c>
      <c r="G19" s="14">
        <v>0.2</v>
      </c>
      <c r="H19" s="14">
        <v>0.13</v>
      </c>
      <c r="I19" s="15" t="s">
        <v>485</v>
      </c>
      <c r="J19" s="15" t="s">
        <v>485</v>
      </c>
      <c r="K19" s="15" t="s">
        <v>485</v>
      </c>
      <c r="L19" s="14">
        <v>0.6</v>
      </c>
      <c r="M19" s="15" t="s">
        <v>485</v>
      </c>
      <c r="N19" s="14">
        <v>0.38</v>
      </c>
      <c r="O19" s="15" t="s">
        <v>485</v>
      </c>
      <c r="P19" s="14">
        <v>0.33</v>
      </c>
      <c r="Q19" s="15" t="s">
        <v>485</v>
      </c>
      <c r="R19" s="15" t="s">
        <v>485</v>
      </c>
      <c r="S19" s="14">
        <v>1.24</v>
      </c>
      <c r="T19" s="15" t="s">
        <v>485</v>
      </c>
      <c r="U19" s="15" t="s">
        <v>485</v>
      </c>
      <c r="V19" s="14">
        <v>0.06</v>
      </c>
      <c r="W19" s="15" t="s">
        <v>485</v>
      </c>
      <c r="X19" s="15" t="s">
        <v>485</v>
      </c>
      <c r="Y19" s="14">
        <v>0.18</v>
      </c>
      <c r="Z19" s="15" t="s">
        <v>485</v>
      </c>
      <c r="AA19" s="15" t="s">
        <v>485</v>
      </c>
    </row>
    <row r="20" spans="1:27">
      <c r="A20" s="23"/>
      <c r="B20" s="11" t="s">
        <v>1528</v>
      </c>
      <c r="C20" s="12">
        <v>2</v>
      </c>
      <c r="D20" s="12">
        <v>0</v>
      </c>
      <c r="E20" s="12">
        <v>0</v>
      </c>
      <c r="F20" s="12">
        <v>0</v>
      </c>
      <c r="G20" s="12">
        <v>0</v>
      </c>
      <c r="H20" s="12">
        <v>0</v>
      </c>
      <c r="I20" s="12">
        <v>0</v>
      </c>
      <c r="J20" s="12">
        <v>1</v>
      </c>
      <c r="K20" s="12">
        <v>0</v>
      </c>
      <c r="L20" s="12">
        <v>0</v>
      </c>
      <c r="M20" s="12">
        <v>0</v>
      </c>
      <c r="N20" s="12">
        <v>0</v>
      </c>
      <c r="O20" s="12">
        <v>0</v>
      </c>
      <c r="P20" s="12">
        <v>0</v>
      </c>
      <c r="Q20" s="12">
        <v>0</v>
      </c>
      <c r="R20" s="12">
        <v>0</v>
      </c>
      <c r="S20" s="12">
        <v>0</v>
      </c>
      <c r="T20" s="12">
        <v>0</v>
      </c>
      <c r="U20" s="12">
        <v>1</v>
      </c>
      <c r="V20" s="12">
        <v>2</v>
      </c>
      <c r="W20" s="12">
        <v>0</v>
      </c>
      <c r="X20" s="12">
        <v>1</v>
      </c>
      <c r="Y20" s="12">
        <v>0</v>
      </c>
      <c r="Z20" s="12">
        <v>0</v>
      </c>
      <c r="AA20" s="12">
        <v>0</v>
      </c>
    </row>
    <row r="21" spans="1:27">
      <c r="A21" s="23"/>
      <c r="B21" s="13" t="s">
        <v>1529</v>
      </c>
      <c r="C21" s="14">
        <v>0.02</v>
      </c>
      <c r="D21" s="15" t="s">
        <v>485</v>
      </c>
      <c r="E21" s="15" t="s">
        <v>485</v>
      </c>
      <c r="F21" s="15" t="s">
        <v>485</v>
      </c>
      <c r="G21" s="15" t="s">
        <v>485</v>
      </c>
      <c r="H21" s="15" t="s">
        <v>485</v>
      </c>
      <c r="I21" s="15" t="s">
        <v>485</v>
      </c>
      <c r="J21" s="14">
        <v>0.32</v>
      </c>
      <c r="K21" s="15" t="s">
        <v>485</v>
      </c>
      <c r="L21" s="15" t="s">
        <v>485</v>
      </c>
      <c r="M21" s="15" t="s">
        <v>485</v>
      </c>
      <c r="N21" s="15" t="s">
        <v>485</v>
      </c>
      <c r="O21" s="15" t="s">
        <v>485</v>
      </c>
      <c r="P21" s="15" t="s">
        <v>485</v>
      </c>
      <c r="Q21" s="15" t="s">
        <v>485</v>
      </c>
      <c r="R21" s="15" t="s">
        <v>485</v>
      </c>
      <c r="S21" s="15" t="s">
        <v>485</v>
      </c>
      <c r="T21" s="15" t="s">
        <v>485</v>
      </c>
      <c r="U21" s="14">
        <v>0.81</v>
      </c>
      <c r="V21" s="14">
        <v>0.11</v>
      </c>
      <c r="W21" s="15" t="s">
        <v>485</v>
      </c>
      <c r="X21" s="14">
        <v>0.89</v>
      </c>
      <c r="Y21" s="15" t="s">
        <v>485</v>
      </c>
      <c r="Z21" s="15" t="s">
        <v>485</v>
      </c>
      <c r="AA21" s="15" t="s">
        <v>485</v>
      </c>
    </row>
    <row r="22" spans="1:27">
      <c r="A22" s="23"/>
      <c r="B22" s="11" t="s">
        <v>1530</v>
      </c>
      <c r="C22" s="12">
        <v>13</v>
      </c>
      <c r="D22" s="12">
        <v>2</v>
      </c>
      <c r="E22" s="12">
        <v>2</v>
      </c>
      <c r="F22" s="12">
        <v>0</v>
      </c>
      <c r="G22" s="12">
        <v>2</v>
      </c>
      <c r="H22" s="12">
        <v>3</v>
      </c>
      <c r="I22" s="12">
        <v>1</v>
      </c>
      <c r="J22" s="12">
        <v>0</v>
      </c>
      <c r="K22" s="12">
        <v>0</v>
      </c>
      <c r="L22" s="12">
        <v>0</v>
      </c>
      <c r="M22" s="12">
        <v>0</v>
      </c>
      <c r="N22" s="12">
        <v>0</v>
      </c>
      <c r="O22" s="12">
        <v>0</v>
      </c>
      <c r="P22" s="12">
        <v>0</v>
      </c>
      <c r="Q22" s="12">
        <v>0</v>
      </c>
      <c r="R22" s="12">
        <v>0</v>
      </c>
      <c r="S22" s="12">
        <v>0</v>
      </c>
      <c r="T22" s="12">
        <v>0</v>
      </c>
      <c r="U22" s="12">
        <v>0</v>
      </c>
      <c r="V22" s="12">
        <v>2</v>
      </c>
      <c r="W22" s="12">
        <v>0</v>
      </c>
      <c r="X22" s="12">
        <v>0</v>
      </c>
      <c r="Y22" s="12">
        <v>0</v>
      </c>
      <c r="Z22" s="12">
        <v>0</v>
      </c>
      <c r="AA22" s="12">
        <v>2</v>
      </c>
    </row>
    <row r="23" spans="1:27">
      <c r="A23" s="23"/>
      <c r="B23" s="13" t="s">
        <v>1531</v>
      </c>
      <c r="C23" s="14">
        <v>0.11</v>
      </c>
      <c r="D23" s="14">
        <v>0.15</v>
      </c>
      <c r="E23" s="14">
        <v>0.17</v>
      </c>
      <c r="F23" s="15" t="s">
        <v>485</v>
      </c>
      <c r="G23" s="14">
        <v>0.23</v>
      </c>
      <c r="H23" s="14">
        <v>0.2</v>
      </c>
      <c r="I23" s="14">
        <v>0.15</v>
      </c>
      <c r="J23" s="15" t="s">
        <v>485</v>
      </c>
      <c r="K23" s="15" t="s">
        <v>485</v>
      </c>
      <c r="L23" s="15" t="s">
        <v>485</v>
      </c>
      <c r="M23" s="15" t="s">
        <v>485</v>
      </c>
      <c r="N23" s="15" t="s">
        <v>485</v>
      </c>
      <c r="O23" s="15" t="s">
        <v>485</v>
      </c>
      <c r="P23" s="15" t="s">
        <v>485</v>
      </c>
      <c r="Q23" s="15" t="s">
        <v>485</v>
      </c>
      <c r="R23" s="15" t="s">
        <v>485</v>
      </c>
      <c r="S23" s="15" t="s">
        <v>485</v>
      </c>
      <c r="T23" s="15" t="s">
        <v>485</v>
      </c>
      <c r="U23" s="15" t="s">
        <v>485</v>
      </c>
      <c r="V23" s="14">
        <v>0.09</v>
      </c>
      <c r="W23" s="15" t="s">
        <v>485</v>
      </c>
      <c r="X23" s="15" t="s">
        <v>485</v>
      </c>
      <c r="Y23" s="15" t="s">
        <v>485</v>
      </c>
      <c r="Z23" s="15" t="s">
        <v>485</v>
      </c>
      <c r="AA23" s="14">
        <v>0.48</v>
      </c>
    </row>
    <row r="24" spans="1:27">
      <c r="A24" s="23"/>
      <c r="B24" s="11" t="s">
        <v>497</v>
      </c>
      <c r="C24" s="12">
        <v>24</v>
      </c>
      <c r="D24" s="12">
        <v>5</v>
      </c>
      <c r="E24" s="12">
        <v>1</v>
      </c>
      <c r="F24" s="12">
        <v>1</v>
      </c>
      <c r="G24" s="12">
        <v>0</v>
      </c>
      <c r="H24" s="12">
        <v>0</v>
      </c>
      <c r="I24" s="12">
        <v>0</v>
      </c>
      <c r="J24" s="12">
        <v>0</v>
      </c>
      <c r="K24" s="12">
        <v>6</v>
      </c>
      <c r="L24" s="12">
        <v>0</v>
      </c>
      <c r="M24" s="12">
        <v>1</v>
      </c>
      <c r="N24" s="12">
        <v>1</v>
      </c>
      <c r="O24" s="12">
        <v>2</v>
      </c>
      <c r="P24" s="12">
        <v>0</v>
      </c>
      <c r="Q24" s="12">
        <v>0</v>
      </c>
      <c r="R24" s="12">
        <v>2</v>
      </c>
      <c r="S24" s="12">
        <v>0</v>
      </c>
      <c r="T24" s="12">
        <v>0</v>
      </c>
      <c r="U24" s="12">
        <v>0</v>
      </c>
      <c r="V24" s="12">
        <v>1</v>
      </c>
      <c r="W24" s="12">
        <v>4</v>
      </c>
      <c r="X24" s="12">
        <v>0</v>
      </c>
      <c r="Y24" s="12">
        <v>0</v>
      </c>
      <c r="Z24" s="12">
        <v>0</v>
      </c>
      <c r="AA24" s="12">
        <v>1</v>
      </c>
    </row>
    <row r="25" spans="1:27">
      <c r="A25" s="23"/>
      <c r="B25" s="13" t="s">
        <v>498</v>
      </c>
      <c r="C25" s="14">
        <v>0.2</v>
      </c>
      <c r="D25" s="14">
        <v>0.36</v>
      </c>
      <c r="E25" s="14">
        <v>7.0000000000000007E-2</v>
      </c>
      <c r="F25" s="14">
        <v>0.12</v>
      </c>
      <c r="G25" s="15" t="s">
        <v>485</v>
      </c>
      <c r="H25" s="15" t="s">
        <v>485</v>
      </c>
      <c r="I25" s="15" t="s">
        <v>485</v>
      </c>
      <c r="J25" s="15" t="s">
        <v>485</v>
      </c>
      <c r="K25" s="14">
        <v>0.99</v>
      </c>
      <c r="L25" s="15" t="s">
        <v>485</v>
      </c>
      <c r="M25" s="14">
        <v>0.5</v>
      </c>
      <c r="N25" s="14">
        <v>0.25</v>
      </c>
      <c r="O25" s="14">
        <v>1</v>
      </c>
      <c r="P25" s="15" t="s">
        <v>485</v>
      </c>
      <c r="Q25" s="15" t="s">
        <v>485</v>
      </c>
      <c r="R25" s="14">
        <v>0.93</v>
      </c>
      <c r="S25" s="15" t="s">
        <v>485</v>
      </c>
      <c r="T25" s="15" t="s">
        <v>485</v>
      </c>
      <c r="U25" s="15" t="s">
        <v>485</v>
      </c>
      <c r="V25" s="14">
        <v>0.04</v>
      </c>
      <c r="W25" s="14">
        <v>0.56000000000000005</v>
      </c>
      <c r="X25" s="15" t="s">
        <v>485</v>
      </c>
      <c r="Y25" s="15" t="s">
        <v>485</v>
      </c>
      <c r="Z25" s="15" t="s">
        <v>485</v>
      </c>
      <c r="AA25" s="14">
        <v>0.14000000000000001</v>
      </c>
    </row>
    <row r="26" spans="1:27">
      <c r="A26" s="23"/>
      <c r="B26" s="11" t="s">
        <v>1532</v>
      </c>
      <c r="C26" s="12">
        <v>114.02</v>
      </c>
      <c r="D26" s="12">
        <v>127.39</v>
      </c>
      <c r="E26" s="12">
        <v>140.41999999999999</v>
      </c>
      <c r="F26" s="12">
        <v>541.37</v>
      </c>
      <c r="G26" s="12">
        <v>144.34</v>
      </c>
      <c r="H26" s="12">
        <v>100.64</v>
      </c>
      <c r="I26" s="12">
        <v>30.47</v>
      </c>
      <c r="J26" s="12">
        <v>8.14</v>
      </c>
      <c r="K26" s="12">
        <v>0</v>
      </c>
      <c r="L26" s="12">
        <v>200.27</v>
      </c>
      <c r="M26" s="12">
        <v>100</v>
      </c>
      <c r="N26" s="12">
        <v>547.69000000000005</v>
      </c>
      <c r="O26" s="12">
        <v>0</v>
      </c>
      <c r="P26" s="12">
        <v>210.17</v>
      </c>
      <c r="Q26" s="12">
        <v>41.76</v>
      </c>
      <c r="R26" s="12">
        <v>0</v>
      </c>
      <c r="S26" s="12">
        <v>1000</v>
      </c>
      <c r="T26" s="12">
        <v>192</v>
      </c>
      <c r="U26" s="12">
        <v>0</v>
      </c>
      <c r="V26" s="12">
        <v>103.43</v>
      </c>
      <c r="W26" s="12">
        <v>37.64</v>
      </c>
      <c r="X26" s="12">
        <v>0</v>
      </c>
      <c r="Y26" s="12">
        <v>63.24</v>
      </c>
      <c r="Z26" s="12">
        <v>100</v>
      </c>
      <c r="AA26" s="12">
        <v>33.950000000000003</v>
      </c>
    </row>
    <row r="27" spans="1:27">
      <c r="A27" s="23"/>
      <c r="B27" s="13" t="s">
        <v>1533</v>
      </c>
      <c r="C27" s="15" t="s">
        <v>485</v>
      </c>
      <c r="D27" s="15" t="s">
        <v>485</v>
      </c>
      <c r="E27" s="15" t="s">
        <v>485</v>
      </c>
      <c r="F27" s="15" t="s">
        <v>485</v>
      </c>
      <c r="G27" s="15" t="s">
        <v>485</v>
      </c>
      <c r="H27" s="15" t="s">
        <v>485</v>
      </c>
      <c r="I27" s="15" t="s">
        <v>485</v>
      </c>
      <c r="J27" s="15" t="s">
        <v>485</v>
      </c>
      <c r="K27" s="15" t="s">
        <v>485</v>
      </c>
      <c r="L27" s="15" t="s">
        <v>485</v>
      </c>
      <c r="M27" s="15" t="s">
        <v>485</v>
      </c>
      <c r="N27" s="15" t="s">
        <v>485</v>
      </c>
      <c r="O27" s="15" t="s">
        <v>485</v>
      </c>
      <c r="P27" s="15" t="s">
        <v>485</v>
      </c>
      <c r="Q27" s="15" t="s">
        <v>485</v>
      </c>
      <c r="R27" s="15" t="s">
        <v>485</v>
      </c>
      <c r="S27" s="15" t="s">
        <v>485</v>
      </c>
      <c r="T27" s="15" t="s">
        <v>485</v>
      </c>
      <c r="U27" s="15" t="s">
        <v>485</v>
      </c>
      <c r="V27" s="15" t="s">
        <v>485</v>
      </c>
      <c r="W27" s="15" t="s">
        <v>485</v>
      </c>
      <c r="X27" s="15" t="s">
        <v>485</v>
      </c>
      <c r="Y27" s="15" t="s">
        <v>485</v>
      </c>
      <c r="Z27" s="15" t="s">
        <v>485</v>
      </c>
      <c r="AA27" s="15" t="s">
        <v>485</v>
      </c>
    </row>
    <row r="28" spans="1:27">
      <c r="A28" s="23"/>
      <c r="B28" s="11" t="s">
        <v>1534</v>
      </c>
      <c r="C28" s="12">
        <v>50</v>
      </c>
      <c r="D28" s="12">
        <v>12</v>
      </c>
      <c r="E28" s="12">
        <v>51</v>
      </c>
      <c r="F28" s="12">
        <v>0</v>
      </c>
      <c r="G28" s="12">
        <v>50</v>
      </c>
      <c r="H28" s="12">
        <v>50</v>
      </c>
      <c r="I28" s="12">
        <v>20</v>
      </c>
      <c r="J28" s="12">
        <v>0</v>
      </c>
      <c r="K28" s="12">
        <v>0</v>
      </c>
      <c r="L28" s="12">
        <v>100</v>
      </c>
      <c r="M28" s="12">
        <v>0</v>
      </c>
      <c r="N28" s="12">
        <v>200</v>
      </c>
      <c r="O28" s="12">
        <v>0</v>
      </c>
      <c r="P28" s="12">
        <v>20</v>
      </c>
      <c r="Q28" s="12">
        <v>30</v>
      </c>
      <c r="R28" s="12">
        <v>0</v>
      </c>
      <c r="S28" s="12">
        <v>0</v>
      </c>
      <c r="T28" s="12">
        <v>0</v>
      </c>
      <c r="U28" s="12">
        <v>0</v>
      </c>
      <c r="V28" s="12">
        <v>100</v>
      </c>
      <c r="W28" s="12">
        <v>0</v>
      </c>
      <c r="X28" s="12">
        <v>0</v>
      </c>
      <c r="Y28" s="12">
        <v>40</v>
      </c>
      <c r="Z28" s="12">
        <v>0</v>
      </c>
      <c r="AA28" s="12">
        <v>0</v>
      </c>
    </row>
    <row r="29" spans="1:27">
      <c r="A29" s="23"/>
      <c r="B29" s="13" t="s">
        <v>1535</v>
      </c>
      <c r="C29" s="15" t="s">
        <v>485</v>
      </c>
      <c r="D29" s="15" t="s">
        <v>485</v>
      </c>
      <c r="E29" s="15" t="s">
        <v>485</v>
      </c>
      <c r="F29" s="15" t="s">
        <v>485</v>
      </c>
      <c r="G29" s="15" t="s">
        <v>485</v>
      </c>
      <c r="H29" s="15" t="s">
        <v>485</v>
      </c>
      <c r="I29" s="15" t="s">
        <v>485</v>
      </c>
      <c r="J29" s="15" t="s">
        <v>485</v>
      </c>
      <c r="K29" s="15" t="s">
        <v>485</v>
      </c>
      <c r="L29" s="15" t="s">
        <v>485</v>
      </c>
      <c r="M29" s="15" t="s">
        <v>485</v>
      </c>
      <c r="N29" s="15" t="s">
        <v>485</v>
      </c>
      <c r="O29" s="15" t="s">
        <v>485</v>
      </c>
      <c r="P29" s="15" t="s">
        <v>485</v>
      </c>
      <c r="Q29" s="15" t="s">
        <v>485</v>
      </c>
      <c r="R29" s="15" t="s">
        <v>485</v>
      </c>
      <c r="S29" s="15" t="s">
        <v>485</v>
      </c>
      <c r="T29" s="15" t="s">
        <v>485</v>
      </c>
      <c r="U29" s="15" t="s">
        <v>485</v>
      </c>
      <c r="V29" s="15" t="s">
        <v>485</v>
      </c>
      <c r="W29" s="15" t="s">
        <v>485</v>
      </c>
      <c r="X29" s="15" t="s">
        <v>485</v>
      </c>
      <c r="Y29" s="15" t="s">
        <v>485</v>
      </c>
      <c r="Z29" s="15" t="s">
        <v>485</v>
      </c>
      <c r="AA29" s="15" t="s">
        <v>485</v>
      </c>
    </row>
  </sheetData>
  <mergeCells count="9">
    <mergeCell ref="B4:F4"/>
    <mergeCell ref="H3:L3"/>
    <mergeCell ref="A10:A29"/>
    <mergeCell ref="B5:F5"/>
    <mergeCell ref="B3:F3"/>
    <mergeCell ref="C8:AA8"/>
    <mergeCell ref="H5:L5"/>
    <mergeCell ref="B10:B11"/>
    <mergeCell ref="H4:L4"/>
  </mergeCells>
  <pageMargins left="0.75" right="0.75" top="1" bottom="1" header="0.5" footer="0.5"/>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A00-000000000000}">
  <dimension ref="A1:AB2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28" width="12.42578125" customWidth="1"/>
  </cols>
  <sheetData>
    <row r="1" spans="1:28">
      <c r="I1" s="7" t="s">
        <v>449</v>
      </c>
    </row>
    <row r="2" spans="1:28">
      <c r="C2" s="7" t="s">
        <v>450</v>
      </c>
      <c r="H2" s="7" t="s">
        <v>451</v>
      </c>
    </row>
    <row r="3" spans="1:28" ht="48" customHeight="1">
      <c r="B3" s="19" t="s">
        <v>347</v>
      </c>
      <c r="C3" s="19"/>
      <c r="D3" s="19"/>
      <c r="E3" s="19"/>
      <c r="F3" s="19"/>
      <c r="H3" s="19" t="s">
        <v>348</v>
      </c>
      <c r="I3" s="19"/>
      <c r="J3" s="19"/>
      <c r="K3" s="19"/>
      <c r="L3" s="19"/>
    </row>
    <row r="4" spans="1:28" ht="27" customHeight="1">
      <c r="B4" s="19"/>
      <c r="C4" s="19"/>
      <c r="D4" s="19"/>
      <c r="E4" s="19"/>
      <c r="F4" s="19"/>
      <c r="H4" s="19"/>
      <c r="I4" s="19"/>
      <c r="J4" s="19"/>
      <c r="K4" s="19"/>
      <c r="L4" s="19"/>
    </row>
    <row r="5" spans="1:28" ht="36" customHeight="1">
      <c r="B5" s="19" t="s">
        <v>1558</v>
      </c>
      <c r="C5" s="19"/>
      <c r="D5" s="19"/>
      <c r="E5" s="19"/>
      <c r="F5" s="19"/>
      <c r="H5" s="19" t="s">
        <v>1559</v>
      </c>
      <c r="I5" s="19"/>
      <c r="J5" s="19"/>
      <c r="K5" s="19"/>
      <c r="L5" s="19"/>
    </row>
    <row r="6" spans="1:28" ht="0.95" customHeight="1"/>
    <row r="7" spans="1:28" ht="0.95" customHeight="1"/>
    <row r="8" spans="1:28">
      <c r="C8" s="22"/>
      <c r="D8" s="22"/>
      <c r="E8" s="22"/>
      <c r="F8" s="22"/>
      <c r="G8" s="22"/>
      <c r="H8" s="22"/>
      <c r="I8" s="22"/>
      <c r="J8" s="22"/>
      <c r="K8" s="22"/>
      <c r="L8" s="22"/>
      <c r="M8" s="22"/>
      <c r="N8" s="22"/>
      <c r="O8" s="22"/>
      <c r="P8" s="22"/>
      <c r="Q8" s="22"/>
      <c r="R8" s="22"/>
      <c r="S8" s="22"/>
      <c r="T8" s="22"/>
      <c r="U8" s="22"/>
      <c r="V8" s="22"/>
      <c r="W8" s="22"/>
      <c r="X8" s="22"/>
      <c r="Y8" s="22"/>
      <c r="Z8" s="22"/>
      <c r="AA8" s="22"/>
      <c r="AB8" s="22"/>
    </row>
    <row r="9" spans="1:28" ht="18">
      <c r="A9" s="5" t="str">
        <f>HYPERLINK("#Content!A175","&lt;&lt;Back to content")</f>
        <v>&lt;&lt;Back to content</v>
      </c>
      <c r="C9" s="8" t="s">
        <v>454</v>
      </c>
      <c r="D9" s="8" t="s">
        <v>455</v>
      </c>
      <c r="E9" s="8" t="s">
        <v>456</v>
      </c>
      <c r="F9" s="8" t="s">
        <v>457</v>
      </c>
      <c r="G9" s="8" t="s">
        <v>458</v>
      </c>
      <c r="H9" s="8" t="s">
        <v>459</v>
      </c>
      <c r="I9" s="8" t="s">
        <v>460</v>
      </c>
      <c r="J9" s="8" t="s">
        <v>461</v>
      </c>
      <c r="K9" s="8" t="s">
        <v>462</v>
      </c>
      <c r="L9" s="8" t="s">
        <v>464</v>
      </c>
      <c r="M9" s="8" t="s">
        <v>466</v>
      </c>
      <c r="N9" s="8" t="s">
        <v>467</v>
      </c>
      <c r="O9" s="8" t="s">
        <v>468</v>
      </c>
      <c r="P9" s="8" t="s">
        <v>471</v>
      </c>
      <c r="Q9" s="8" t="s">
        <v>472</v>
      </c>
      <c r="R9" s="8" t="s">
        <v>473</v>
      </c>
      <c r="S9" s="8" t="s">
        <v>474</v>
      </c>
      <c r="T9" s="8" t="s">
        <v>475</v>
      </c>
      <c r="U9" s="8" t="s">
        <v>476</v>
      </c>
      <c r="V9" s="8" t="s">
        <v>477</v>
      </c>
      <c r="W9" s="8" t="s">
        <v>478</v>
      </c>
      <c r="X9" s="8" t="s">
        <v>479</v>
      </c>
      <c r="Y9" s="8" t="s">
        <v>480</v>
      </c>
      <c r="Z9" s="8" t="s">
        <v>481</v>
      </c>
      <c r="AA9" s="8" t="s">
        <v>482</v>
      </c>
      <c r="AB9" s="8" t="s">
        <v>483</v>
      </c>
    </row>
    <row r="10" spans="1:28">
      <c r="A10" s="23"/>
      <c r="B10" s="18" t="s">
        <v>484</v>
      </c>
      <c r="C10" s="10">
        <v>94</v>
      </c>
      <c r="D10" s="10">
        <v>9</v>
      </c>
      <c r="E10" s="10">
        <v>6</v>
      </c>
      <c r="F10" s="10">
        <v>4</v>
      </c>
      <c r="G10" s="10">
        <v>6</v>
      </c>
      <c r="H10" s="10">
        <v>4</v>
      </c>
      <c r="I10" s="10">
        <v>6</v>
      </c>
      <c r="J10" s="10">
        <v>2</v>
      </c>
      <c r="K10" s="10">
        <v>1</v>
      </c>
      <c r="L10" s="10">
        <v>1</v>
      </c>
      <c r="M10" s="10">
        <v>1</v>
      </c>
      <c r="N10" s="10">
        <v>9</v>
      </c>
      <c r="O10" s="10">
        <v>5</v>
      </c>
      <c r="P10" s="10">
        <v>7</v>
      </c>
      <c r="Q10" s="10">
        <v>1</v>
      </c>
      <c r="R10" s="10">
        <v>8</v>
      </c>
      <c r="S10" s="10">
        <v>1</v>
      </c>
      <c r="T10" s="10">
        <v>1</v>
      </c>
      <c r="U10" s="10">
        <v>10</v>
      </c>
      <c r="V10" s="10">
        <v>8</v>
      </c>
      <c r="W10" s="10">
        <v>1</v>
      </c>
      <c r="X10" s="10">
        <v>3</v>
      </c>
      <c r="Y10" s="10">
        <v>1</v>
      </c>
      <c r="Z10" s="10">
        <v>5</v>
      </c>
      <c r="AA10" s="10">
        <v>5</v>
      </c>
      <c r="AB10" s="10">
        <v>3</v>
      </c>
    </row>
    <row r="11" spans="1:28">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row>
    <row r="12" spans="1:28">
      <c r="A12" s="23"/>
      <c r="B12" s="11" t="s">
        <v>1524</v>
      </c>
      <c r="C12" s="12">
        <v>13</v>
      </c>
      <c r="D12" s="12">
        <v>1</v>
      </c>
      <c r="E12" s="12">
        <v>2</v>
      </c>
      <c r="F12" s="12">
        <v>1</v>
      </c>
      <c r="G12" s="12">
        <v>0</v>
      </c>
      <c r="H12" s="12">
        <v>0</v>
      </c>
      <c r="I12" s="12">
        <v>1</v>
      </c>
      <c r="J12" s="12">
        <v>1</v>
      </c>
      <c r="K12" s="12">
        <v>0</v>
      </c>
      <c r="L12" s="12">
        <v>0</v>
      </c>
      <c r="M12" s="12">
        <v>0</v>
      </c>
      <c r="N12" s="12">
        <v>1</v>
      </c>
      <c r="O12" s="12">
        <v>0</v>
      </c>
      <c r="P12" s="12">
        <v>1</v>
      </c>
      <c r="Q12" s="12">
        <v>0</v>
      </c>
      <c r="R12" s="12">
        <v>3</v>
      </c>
      <c r="S12" s="12">
        <v>0</v>
      </c>
      <c r="T12" s="12">
        <v>0</v>
      </c>
      <c r="U12" s="12">
        <v>4</v>
      </c>
      <c r="V12" s="12">
        <v>0</v>
      </c>
      <c r="W12" s="12">
        <v>0</v>
      </c>
      <c r="X12" s="12">
        <v>0</v>
      </c>
      <c r="Y12" s="12">
        <v>0</v>
      </c>
      <c r="Z12" s="12">
        <v>2</v>
      </c>
      <c r="AA12" s="12">
        <v>0</v>
      </c>
      <c r="AB12" s="12">
        <v>3</v>
      </c>
    </row>
    <row r="13" spans="1:28">
      <c r="A13" s="23"/>
      <c r="B13" s="13" t="s">
        <v>1524</v>
      </c>
      <c r="C13" s="14">
        <v>0.14000000000000001</v>
      </c>
      <c r="D13" s="14">
        <v>0.09</v>
      </c>
      <c r="E13" s="14">
        <v>0.3</v>
      </c>
      <c r="F13" s="14">
        <v>0.36</v>
      </c>
      <c r="G13" s="15" t="s">
        <v>485</v>
      </c>
      <c r="H13" s="15" t="s">
        <v>485</v>
      </c>
      <c r="I13" s="14">
        <v>0.22</v>
      </c>
      <c r="J13" s="14">
        <v>0.70000000000000007</v>
      </c>
      <c r="K13" s="15" t="s">
        <v>485</v>
      </c>
      <c r="L13" s="15" t="s">
        <v>485</v>
      </c>
      <c r="M13" s="15" t="s">
        <v>485</v>
      </c>
      <c r="N13" s="14">
        <v>0.12</v>
      </c>
      <c r="O13" s="15" t="s">
        <v>485</v>
      </c>
      <c r="P13" s="14">
        <v>0.13</v>
      </c>
      <c r="Q13" s="15" t="s">
        <v>485</v>
      </c>
      <c r="R13" s="14">
        <v>0.42</v>
      </c>
      <c r="S13" s="15" t="s">
        <v>485</v>
      </c>
      <c r="T13" s="15" t="s">
        <v>485</v>
      </c>
      <c r="U13" s="14">
        <v>0.36</v>
      </c>
      <c r="V13" s="15" t="s">
        <v>485</v>
      </c>
      <c r="W13" s="15" t="s">
        <v>485</v>
      </c>
      <c r="X13" s="15" t="s">
        <v>485</v>
      </c>
      <c r="Y13" s="15" t="s">
        <v>485</v>
      </c>
      <c r="Z13" s="14">
        <v>0.44</v>
      </c>
      <c r="AA13" s="15" t="s">
        <v>485</v>
      </c>
      <c r="AB13" s="14">
        <v>1.1299999999999999</v>
      </c>
    </row>
    <row r="14" spans="1:28">
      <c r="A14" s="23"/>
      <c r="B14" s="11" t="s">
        <v>1525</v>
      </c>
      <c r="C14" s="12">
        <v>11</v>
      </c>
      <c r="D14" s="12">
        <v>0</v>
      </c>
      <c r="E14" s="12">
        <v>0</v>
      </c>
      <c r="F14" s="12">
        <v>1</v>
      </c>
      <c r="G14" s="12">
        <v>0</v>
      </c>
      <c r="H14" s="12">
        <v>2</v>
      </c>
      <c r="I14" s="12">
        <v>2</v>
      </c>
      <c r="J14" s="12">
        <v>0</v>
      </c>
      <c r="K14" s="12">
        <v>0</v>
      </c>
      <c r="L14" s="12">
        <v>0</v>
      </c>
      <c r="M14" s="12">
        <v>0</v>
      </c>
      <c r="N14" s="12">
        <v>0</v>
      </c>
      <c r="O14" s="12">
        <v>1</v>
      </c>
      <c r="P14" s="12">
        <v>2</v>
      </c>
      <c r="Q14" s="12">
        <v>0</v>
      </c>
      <c r="R14" s="12">
        <v>0</v>
      </c>
      <c r="S14" s="12">
        <v>0</v>
      </c>
      <c r="T14" s="12">
        <v>0</v>
      </c>
      <c r="U14" s="12">
        <v>2</v>
      </c>
      <c r="V14" s="12">
        <v>0</v>
      </c>
      <c r="W14" s="12">
        <v>0</v>
      </c>
      <c r="X14" s="12">
        <v>0</v>
      </c>
      <c r="Y14" s="12">
        <v>0</v>
      </c>
      <c r="Z14" s="12">
        <v>0</v>
      </c>
      <c r="AA14" s="12">
        <v>0</v>
      </c>
      <c r="AB14" s="12">
        <v>0</v>
      </c>
    </row>
    <row r="15" spans="1:28">
      <c r="A15" s="23"/>
      <c r="B15" s="13" t="s">
        <v>1525</v>
      </c>
      <c r="C15" s="14">
        <v>0.12</v>
      </c>
      <c r="D15" s="15" t="s">
        <v>485</v>
      </c>
      <c r="E15" s="15" t="s">
        <v>485</v>
      </c>
      <c r="F15" s="14">
        <v>0.24</v>
      </c>
      <c r="G15" s="15" t="s">
        <v>485</v>
      </c>
      <c r="H15" s="14">
        <v>0.46</v>
      </c>
      <c r="I15" s="14">
        <v>0.3</v>
      </c>
      <c r="J15" s="15" t="s">
        <v>485</v>
      </c>
      <c r="K15" s="15" t="s">
        <v>485</v>
      </c>
      <c r="L15" s="15" t="s">
        <v>485</v>
      </c>
      <c r="M15" s="15" t="s">
        <v>485</v>
      </c>
      <c r="N15" s="15" t="s">
        <v>485</v>
      </c>
      <c r="O15" s="14">
        <v>0.19</v>
      </c>
      <c r="P15" s="14">
        <v>0.3</v>
      </c>
      <c r="Q15" s="15" t="s">
        <v>485</v>
      </c>
      <c r="R15" s="15" t="s">
        <v>485</v>
      </c>
      <c r="S15" s="15" t="s">
        <v>485</v>
      </c>
      <c r="T15" s="15" t="s">
        <v>485</v>
      </c>
      <c r="U15" s="14">
        <v>0.16</v>
      </c>
      <c r="V15" s="15" t="s">
        <v>485</v>
      </c>
      <c r="W15" s="15" t="s">
        <v>485</v>
      </c>
      <c r="X15" s="15" t="s">
        <v>485</v>
      </c>
      <c r="Y15" s="15" t="s">
        <v>485</v>
      </c>
      <c r="Z15" s="15" t="s">
        <v>485</v>
      </c>
      <c r="AA15" s="15" t="s">
        <v>485</v>
      </c>
      <c r="AB15" s="15" t="s">
        <v>485</v>
      </c>
    </row>
    <row r="16" spans="1:28">
      <c r="A16" s="23"/>
      <c r="B16" s="11" t="s">
        <v>1526</v>
      </c>
      <c r="C16" s="12">
        <v>12</v>
      </c>
      <c r="D16" s="12">
        <v>0</v>
      </c>
      <c r="E16" s="12">
        <v>0</v>
      </c>
      <c r="F16" s="12">
        <v>0</v>
      </c>
      <c r="G16" s="12">
        <v>0</v>
      </c>
      <c r="H16" s="12">
        <v>1</v>
      </c>
      <c r="I16" s="12">
        <v>1</v>
      </c>
      <c r="J16" s="12">
        <v>0</v>
      </c>
      <c r="K16" s="12">
        <v>0</v>
      </c>
      <c r="L16" s="12">
        <v>0</v>
      </c>
      <c r="M16" s="12">
        <v>0</v>
      </c>
      <c r="N16" s="12">
        <v>1</v>
      </c>
      <c r="O16" s="12">
        <v>0</v>
      </c>
      <c r="P16" s="12">
        <v>2</v>
      </c>
      <c r="Q16" s="12">
        <v>1</v>
      </c>
      <c r="R16" s="12">
        <v>1</v>
      </c>
      <c r="S16" s="12">
        <v>0</v>
      </c>
      <c r="T16" s="12">
        <v>1</v>
      </c>
      <c r="U16" s="12">
        <v>3</v>
      </c>
      <c r="V16" s="12">
        <v>2</v>
      </c>
      <c r="W16" s="12">
        <v>0</v>
      </c>
      <c r="X16" s="12">
        <v>0</v>
      </c>
      <c r="Y16" s="12">
        <v>0</v>
      </c>
      <c r="Z16" s="12">
        <v>0</v>
      </c>
      <c r="AA16" s="12">
        <v>0</v>
      </c>
      <c r="AB16" s="12">
        <v>0</v>
      </c>
    </row>
    <row r="17" spans="1:28">
      <c r="A17" s="23"/>
      <c r="B17" s="13" t="s">
        <v>1526</v>
      </c>
      <c r="C17" s="14">
        <v>0.13</v>
      </c>
      <c r="D17" s="15" t="s">
        <v>485</v>
      </c>
      <c r="E17" s="15" t="s">
        <v>485</v>
      </c>
      <c r="F17" s="15" t="s">
        <v>485</v>
      </c>
      <c r="G17" s="15" t="s">
        <v>485</v>
      </c>
      <c r="H17" s="14">
        <v>0.25</v>
      </c>
      <c r="I17" s="14">
        <v>0.16</v>
      </c>
      <c r="J17" s="15" t="s">
        <v>485</v>
      </c>
      <c r="K17" s="15" t="s">
        <v>485</v>
      </c>
      <c r="L17" s="15" t="s">
        <v>485</v>
      </c>
      <c r="M17" s="15" t="s">
        <v>485</v>
      </c>
      <c r="N17" s="14">
        <v>0.12</v>
      </c>
      <c r="O17" s="15" t="s">
        <v>485</v>
      </c>
      <c r="P17" s="14">
        <v>0.28000000000000003</v>
      </c>
      <c r="Q17" s="14">
        <v>1.1200000000000001</v>
      </c>
      <c r="R17" s="14">
        <v>0.17</v>
      </c>
      <c r="S17" s="15" t="s">
        <v>485</v>
      </c>
      <c r="T17" s="14">
        <v>0.62</v>
      </c>
      <c r="U17" s="14">
        <v>0.3</v>
      </c>
      <c r="V17" s="14">
        <v>0.28999999999999998</v>
      </c>
      <c r="W17" s="15" t="s">
        <v>485</v>
      </c>
      <c r="X17" s="15" t="s">
        <v>485</v>
      </c>
      <c r="Y17" s="15" t="s">
        <v>485</v>
      </c>
      <c r="Z17" s="15" t="s">
        <v>485</v>
      </c>
      <c r="AA17" s="15" t="s">
        <v>485</v>
      </c>
      <c r="AB17" s="15" t="s">
        <v>485</v>
      </c>
    </row>
    <row r="18" spans="1:28">
      <c r="A18" s="23"/>
      <c r="B18" s="11" t="s">
        <v>1527</v>
      </c>
      <c r="C18" s="12">
        <v>13</v>
      </c>
      <c r="D18" s="12">
        <v>0</v>
      </c>
      <c r="E18" s="12">
        <v>1</v>
      </c>
      <c r="F18" s="12">
        <v>0</v>
      </c>
      <c r="G18" s="12">
        <v>6</v>
      </c>
      <c r="H18" s="12">
        <v>0</v>
      </c>
      <c r="I18" s="12">
        <v>0</v>
      </c>
      <c r="J18" s="12">
        <v>0</v>
      </c>
      <c r="K18" s="12">
        <v>0</v>
      </c>
      <c r="L18" s="12">
        <v>0</v>
      </c>
      <c r="M18" s="12">
        <v>1</v>
      </c>
      <c r="N18" s="12">
        <v>4</v>
      </c>
      <c r="O18" s="12">
        <v>0</v>
      </c>
      <c r="P18" s="12">
        <v>0</v>
      </c>
      <c r="Q18" s="12">
        <v>0</v>
      </c>
      <c r="R18" s="12">
        <v>3</v>
      </c>
      <c r="S18" s="12">
        <v>0</v>
      </c>
      <c r="T18" s="12">
        <v>0</v>
      </c>
      <c r="U18" s="12">
        <v>0</v>
      </c>
      <c r="V18" s="12">
        <v>2</v>
      </c>
      <c r="W18" s="12">
        <v>0</v>
      </c>
      <c r="X18" s="12">
        <v>0</v>
      </c>
      <c r="Y18" s="12">
        <v>1</v>
      </c>
      <c r="Z18" s="12">
        <v>1</v>
      </c>
      <c r="AA18" s="12">
        <v>0</v>
      </c>
      <c r="AB18" s="12">
        <v>0</v>
      </c>
    </row>
    <row r="19" spans="1:28">
      <c r="A19" s="23"/>
      <c r="B19" s="13" t="s">
        <v>1527</v>
      </c>
      <c r="C19" s="14">
        <v>0.14000000000000001</v>
      </c>
      <c r="D19" s="15" t="s">
        <v>485</v>
      </c>
      <c r="E19" s="14">
        <v>0.14000000000000001</v>
      </c>
      <c r="F19" s="15" t="s">
        <v>485</v>
      </c>
      <c r="G19" s="14">
        <v>1.05</v>
      </c>
      <c r="H19" s="15" t="s">
        <v>485</v>
      </c>
      <c r="I19" s="15" t="s">
        <v>485</v>
      </c>
      <c r="J19" s="15" t="s">
        <v>485</v>
      </c>
      <c r="K19" s="15" t="s">
        <v>485</v>
      </c>
      <c r="L19" s="15" t="s">
        <v>485</v>
      </c>
      <c r="M19" s="14">
        <v>0.67</v>
      </c>
      <c r="N19" s="14">
        <v>0.42</v>
      </c>
      <c r="O19" s="15" t="s">
        <v>485</v>
      </c>
      <c r="P19" s="15" t="s">
        <v>485</v>
      </c>
      <c r="Q19" s="15" t="s">
        <v>485</v>
      </c>
      <c r="R19" s="14">
        <v>0.39</v>
      </c>
      <c r="S19" s="15" t="s">
        <v>485</v>
      </c>
      <c r="T19" s="15" t="s">
        <v>485</v>
      </c>
      <c r="U19" s="15" t="s">
        <v>485</v>
      </c>
      <c r="V19" s="14">
        <v>0.31</v>
      </c>
      <c r="W19" s="15" t="s">
        <v>485</v>
      </c>
      <c r="X19" s="15" t="s">
        <v>485</v>
      </c>
      <c r="Y19" s="14">
        <v>0.83000000000000007</v>
      </c>
      <c r="Z19" s="14">
        <v>0.17</v>
      </c>
      <c r="AA19" s="15" t="s">
        <v>485</v>
      </c>
      <c r="AB19" s="15" t="s">
        <v>485</v>
      </c>
    </row>
    <row r="20" spans="1:28">
      <c r="A20" s="23"/>
      <c r="B20" s="11" t="s">
        <v>1528</v>
      </c>
      <c r="C20" s="12">
        <v>4</v>
      </c>
      <c r="D20" s="12">
        <v>0</v>
      </c>
      <c r="E20" s="12">
        <v>0</v>
      </c>
      <c r="F20" s="12">
        <v>0</v>
      </c>
      <c r="G20" s="12">
        <v>0</v>
      </c>
      <c r="H20" s="12">
        <v>0</v>
      </c>
      <c r="I20" s="12">
        <v>1</v>
      </c>
      <c r="J20" s="12">
        <v>1</v>
      </c>
      <c r="K20" s="12">
        <v>0</v>
      </c>
      <c r="L20" s="12">
        <v>0</v>
      </c>
      <c r="M20" s="12">
        <v>0</v>
      </c>
      <c r="N20" s="12">
        <v>1</v>
      </c>
      <c r="O20" s="12">
        <v>0</v>
      </c>
      <c r="P20" s="12">
        <v>0</v>
      </c>
      <c r="Q20" s="12">
        <v>0</v>
      </c>
      <c r="R20" s="12">
        <v>0</v>
      </c>
      <c r="S20" s="12">
        <v>0</v>
      </c>
      <c r="T20" s="12">
        <v>0</v>
      </c>
      <c r="U20" s="12">
        <v>0</v>
      </c>
      <c r="V20" s="12">
        <v>0</v>
      </c>
      <c r="W20" s="12">
        <v>0</v>
      </c>
      <c r="X20" s="12">
        <v>1</v>
      </c>
      <c r="Y20" s="12">
        <v>0</v>
      </c>
      <c r="Z20" s="12">
        <v>0</v>
      </c>
      <c r="AA20" s="12">
        <v>3</v>
      </c>
      <c r="AB20" s="12">
        <v>0</v>
      </c>
    </row>
    <row r="21" spans="1:28">
      <c r="A21" s="23"/>
      <c r="B21" s="13" t="s">
        <v>1529</v>
      </c>
      <c r="C21" s="14">
        <v>0.04</v>
      </c>
      <c r="D21" s="15" t="s">
        <v>485</v>
      </c>
      <c r="E21" s="15" t="s">
        <v>485</v>
      </c>
      <c r="F21" s="15" t="s">
        <v>485</v>
      </c>
      <c r="G21" s="15" t="s">
        <v>485</v>
      </c>
      <c r="H21" s="15" t="s">
        <v>485</v>
      </c>
      <c r="I21" s="14">
        <v>0.08</v>
      </c>
      <c r="J21" s="14">
        <v>0.28000000000000003</v>
      </c>
      <c r="K21" s="15" t="s">
        <v>485</v>
      </c>
      <c r="L21" s="15" t="s">
        <v>485</v>
      </c>
      <c r="M21" s="15" t="s">
        <v>485</v>
      </c>
      <c r="N21" s="14">
        <v>0.13</v>
      </c>
      <c r="O21" s="15" t="s">
        <v>485</v>
      </c>
      <c r="P21" s="15" t="s">
        <v>485</v>
      </c>
      <c r="Q21" s="15" t="s">
        <v>485</v>
      </c>
      <c r="R21" s="15" t="s">
        <v>485</v>
      </c>
      <c r="S21" s="15" t="s">
        <v>485</v>
      </c>
      <c r="T21" s="15" t="s">
        <v>485</v>
      </c>
      <c r="U21" s="15" t="s">
        <v>485</v>
      </c>
      <c r="V21" s="15" t="s">
        <v>485</v>
      </c>
      <c r="W21" s="15" t="s">
        <v>485</v>
      </c>
      <c r="X21" s="14">
        <v>0.25</v>
      </c>
      <c r="Y21" s="15" t="s">
        <v>485</v>
      </c>
      <c r="Z21" s="15" t="s">
        <v>485</v>
      </c>
      <c r="AA21" s="14">
        <v>0.6</v>
      </c>
      <c r="AB21" s="15" t="s">
        <v>485</v>
      </c>
    </row>
    <row r="22" spans="1:28">
      <c r="A22" s="23"/>
      <c r="B22" s="11" t="s">
        <v>1530</v>
      </c>
      <c r="C22" s="12">
        <v>2</v>
      </c>
      <c r="D22" s="12">
        <v>0</v>
      </c>
      <c r="E22" s="12">
        <v>3</v>
      </c>
      <c r="F22" s="12">
        <v>0</v>
      </c>
      <c r="G22" s="12">
        <v>0</v>
      </c>
      <c r="H22" s="12">
        <v>0</v>
      </c>
      <c r="I22" s="12">
        <v>0</v>
      </c>
      <c r="J22" s="12">
        <v>0</v>
      </c>
      <c r="K22" s="12">
        <v>0</v>
      </c>
      <c r="L22" s="12">
        <v>0</v>
      </c>
      <c r="M22" s="12">
        <v>0</v>
      </c>
      <c r="N22" s="12">
        <v>1</v>
      </c>
      <c r="O22" s="12">
        <v>0</v>
      </c>
      <c r="P22" s="12">
        <v>0</v>
      </c>
      <c r="Q22" s="12">
        <v>0</v>
      </c>
      <c r="R22" s="12">
        <v>0</v>
      </c>
      <c r="S22" s="12">
        <v>0</v>
      </c>
      <c r="T22" s="12">
        <v>0</v>
      </c>
      <c r="U22" s="12">
        <v>1</v>
      </c>
      <c r="V22" s="12">
        <v>0</v>
      </c>
      <c r="W22" s="12">
        <v>1</v>
      </c>
      <c r="X22" s="12">
        <v>0</v>
      </c>
      <c r="Y22" s="12">
        <v>0</v>
      </c>
      <c r="Z22" s="12">
        <v>0</v>
      </c>
      <c r="AA22" s="12">
        <v>0</v>
      </c>
      <c r="AB22" s="12">
        <v>0</v>
      </c>
    </row>
    <row r="23" spans="1:28">
      <c r="A23" s="23"/>
      <c r="B23" s="13" t="s">
        <v>1531</v>
      </c>
      <c r="C23" s="14">
        <v>0.03</v>
      </c>
      <c r="D23" s="15" t="s">
        <v>485</v>
      </c>
      <c r="E23" s="14">
        <v>0.56000000000000005</v>
      </c>
      <c r="F23" s="15" t="s">
        <v>485</v>
      </c>
      <c r="G23" s="15" t="s">
        <v>485</v>
      </c>
      <c r="H23" s="15" t="s">
        <v>485</v>
      </c>
      <c r="I23" s="15" t="s">
        <v>485</v>
      </c>
      <c r="J23" s="15" t="s">
        <v>485</v>
      </c>
      <c r="K23" s="15" t="s">
        <v>485</v>
      </c>
      <c r="L23" s="15" t="s">
        <v>485</v>
      </c>
      <c r="M23" s="15" t="s">
        <v>485</v>
      </c>
      <c r="N23" s="14">
        <v>0.09</v>
      </c>
      <c r="O23" s="15" t="s">
        <v>485</v>
      </c>
      <c r="P23" s="15" t="s">
        <v>485</v>
      </c>
      <c r="Q23" s="15" t="s">
        <v>485</v>
      </c>
      <c r="R23" s="15" t="s">
        <v>485</v>
      </c>
      <c r="S23" s="15" t="s">
        <v>485</v>
      </c>
      <c r="T23" s="15" t="s">
        <v>485</v>
      </c>
      <c r="U23" s="14">
        <v>0.11</v>
      </c>
      <c r="V23" s="15" t="s">
        <v>485</v>
      </c>
      <c r="W23" s="14">
        <v>0.67</v>
      </c>
      <c r="X23" s="15" t="s">
        <v>485</v>
      </c>
      <c r="Y23" s="15" t="s">
        <v>485</v>
      </c>
      <c r="Z23" s="15" t="s">
        <v>485</v>
      </c>
      <c r="AA23" s="15" t="s">
        <v>485</v>
      </c>
      <c r="AB23" s="15" t="s">
        <v>485</v>
      </c>
    </row>
    <row r="24" spans="1:28">
      <c r="A24" s="23"/>
      <c r="B24" s="11" t="s">
        <v>497</v>
      </c>
      <c r="C24" s="12">
        <v>38</v>
      </c>
      <c r="D24" s="12">
        <v>8</v>
      </c>
      <c r="E24" s="12">
        <v>0</v>
      </c>
      <c r="F24" s="12">
        <v>2</v>
      </c>
      <c r="G24" s="12">
        <v>0</v>
      </c>
      <c r="H24" s="12">
        <v>2</v>
      </c>
      <c r="I24" s="12">
        <v>2</v>
      </c>
      <c r="J24" s="12">
        <v>0</v>
      </c>
      <c r="K24" s="12">
        <v>1</v>
      </c>
      <c r="L24" s="12">
        <v>1</v>
      </c>
      <c r="M24" s="12">
        <v>0</v>
      </c>
      <c r="N24" s="12">
        <v>1</v>
      </c>
      <c r="O24" s="12">
        <v>4</v>
      </c>
      <c r="P24" s="12">
        <v>2</v>
      </c>
      <c r="Q24" s="12">
        <v>0</v>
      </c>
      <c r="R24" s="12">
        <v>0</v>
      </c>
      <c r="S24" s="12">
        <v>1</v>
      </c>
      <c r="T24" s="12">
        <v>0</v>
      </c>
      <c r="U24" s="12">
        <v>1</v>
      </c>
      <c r="V24" s="12">
        <v>3</v>
      </c>
      <c r="W24" s="12">
        <v>1</v>
      </c>
      <c r="X24" s="12">
        <v>3</v>
      </c>
      <c r="Y24" s="12">
        <v>0</v>
      </c>
      <c r="Z24" s="12">
        <v>2</v>
      </c>
      <c r="AA24" s="12">
        <v>2</v>
      </c>
      <c r="AB24" s="12">
        <v>0</v>
      </c>
    </row>
    <row r="25" spans="1:28">
      <c r="A25" s="23"/>
      <c r="B25" s="13" t="s">
        <v>498</v>
      </c>
      <c r="C25" s="14">
        <v>0.4</v>
      </c>
      <c r="D25" s="14">
        <v>0.9</v>
      </c>
      <c r="E25" s="15" t="s">
        <v>485</v>
      </c>
      <c r="F25" s="14">
        <v>0.41</v>
      </c>
      <c r="G25" s="15" t="s">
        <v>485</v>
      </c>
      <c r="H25" s="14">
        <v>0.37</v>
      </c>
      <c r="I25" s="14">
        <v>0.24</v>
      </c>
      <c r="J25" s="15" t="s">
        <v>485</v>
      </c>
      <c r="K25" s="14">
        <v>0.71</v>
      </c>
      <c r="L25" s="14">
        <v>0.74</v>
      </c>
      <c r="M25" s="15" t="s">
        <v>485</v>
      </c>
      <c r="N25" s="14">
        <v>0.12</v>
      </c>
      <c r="O25" s="14">
        <v>0.81</v>
      </c>
      <c r="P25" s="14">
        <v>0.26</v>
      </c>
      <c r="Q25" s="15" t="s">
        <v>485</v>
      </c>
      <c r="R25" s="15" t="s">
        <v>485</v>
      </c>
      <c r="S25" s="14">
        <v>0.78</v>
      </c>
      <c r="T25" s="15" t="s">
        <v>485</v>
      </c>
      <c r="U25" s="14">
        <v>7.0000000000000007E-2</v>
      </c>
      <c r="V25" s="14">
        <v>0.39</v>
      </c>
      <c r="W25" s="14">
        <v>0.78</v>
      </c>
      <c r="X25" s="14">
        <v>0.9</v>
      </c>
      <c r="Y25" s="15" t="s">
        <v>485</v>
      </c>
      <c r="Z25" s="14">
        <v>0.33</v>
      </c>
      <c r="AA25" s="14">
        <v>0.4</v>
      </c>
      <c r="AB25" s="15" t="s">
        <v>485</v>
      </c>
    </row>
    <row r="26" spans="1:28">
      <c r="A26" s="23"/>
      <c r="B26" s="11" t="s">
        <v>1532</v>
      </c>
      <c r="C26" s="12">
        <v>154.13</v>
      </c>
      <c r="D26" s="12">
        <v>1.72</v>
      </c>
      <c r="E26" s="12">
        <v>98.23</v>
      </c>
      <c r="F26" s="12">
        <v>47.57</v>
      </c>
      <c r="G26" s="12">
        <v>1340</v>
      </c>
      <c r="H26" s="12">
        <v>53.33</v>
      </c>
      <c r="I26" s="12">
        <v>45.61</v>
      </c>
      <c r="J26" s="12">
        <v>20.7</v>
      </c>
      <c r="K26" s="12">
        <v>0</v>
      </c>
      <c r="L26" s="12">
        <v>0</v>
      </c>
      <c r="M26" s="12">
        <v>1000</v>
      </c>
      <c r="N26" s="12">
        <v>320.23</v>
      </c>
      <c r="O26" s="12">
        <v>18.61</v>
      </c>
      <c r="P26" s="12">
        <v>131.47</v>
      </c>
      <c r="Q26" s="12">
        <v>200</v>
      </c>
      <c r="R26" s="12">
        <v>212.55</v>
      </c>
      <c r="S26" s="12">
        <v>0</v>
      </c>
      <c r="T26" s="12">
        <v>200</v>
      </c>
      <c r="U26" s="12">
        <v>96.4</v>
      </c>
      <c r="V26" s="12">
        <v>211.09</v>
      </c>
      <c r="W26" s="12">
        <v>0</v>
      </c>
      <c r="X26" s="12">
        <v>0</v>
      </c>
      <c r="Y26" s="12">
        <v>300</v>
      </c>
      <c r="Z26" s="12">
        <v>167.72</v>
      </c>
      <c r="AA26" s="12">
        <v>0</v>
      </c>
      <c r="AB26" s="12">
        <v>43</v>
      </c>
    </row>
    <row r="27" spans="1:28">
      <c r="A27" s="23"/>
      <c r="B27" s="13" t="s">
        <v>1533</v>
      </c>
      <c r="C27" s="15" t="s">
        <v>485</v>
      </c>
      <c r="D27" s="15" t="s">
        <v>485</v>
      </c>
      <c r="E27" s="15" t="s">
        <v>485</v>
      </c>
      <c r="F27" s="15" t="s">
        <v>485</v>
      </c>
      <c r="G27" s="15" t="s">
        <v>485</v>
      </c>
      <c r="H27" s="15" t="s">
        <v>485</v>
      </c>
      <c r="I27" s="15" t="s">
        <v>485</v>
      </c>
      <c r="J27" s="15" t="s">
        <v>485</v>
      </c>
      <c r="K27" s="15" t="s">
        <v>485</v>
      </c>
      <c r="L27" s="15" t="s">
        <v>485</v>
      </c>
      <c r="M27" s="15" t="s">
        <v>485</v>
      </c>
      <c r="N27" s="15" t="s">
        <v>485</v>
      </c>
      <c r="O27" s="15" t="s">
        <v>485</v>
      </c>
      <c r="P27" s="15" t="s">
        <v>485</v>
      </c>
      <c r="Q27" s="15" t="s">
        <v>485</v>
      </c>
      <c r="R27" s="15" t="s">
        <v>485</v>
      </c>
      <c r="S27" s="15" t="s">
        <v>485</v>
      </c>
      <c r="T27" s="15" t="s">
        <v>485</v>
      </c>
      <c r="U27" s="15" t="s">
        <v>485</v>
      </c>
      <c r="V27" s="15" t="s">
        <v>485</v>
      </c>
      <c r="W27" s="15" t="s">
        <v>485</v>
      </c>
      <c r="X27" s="15" t="s">
        <v>485</v>
      </c>
      <c r="Y27" s="15" t="s">
        <v>485</v>
      </c>
      <c r="Z27" s="15" t="s">
        <v>485</v>
      </c>
      <c r="AA27" s="15" t="s">
        <v>485</v>
      </c>
      <c r="AB27" s="15" t="s">
        <v>485</v>
      </c>
    </row>
    <row r="28" spans="1:28">
      <c r="A28" s="23"/>
      <c r="B28" s="11" t="s">
        <v>1534</v>
      </c>
      <c r="C28" s="12">
        <v>39</v>
      </c>
      <c r="D28" s="12">
        <v>0</v>
      </c>
      <c r="E28" s="12">
        <v>17</v>
      </c>
      <c r="F28" s="12">
        <v>19</v>
      </c>
      <c r="G28" s="12">
        <v>1340</v>
      </c>
      <c r="H28" s="12">
        <v>0</v>
      </c>
      <c r="I28" s="12">
        <v>50</v>
      </c>
      <c r="J28" s="12">
        <v>5</v>
      </c>
      <c r="K28" s="12">
        <v>0</v>
      </c>
      <c r="L28" s="12">
        <v>0</v>
      </c>
      <c r="M28" s="12">
        <v>0</v>
      </c>
      <c r="N28" s="12">
        <v>200</v>
      </c>
      <c r="O28" s="12">
        <v>0</v>
      </c>
      <c r="P28" s="12">
        <v>100</v>
      </c>
      <c r="Q28" s="12">
        <v>0</v>
      </c>
      <c r="R28" s="12">
        <v>2</v>
      </c>
      <c r="S28" s="12">
        <v>0</v>
      </c>
      <c r="T28" s="12">
        <v>0</v>
      </c>
      <c r="U28" s="12">
        <v>50</v>
      </c>
      <c r="V28" s="12">
        <v>0</v>
      </c>
      <c r="W28" s="12">
        <v>0</v>
      </c>
      <c r="X28" s="12">
        <v>0</v>
      </c>
      <c r="Y28" s="12">
        <v>0</v>
      </c>
      <c r="Z28" s="12">
        <v>20</v>
      </c>
      <c r="AA28" s="12">
        <v>0</v>
      </c>
      <c r="AB28" s="12">
        <v>0</v>
      </c>
    </row>
    <row r="29" spans="1:28">
      <c r="A29" s="23"/>
      <c r="B29" s="13" t="s">
        <v>1535</v>
      </c>
      <c r="C29" s="15" t="s">
        <v>485</v>
      </c>
      <c r="D29" s="15" t="s">
        <v>485</v>
      </c>
      <c r="E29" s="15" t="s">
        <v>485</v>
      </c>
      <c r="F29" s="15" t="s">
        <v>485</v>
      </c>
      <c r="G29" s="15" t="s">
        <v>485</v>
      </c>
      <c r="H29" s="15" t="s">
        <v>485</v>
      </c>
      <c r="I29" s="15" t="s">
        <v>485</v>
      </c>
      <c r="J29" s="15" t="s">
        <v>485</v>
      </c>
      <c r="K29" s="15" t="s">
        <v>485</v>
      </c>
      <c r="L29" s="15" t="s">
        <v>485</v>
      </c>
      <c r="M29" s="15" t="s">
        <v>485</v>
      </c>
      <c r="N29" s="15" t="s">
        <v>485</v>
      </c>
      <c r="O29" s="15" t="s">
        <v>485</v>
      </c>
      <c r="P29" s="15" t="s">
        <v>485</v>
      </c>
      <c r="Q29" s="15" t="s">
        <v>485</v>
      </c>
      <c r="R29" s="15" t="s">
        <v>485</v>
      </c>
      <c r="S29" s="15" t="s">
        <v>485</v>
      </c>
      <c r="T29" s="15" t="s">
        <v>485</v>
      </c>
      <c r="U29" s="15" t="s">
        <v>485</v>
      </c>
      <c r="V29" s="15" t="s">
        <v>485</v>
      </c>
      <c r="W29" s="15" t="s">
        <v>485</v>
      </c>
      <c r="X29" s="15" t="s">
        <v>485</v>
      </c>
      <c r="Y29" s="15" t="s">
        <v>485</v>
      </c>
      <c r="Z29" s="15" t="s">
        <v>485</v>
      </c>
      <c r="AA29" s="15" t="s">
        <v>485</v>
      </c>
      <c r="AB29" s="15" t="s">
        <v>485</v>
      </c>
    </row>
  </sheetData>
  <mergeCells count="9">
    <mergeCell ref="B4:F4"/>
    <mergeCell ref="H3:L3"/>
    <mergeCell ref="C8:AB8"/>
    <mergeCell ref="A10:A29"/>
    <mergeCell ref="B5:F5"/>
    <mergeCell ref="B3:F3"/>
    <mergeCell ref="H5:L5"/>
    <mergeCell ref="B10:B11"/>
    <mergeCell ref="H4:L4"/>
  </mergeCells>
  <pageMargins left="0.75" right="0.75" top="1" bottom="1" header="0.5" footer="0.5"/>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B00-000000000000}">
  <dimension ref="A1:AF2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349</v>
      </c>
      <c r="C3" s="19"/>
      <c r="D3" s="19"/>
      <c r="E3" s="19"/>
      <c r="F3" s="19"/>
      <c r="H3" s="19" t="s">
        <v>350</v>
      </c>
      <c r="I3" s="19"/>
      <c r="J3" s="19"/>
      <c r="K3" s="19"/>
      <c r="L3" s="19"/>
    </row>
    <row r="4" spans="1:32" ht="27" customHeight="1">
      <c r="B4" s="19"/>
      <c r="C4" s="19"/>
      <c r="D4" s="19"/>
      <c r="E4" s="19"/>
      <c r="F4" s="19"/>
      <c r="H4" s="19"/>
      <c r="I4" s="19"/>
      <c r="J4" s="19"/>
      <c r="K4" s="19"/>
      <c r="L4" s="19"/>
    </row>
    <row r="5" spans="1:32" ht="24" customHeight="1">
      <c r="B5" s="19" t="s">
        <v>1560</v>
      </c>
      <c r="C5" s="19"/>
      <c r="D5" s="19"/>
      <c r="E5" s="19"/>
      <c r="F5" s="19"/>
      <c r="H5" s="19" t="s">
        <v>1561</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HYPERLINK("#Content!A176","&lt;&lt;Back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267</v>
      </c>
      <c r="D10" s="10">
        <v>19</v>
      </c>
      <c r="E10" s="10">
        <v>2</v>
      </c>
      <c r="F10" s="10">
        <v>10</v>
      </c>
      <c r="G10" s="10">
        <v>13</v>
      </c>
      <c r="H10" s="10">
        <v>12</v>
      </c>
      <c r="I10" s="10">
        <v>24</v>
      </c>
      <c r="J10" s="10">
        <v>11</v>
      </c>
      <c r="K10" s="10">
        <v>6</v>
      </c>
      <c r="L10" s="10">
        <v>7</v>
      </c>
      <c r="M10" s="10">
        <v>2</v>
      </c>
      <c r="N10" s="10">
        <v>3</v>
      </c>
      <c r="O10" s="10">
        <v>4</v>
      </c>
      <c r="P10" s="10">
        <v>10</v>
      </c>
      <c r="Q10" s="10">
        <v>19</v>
      </c>
      <c r="R10" s="10">
        <v>4</v>
      </c>
      <c r="S10" s="10">
        <v>4</v>
      </c>
      <c r="T10" s="10">
        <v>5</v>
      </c>
      <c r="U10" s="10">
        <v>3</v>
      </c>
      <c r="V10" s="10">
        <v>16</v>
      </c>
      <c r="W10" s="10">
        <v>5</v>
      </c>
      <c r="X10" s="10">
        <v>17</v>
      </c>
      <c r="Y10" s="10">
        <v>20</v>
      </c>
      <c r="Z10" s="10">
        <v>7</v>
      </c>
      <c r="AA10" s="10">
        <v>3</v>
      </c>
      <c r="AB10" s="10">
        <v>1</v>
      </c>
      <c r="AC10" s="10">
        <v>8</v>
      </c>
      <c r="AD10" s="10">
        <v>3</v>
      </c>
      <c r="AE10" s="10">
        <v>8</v>
      </c>
      <c r="AF10" s="10">
        <v>14</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1524</v>
      </c>
      <c r="C12" s="12">
        <v>77</v>
      </c>
      <c r="D12" s="12">
        <v>11</v>
      </c>
      <c r="E12" s="12">
        <v>0</v>
      </c>
      <c r="F12" s="12">
        <v>6</v>
      </c>
      <c r="G12" s="12">
        <v>1</v>
      </c>
      <c r="H12" s="12">
        <v>3</v>
      </c>
      <c r="I12" s="12">
        <v>10</v>
      </c>
      <c r="J12" s="12">
        <v>7</v>
      </c>
      <c r="K12" s="12">
        <v>1</v>
      </c>
      <c r="L12" s="12">
        <v>0</v>
      </c>
      <c r="M12" s="12">
        <v>0</v>
      </c>
      <c r="N12" s="12">
        <v>0</v>
      </c>
      <c r="O12" s="12">
        <v>1</v>
      </c>
      <c r="P12" s="12">
        <v>0</v>
      </c>
      <c r="Q12" s="12">
        <v>5</v>
      </c>
      <c r="R12" s="12">
        <v>1</v>
      </c>
      <c r="S12" s="12">
        <v>2</v>
      </c>
      <c r="T12" s="12">
        <v>4</v>
      </c>
      <c r="U12" s="12">
        <v>1</v>
      </c>
      <c r="V12" s="12">
        <v>3</v>
      </c>
      <c r="W12" s="12">
        <v>0</v>
      </c>
      <c r="X12" s="12">
        <v>0</v>
      </c>
      <c r="Y12" s="12">
        <v>4</v>
      </c>
      <c r="Z12" s="12">
        <v>0</v>
      </c>
      <c r="AA12" s="12">
        <v>0</v>
      </c>
      <c r="AB12" s="12">
        <v>0</v>
      </c>
      <c r="AC12" s="12">
        <v>2</v>
      </c>
      <c r="AD12" s="12">
        <v>1</v>
      </c>
      <c r="AE12" s="12">
        <v>3</v>
      </c>
      <c r="AF12" s="12">
        <v>7</v>
      </c>
    </row>
    <row r="13" spans="1:32">
      <c r="A13" s="23"/>
      <c r="B13" s="13" t="s">
        <v>1524</v>
      </c>
      <c r="C13" s="14">
        <v>0.28999999999999998</v>
      </c>
      <c r="D13" s="14">
        <v>0.56000000000000005</v>
      </c>
      <c r="E13" s="15" t="s">
        <v>485</v>
      </c>
      <c r="F13" s="14">
        <v>0.63</v>
      </c>
      <c r="G13" s="14">
        <v>0.1</v>
      </c>
      <c r="H13" s="14">
        <v>0.24</v>
      </c>
      <c r="I13" s="14">
        <v>0.43</v>
      </c>
      <c r="J13" s="14">
        <v>0.65</v>
      </c>
      <c r="K13" s="14">
        <v>0.14000000000000001</v>
      </c>
      <c r="L13" s="15" t="s">
        <v>485</v>
      </c>
      <c r="M13" s="15" t="s">
        <v>485</v>
      </c>
      <c r="N13" s="15" t="s">
        <v>485</v>
      </c>
      <c r="O13" s="14">
        <v>0.28000000000000003</v>
      </c>
      <c r="P13" s="15" t="s">
        <v>485</v>
      </c>
      <c r="Q13" s="14">
        <v>0.26</v>
      </c>
      <c r="R13" s="14">
        <v>0.24</v>
      </c>
      <c r="S13" s="14">
        <v>0.42</v>
      </c>
      <c r="T13" s="14">
        <v>0.71</v>
      </c>
      <c r="U13" s="14">
        <v>0.44</v>
      </c>
      <c r="V13" s="14">
        <v>0.17</v>
      </c>
      <c r="W13" s="15" t="s">
        <v>485</v>
      </c>
      <c r="X13" s="15" t="s">
        <v>485</v>
      </c>
      <c r="Y13" s="14">
        <v>0.22</v>
      </c>
      <c r="Z13" s="15" t="s">
        <v>485</v>
      </c>
      <c r="AA13" s="15" t="s">
        <v>485</v>
      </c>
      <c r="AB13" s="15" t="s">
        <v>485</v>
      </c>
      <c r="AC13" s="14">
        <v>0.22</v>
      </c>
      <c r="AD13" s="14">
        <v>0.38</v>
      </c>
      <c r="AE13" s="14">
        <v>0.42</v>
      </c>
      <c r="AF13" s="14">
        <v>0.48</v>
      </c>
    </row>
    <row r="14" spans="1:32">
      <c r="A14" s="23"/>
      <c r="B14" s="11" t="s">
        <v>1525</v>
      </c>
      <c r="C14" s="12">
        <v>39</v>
      </c>
      <c r="D14" s="12">
        <v>1</v>
      </c>
      <c r="E14" s="12">
        <v>0</v>
      </c>
      <c r="F14" s="12">
        <v>2</v>
      </c>
      <c r="G14" s="12">
        <v>0</v>
      </c>
      <c r="H14" s="12">
        <v>2</v>
      </c>
      <c r="I14" s="12">
        <v>3</v>
      </c>
      <c r="J14" s="12">
        <v>1</v>
      </c>
      <c r="K14" s="12">
        <v>2</v>
      </c>
      <c r="L14" s="12">
        <v>0</v>
      </c>
      <c r="M14" s="12">
        <v>0</v>
      </c>
      <c r="N14" s="12">
        <v>0</v>
      </c>
      <c r="O14" s="12">
        <v>0</v>
      </c>
      <c r="P14" s="12">
        <v>1</v>
      </c>
      <c r="Q14" s="12">
        <v>6</v>
      </c>
      <c r="R14" s="12">
        <v>2</v>
      </c>
      <c r="S14" s="12">
        <v>1</v>
      </c>
      <c r="T14" s="12">
        <v>0</v>
      </c>
      <c r="U14" s="12">
        <v>0</v>
      </c>
      <c r="V14" s="12">
        <v>0</v>
      </c>
      <c r="W14" s="12">
        <v>0</v>
      </c>
      <c r="X14" s="12">
        <v>4</v>
      </c>
      <c r="Y14" s="12">
        <v>2</v>
      </c>
      <c r="Z14" s="12">
        <v>0</v>
      </c>
      <c r="AA14" s="12">
        <v>0</v>
      </c>
      <c r="AB14" s="12">
        <v>0</v>
      </c>
      <c r="AC14" s="12">
        <v>0</v>
      </c>
      <c r="AD14" s="12">
        <v>0</v>
      </c>
      <c r="AE14" s="12">
        <v>2</v>
      </c>
      <c r="AF14" s="12">
        <v>0</v>
      </c>
    </row>
    <row r="15" spans="1:32">
      <c r="A15" s="23"/>
      <c r="B15" s="13" t="s">
        <v>1525</v>
      </c>
      <c r="C15" s="14">
        <v>0.15</v>
      </c>
      <c r="D15" s="14">
        <v>0.05</v>
      </c>
      <c r="E15" s="15" t="s">
        <v>485</v>
      </c>
      <c r="F15" s="14">
        <v>0.17</v>
      </c>
      <c r="G15" s="15" t="s">
        <v>485</v>
      </c>
      <c r="H15" s="14">
        <v>0.18</v>
      </c>
      <c r="I15" s="14">
        <v>0.13</v>
      </c>
      <c r="J15" s="14">
        <v>0.08</v>
      </c>
      <c r="K15" s="14">
        <v>0.33</v>
      </c>
      <c r="L15" s="15" t="s">
        <v>485</v>
      </c>
      <c r="M15" s="15" t="s">
        <v>485</v>
      </c>
      <c r="N15" s="15" t="s">
        <v>485</v>
      </c>
      <c r="O15" s="15" t="s">
        <v>485</v>
      </c>
      <c r="P15" s="14">
        <v>7.0000000000000007E-2</v>
      </c>
      <c r="Q15" s="14">
        <v>0.32</v>
      </c>
      <c r="R15" s="14">
        <v>0.49</v>
      </c>
      <c r="S15" s="14">
        <v>0.17</v>
      </c>
      <c r="T15" s="15" t="s">
        <v>485</v>
      </c>
      <c r="U15" s="15" t="s">
        <v>485</v>
      </c>
      <c r="V15" s="15" t="s">
        <v>485</v>
      </c>
      <c r="W15" s="15" t="s">
        <v>485</v>
      </c>
      <c r="X15" s="14">
        <v>0.23</v>
      </c>
      <c r="Y15" s="14">
        <v>0.11</v>
      </c>
      <c r="Z15" s="15" t="s">
        <v>485</v>
      </c>
      <c r="AA15" s="15" t="s">
        <v>485</v>
      </c>
      <c r="AB15" s="15" t="s">
        <v>485</v>
      </c>
      <c r="AC15" s="15" t="s">
        <v>485</v>
      </c>
      <c r="AD15" s="15" t="s">
        <v>485</v>
      </c>
      <c r="AE15" s="14">
        <v>0.2</v>
      </c>
      <c r="AF15" s="15" t="s">
        <v>485</v>
      </c>
    </row>
    <row r="16" spans="1:32">
      <c r="A16" s="23"/>
      <c r="B16" s="11" t="s">
        <v>1526</v>
      </c>
      <c r="C16" s="12">
        <v>12</v>
      </c>
      <c r="D16" s="12">
        <v>0</v>
      </c>
      <c r="E16" s="12">
        <v>0</v>
      </c>
      <c r="F16" s="12">
        <v>1</v>
      </c>
      <c r="G16" s="12">
        <v>1</v>
      </c>
      <c r="H16" s="12">
        <v>0</v>
      </c>
      <c r="I16" s="12">
        <v>0</v>
      </c>
      <c r="J16" s="12">
        <v>0</v>
      </c>
      <c r="K16" s="12">
        <v>1</v>
      </c>
      <c r="L16" s="12">
        <v>1</v>
      </c>
      <c r="M16" s="12">
        <v>1</v>
      </c>
      <c r="N16" s="12">
        <v>0</v>
      </c>
      <c r="O16" s="12">
        <v>0</v>
      </c>
      <c r="P16" s="12">
        <v>1</v>
      </c>
      <c r="Q16" s="12">
        <v>0</v>
      </c>
      <c r="R16" s="12">
        <v>1</v>
      </c>
      <c r="S16" s="12">
        <v>0</v>
      </c>
      <c r="T16" s="12">
        <v>0</v>
      </c>
      <c r="U16" s="12">
        <v>0</v>
      </c>
      <c r="V16" s="12">
        <v>7</v>
      </c>
      <c r="W16" s="12">
        <v>0</v>
      </c>
      <c r="X16" s="12">
        <v>1</v>
      </c>
      <c r="Y16" s="12">
        <v>4</v>
      </c>
      <c r="Z16" s="12">
        <v>0</v>
      </c>
      <c r="AA16" s="12">
        <v>0</v>
      </c>
      <c r="AB16" s="12">
        <v>1</v>
      </c>
      <c r="AC16" s="12">
        <v>0</v>
      </c>
      <c r="AD16" s="12">
        <v>1</v>
      </c>
      <c r="AE16" s="12">
        <v>1</v>
      </c>
      <c r="AF16" s="12">
        <v>1</v>
      </c>
    </row>
    <row r="17" spans="1:32">
      <c r="A17" s="23"/>
      <c r="B17" s="13" t="s">
        <v>1526</v>
      </c>
      <c r="C17" s="14">
        <v>0.04</v>
      </c>
      <c r="D17" s="14">
        <v>0.03</v>
      </c>
      <c r="E17" s="15" t="s">
        <v>485</v>
      </c>
      <c r="F17" s="14">
        <v>0.12</v>
      </c>
      <c r="G17" s="14">
        <v>0.1</v>
      </c>
      <c r="H17" s="15" t="s">
        <v>485</v>
      </c>
      <c r="I17" s="15" t="s">
        <v>485</v>
      </c>
      <c r="J17" s="15" t="s">
        <v>485</v>
      </c>
      <c r="K17" s="14">
        <v>0.18</v>
      </c>
      <c r="L17" s="14">
        <v>0.16</v>
      </c>
      <c r="M17" s="14">
        <v>0.43</v>
      </c>
      <c r="N17" s="15" t="s">
        <v>485</v>
      </c>
      <c r="O17" s="15" t="s">
        <v>485</v>
      </c>
      <c r="P17" s="14">
        <v>0.1</v>
      </c>
      <c r="Q17" s="15" t="s">
        <v>485</v>
      </c>
      <c r="R17" s="14">
        <v>0.28999999999999998</v>
      </c>
      <c r="S17" s="15" t="s">
        <v>485</v>
      </c>
      <c r="T17" s="15" t="s">
        <v>485</v>
      </c>
      <c r="U17" s="15" t="s">
        <v>485</v>
      </c>
      <c r="V17" s="14">
        <v>0.44</v>
      </c>
      <c r="W17" s="15" t="s">
        <v>485</v>
      </c>
      <c r="X17" s="14">
        <v>0.04</v>
      </c>
      <c r="Y17" s="14">
        <v>0.2</v>
      </c>
      <c r="Z17" s="15" t="s">
        <v>485</v>
      </c>
      <c r="AA17" s="15" t="s">
        <v>485</v>
      </c>
      <c r="AB17" s="14">
        <v>1.08</v>
      </c>
      <c r="AC17" s="15" t="s">
        <v>485</v>
      </c>
      <c r="AD17" s="14">
        <v>0.24</v>
      </c>
      <c r="AE17" s="14">
        <v>0.09</v>
      </c>
      <c r="AF17" s="14">
        <v>0.09</v>
      </c>
    </row>
    <row r="18" spans="1:32">
      <c r="A18" s="23"/>
      <c r="B18" s="11" t="s">
        <v>1527</v>
      </c>
      <c r="C18" s="12">
        <v>47</v>
      </c>
      <c r="D18" s="12">
        <v>4</v>
      </c>
      <c r="E18" s="12">
        <v>2</v>
      </c>
      <c r="F18" s="12">
        <v>1</v>
      </c>
      <c r="G18" s="12">
        <v>8</v>
      </c>
      <c r="H18" s="12">
        <v>2</v>
      </c>
      <c r="I18" s="12">
        <v>3</v>
      </c>
      <c r="J18" s="12">
        <v>0</v>
      </c>
      <c r="K18" s="12">
        <v>1</v>
      </c>
      <c r="L18" s="12">
        <v>1</v>
      </c>
      <c r="M18" s="12">
        <v>0</v>
      </c>
      <c r="N18" s="12">
        <v>2</v>
      </c>
      <c r="O18" s="12">
        <v>2</v>
      </c>
      <c r="P18" s="12">
        <v>3</v>
      </c>
      <c r="Q18" s="12">
        <v>1</v>
      </c>
      <c r="R18" s="12">
        <v>0</v>
      </c>
      <c r="S18" s="12">
        <v>0</v>
      </c>
      <c r="T18" s="12">
        <v>0</v>
      </c>
      <c r="U18" s="12">
        <v>1</v>
      </c>
      <c r="V18" s="12">
        <v>1</v>
      </c>
      <c r="W18" s="12">
        <v>4</v>
      </c>
      <c r="X18" s="12">
        <v>7</v>
      </c>
      <c r="Y18" s="12">
        <v>1</v>
      </c>
      <c r="Z18" s="12">
        <v>1</v>
      </c>
      <c r="AA18" s="12">
        <v>0</v>
      </c>
      <c r="AB18" s="12">
        <v>0</v>
      </c>
      <c r="AC18" s="12">
        <v>2</v>
      </c>
      <c r="AD18" s="12">
        <v>0</v>
      </c>
      <c r="AE18" s="12">
        <v>1</v>
      </c>
      <c r="AF18" s="12">
        <v>2</v>
      </c>
    </row>
    <row r="19" spans="1:32">
      <c r="A19" s="23"/>
      <c r="B19" s="13" t="s">
        <v>1527</v>
      </c>
      <c r="C19" s="14">
        <v>0.18</v>
      </c>
      <c r="D19" s="14">
        <v>0.21</v>
      </c>
      <c r="E19" s="14">
        <v>0.96</v>
      </c>
      <c r="F19" s="14">
        <v>7.0000000000000007E-2</v>
      </c>
      <c r="G19" s="14">
        <v>0.59</v>
      </c>
      <c r="H19" s="14">
        <v>0.19</v>
      </c>
      <c r="I19" s="14">
        <v>0.12</v>
      </c>
      <c r="J19" s="14">
        <v>0.04</v>
      </c>
      <c r="K19" s="14">
        <v>0.19</v>
      </c>
      <c r="L19" s="14">
        <v>0.14000000000000001</v>
      </c>
      <c r="M19" s="15" t="s">
        <v>485</v>
      </c>
      <c r="N19" s="14">
        <v>0.70000000000000007</v>
      </c>
      <c r="O19" s="14">
        <v>0.57000000000000006</v>
      </c>
      <c r="P19" s="14">
        <v>0.28999999999999998</v>
      </c>
      <c r="Q19" s="14">
        <v>0.06</v>
      </c>
      <c r="R19" s="15" t="s">
        <v>485</v>
      </c>
      <c r="S19" s="15" t="s">
        <v>485</v>
      </c>
      <c r="T19" s="15" t="s">
        <v>485</v>
      </c>
      <c r="U19" s="14">
        <v>0.26</v>
      </c>
      <c r="V19" s="14">
        <v>0.09</v>
      </c>
      <c r="W19" s="14">
        <v>0.70000000000000007</v>
      </c>
      <c r="X19" s="14">
        <v>0.4</v>
      </c>
      <c r="Y19" s="14">
        <v>7.0000000000000007E-2</v>
      </c>
      <c r="Z19" s="14">
        <v>0.09</v>
      </c>
      <c r="AA19" s="15" t="s">
        <v>485</v>
      </c>
      <c r="AB19" s="15" t="s">
        <v>485</v>
      </c>
      <c r="AC19" s="14">
        <v>0.3</v>
      </c>
      <c r="AD19" s="15" t="s">
        <v>485</v>
      </c>
      <c r="AE19" s="14">
        <v>0.13</v>
      </c>
      <c r="AF19" s="14">
        <v>0.12</v>
      </c>
    </row>
    <row r="20" spans="1:32">
      <c r="A20" s="23"/>
      <c r="B20" s="11" t="s">
        <v>1528</v>
      </c>
      <c r="C20" s="12">
        <v>11</v>
      </c>
      <c r="D20" s="12">
        <v>0</v>
      </c>
      <c r="E20" s="12">
        <v>0</v>
      </c>
      <c r="F20" s="12">
        <v>0</v>
      </c>
      <c r="G20" s="12">
        <v>0</v>
      </c>
      <c r="H20" s="12">
        <v>2</v>
      </c>
      <c r="I20" s="12">
        <v>2</v>
      </c>
      <c r="J20" s="12">
        <v>0</v>
      </c>
      <c r="K20" s="12">
        <v>0</v>
      </c>
      <c r="L20" s="12">
        <v>0</v>
      </c>
      <c r="M20" s="12">
        <v>0</v>
      </c>
      <c r="N20" s="12">
        <v>0</v>
      </c>
      <c r="O20" s="12">
        <v>0</v>
      </c>
      <c r="P20" s="12">
        <v>0</v>
      </c>
      <c r="Q20" s="12">
        <v>0</v>
      </c>
      <c r="R20" s="12">
        <v>0</v>
      </c>
      <c r="S20" s="12">
        <v>0</v>
      </c>
      <c r="T20" s="12">
        <v>0</v>
      </c>
      <c r="U20" s="12">
        <v>0</v>
      </c>
      <c r="V20" s="12">
        <v>1</v>
      </c>
      <c r="W20" s="12">
        <v>0</v>
      </c>
      <c r="X20" s="12">
        <v>0</v>
      </c>
      <c r="Y20" s="12">
        <v>2</v>
      </c>
      <c r="Z20" s="12">
        <v>1</v>
      </c>
      <c r="AA20" s="12">
        <v>2</v>
      </c>
      <c r="AB20" s="12">
        <v>0</v>
      </c>
      <c r="AC20" s="12">
        <v>0</v>
      </c>
      <c r="AD20" s="12">
        <v>0</v>
      </c>
      <c r="AE20" s="12">
        <v>0</v>
      </c>
      <c r="AF20" s="12">
        <v>0</v>
      </c>
    </row>
    <row r="21" spans="1:32">
      <c r="A21" s="23"/>
      <c r="B21" s="13" t="s">
        <v>1529</v>
      </c>
      <c r="C21" s="14">
        <v>0.04</v>
      </c>
      <c r="D21" s="15" t="s">
        <v>485</v>
      </c>
      <c r="E21" s="15" t="s">
        <v>485</v>
      </c>
      <c r="F21" s="15" t="s">
        <v>485</v>
      </c>
      <c r="G21" s="15" t="s">
        <v>485</v>
      </c>
      <c r="H21" s="14">
        <v>0.15</v>
      </c>
      <c r="I21" s="14">
        <v>0.08</v>
      </c>
      <c r="J21" s="15" t="s">
        <v>485</v>
      </c>
      <c r="K21" s="15" t="s">
        <v>485</v>
      </c>
      <c r="L21" s="15" t="s">
        <v>485</v>
      </c>
      <c r="M21" s="15" t="s">
        <v>485</v>
      </c>
      <c r="N21" s="15" t="s">
        <v>485</v>
      </c>
      <c r="O21" s="15" t="s">
        <v>485</v>
      </c>
      <c r="P21" s="15" t="s">
        <v>485</v>
      </c>
      <c r="Q21" s="15" t="s">
        <v>485</v>
      </c>
      <c r="R21" s="15" t="s">
        <v>485</v>
      </c>
      <c r="S21" s="15" t="s">
        <v>485</v>
      </c>
      <c r="T21" s="15" t="s">
        <v>485</v>
      </c>
      <c r="U21" s="15" t="s">
        <v>485</v>
      </c>
      <c r="V21" s="14">
        <v>0.06</v>
      </c>
      <c r="W21" s="15" t="s">
        <v>485</v>
      </c>
      <c r="X21" s="15" t="s">
        <v>485</v>
      </c>
      <c r="Y21" s="14">
        <v>0.08</v>
      </c>
      <c r="Z21" s="14">
        <v>0.11</v>
      </c>
      <c r="AA21" s="14">
        <v>0.70000000000000007</v>
      </c>
      <c r="AB21" s="15" t="s">
        <v>485</v>
      </c>
      <c r="AC21" s="15" t="s">
        <v>485</v>
      </c>
      <c r="AD21" s="15" t="s">
        <v>485</v>
      </c>
      <c r="AE21" s="15" t="s">
        <v>485</v>
      </c>
      <c r="AF21" s="15" t="s">
        <v>485</v>
      </c>
    </row>
    <row r="22" spans="1:32">
      <c r="A22" s="23"/>
      <c r="B22" s="11" t="s">
        <v>1530</v>
      </c>
      <c r="C22" s="12">
        <v>27</v>
      </c>
      <c r="D22" s="12">
        <v>1</v>
      </c>
      <c r="E22" s="12">
        <v>0</v>
      </c>
      <c r="F22" s="12">
        <v>0</v>
      </c>
      <c r="G22" s="12">
        <v>0</v>
      </c>
      <c r="H22" s="12">
        <v>2</v>
      </c>
      <c r="I22" s="12">
        <v>4</v>
      </c>
      <c r="J22" s="12">
        <v>2</v>
      </c>
      <c r="K22" s="12">
        <v>0</v>
      </c>
      <c r="L22" s="12">
        <v>0</v>
      </c>
      <c r="M22" s="12">
        <v>1</v>
      </c>
      <c r="N22" s="12">
        <v>0</v>
      </c>
      <c r="O22" s="12">
        <v>0</v>
      </c>
      <c r="P22" s="12">
        <v>3</v>
      </c>
      <c r="Q22" s="12">
        <v>2</v>
      </c>
      <c r="R22" s="12">
        <v>0</v>
      </c>
      <c r="S22" s="12">
        <v>0</v>
      </c>
      <c r="T22" s="12">
        <v>0</v>
      </c>
      <c r="U22" s="12">
        <v>0</v>
      </c>
      <c r="V22" s="12">
        <v>2</v>
      </c>
      <c r="W22" s="12">
        <v>0</v>
      </c>
      <c r="X22" s="12">
        <v>0</v>
      </c>
      <c r="Y22" s="12">
        <v>1</v>
      </c>
      <c r="Z22" s="12">
        <v>0</v>
      </c>
      <c r="AA22" s="12">
        <v>0</v>
      </c>
      <c r="AB22" s="12">
        <v>0</v>
      </c>
      <c r="AC22" s="12">
        <v>1</v>
      </c>
      <c r="AD22" s="12">
        <v>1</v>
      </c>
      <c r="AE22" s="12">
        <v>0</v>
      </c>
      <c r="AF22" s="12">
        <v>0</v>
      </c>
    </row>
    <row r="23" spans="1:32">
      <c r="A23" s="23"/>
      <c r="B23" s="13" t="s">
        <v>1531</v>
      </c>
      <c r="C23" s="14">
        <v>0.1</v>
      </c>
      <c r="D23" s="14">
        <v>0.03</v>
      </c>
      <c r="E23" s="15" t="s">
        <v>485</v>
      </c>
      <c r="F23" s="15" t="s">
        <v>485</v>
      </c>
      <c r="G23" s="15" t="s">
        <v>485</v>
      </c>
      <c r="H23" s="14">
        <v>0.18</v>
      </c>
      <c r="I23" s="14">
        <v>0.19</v>
      </c>
      <c r="J23" s="14">
        <v>0.19</v>
      </c>
      <c r="K23" s="15" t="s">
        <v>485</v>
      </c>
      <c r="L23" s="15" t="s">
        <v>485</v>
      </c>
      <c r="M23" s="14">
        <v>0.47</v>
      </c>
      <c r="N23" s="15" t="s">
        <v>485</v>
      </c>
      <c r="O23" s="15" t="s">
        <v>485</v>
      </c>
      <c r="P23" s="14">
        <v>0.32</v>
      </c>
      <c r="Q23" s="14">
        <v>0.13</v>
      </c>
      <c r="R23" s="15" t="s">
        <v>485</v>
      </c>
      <c r="S23" s="15" t="s">
        <v>485</v>
      </c>
      <c r="T23" s="15" t="s">
        <v>485</v>
      </c>
      <c r="U23" s="15" t="s">
        <v>485</v>
      </c>
      <c r="V23" s="14">
        <v>0.15</v>
      </c>
      <c r="W23" s="15" t="s">
        <v>485</v>
      </c>
      <c r="X23" s="15" t="s">
        <v>485</v>
      </c>
      <c r="Y23" s="14">
        <v>0.05</v>
      </c>
      <c r="Z23" s="15" t="s">
        <v>485</v>
      </c>
      <c r="AA23" s="15" t="s">
        <v>485</v>
      </c>
      <c r="AB23" s="15" t="s">
        <v>485</v>
      </c>
      <c r="AC23" s="14">
        <v>0.14000000000000001</v>
      </c>
      <c r="AD23" s="14">
        <v>0.24</v>
      </c>
      <c r="AE23" s="15" t="s">
        <v>485</v>
      </c>
      <c r="AF23" s="15" t="s">
        <v>485</v>
      </c>
    </row>
    <row r="24" spans="1:32">
      <c r="A24" s="23"/>
      <c r="B24" s="11" t="s">
        <v>497</v>
      </c>
      <c r="C24" s="12">
        <v>54</v>
      </c>
      <c r="D24" s="12">
        <v>2</v>
      </c>
      <c r="E24" s="12">
        <v>0</v>
      </c>
      <c r="F24" s="12">
        <v>0</v>
      </c>
      <c r="G24" s="12">
        <v>3</v>
      </c>
      <c r="H24" s="12">
        <v>1</v>
      </c>
      <c r="I24" s="12">
        <v>1</v>
      </c>
      <c r="J24" s="12">
        <v>0</v>
      </c>
      <c r="K24" s="12">
        <v>1</v>
      </c>
      <c r="L24" s="12">
        <v>5</v>
      </c>
      <c r="M24" s="12">
        <v>0</v>
      </c>
      <c r="N24" s="12">
        <v>1</v>
      </c>
      <c r="O24" s="12">
        <v>1</v>
      </c>
      <c r="P24" s="12">
        <v>2</v>
      </c>
      <c r="Q24" s="12">
        <v>4</v>
      </c>
      <c r="R24" s="12">
        <v>0</v>
      </c>
      <c r="S24" s="12">
        <v>1</v>
      </c>
      <c r="T24" s="12">
        <v>1</v>
      </c>
      <c r="U24" s="12">
        <v>1</v>
      </c>
      <c r="V24" s="12">
        <v>2</v>
      </c>
      <c r="W24" s="12">
        <v>2</v>
      </c>
      <c r="X24" s="12">
        <v>6</v>
      </c>
      <c r="Y24" s="12">
        <v>5</v>
      </c>
      <c r="Z24" s="12">
        <v>6</v>
      </c>
      <c r="AA24" s="12">
        <v>1</v>
      </c>
      <c r="AB24" s="12">
        <v>0</v>
      </c>
      <c r="AC24" s="12">
        <v>3</v>
      </c>
      <c r="AD24" s="12">
        <v>0</v>
      </c>
      <c r="AE24" s="12">
        <v>1</v>
      </c>
      <c r="AF24" s="12">
        <v>4</v>
      </c>
    </row>
    <row r="25" spans="1:32">
      <c r="A25" s="23"/>
      <c r="B25" s="13" t="s">
        <v>498</v>
      </c>
      <c r="C25" s="14">
        <v>0.2</v>
      </c>
      <c r="D25" s="14">
        <v>0.12</v>
      </c>
      <c r="E25" s="15" t="s">
        <v>485</v>
      </c>
      <c r="F25" s="15" t="s">
        <v>485</v>
      </c>
      <c r="G25" s="14">
        <v>0.21</v>
      </c>
      <c r="H25" s="14">
        <v>0.06</v>
      </c>
      <c r="I25" s="14">
        <v>0.05</v>
      </c>
      <c r="J25" s="14">
        <v>0.04</v>
      </c>
      <c r="K25" s="14">
        <v>0.16</v>
      </c>
      <c r="L25" s="14">
        <v>0.70000000000000007</v>
      </c>
      <c r="M25" s="15" t="s">
        <v>485</v>
      </c>
      <c r="N25" s="14">
        <v>0.3</v>
      </c>
      <c r="O25" s="14">
        <v>0.15</v>
      </c>
      <c r="P25" s="14">
        <v>0.22</v>
      </c>
      <c r="Q25" s="14">
        <v>0.23</v>
      </c>
      <c r="R25" s="15" t="s">
        <v>485</v>
      </c>
      <c r="S25" s="14">
        <v>0.36</v>
      </c>
      <c r="T25" s="14">
        <v>0.28999999999999998</v>
      </c>
      <c r="U25" s="14">
        <v>0.3</v>
      </c>
      <c r="V25" s="14">
        <v>0.09</v>
      </c>
      <c r="W25" s="14">
        <v>0.38</v>
      </c>
      <c r="X25" s="14">
        <v>0.33</v>
      </c>
      <c r="Y25" s="14">
        <v>0.27</v>
      </c>
      <c r="Z25" s="14">
        <v>0.8</v>
      </c>
      <c r="AA25" s="14">
        <v>0.39</v>
      </c>
      <c r="AB25" s="15" t="s">
        <v>485</v>
      </c>
      <c r="AC25" s="14">
        <v>0.34</v>
      </c>
      <c r="AD25" s="15" t="s">
        <v>485</v>
      </c>
      <c r="AE25" s="14">
        <v>0.16</v>
      </c>
      <c r="AF25" s="14">
        <v>0.31</v>
      </c>
    </row>
    <row r="26" spans="1:32">
      <c r="A26" s="23"/>
      <c r="B26" s="11" t="s">
        <v>1532</v>
      </c>
      <c r="C26" s="12">
        <v>586.11</v>
      </c>
      <c r="D26" s="12">
        <v>132.94999999999999</v>
      </c>
      <c r="E26" s="12">
        <v>653.48</v>
      </c>
      <c r="F26" s="12">
        <v>97.86</v>
      </c>
      <c r="G26" s="12">
        <v>316.97000000000003</v>
      </c>
      <c r="H26" s="12">
        <v>1131.31</v>
      </c>
      <c r="I26" s="12">
        <v>583.54</v>
      </c>
      <c r="J26" s="12">
        <v>81.02</v>
      </c>
      <c r="K26" s="12">
        <v>162.29</v>
      </c>
      <c r="L26" s="12">
        <v>168.45</v>
      </c>
      <c r="M26" s="12">
        <v>200</v>
      </c>
      <c r="N26" s="12">
        <v>5955.66</v>
      </c>
      <c r="O26" s="12">
        <v>570.91</v>
      </c>
      <c r="P26" s="12">
        <v>422.63</v>
      </c>
      <c r="Q26" s="12">
        <v>185.58</v>
      </c>
      <c r="R26" s="12">
        <v>116.41</v>
      </c>
      <c r="S26" s="12">
        <v>41.18</v>
      </c>
      <c r="T26" s="12">
        <v>14.52</v>
      </c>
      <c r="U26" s="12">
        <v>143.22999999999999</v>
      </c>
      <c r="V26" s="12">
        <v>146.25</v>
      </c>
      <c r="W26" s="12">
        <v>279.32</v>
      </c>
      <c r="X26" s="12">
        <v>1497.36</v>
      </c>
      <c r="Y26" s="12">
        <v>111.03</v>
      </c>
      <c r="Z26" s="12">
        <v>134.74</v>
      </c>
      <c r="AA26" s="12">
        <v>0</v>
      </c>
      <c r="AB26" s="12">
        <v>100</v>
      </c>
      <c r="AC26" s="12">
        <v>1330.45</v>
      </c>
      <c r="AD26" s="12">
        <v>82.86</v>
      </c>
      <c r="AE26" s="12">
        <v>501.66</v>
      </c>
      <c r="AF26" s="12">
        <v>506.41</v>
      </c>
    </row>
    <row r="27" spans="1:32">
      <c r="A27" s="23"/>
      <c r="B27" s="13" t="s">
        <v>1533</v>
      </c>
      <c r="C27" s="15" t="s">
        <v>485</v>
      </c>
      <c r="D27" s="15" t="s">
        <v>485</v>
      </c>
      <c r="E27" s="15" t="s">
        <v>485</v>
      </c>
      <c r="F27" s="15" t="s">
        <v>485</v>
      </c>
      <c r="G27" s="15" t="s">
        <v>485</v>
      </c>
      <c r="H27" s="15" t="s">
        <v>485</v>
      </c>
      <c r="I27" s="15" t="s">
        <v>485</v>
      </c>
      <c r="J27" s="15" t="s">
        <v>485</v>
      </c>
      <c r="K27" s="15" t="s">
        <v>485</v>
      </c>
      <c r="L27" s="15" t="s">
        <v>485</v>
      </c>
      <c r="M27" s="15" t="s">
        <v>485</v>
      </c>
      <c r="N27" s="15" t="s">
        <v>485</v>
      </c>
      <c r="O27" s="15" t="s">
        <v>485</v>
      </c>
      <c r="P27" s="15" t="s">
        <v>485</v>
      </c>
      <c r="Q27" s="15" t="s">
        <v>485</v>
      </c>
      <c r="R27" s="15" t="s">
        <v>485</v>
      </c>
      <c r="S27" s="15" t="s">
        <v>485</v>
      </c>
      <c r="T27" s="15" t="s">
        <v>485</v>
      </c>
      <c r="U27" s="15" t="s">
        <v>485</v>
      </c>
      <c r="V27" s="15" t="s">
        <v>485</v>
      </c>
      <c r="W27" s="15" t="s">
        <v>485</v>
      </c>
      <c r="X27" s="15" t="s">
        <v>485</v>
      </c>
      <c r="Y27" s="15" t="s">
        <v>485</v>
      </c>
      <c r="Z27" s="15" t="s">
        <v>485</v>
      </c>
      <c r="AA27" s="15" t="s">
        <v>485</v>
      </c>
      <c r="AB27" s="15" t="s">
        <v>485</v>
      </c>
      <c r="AC27" s="15" t="s">
        <v>485</v>
      </c>
      <c r="AD27" s="15" t="s">
        <v>485</v>
      </c>
      <c r="AE27" s="15" t="s">
        <v>485</v>
      </c>
      <c r="AF27" s="15" t="s">
        <v>485</v>
      </c>
    </row>
    <row r="28" spans="1:32">
      <c r="A28" s="23"/>
      <c r="B28" s="11" t="s">
        <v>1534</v>
      </c>
      <c r="C28" s="12">
        <v>50</v>
      </c>
      <c r="D28" s="12">
        <v>50</v>
      </c>
      <c r="E28" s="12">
        <v>511</v>
      </c>
      <c r="F28" s="12">
        <v>19</v>
      </c>
      <c r="G28" s="12">
        <v>160</v>
      </c>
      <c r="H28" s="12">
        <v>50</v>
      </c>
      <c r="I28" s="12">
        <v>20</v>
      </c>
      <c r="J28" s="12">
        <v>20</v>
      </c>
      <c r="K28" s="12">
        <v>100</v>
      </c>
      <c r="L28" s="12">
        <v>0</v>
      </c>
      <c r="M28" s="12">
        <v>0</v>
      </c>
      <c r="N28" s="12">
        <v>0</v>
      </c>
      <c r="O28" s="12">
        <v>50</v>
      </c>
      <c r="P28" s="12">
        <v>100</v>
      </c>
      <c r="Q28" s="12">
        <v>50</v>
      </c>
      <c r="R28" s="12">
        <v>50</v>
      </c>
      <c r="S28" s="12">
        <v>2</v>
      </c>
      <c r="T28" s="12">
        <v>0</v>
      </c>
      <c r="U28" s="12">
        <v>0</v>
      </c>
      <c r="V28" s="12">
        <v>120</v>
      </c>
      <c r="W28" s="12">
        <v>250</v>
      </c>
      <c r="X28" s="12">
        <v>60</v>
      </c>
      <c r="Y28" s="12">
        <v>50</v>
      </c>
      <c r="Z28" s="12">
        <v>0</v>
      </c>
      <c r="AA28" s="12">
        <v>0</v>
      </c>
      <c r="AB28" s="12">
        <v>0</v>
      </c>
      <c r="AC28" s="12">
        <v>0</v>
      </c>
      <c r="AD28" s="12">
        <v>0</v>
      </c>
      <c r="AE28" s="12">
        <v>40</v>
      </c>
      <c r="AF28" s="12">
        <v>21</v>
      </c>
    </row>
    <row r="29" spans="1:32">
      <c r="A29" s="23"/>
      <c r="B29" s="13" t="s">
        <v>1535</v>
      </c>
      <c r="C29" s="15" t="s">
        <v>485</v>
      </c>
      <c r="D29" s="15" t="s">
        <v>485</v>
      </c>
      <c r="E29" s="15" t="s">
        <v>485</v>
      </c>
      <c r="F29" s="15" t="s">
        <v>485</v>
      </c>
      <c r="G29" s="15" t="s">
        <v>485</v>
      </c>
      <c r="H29" s="15" t="s">
        <v>485</v>
      </c>
      <c r="I29" s="15" t="s">
        <v>485</v>
      </c>
      <c r="J29" s="15" t="s">
        <v>485</v>
      </c>
      <c r="K29" s="15" t="s">
        <v>485</v>
      </c>
      <c r="L29" s="15" t="s">
        <v>485</v>
      </c>
      <c r="M29" s="15" t="s">
        <v>485</v>
      </c>
      <c r="N29" s="15" t="s">
        <v>485</v>
      </c>
      <c r="O29" s="15" t="s">
        <v>485</v>
      </c>
      <c r="P29" s="15" t="s">
        <v>485</v>
      </c>
      <c r="Q29" s="15" t="s">
        <v>485</v>
      </c>
      <c r="R29" s="15" t="s">
        <v>485</v>
      </c>
      <c r="S29" s="15" t="s">
        <v>485</v>
      </c>
      <c r="T29" s="15" t="s">
        <v>485</v>
      </c>
      <c r="U29" s="15" t="s">
        <v>485</v>
      </c>
      <c r="V29" s="15" t="s">
        <v>485</v>
      </c>
      <c r="W29" s="15" t="s">
        <v>485</v>
      </c>
      <c r="X29" s="15" t="s">
        <v>485</v>
      </c>
      <c r="Y29" s="15" t="s">
        <v>485</v>
      </c>
      <c r="Z29" s="15" t="s">
        <v>485</v>
      </c>
      <c r="AA29" s="15" t="s">
        <v>485</v>
      </c>
      <c r="AB29" s="15" t="s">
        <v>485</v>
      </c>
      <c r="AC29" s="15" t="s">
        <v>485</v>
      </c>
      <c r="AD29" s="15" t="s">
        <v>485</v>
      </c>
      <c r="AE29" s="15" t="s">
        <v>485</v>
      </c>
      <c r="AF29" s="15" t="s">
        <v>485</v>
      </c>
    </row>
  </sheetData>
  <mergeCells count="9">
    <mergeCell ref="B4:F4"/>
    <mergeCell ref="H3:L3"/>
    <mergeCell ref="C8:AF8"/>
    <mergeCell ref="A10:A29"/>
    <mergeCell ref="B5:F5"/>
    <mergeCell ref="B3:F3"/>
    <mergeCell ref="H5:L5"/>
    <mergeCell ref="B10:B11"/>
    <mergeCell ref="H4:L4"/>
  </mergeCells>
  <pageMargins left="0.75" right="0.75" top="1" bottom="1" header="0.5" footer="0.5"/>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C00-000000000000}">
  <dimension ref="A1:AC2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29" width="12.42578125" customWidth="1"/>
  </cols>
  <sheetData>
    <row r="1" spans="1:29">
      <c r="I1" s="7" t="s">
        <v>449</v>
      </c>
    </row>
    <row r="2" spans="1:29">
      <c r="C2" s="7" t="s">
        <v>450</v>
      </c>
      <c r="H2" s="7" t="s">
        <v>451</v>
      </c>
    </row>
    <row r="3" spans="1:29" ht="36" customHeight="1">
      <c r="B3" s="19" t="s">
        <v>351</v>
      </c>
      <c r="C3" s="19"/>
      <c r="D3" s="19"/>
      <c r="E3" s="19"/>
      <c r="F3" s="19"/>
      <c r="H3" s="19" t="s">
        <v>352</v>
      </c>
      <c r="I3" s="19"/>
      <c r="J3" s="19"/>
      <c r="K3" s="19"/>
      <c r="L3" s="19"/>
    </row>
    <row r="4" spans="1:29" ht="27" customHeight="1">
      <c r="B4" s="19"/>
      <c r="C4" s="19"/>
      <c r="D4" s="19"/>
      <c r="E4" s="19"/>
      <c r="F4" s="19"/>
      <c r="H4" s="19"/>
      <c r="I4" s="19"/>
      <c r="J4" s="19"/>
      <c r="K4" s="19"/>
      <c r="L4" s="19"/>
    </row>
    <row r="5" spans="1:29" ht="36" customHeight="1">
      <c r="B5" s="19" t="s">
        <v>1562</v>
      </c>
      <c r="C5" s="19"/>
      <c r="D5" s="19"/>
      <c r="E5" s="19"/>
      <c r="F5" s="19"/>
      <c r="H5" s="19" t="s">
        <v>1563</v>
      </c>
      <c r="I5" s="19"/>
      <c r="J5" s="19"/>
      <c r="K5" s="19"/>
      <c r="L5" s="19"/>
    </row>
    <row r="6" spans="1:29" ht="0.95" customHeight="1"/>
    <row r="7" spans="1:29" ht="0.95" customHeight="1"/>
    <row r="8" spans="1:29">
      <c r="C8" s="22"/>
      <c r="D8" s="22"/>
      <c r="E8" s="22"/>
      <c r="F8" s="22"/>
      <c r="G8" s="22"/>
      <c r="H8" s="22"/>
      <c r="I8" s="22"/>
      <c r="J8" s="22"/>
      <c r="K8" s="22"/>
      <c r="L8" s="22"/>
      <c r="M8" s="22"/>
      <c r="N8" s="22"/>
      <c r="O8" s="22"/>
      <c r="P8" s="22"/>
      <c r="Q8" s="22"/>
      <c r="R8" s="22"/>
      <c r="S8" s="22"/>
      <c r="T8" s="22"/>
      <c r="U8" s="22"/>
      <c r="V8" s="22"/>
      <c r="W8" s="22"/>
      <c r="X8" s="22"/>
      <c r="Y8" s="22"/>
      <c r="Z8" s="22"/>
      <c r="AA8" s="22"/>
      <c r="AB8" s="22"/>
      <c r="AC8" s="22"/>
    </row>
    <row r="9" spans="1:29" ht="18">
      <c r="A9" s="5" t="str">
        <f>HYPERLINK("#Content!A177","&lt;&lt;Back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471</v>
      </c>
      <c r="T9" s="8" t="s">
        <v>472</v>
      </c>
      <c r="U9" s="8" t="s">
        <v>473</v>
      </c>
      <c r="V9" s="8" t="s">
        <v>474</v>
      </c>
      <c r="W9" s="8" t="s">
        <v>475</v>
      </c>
      <c r="X9" s="8" t="s">
        <v>476</v>
      </c>
      <c r="Y9" s="8" t="s">
        <v>477</v>
      </c>
      <c r="Z9" s="8" t="s">
        <v>479</v>
      </c>
      <c r="AA9" s="8" t="s">
        <v>480</v>
      </c>
      <c r="AB9" s="8" t="s">
        <v>481</v>
      </c>
      <c r="AC9" s="8" t="s">
        <v>483</v>
      </c>
    </row>
    <row r="10" spans="1:29">
      <c r="A10" s="23"/>
      <c r="B10" s="18" t="s">
        <v>484</v>
      </c>
      <c r="C10" s="10">
        <v>103</v>
      </c>
      <c r="D10" s="10">
        <v>19</v>
      </c>
      <c r="E10" s="10">
        <v>5</v>
      </c>
      <c r="F10" s="10">
        <v>5</v>
      </c>
      <c r="G10" s="10">
        <v>1</v>
      </c>
      <c r="H10" s="10">
        <v>5</v>
      </c>
      <c r="I10" s="10">
        <v>6</v>
      </c>
      <c r="J10" s="10">
        <v>1</v>
      </c>
      <c r="K10" s="10">
        <v>2</v>
      </c>
      <c r="L10" s="10">
        <v>2</v>
      </c>
      <c r="M10" s="10">
        <v>2</v>
      </c>
      <c r="N10" s="10">
        <v>2</v>
      </c>
      <c r="O10" s="10">
        <v>1</v>
      </c>
      <c r="P10" s="10">
        <v>8</v>
      </c>
      <c r="Q10" s="10">
        <v>6</v>
      </c>
      <c r="R10" s="10">
        <v>2</v>
      </c>
      <c r="S10" s="10">
        <v>2</v>
      </c>
      <c r="T10" s="10">
        <v>1</v>
      </c>
      <c r="U10" s="10">
        <v>1</v>
      </c>
      <c r="V10" s="10">
        <v>3</v>
      </c>
      <c r="W10" s="10">
        <v>6</v>
      </c>
      <c r="X10" s="10">
        <v>7</v>
      </c>
      <c r="Y10" s="10">
        <v>8</v>
      </c>
      <c r="Z10" s="10">
        <v>3</v>
      </c>
      <c r="AA10" s="10">
        <v>1</v>
      </c>
      <c r="AB10" s="10">
        <v>2</v>
      </c>
      <c r="AC10" s="10">
        <v>3</v>
      </c>
    </row>
    <row r="11" spans="1:29">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row>
    <row r="12" spans="1:29">
      <c r="A12" s="23"/>
      <c r="B12" s="11" t="s">
        <v>1524</v>
      </c>
      <c r="C12" s="12">
        <v>14</v>
      </c>
      <c r="D12" s="12">
        <v>5</v>
      </c>
      <c r="E12" s="12">
        <v>0</v>
      </c>
      <c r="F12" s="12">
        <v>3</v>
      </c>
      <c r="G12" s="12">
        <v>1</v>
      </c>
      <c r="H12" s="12">
        <v>0</v>
      </c>
      <c r="I12" s="12">
        <v>0</v>
      </c>
      <c r="J12" s="12">
        <v>0</v>
      </c>
      <c r="K12" s="12">
        <v>0</v>
      </c>
      <c r="L12" s="12">
        <v>0</v>
      </c>
      <c r="M12" s="12">
        <v>0</v>
      </c>
      <c r="N12" s="12">
        <v>0</v>
      </c>
      <c r="O12" s="12">
        <v>0</v>
      </c>
      <c r="P12" s="12">
        <v>0</v>
      </c>
      <c r="Q12" s="12">
        <v>1</v>
      </c>
      <c r="R12" s="12">
        <v>0</v>
      </c>
      <c r="S12" s="12">
        <v>0</v>
      </c>
      <c r="T12" s="12">
        <v>0</v>
      </c>
      <c r="U12" s="12">
        <v>0</v>
      </c>
      <c r="V12" s="12">
        <v>1</v>
      </c>
      <c r="W12" s="12">
        <v>1</v>
      </c>
      <c r="X12" s="12">
        <v>2</v>
      </c>
      <c r="Y12" s="12">
        <v>0</v>
      </c>
      <c r="Z12" s="12">
        <v>1</v>
      </c>
      <c r="AA12" s="12">
        <v>0</v>
      </c>
      <c r="AB12" s="12">
        <v>0</v>
      </c>
      <c r="AC12" s="12">
        <v>0</v>
      </c>
    </row>
    <row r="13" spans="1:29">
      <c r="A13" s="23"/>
      <c r="B13" s="13" t="s">
        <v>1524</v>
      </c>
      <c r="C13" s="14">
        <v>0.14000000000000001</v>
      </c>
      <c r="D13" s="14">
        <v>0.27</v>
      </c>
      <c r="E13" s="15" t="s">
        <v>485</v>
      </c>
      <c r="F13" s="14">
        <v>0.70000000000000007</v>
      </c>
      <c r="G13" s="14">
        <v>1.24</v>
      </c>
      <c r="H13" s="15" t="s">
        <v>485</v>
      </c>
      <c r="I13" s="14">
        <v>0.09</v>
      </c>
      <c r="J13" s="14">
        <v>0.46</v>
      </c>
      <c r="K13" s="15" t="s">
        <v>485</v>
      </c>
      <c r="L13" s="15" t="s">
        <v>485</v>
      </c>
      <c r="M13" s="15" t="s">
        <v>485</v>
      </c>
      <c r="N13" s="15" t="s">
        <v>485</v>
      </c>
      <c r="O13" s="15" t="s">
        <v>485</v>
      </c>
      <c r="P13" s="15" t="s">
        <v>485</v>
      </c>
      <c r="Q13" s="14">
        <v>0.15</v>
      </c>
      <c r="R13" s="15" t="s">
        <v>485</v>
      </c>
      <c r="S13" s="15" t="s">
        <v>485</v>
      </c>
      <c r="T13" s="15" t="s">
        <v>485</v>
      </c>
      <c r="U13" s="15" t="s">
        <v>485</v>
      </c>
      <c r="V13" s="14">
        <v>0.2</v>
      </c>
      <c r="W13" s="14">
        <v>0.23</v>
      </c>
      <c r="X13" s="14">
        <v>0.26</v>
      </c>
      <c r="Y13" s="15" t="s">
        <v>485</v>
      </c>
      <c r="Z13" s="14">
        <v>0.25</v>
      </c>
      <c r="AA13" s="15" t="s">
        <v>485</v>
      </c>
      <c r="AB13" s="15" t="s">
        <v>485</v>
      </c>
      <c r="AC13" s="15" t="s">
        <v>485</v>
      </c>
    </row>
    <row r="14" spans="1:29">
      <c r="A14" s="23"/>
      <c r="B14" s="11" t="s">
        <v>1525</v>
      </c>
      <c r="C14" s="12">
        <v>15</v>
      </c>
      <c r="D14" s="12">
        <v>2</v>
      </c>
      <c r="E14" s="12">
        <v>1</v>
      </c>
      <c r="F14" s="12">
        <v>0</v>
      </c>
      <c r="G14" s="12">
        <v>0</v>
      </c>
      <c r="H14" s="12">
        <v>0</v>
      </c>
      <c r="I14" s="12">
        <v>0</v>
      </c>
      <c r="J14" s="12">
        <v>0</v>
      </c>
      <c r="K14" s="12">
        <v>1</v>
      </c>
      <c r="L14" s="12">
        <v>0</v>
      </c>
      <c r="M14" s="12">
        <v>0</v>
      </c>
      <c r="N14" s="12">
        <v>1</v>
      </c>
      <c r="O14" s="12">
        <v>0</v>
      </c>
      <c r="P14" s="12">
        <v>1</v>
      </c>
      <c r="Q14" s="12">
        <v>2</v>
      </c>
      <c r="R14" s="12">
        <v>0</v>
      </c>
      <c r="S14" s="12">
        <v>2</v>
      </c>
      <c r="T14" s="12">
        <v>0</v>
      </c>
      <c r="U14" s="12">
        <v>0</v>
      </c>
      <c r="V14" s="12">
        <v>0</v>
      </c>
      <c r="W14" s="12">
        <v>0</v>
      </c>
      <c r="X14" s="12">
        <v>0</v>
      </c>
      <c r="Y14" s="12">
        <v>1</v>
      </c>
      <c r="Z14" s="12">
        <v>0</v>
      </c>
      <c r="AA14" s="12">
        <v>1</v>
      </c>
      <c r="AB14" s="12">
        <v>0</v>
      </c>
      <c r="AC14" s="12">
        <v>0</v>
      </c>
    </row>
    <row r="15" spans="1:29">
      <c r="A15" s="23"/>
      <c r="B15" s="13" t="s">
        <v>1525</v>
      </c>
      <c r="C15" s="14">
        <v>0.15</v>
      </c>
      <c r="D15" s="14">
        <v>0.09</v>
      </c>
      <c r="E15" s="14">
        <v>0.16</v>
      </c>
      <c r="F15" s="15" t="s">
        <v>485</v>
      </c>
      <c r="G15" s="15" t="s">
        <v>485</v>
      </c>
      <c r="H15" s="15" t="s">
        <v>485</v>
      </c>
      <c r="I15" s="15" t="s">
        <v>485</v>
      </c>
      <c r="J15" s="15" t="s">
        <v>485</v>
      </c>
      <c r="K15" s="14">
        <v>0.64</v>
      </c>
      <c r="L15" s="15" t="s">
        <v>485</v>
      </c>
      <c r="M15" s="15" t="s">
        <v>485</v>
      </c>
      <c r="N15" s="14">
        <v>0.64</v>
      </c>
      <c r="O15" s="15" t="s">
        <v>485</v>
      </c>
      <c r="P15" s="14">
        <v>0.16</v>
      </c>
      <c r="Q15" s="14">
        <v>0.32</v>
      </c>
      <c r="R15" s="15" t="s">
        <v>485</v>
      </c>
      <c r="S15" s="14">
        <v>0.86</v>
      </c>
      <c r="T15" s="15" t="s">
        <v>485</v>
      </c>
      <c r="U15" s="15" t="s">
        <v>485</v>
      </c>
      <c r="V15" s="15" t="s">
        <v>485</v>
      </c>
      <c r="W15" s="15" t="s">
        <v>485</v>
      </c>
      <c r="X15" s="15" t="s">
        <v>485</v>
      </c>
      <c r="Y15" s="14">
        <v>0.14000000000000001</v>
      </c>
      <c r="Z15" s="15" t="s">
        <v>485</v>
      </c>
      <c r="AA15" s="14">
        <v>1.1499999999999999</v>
      </c>
      <c r="AB15" s="15" t="s">
        <v>485</v>
      </c>
      <c r="AC15" s="15" t="s">
        <v>485</v>
      </c>
    </row>
    <row r="16" spans="1:29">
      <c r="A16" s="23"/>
      <c r="B16" s="11" t="s">
        <v>1526</v>
      </c>
      <c r="C16" s="12">
        <v>13</v>
      </c>
      <c r="D16" s="12">
        <v>0</v>
      </c>
      <c r="E16" s="12">
        <v>0</v>
      </c>
      <c r="F16" s="12">
        <v>0</v>
      </c>
      <c r="G16" s="12">
        <v>0</v>
      </c>
      <c r="H16" s="12">
        <v>0</v>
      </c>
      <c r="I16" s="12">
        <v>0</v>
      </c>
      <c r="J16" s="12">
        <v>0</v>
      </c>
      <c r="K16" s="12">
        <v>1</v>
      </c>
      <c r="L16" s="12">
        <v>0</v>
      </c>
      <c r="M16" s="12">
        <v>0</v>
      </c>
      <c r="N16" s="12">
        <v>0</v>
      </c>
      <c r="O16" s="12">
        <v>0</v>
      </c>
      <c r="P16" s="12">
        <v>0</v>
      </c>
      <c r="Q16" s="12">
        <v>2</v>
      </c>
      <c r="R16" s="12">
        <v>0</v>
      </c>
      <c r="S16" s="12">
        <v>0</v>
      </c>
      <c r="T16" s="12">
        <v>0</v>
      </c>
      <c r="U16" s="12">
        <v>0</v>
      </c>
      <c r="V16" s="12">
        <v>0</v>
      </c>
      <c r="W16" s="12">
        <v>1</v>
      </c>
      <c r="X16" s="12">
        <v>0</v>
      </c>
      <c r="Y16" s="12">
        <v>2</v>
      </c>
      <c r="Z16" s="12">
        <v>0</v>
      </c>
      <c r="AA16" s="12">
        <v>0</v>
      </c>
      <c r="AB16" s="12">
        <v>0</v>
      </c>
      <c r="AC16" s="12">
        <v>0</v>
      </c>
    </row>
    <row r="17" spans="1:29">
      <c r="A17" s="23"/>
      <c r="B17" s="13" t="s">
        <v>1526</v>
      </c>
      <c r="C17" s="14">
        <v>0.12</v>
      </c>
      <c r="D17" s="15" t="s">
        <v>485</v>
      </c>
      <c r="E17" s="15" t="s">
        <v>485</v>
      </c>
      <c r="F17" s="15" t="s">
        <v>485</v>
      </c>
      <c r="G17" s="15" t="s">
        <v>485</v>
      </c>
      <c r="H17" s="15" t="s">
        <v>485</v>
      </c>
      <c r="I17" s="15" t="s">
        <v>485</v>
      </c>
      <c r="J17" s="15" t="s">
        <v>485</v>
      </c>
      <c r="K17" s="14">
        <v>0.52</v>
      </c>
      <c r="L17" s="15" t="s">
        <v>485</v>
      </c>
      <c r="M17" s="15" t="s">
        <v>485</v>
      </c>
      <c r="N17" s="15" t="s">
        <v>485</v>
      </c>
      <c r="O17" s="15" t="s">
        <v>485</v>
      </c>
      <c r="P17" s="15" t="s">
        <v>485</v>
      </c>
      <c r="Q17" s="14">
        <v>0.38</v>
      </c>
      <c r="R17" s="15" t="s">
        <v>485</v>
      </c>
      <c r="S17" s="15" t="s">
        <v>485</v>
      </c>
      <c r="T17" s="15" t="s">
        <v>485</v>
      </c>
      <c r="U17" s="15" t="s">
        <v>485</v>
      </c>
      <c r="V17" s="15" t="s">
        <v>485</v>
      </c>
      <c r="W17" s="14">
        <v>0.11</v>
      </c>
      <c r="X17" s="15" t="s">
        <v>485</v>
      </c>
      <c r="Y17" s="14">
        <v>0.25</v>
      </c>
      <c r="Z17" s="15" t="s">
        <v>485</v>
      </c>
      <c r="AA17" s="15" t="s">
        <v>485</v>
      </c>
      <c r="AB17" s="15" t="s">
        <v>485</v>
      </c>
      <c r="AC17" s="15" t="s">
        <v>485</v>
      </c>
    </row>
    <row r="18" spans="1:29">
      <c r="A18" s="23"/>
      <c r="B18" s="11" t="s">
        <v>1527</v>
      </c>
      <c r="C18" s="12">
        <v>16</v>
      </c>
      <c r="D18" s="12">
        <v>4</v>
      </c>
      <c r="E18" s="12">
        <v>0</v>
      </c>
      <c r="F18" s="12">
        <v>0</v>
      </c>
      <c r="G18" s="12">
        <v>0</v>
      </c>
      <c r="H18" s="12">
        <v>2</v>
      </c>
      <c r="I18" s="12">
        <v>2</v>
      </c>
      <c r="J18" s="12">
        <v>0</v>
      </c>
      <c r="K18" s="12">
        <v>0</v>
      </c>
      <c r="L18" s="12">
        <v>0</v>
      </c>
      <c r="M18" s="12">
        <v>0</v>
      </c>
      <c r="N18" s="12">
        <v>1</v>
      </c>
      <c r="O18" s="12">
        <v>0</v>
      </c>
      <c r="P18" s="12">
        <v>3</v>
      </c>
      <c r="Q18" s="12">
        <v>0</v>
      </c>
      <c r="R18" s="12">
        <v>0</v>
      </c>
      <c r="S18" s="12">
        <v>0</v>
      </c>
      <c r="T18" s="12">
        <v>0</v>
      </c>
      <c r="U18" s="12">
        <v>0</v>
      </c>
      <c r="V18" s="12">
        <v>0</v>
      </c>
      <c r="W18" s="12">
        <v>0</v>
      </c>
      <c r="X18" s="12">
        <v>1</v>
      </c>
      <c r="Y18" s="12">
        <v>0</v>
      </c>
      <c r="Z18" s="12">
        <v>1</v>
      </c>
      <c r="AA18" s="12">
        <v>0</v>
      </c>
      <c r="AB18" s="12">
        <v>0</v>
      </c>
      <c r="AC18" s="12">
        <v>3</v>
      </c>
    </row>
    <row r="19" spans="1:29">
      <c r="A19" s="23"/>
      <c r="B19" s="13" t="s">
        <v>1527</v>
      </c>
      <c r="C19" s="14">
        <v>0.16</v>
      </c>
      <c r="D19" s="14">
        <v>0.22</v>
      </c>
      <c r="E19" s="15" t="s">
        <v>485</v>
      </c>
      <c r="F19" s="15" t="s">
        <v>485</v>
      </c>
      <c r="G19" s="15" t="s">
        <v>485</v>
      </c>
      <c r="H19" s="14">
        <v>0.41</v>
      </c>
      <c r="I19" s="14">
        <v>0.34</v>
      </c>
      <c r="J19" s="15" t="s">
        <v>485</v>
      </c>
      <c r="K19" s="15" t="s">
        <v>485</v>
      </c>
      <c r="L19" s="15" t="s">
        <v>485</v>
      </c>
      <c r="M19" s="15" t="s">
        <v>485</v>
      </c>
      <c r="N19" s="14">
        <v>0.45</v>
      </c>
      <c r="O19" s="15" t="s">
        <v>485</v>
      </c>
      <c r="P19" s="14">
        <v>0.34</v>
      </c>
      <c r="Q19" s="15" t="s">
        <v>485</v>
      </c>
      <c r="R19" s="15" t="s">
        <v>485</v>
      </c>
      <c r="S19" s="15" t="s">
        <v>485</v>
      </c>
      <c r="T19" s="15" t="s">
        <v>485</v>
      </c>
      <c r="U19" s="15" t="s">
        <v>485</v>
      </c>
      <c r="V19" s="15" t="s">
        <v>485</v>
      </c>
      <c r="W19" s="15" t="s">
        <v>485</v>
      </c>
      <c r="X19" s="14">
        <v>0.14000000000000001</v>
      </c>
      <c r="Y19" s="15" t="s">
        <v>485</v>
      </c>
      <c r="Z19" s="14">
        <v>0.4</v>
      </c>
      <c r="AA19" s="15" t="s">
        <v>485</v>
      </c>
      <c r="AB19" s="15" t="s">
        <v>485</v>
      </c>
      <c r="AC19" s="14">
        <v>1.1299999999999999</v>
      </c>
    </row>
    <row r="20" spans="1:29">
      <c r="A20" s="23"/>
      <c r="B20" s="11" t="s">
        <v>1528</v>
      </c>
      <c r="C20" s="12">
        <v>11</v>
      </c>
      <c r="D20" s="12">
        <v>3</v>
      </c>
      <c r="E20" s="12">
        <v>1</v>
      </c>
      <c r="F20" s="12">
        <v>0</v>
      </c>
      <c r="G20" s="12">
        <v>0</v>
      </c>
      <c r="H20" s="12">
        <v>0</v>
      </c>
      <c r="I20" s="12">
        <v>0</v>
      </c>
      <c r="J20" s="12">
        <v>0</v>
      </c>
      <c r="K20" s="12">
        <v>0</v>
      </c>
      <c r="L20" s="12">
        <v>0</v>
      </c>
      <c r="M20" s="12">
        <v>0</v>
      </c>
      <c r="N20" s="12">
        <v>0</v>
      </c>
      <c r="O20" s="12">
        <v>0</v>
      </c>
      <c r="P20" s="12">
        <v>0</v>
      </c>
      <c r="Q20" s="12">
        <v>1</v>
      </c>
      <c r="R20" s="12">
        <v>0</v>
      </c>
      <c r="S20" s="12">
        <v>0</v>
      </c>
      <c r="T20" s="12">
        <v>0</v>
      </c>
      <c r="U20" s="12">
        <v>0</v>
      </c>
      <c r="V20" s="12">
        <v>0</v>
      </c>
      <c r="W20" s="12">
        <v>3</v>
      </c>
      <c r="X20" s="12">
        <v>0</v>
      </c>
      <c r="Y20" s="12">
        <v>0</v>
      </c>
      <c r="Z20" s="12">
        <v>0</v>
      </c>
      <c r="AA20" s="12">
        <v>0</v>
      </c>
      <c r="AB20" s="12">
        <v>0</v>
      </c>
      <c r="AC20" s="12">
        <v>0</v>
      </c>
    </row>
    <row r="21" spans="1:29">
      <c r="A21" s="23"/>
      <c r="B21" s="13" t="s">
        <v>1529</v>
      </c>
      <c r="C21" s="14">
        <v>0.1</v>
      </c>
      <c r="D21" s="14">
        <v>0.15</v>
      </c>
      <c r="E21" s="14">
        <v>0.28000000000000003</v>
      </c>
      <c r="F21" s="15" t="s">
        <v>485</v>
      </c>
      <c r="G21" s="15" t="s">
        <v>485</v>
      </c>
      <c r="H21" s="15" t="s">
        <v>485</v>
      </c>
      <c r="I21" s="14">
        <v>0.08</v>
      </c>
      <c r="J21" s="14">
        <v>0.44</v>
      </c>
      <c r="K21" s="15" t="s">
        <v>485</v>
      </c>
      <c r="L21" s="15" t="s">
        <v>485</v>
      </c>
      <c r="M21" s="15" t="s">
        <v>485</v>
      </c>
      <c r="N21" s="15" t="s">
        <v>485</v>
      </c>
      <c r="O21" s="15" t="s">
        <v>485</v>
      </c>
      <c r="P21" s="15" t="s">
        <v>485</v>
      </c>
      <c r="Q21" s="14">
        <v>0.16</v>
      </c>
      <c r="R21" s="15" t="s">
        <v>485</v>
      </c>
      <c r="S21" s="15" t="s">
        <v>485</v>
      </c>
      <c r="T21" s="15" t="s">
        <v>485</v>
      </c>
      <c r="U21" s="15" t="s">
        <v>485</v>
      </c>
      <c r="V21" s="15" t="s">
        <v>485</v>
      </c>
      <c r="W21" s="14">
        <v>0.52</v>
      </c>
      <c r="X21" s="15" t="s">
        <v>485</v>
      </c>
      <c r="Y21" s="15" t="s">
        <v>485</v>
      </c>
      <c r="Z21" s="15" t="s">
        <v>485</v>
      </c>
      <c r="AA21" s="15" t="s">
        <v>485</v>
      </c>
      <c r="AB21" s="15" t="s">
        <v>485</v>
      </c>
      <c r="AC21" s="15" t="s">
        <v>485</v>
      </c>
    </row>
    <row r="22" spans="1:29">
      <c r="A22" s="23"/>
      <c r="B22" s="11" t="s">
        <v>1530</v>
      </c>
      <c r="C22" s="12">
        <v>14</v>
      </c>
      <c r="D22" s="12">
        <v>0</v>
      </c>
      <c r="E22" s="12">
        <v>0</v>
      </c>
      <c r="F22" s="12">
        <v>0</v>
      </c>
      <c r="G22" s="12">
        <v>0</v>
      </c>
      <c r="H22" s="12">
        <v>3</v>
      </c>
      <c r="I22" s="12">
        <v>3</v>
      </c>
      <c r="J22" s="12">
        <v>0</v>
      </c>
      <c r="K22" s="12">
        <v>0</v>
      </c>
      <c r="L22" s="12">
        <v>0</v>
      </c>
      <c r="M22" s="12">
        <v>0</v>
      </c>
      <c r="N22" s="12">
        <v>0</v>
      </c>
      <c r="O22" s="12">
        <v>1</v>
      </c>
      <c r="P22" s="12">
        <v>0</v>
      </c>
      <c r="Q22" s="12">
        <v>0</v>
      </c>
      <c r="R22" s="12">
        <v>0</v>
      </c>
      <c r="S22" s="12">
        <v>0</v>
      </c>
      <c r="T22" s="12">
        <v>0</v>
      </c>
      <c r="U22" s="12">
        <v>0</v>
      </c>
      <c r="V22" s="12">
        <v>0</v>
      </c>
      <c r="W22" s="12">
        <v>0</v>
      </c>
      <c r="X22" s="12">
        <v>3</v>
      </c>
      <c r="Y22" s="12">
        <v>0</v>
      </c>
      <c r="Z22" s="12">
        <v>1</v>
      </c>
      <c r="AA22" s="12">
        <v>0</v>
      </c>
      <c r="AB22" s="12">
        <v>2</v>
      </c>
      <c r="AC22" s="12">
        <v>0</v>
      </c>
    </row>
    <row r="23" spans="1:29">
      <c r="A23" s="23"/>
      <c r="B23" s="13" t="s">
        <v>1531</v>
      </c>
      <c r="C23" s="14">
        <v>0.14000000000000001</v>
      </c>
      <c r="D23" s="15" t="s">
        <v>485</v>
      </c>
      <c r="E23" s="15" t="s">
        <v>485</v>
      </c>
      <c r="F23" s="15" t="s">
        <v>485</v>
      </c>
      <c r="G23" s="15" t="s">
        <v>485</v>
      </c>
      <c r="H23" s="14">
        <v>0.55000000000000004</v>
      </c>
      <c r="I23" s="14">
        <v>0.46</v>
      </c>
      <c r="J23" s="15" t="s">
        <v>485</v>
      </c>
      <c r="K23" s="15" t="s">
        <v>485</v>
      </c>
      <c r="L23" s="15" t="s">
        <v>485</v>
      </c>
      <c r="M23" s="15" t="s">
        <v>485</v>
      </c>
      <c r="N23" s="15" t="s">
        <v>485</v>
      </c>
      <c r="O23" s="14">
        <v>0.52</v>
      </c>
      <c r="P23" s="15" t="s">
        <v>485</v>
      </c>
      <c r="Q23" s="15" t="s">
        <v>485</v>
      </c>
      <c r="R23" s="15" t="s">
        <v>485</v>
      </c>
      <c r="S23" s="15" t="s">
        <v>485</v>
      </c>
      <c r="T23" s="15" t="s">
        <v>485</v>
      </c>
      <c r="U23" s="15" t="s">
        <v>485</v>
      </c>
      <c r="V23" s="15" t="s">
        <v>485</v>
      </c>
      <c r="W23" s="15" t="s">
        <v>485</v>
      </c>
      <c r="X23" s="14">
        <v>0.4</v>
      </c>
      <c r="Y23" s="15" t="s">
        <v>485</v>
      </c>
      <c r="Z23" s="14">
        <v>0.44</v>
      </c>
      <c r="AA23" s="15" t="s">
        <v>485</v>
      </c>
      <c r="AB23" s="14">
        <v>0.82000000000000006</v>
      </c>
      <c r="AC23" s="15" t="s">
        <v>485</v>
      </c>
    </row>
    <row r="24" spans="1:29">
      <c r="A24" s="23"/>
      <c r="B24" s="11" t="s">
        <v>497</v>
      </c>
      <c r="C24" s="12">
        <v>20</v>
      </c>
      <c r="D24" s="12">
        <v>5</v>
      </c>
      <c r="E24" s="12">
        <v>3</v>
      </c>
      <c r="F24" s="12">
        <v>1</v>
      </c>
      <c r="G24" s="12">
        <v>0</v>
      </c>
      <c r="H24" s="12">
        <v>0</v>
      </c>
      <c r="I24" s="12">
        <v>0</v>
      </c>
      <c r="J24" s="12">
        <v>0</v>
      </c>
      <c r="K24" s="12">
        <v>0</v>
      </c>
      <c r="L24" s="12">
        <v>2</v>
      </c>
      <c r="M24" s="12">
        <v>2</v>
      </c>
      <c r="N24" s="12">
        <v>0</v>
      </c>
      <c r="O24" s="12">
        <v>0</v>
      </c>
      <c r="P24" s="12">
        <v>4</v>
      </c>
      <c r="Q24" s="12">
        <v>0</v>
      </c>
      <c r="R24" s="12">
        <v>2</v>
      </c>
      <c r="S24" s="12">
        <v>0</v>
      </c>
      <c r="T24" s="12">
        <v>1</v>
      </c>
      <c r="U24" s="12">
        <v>1</v>
      </c>
      <c r="V24" s="12">
        <v>2</v>
      </c>
      <c r="W24" s="12">
        <v>1</v>
      </c>
      <c r="X24" s="12">
        <v>1</v>
      </c>
      <c r="Y24" s="12">
        <v>5</v>
      </c>
      <c r="Z24" s="12">
        <v>0</v>
      </c>
      <c r="AA24" s="12">
        <v>0</v>
      </c>
      <c r="AB24" s="12">
        <v>0</v>
      </c>
      <c r="AC24" s="12">
        <v>0</v>
      </c>
    </row>
    <row r="25" spans="1:29">
      <c r="A25" s="23"/>
      <c r="B25" s="13" t="s">
        <v>498</v>
      </c>
      <c r="C25" s="14">
        <v>0.19</v>
      </c>
      <c r="D25" s="14">
        <v>0.27</v>
      </c>
      <c r="E25" s="14">
        <v>0.57999999999999996</v>
      </c>
      <c r="F25" s="14">
        <v>0.24</v>
      </c>
      <c r="G25" s="15" t="s">
        <v>485</v>
      </c>
      <c r="H25" s="15" t="s">
        <v>485</v>
      </c>
      <c r="I25" s="15" t="s">
        <v>485</v>
      </c>
      <c r="J25" s="15" t="s">
        <v>485</v>
      </c>
      <c r="K25" s="15" t="s">
        <v>485</v>
      </c>
      <c r="L25" s="14">
        <v>0.83000000000000007</v>
      </c>
      <c r="M25" s="14">
        <v>0.81</v>
      </c>
      <c r="N25" s="15" t="s">
        <v>485</v>
      </c>
      <c r="O25" s="15" t="s">
        <v>485</v>
      </c>
      <c r="P25" s="14">
        <v>0.51</v>
      </c>
      <c r="Q25" s="15" t="s">
        <v>485</v>
      </c>
      <c r="R25" s="14">
        <v>1.08</v>
      </c>
      <c r="S25" s="15" t="s">
        <v>485</v>
      </c>
      <c r="T25" s="14">
        <v>1.44</v>
      </c>
      <c r="U25" s="14">
        <v>0.68</v>
      </c>
      <c r="V25" s="14">
        <v>0.66</v>
      </c>
      <c r="W25" s="14">
        <v>0.14000000000000001</v>
      </c>
      <c r="X25" s="14">
        <v>0.18</v>
      </c>
      <c r="Y25" s="14">
        <v>0.59</v>
      </c>
      <c r="Z25" s="15" t="s">
        <v>485</v>
      </c>
      <c r="AA25" s="15" t="s">
        <v>485</v>
      </c>
      <c r="AB25" s="15" t="s">
        <v>485</v>
      </c>
      <c r="AC25" s="15" t="s">
        <v>485</v>
      </c>
    </row>
    <row r="26" spans="1:29">
      <c r="A26" s="23"/>
      <c r="B26" s="11" t="s">
        <v>1532</v>
      </c>
      <c r="C26" s="12">
        <v>1912.11</v>
      </c>
      <c r="D26" s="12">
        <v>8792.48</v>
      </c>
      <c r="E26" s="12">
        <v>11.27</v>
      </c>
      <c r="F26" s="12">
        <v>20.29</v>
      </c>
      <c r="G26" s="12">
        <v>46</v>
      </c>
      <c r="H26" s="12">
        <v>2191.0700000000002</v>
      </c>
      <c r="I26" s="12">
        <v>1787.42</v>
      </c>
      <c r="J26" s="12">
        <v>20</v>
      </c>
      <c r="K26" s="12">
        <v>144.66</v>
      </c>
      <c r="L26" s="12">
        <v>0</v>
      </c>
      <c r="M26" s="12">
        <v>0</v>
      </c>
      <c r="N26" s="12">
        <v>4178.8900000000003</v>
      </c>
      <c r="O26" s="12">
        <v>0</v>
      </c>
      <c r="P26" s="12">
        <v>563.12</v>
      </c>
      <c r="Q26" s="12">
        <v>106.42</v>
      </c>
      <c r="R26" s="12">
        <v>0</v>
      </c>
      <c r="S26" s="12">
        <v>100</v>
      </c>
      <c r="T26" s="12">
        <v>0</v>
      </c>
      <c r="U26" s="12">
        <v>0</v>
      </c>
      <c r="V26" s="12">
        <v>5</v>
      </c>
      <c r="W26" s="12">
        <v>48.04</v>
      </c>
      <c r="X26" s="12">
        <v>109.39</v>
      </c>
      <c r="Y26" s="12">
        <v>68.11</v>
      </c>
      <c r="Z26" s="12">
        <v>130.59</v>
      </c>
      <c r="AA26" s="12">
        <v>100</v>
      </c>
      <c r="AB26" s="12">
        <v>0</v>
      </c>
      <c r="AC26" s="12">
        <v>872</v>
      </c>
    </row>
    <row r="27" spans="1:29">
      <c r="A27" s="23"/>
      <c r="B27" s="13" t="s">
        <v>1533</v>
      </c>
      <c r="C27" s="15" t="s">
        <v>485</v>
      </c>
      <c r="D27" s="15" t="s">
        <v>485</v>
      </c>
      <c r="E27" s="15" t="s">
        <v>485</v>
      </c>
      <c r="F27" s="15" t="s">
        <v>485</v>
      </c>
      <c r="G27" s="15" t="s">
        <v>485</v>
      </c>
      <c r="H27" s="15" t="s">
        <v>485</v>
      </c>
      <c r="I27" s="15" t="s">
        <v>485</v>
      </c>
      <c r="J27" s="15" t="s">
        <v>485</v>
      </c>
      <c r="K27" s="15" t="s">
        <v>485</v>
      </c>
      <c r="L27" s="15" t="s">
        <v>485</v>
      </c>
      <c r="M27" s="15" t="s">
        <v>485</v>
      </c>
      <c r="N27" s="15" t="s">
        <v>485</v>
      </c>
      <c r="O27" s="15" t="s">
        <v>485</v>
      </c>
      <c r="P27" s="15" t="s">
        <v>485</v>
      </c>
      <c r="Q27" s="15" t="s">
        <v>485</v>
      </c>
      <c r="R27" s="15" t="s">
        <v>485</v>
      </c>
      <c r="S27" s="15" t="s">
        <v>485</v>
      </c>
      <c r="T27" s="15" t="s">
        <v>485</v>
      </c>
      <c r="U27" s="15" t="s">
        <v>485</v>
      </c>
      <c r="V27" s="15" t="s">
        <v>485</v>
      </c>
      <c r="W27" s="15" t="s">
        <v>485</v>
      </c>
      <c r="X27" s="15" t="s">
        <v>485</v>
      </c>
      <c r="Y27" s="15" t="s">
        <v>485</v>
      </c>
      <c r="Z27" s="15" t="s">
        <v>485</v>
      </c>
      <c r="AA27" s="15" t="s">
        <v>485</v>
      </c>
      <c r="AB27" s="15" t="s">
        <v>485</v>
      </c>
      <c r="AC27" s="15" t="s">
        <v>485</v>
      </c>
    </row>
    <row r="28" spans="1:29">
      <c r="A28" s="23"/>
      <c r="B28" s="11" t="s">
        <v>1534</v>
      </c>
      <c r="C28" s="12">
        <v>100</v>
      </c>
      <c r="D28" s="12">
        <v>20</v>
      </c>
      <c r="E28" s="12">
        <v>0</v>
      </c>
      <c r="F28" s="12">
        <v>3</v>
      </c>
      <c r="G28" s="12">
        <v>0</v>
      </c>
      <c r="H28" s="12">
        <v>0</v>
      </c>
      <c r="I28" s="12">
        <v>20</v>
      </c>
      <c r="J28" s="12">
        <v>0</v>
      </c>
      <c r="K28" s="12">
        <v>0</v>
      </c>
      <c r="L28" s="12">
        <v>0</v>
      </c>
      <c r="M28" s="12">
        <v>0</v>
      </c>
      <c r="N28" s="12">
        <v>0</v>
      </c>
      <c r="O28" s="12">
        <v>0</v>
      </c>
      <c r="P28" s="12">
        <v>70</v>
      </c>
      <c r="Q28" s="12">
        <v>100</v>
      </c>
      <c r="R28" s="12">
        <v>0</v>
      </c>
      <c r="S28" s="12">
        <v>0</v>
      </c>
      <c r="T28" s="12">
        <v>0</v>
      </c>
      <c r="U28" s="12">
        <v>0</v>
      </c>
      <c r="V28" s="12">
        <v>0</v>
      </c>
      <c r="W28" s="12">
        <v>0</v>
      </c>
      <c r="X28" s="12">
        <v>25</v>
      </c>
      <c r="Y28" s="12">
        <v>0</v>
      </c>
      <c r="Z28" s="12">
        <v>20</v>
      </c>
      <c r="AA28" s="12">
        <v>0</v>
      </c>
      <c r="AB28" s="12">
        <v>0</v>
      </c>
      <c r="AC28" s="12">
        <v>0</v>
      </c>
    </row>
    <row r="29" spans="1:29">
      <c r="A29" s="23"/>
      <c r="B29" s="13" t="s">
        <v>1535</v>
      </c>
      <c r="C29" s="15" t="s">
        <v>485</v>
      </c>
      <c r="D29" s="15" t="s">
        <v>485</v>
      </c>
      <c r="E29" s="15" t="s">
        <v>485</v>
      </c>
      <c r="F29" s="15" t="s">
        <v>485</v>
      </c>
      <c r="G29" s="15" t="s">
        <v>485</v>
      </c>
      <c r="H29" s="15" t="s">
        <v>485</v>
      </c>
      <c r="I29" s="15" t="s">
        <v>485</v>
      </c>
      <c r="J29" s="15" t="s">
        <v>485</v>
      </c>
      <c r="K29" s="15" t="s">
        <v>485</v>
      </c>
      <c r="L29" s="15" t="s">
        <v>485</v>
      </c>
      <c r="M29" s="15" t="s">
        <v>485</v>
      </c>
      <c r="N29" s="15" t="s">
        <v>485</v>
      </c>
      <c r="O29" s="15" t="s">
        <v>485</v>
      </c>
      <c r="P29" s="15" t="s">
        <v>485</v>
      </c>
      <c r="Q29" s="15" t="s">
        <v>485</v>
      </c>
      <c r="R29" s="15" t="s">
        <v>485</v>
      </c>
      <c r="S29" s="15" t="s">
        <v>485</v>
      </c>
      <c r="T29" s="15" t="s">
        <v>485</v>
      </c>
      <c r="U29" s="15" t="s">
        <v>485</v>
      </c>
      <c r="V29" s="15" t="s">
        <v>485</v>
      </c>
      <c r="W29" s="15" t="s">
        <v>485</v>
      </c>
      <c r="X29" s="15" t="s">
        <v>485</v>
      </c>
      <c r="Y29" s="15" t="s">
        <v>485</v>
      </c>
      <c r="Z29" s="15" t="s">
        <v>485</v>
      </c>
      <c r="AA29" s="15" t="s">
        <v>485</v>
      </c>
      <c r="AB29" s="15" t="s">
        <v>485</v>
      </c>
      <c r="AC29" s="15" t="s">
        <v>485</v>
      </c>
    </row>
  </sheetData>
  <mergeCells count="9">
    <mergeCell ref="B4:F4"/>
    <mergeCell ref="C8:AC8"/>
    <mergeCell ref="H3:L3"/>
    <mergeCell ref="A10:A29"/>
    <mergeCell ref="B5:F5"/>
    <mergeCell ref="B3:F3"/>
    <mergeCell ref="H5:L5"/>
    <mergeCell ref="B10:B11"/>
    <mergeCell ref="H4:L4"/>
  </mergeCells>
  <pageMargins left="0.75" right="0.75" top="1" bottom="1" header="0.5" footer="0.5"/>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D00-000000000000}">
  <dimension ref="A1:AF17"/>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353</v>
      </c>
      <c r="C3" s="19"/>
      <c r="D3" s="19"/>
      <c r="E3" s="19"/>
      <c r="F3" s="19"/>
      <c r="H3" s="19" t="s">
        <v>354</v>
      </c>
      <c r="I3" s="19"/>
      <c r="J3" s="19"/>
      <c r="K3" s="19"/>
      <c r="L3" s="19"/>
    </row>
    <row r="4" spans="1:32" ht="27" customHeight="1">
      <c r="B4" s="19"/>
      <c r="C4" s="19"/>
      <c r="D4" s="19"/>
      <c r="E4" s="19"/>
      <c r="F4" s="19"/>
      <c r="H4" s="19"/>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HYPERLINK("#Content!A178","&lt;&lt;Back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1109</v>
      </c>
      <c r="C12" s="12">
        <v>11494</v>
      </c>
      <c r="D12" s="12">
        <v>399</v>
      </c>
      <c r="E12" s="12">
        <v>456</v>
      </c>
      <c r="F12" s="12">
        <v>417</v>
      </c>
      <c r="G12" s="12">
        <v>503</v>
      </c>
      <c r="H12" s="12">
        <v>455</v>
      </c>
      <c r="I12" s="12">
        <v>576</v>
      </c>
      <c r="J12" s="12">
        <v>121</v>
      </c>
      <c r="K12" s="12">
        <v>451</v>
      </c>
      <c r="L12" s="12">
        <v>460</v>
      </c>
      <c r="M12" s="12">
        <v>606</v>
      </c>
      <c r="N12" s="12">
        <v>558</v>
      </c>
      <c r="O12" s="12">
        <v>432</v>
      </c>
      <c r="P12" s="12">
        <v>522</v>
      </c>
      <c r="Q12" s="12">
        <v>467</v>
      </c>
      <c r="R12" s="12">
        <v>294</v>
      </c>
      <c r="S12" s="12">
        <v>516</v>
      </c>
      <c r="T12" s="12">
        <v>508</v>
      </c>
      <c r="U12" s="12">
        <v>269</v>
      </c>
      <c r="V12" s="12">
        <v>320</v>
      </c>
      <c r="W12" s="12">
        <v>300</v>
      </c>
      <c r="X12" s="12">
        <v>459</v>
      </c>
      <c r="Y12" s="12">
        <v>427</v>
      </c>
      <c r="Z12" s="12">
        <v>324</v>
      </c>
      <c r="AA12" s="12">
        <v>483</v>
      </c>
      <c r="AB12" s="12">
        <v>365</v>
      </c>
      <c r="AC12" s="12">
        <v>566</v>
      </c>
      <c r="AD12" s="12">
        <v>511</v>
      </c>
      <c r="AE12" s="12">
        <v>526</v>
      </c>
      <c r="AF12" s="12">
        <v>544</v>
      </c>
    </row>
    <row r="13" spans="1:32">
      <c r="A13" s="23"/>
      <c r="B13" s="13" t="s">
        <v>1110</v>
      </c>
      <c r="C13" s="14">
        <v>0.44</v>
      </c>
      <c r="D13" s="14">
        <v>0.4</v>
      </c>
      <c r="E13" s="14">
        <v>0.44</v>
      </c>
      <c r="F13" s="14">
        <v>0.41</v>
      </c>
      <c r="G13" s="14">
        <v>0.5</v>
      </c>
      <c r="H13" s="14">
        <v>0.37</v>
      </c>
      <c r="I13" s="14">
        <v>0.38</v>
      </c>
      <c r="J13" s="14">
        <v>0.41</v>
      </c>
      <c r="K13" s="14">
        <v>0.45</v>
      </c>
      <c r="L13" s="14">
        <v>0.46</v>
      </c>
      <c r="M13" s="14">
        <v>0.6</v>
      </c>
      <c r="N13" s="14">
        <v>0.56000000000000005</v>
      </c>
      <c r="O13" s="14">
        <v>0.43</v>
      </c>
      <c r="P13" s="14">
        <v>0.52</v>
      </c>
      <c r="Q13" s="14">
        <v>0.46</v>
      </c>
      <c r="R13" s="14">
        <v>0.59</v>
      </c>
      <c r="S13" s="14">
        <v>0.51</v>
      </c>
      <c r="T13" s="14">
        <v>0.51</v>
      </c>
      <c r="U13" s="14">
        <v>0.53</v>
      </c>
      <c r="V13" s="14">
        <v>0.32</v>
      </c>
      <c r="W13" s="14">
        <v>0.6</v>
      </c>
      <c r="X13" s="14">
        <v>0.45</v>
      </c>
      <c r="Y13" s="14">
        <v>0.42</v>
      </c>
      <c r="Z13" s="14">
        <v>0.32</v>
      </c>
      <c r="AA13" s="14">
        <v>0.46</v>
      </c>
      <c r="AB13" s="14">
        <v>0.36</v>
      </c>
      <c r="AC13" s="14">
        <v>0.56000000000000005</v>
      </c>
      <c r="AD13" s="14">
        <v>0.51</v>
      </c>
      <c r="AE13" s="14">
        <v>0.52</v>
      </c>
      <c r="AF13" s="14">
        <v>0.51</v>
      </c>
    </row>
    <row r="14" spans="1:32">
      <c r="A14" s="23"/>
      <c r="B14" s="11" t="s">
        <v>1111</v>
      </c>
      <c r="C14" s="12">
        <v>14559</v>
      </c>
      <c r="D14" s="12">
        <v>602</v>
      </c>
      <c r="E14" s="12">
        <v>573</v>
      </c>
      <c r="F14" s="12">
        <v>573</v>
      </c>
      <c r="G14" s="12">
        <v>483</v>
      </c>
      <c r="H14" s="12">
        <v>735</v>
      </c>
      <c r="I14" s="12">
        <v>908</v>
      </c>
      <c r="J14" s="12">
        <v>173</v>
      </c>
      <c r="K14" s="12">
        <v>505</v>
      </c>
      <c r="L14" s="12">
        <v>526</v>
      </c>
      <c r="M14" s="12">
        <v>399</v>
      </c>
      <c r="N14" s="12">
        <v>436</v>
      </c>
      <c r="O14" s="12">
        <v>561</v>
      </c>
      <c r="P14" s="12">
        <v>480</v>
      </c>
      <c r="Q14" s="12">
        <v>547</v>
      </c>
      <c r="R14" s="12">
        <v>201</v>
      </c>
      <c r="S14" s="12">
        <v>482</v>
      </c>
      <c r="T14" s="12">
        <v>485</v>
      </c>
      <c r="U14" s="12">
        <v>227</v>
      </c>
      <c r="V14" s="12">
        <v>682</v>
      </c>
      <c r="W14" s="12">
        <v>196</v>
      </c>
      <c r="X14" s="12">
        <v>552</v>
      </c>
      <c r="Y14" s="12">
        <v>573</v>
      </c>
      <c r="Z14" s="12">
        <v>680</v>
      </c>
      <c r="AA14" s="12">
        <v>537</v>
      </c>
      <c r="AB14" s="12">
        <v>652</v>
      </c>
      <c r="AC14" s="12">
        <v>429</v>
      </c>
      <c r="AD14" s="12">
        <v>479</v>
      </c>
      <c r="AE14" s="12">
        <v>465</v>
      </c>
      <c r="AF14" s="12">
        <v>521</v>
      </c>
    </row>
    <row r="15" spans="1:32">
      <c r="A15" s="23"/>
      <c r="B15" s="13" t="s">
        <v>1112</v>
      </c>
      <c r="C15" s="14">
        <v>0.55000000000000004</v>
      </c>
      <c r="D15" s="14">
        <v>0.6</v>
      </c>
      <c r="E15" s="14">
        <v>0.55000000000000004</v>
      </c>
      <c r="F15" s="14">
        <v>0.57000000000000006</v>
      </c>
      <c r="G15" s="14">
        <v>0.48</v>
      </c>
      <c r="H15" s="14">
        <v>0.61</v>
      </c>
      <c r="I15" s="14">
        <v>0.61</v>
      </c>
      <c r="J15" s="14">
        <v>0.59</v>
      </c>
      <c r="K15" s="14">
        <v>0.5</v>
      </c>
      <c r="L15" s="14">
        <v>0.52</v>
      </c>
      <c r="M15" s="14">
        <v>0.39</v>
      </c>
      <c r="N15" s="14">
        <v>0.43</v>
      </c>
      <c r="O15" s="14">
        <v>0.56000000000000005</v>
      </c>
      <c r="P15" s="14">
        <v>0.47</v>
      </c>
      <c r="Q15" s="14">
        <v>0.53</v>
      </c>
      <c r="R15" s="14">
        <v>0.4</v>
      </c>
      <c r="S15" s="14">
        <v>0.48</v>
      </c>
      <c r="T15" s="14">
        <v>0.48</v>
      </c>
      <c r="U15" s="14">
        <v>0.45</v>
      </c>
      <c r="V15" s="14">
        <v>0.67</v>
      </c>
      <c r="W15" s="14">
        <v>0.39</v>
      </c>
      <c r="X15" s="14">
        <v>0.54</v>
      </c>
      <c r="Y15" s="14">
        <v>0.57000000000000006</v>
      </c>
      <c r="Z15" s="14">
        <v>0.67</v>
      </c>
      <c r="AA15" s="14">
        <v>0.52</v>
      </c>
      <c r="AB15" s="14">
        <v>0.63</v>
      </c>
      <c r="AC15" s="14">
        <v>0.43</v>
      </c>
      <c r="AD15" s="14">
        <v>0.48</v>
      </c>
      <c r="AE15" s="14">
        <v>0.46</v>
      </c>
      <c r="AF15" s="14">
        <v>0.48</v>
      </c>
    </row>
    <row r="16" spans="1:32">
      <c r="A16" s="23"/>
      <c r="B16" s="11" t="s">
        <v>497</v>
      </c>
      <c r="C16" s="12">
        <v>301</v>
      </c>
      <c r="D16" s="12">
        <v>4</v>
      </c>
      <c r="E16" s="12">
        <v>15</v>
      </c>
      <c r="F16" s="12">
        <v>17</v>
      </c>
      <c r="G16" s="12">
        <v>17</v>
      </c>
      <c r="H16" s="12">
        <v>20</v>
      </c>
      <c r="I16" s="12">
        <v>20</v>
      </c>
      <c r="J16" s="12">
        <v>0</v>
      </c>
      <c r="K16" s="12">
        <v>48</v>
      </c>
      <c r="L16" s="12">
        <v>20</v>
      </c>
      <c r="M16" s="12">
        <v>6</v>
      </c>
      <c r="N16" s="12">
        <v>6</v>
      </c>
      <c r="O16" s="12">
        <v>13</v>
      </c>
      <c r="P16" s="12">
        <v>9</v>
      </c>
      <c r="Q16" s="12">
        <v>10</v>
      </c>
      <c r="R16" s="12">
        <v>7</v>
      </c>
      <c r="S16" s="12">
        <v>8</v>
      </c>
      <c r="T16" s="12">
        <v>11</v>
      </c>
      <c r="U16" s="12">
        <v>7</v>
      </c>
      <c r="V16" s="12">
        <v>9</v>
      </c>
      <c r="W16" s="12">
        <v>6</v>
      </c>
      <c r="X16" s="12">
        <v>6</v>
      </c>
      <c r="Y16" s="12">
        <v>7</v>
      </c>
      <c r="Z16" s="12">
        <v>14</v>
      </c>
      <c r="AA16" s="12">
        <v>19</v>
      </c>
      <c r="AB16" s="12">
        <v>13</v>
      </c>
      <c r="AC16" s="12">
        <v>9</v>
      </c>
      <c r="AD16" s="12">
        <v>13</v>
      </c>
      <c r="AE16" s="12">
        <v>17</v>
      </c>
      <c r="AF16" s="12">
        <v>8</v>
      </c>
    </row>
    <row r="17" spans="1:32">
      <c r="A17" s="23"/>
      <c r="B17" s="13" t="s">
        <v>498</v>
      </c>
      <c r="C17" s="14">
        <v>0.01</v>
      </c>
      <c r="D17" s="15" t="s">
        <v>485</v>
      </c>
      <c r="E17" s="14">
        <v>0.01</v>
      </c>
      <c r="F17" s="14">
        <v>0.02</v>
      </c>
      <c r="G17" s="14">
        <v>0.02</v>
      </c>
      <c r="H17" s="14">
        <v>0.02</v>
      </c>
      <c r="I17" s="14">
        <v>0.01</v>
      </c>
      <c r="J17" s="15" t="s">
        <v>485</v>
      </c>
      <c r="K17" s="14">
        <v>0.05</v>
      </c>
      <c r="L17" s="14">
        <v>0.02</v>
      </c>
      <c r="M17" s="14">
        <v>0.01</v>
      </c>
      <c r="N17" s="14">
        <v>0.01</v>
      </c>
      <c r="O17" s="14">
        <v>0.01</v>
      </c>
      <c r="P17" s="14">
        <v>0.01</v>
      </c>
      <c r="Q17" s="14">
        <v>0.01</v>
      </c>
      <c r="R17" s="14">
        <v>0.01</v>
      </c>
      <c r="S17" s="14">
        <v>0.01</v>
      </c>
      <c r="T17" s="14">
        <v>0.01</v>
      </c>
      <c r="U17" s="14">
        <v>0.02</v>
      </c>
      <c r="V17" s="14">
        <v>0.01</v>
      </c>
      <c r="W17" s="14">
        <v>0.01</v>
      </c>
      <c r="X17" s="14">
        <v>0.01</v>
      </c>
      <c r="Y17" s="14">
        <v>0.01</v>
      </c>
      <c r="Z17" s="14">
        <v>0.01</v>
      </c>
      <c r="AA17" s="14">
        <v>0.02</v>
      </c>
      <c r="AB17" s="14">
        <v>0.01</v>
      </c>
      <c r="AC17" s="14">
        <v>0.01</v>
      </c>
      <c r="AD17" s="14">
        <v>0.01</v>
      </c>
      <c r="AE17" s="14">
        <v>0.02</v>
      </c>
      <c r="AF17" s="14">
        <v>0.01</v>
      </c>
    </row>
  </sheetData>
  <mergeCells count="9">
    <mergeCell ref="B10:B11"/>
    <mergeCell ref="A10:A17"/>
    <mergeCell ref="H4:L4"/>
    <mergeCell ref="B4:F4"/>
    <mergeCell ref="H3:L3"/>
    <mergeCell ref="C8:AF8"/>
    <mergeCell ref="B3:F3"/>
    <mergeCell ref="B5:F5"/>
    <mergeCell ref="H5:L5"/>
  </mergeCells>
  <pageMargins left="0.75" right="0.75" top="1" bottom="1" header="0.5" footer="0.5"/>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E00-000000000000}">
  <dimension ref="A1:AF35"/>
  <sheetViews>
    <sheetView workbookViewId="0">
      <pane xSplit="3" ySplit="9" topLeftCell="D26"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355</v>
      </c>
      <c r="C3" s="19"/>
      <c r="D3" s="19"/>
      <c r="E3" s="19"/>
      <c r="F3" s="19"/>
      <c r="H3" s="19" t="s">
        <v>356</v>
      </c>
      <c r="I3" s="19"/>
      <c r="J3" s="19"/>
      <c r="K3" s="19"/>
      <c r="L3" s="19"/>
    </row>
    <row r="4" spans="1:32" ht="27" customHeight="1">
      <c r="B4" s="19"/>
      <c r="C4" s="19"/>
      <c r="D4" s="19"/>
      <c r="E4" s="19"/>
      <c r="F4" s="19"/>
      <c r="H4" s="19"/>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HYPERLINK("#Content!A179","&lt;&lt;Back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1564</v>
      </c>
      <c r="C12" s="12">
        <v>16120</v>
      </c>
      <c r="D12" s="12">
        <v>567</v>
      </c>
      <c r="E12" s="12">
        <v>399</v>
      </c>
      <c r="F12" s="12">
        <v>665</v>
      </c>
      <c r="G12" s="12">
        <v>758</v>
      </c>
      <c r="H12" s="12">
        <v>862</v>
      </c>
      <c r="I12" s="12">
        <v>1036</v>
      </c>
      <c r="J12" s="12">
        <v>174</v>
      </c>
      <c r="K12" s="12">
        <v>630</v>
      </c>
      <c r="L12" s="12">
        <v>578</v>
      </c>
      <c r="M12" s="12">
        <v>627</v>
      </c>
      <c r="N12" s="12">
        <v>633</v>
      </c>
      <c r="O12" s="12">
        <v>596</v>
      </c>
      <c r="P12" s="12">
        <v>449</v>
      </c>
      <c r="Q12" s="12">
        <v>678</v>
      </c>
      <c r="R12" s="12">
        <v>287</v>
      </c>
      <c r="S12" s="12">
        <v>455</v>
      </c>
      <c r="T12" s="12">
        <v>521</v>
      </c>
      <c r="U12" s="12">
        <v>360</v>
      </c>
      <c r="V12" s="12">
        <v>399</v>
      </c>
      <c r="W12" s="12">
        <v>206</v>
      </c>
      <c r="X12" s="12">
        <v>627</v>
      </c>
      <c r="Y12" s="12">
        <v>552</v>
      </c>
      <c r="Z12" s="12">
        <v>571</v>
      </c>
      <c r="AA12" s="12">
        <v>559</v>
      </c>
      <c r="AB12" s="12">
        <v>440</v>
      </c>
      <c r="AC12" s="12">
        <v>511</v>
      </c>
      <c r="AD12" s="12">
        <v>621</v>
      </c>
      <c r="AE12" s="12">
        <v>786</v>
      </c>
      <c r="AF12" s="12">
        <v>713</v>
      </c>
    </row>
    <row r="13" spans="1:32">
      <c r="A13" s="23"/>
      <c r="B13" s="13" t="s">
        <v>1565</v>
      </c>
      <c r="C13" s="14">
        <v>0.61</v>
      </c>
      <c r="D13" s="14">
        <v>0.56000000000000005</v>
      </c>
      <c r="E13" s="14">
        <v>0.38</v>
      </c>
      <c r="F13" s="14">
        <v>0.66</v>
      </c>
      <c r="G13" s="14">
        <v>0.76</v>
      </c>
      <c r="H13" s="14">
        <v>0.71</v>
      </c>
      <c r="I13" s="14">
        <v>0.69000000000000006</v>
      </c>
      <c r="J13" s="14">
        <v>0.59</v>
      </c>
      <c r="K13" s="14">
        <v>0.63</v>
      </c>
      <c r="L13" s="14">
        <v>0.57000000000000006</v>
      </c>
      <c r="M13" s="14">
        <v>0.62</v>
      </c>
      <c r="N13" s="14">
        <v>0.63</v>
      </c>
      <c r="O13" s="14">
        <v>0.59</v>
      </c>
      <c r="P13" s="14">
        <v>0.44</v>
      </c>
      <c r="Q13" s="14">
        <v>0.66</v>
      </c>
      <c r="R13" s="14">
        <v>0.57000000000000006</v>
      </c>
      <c r="S13" s="14">
        <v>0.45</v>
      </c>
      <c r="T13" s="14">
        <v>0.52</v>
      </c>
      <c r="U13" s="14">
        <v>0.72</v>
      </c>
      <c r="V13" s="14">
        <v>0.39</v>
      </c>
      <c r="W13" s="14">
        <v>0.41</v>
      </c>
      <c r="X13" s="14">
        <v>0.62</v>
      </c>
      <c r="Y13" s="14">
        <v>0.55000000000000004</v>
      </c>
      <c r="Z13" s="14">
        <v>0.56000000000000005</v>
      </c>
      <c r="AA13" s="14">
        <v>0.54</v>
      </c>
      <c r="AB13" s="14">
        <v>0.43</v>
      </c>
      <c r="AC13" s="14">
        <v>0.51</v>
      </c>
      <c r="AD13" s="14">
        <v>0.62</v>
      </c>
      <c r="AE13" s="14">
        <v>0.78</v>
      </c>
      <c r="AF13" s="14">
        <v>0.66</v>
      </c>
    </row>
    <row r="14" spans="1:32" ht="23.25">
      <c r="A14" s="23"/>
      <c r="B14" s="11" t="s">
        <v>1566</v>
      </c>
      <c r="C14" s="12">
        <v>5957</v>
      </c>
      <c r="D14" s="12">
        <v>230</v>
      </c>
      <c r="E14" s="12">
        <v>74</v>
      </c>
      <c r="F14" s="12">
        <v>56</v>
      </c>
      <c r="G14" s="12">
        <v>404</v>
      </c>
      <c r="H14" s="12">
        <v>274</v>
      </c>
      <c r="I14" s="12">
        <v>360</v>
      </c>
      <c r="J14" s="12">
        <v>86</v>
      </c>
      <c r="K14" s="12">
        <v>206</v>
      </c>
      <c r="L14" s="12">
        <v>93</v>
      </c>
      <c r="M14" s="12">
        <v>341</v>
      </c>
      <c r="N14" s="12">
        <v>337</v>
      </c>
      <c r="O14" s="12">
        <v>251</v>
      </c>
      <c r="P14" s="12">
        <v>112</v>
      </c>
      <c r="Q14" s="12">
        <v>144</v>
      </c>
      <c r="R14" s="12">
        <v>63</v>
      </c>
      <c r="S14" s="12">
        <v>81</v>
      </c>
      <c r="T14" s="12">
        <v>52</v>
      </c>
      <c r="U14" s="12">
        <v>140</v>
      </c>
      <c r="V14" s="12">
        <v>211</v>
      </c>
      <c r="W14" s="12">
        <v>75</v>
      </c>
      <c r="X14" s="12">
        <v>386</v>
      </c>
      <c r="Y14" s="12">
        <v>273</v>
      </c>
      <c r="Z14" s="12">
        <v>137</v>
      </c>
      <c r="AA14" s="12">
        <v>151</v>
      </c>
      <c r="AB14" s="12">
        <v>108</v>
      </c>
      <c r="AC14" s="12">
        <v>83</v>
      </c>
      <c r="AD14" s="12">
        <v>120</v>
      </c>
      <c r="AE14" s="12">
        <v>295</v>
      </c>
      <c r="AF14" s="12">
        <v>624</v>
      </c>
    </row>
    <row r="15" spans="1:32" ht="34.5">
      <c r="A15" s="23"/>
      <c r="B15" s="13" t="s">
        <v>1567</v>
      </c>
      <c r="C15" s="14">
        <v>0.23</v>
      </c>
      <c r="D15" s="14">
        <v>0.23</v>
      </c>
      <c r="E15" s="14">
        <v>7.0000000000000007E-2</v>
      </c>
      <c r="F15" s="14">
        <v>0.06</v>
      </c>
      <c r="G15" s="14">
        <v>0.4</v>
      </c>
      <c r="H15" s="14">
        <v>0.23</v>
      </c>
      <c r="I15" s="14">
        <v>0.24</v>
      </c>
      <c r="J15" s="14">
        <v>0.28999999999999998</v>
      </c>
      <c r="K15" s="14">
        <v>0.2</v>
      </c>
      <c r="L15" s="14">
        <v>0.09</v>
      </c>
      <c r="M15" s="14">
        <v>0.34</v>
      </c>
      <c r="N15" s="14">
        <v>0.34</v>
      </c>
      <c r="O15" s="14">
        <v>0.25</v>
      </c>
      <c r="P15" s="14">
        <v>0.11</v>
      </c>
      <c r="Q15" s="14">
        <v>0.14000000000000001</v>
      </c>
      <c r="R15" s="14">
        <v>0.13</v>
      </c>
      <c r="S15" s="14">
        <v>0.08</v>
      </c>
      <c r="T15" s="14">
        <v>0.05</v>
      </c>
      <c r="U15" s="14">
        <v>0.28000000000000003</v>
      </c>
      <c r="V15" s="14">
        <v>0.21</v>
      </c>
      <c r="W15" s="14">
        <v>0.15</v>
      </c>
      <c r="X15" s="14">
        <v>0.38</v>
      </c>
      <c r="Y15" s="14">
        <v>0.27</v>
      </c>
      <c r="Z15" s="14">
        <v>0.13</v>
      </c>
      <c r="AA15" s="14">
        <v>0.15</v>
      </c>
      <c r="AB15" s="14">
        <v>0.1</v>
      </c>
      <c r="AC15" s="14">
        <v>0.08</v>
      </c>
      <c r="AD15" s="14">
        <v>0.12</v>
      </c>
      <c r="AE15" s="14">
        <v>0.28999999999999998</v>
      </c>
      <c r="AF15" s="14">
        <v>0.57999999999999996</v>
      </c>
    </row>
    <row r="16" spans="1:32" ht="34.5">
      <c r="A16" s="23"/>
      <c r="B16" s="11" t="s">
        <v>1568</v>
      </c>
      <c r="C16" s="12">
        <v>1501</v>
      </c>
      <c r="D16" s="12">
        <v>71</v>
      </c>
      <c r="E16" s="12">
        <v>64</v>
      </c>
      <c r="F16" s="12">
        <v>50</v>
      </c>
      <c r="G16" s="12">
        <v>65</v>
      </c>
      <c r="H16" s="12">
        <v>44</v>
      </c>
      <c r="I16" s="12">
        <v>69</v>
      </c>
      <c r="J16" s="12">
        <v>25</v>
      </c>
      <c r="K16" s="12">
        <v>51</v>
      </c>
      <c r="L16" s="12">
        <v>84</v>
      </c>
      <c r="M16" s="12">
        <v>43</v>
      </c>
      <c r="N16" s="12">
        <v>15</v>
      </c>
      <c r="O16" s="12">
        <v>81</v>
      </c>
      <c r="P16" s="12">
        <v>65</v>
      </c>
      <c r="Q16" s="12">
        <v>45</v>
      </c>
      <c r="R16" s="12">
        <v>39</v>
      </c>
      <c r="S16" s="12">
        <v>41</v>
      </c>
      <c r="T16" s="12">
        <v>28</v>
      </c>
      <c r="U16" s="12">
        <v>36</v>
      </c>
      <c r="V16" s="12">
        <v>155</v>
      </c>
      <c r="W16" s="12">
        <v>78</v>
      </c>
      <c r="X16" s="12">
        <v>78</v>
      </c>
      <c r="Y16" s="12">
        <v>159</v>
      </c>
      <c r="Z16" s="12">
        <v>39</v>
      </c>
      <c r="AA16" s="12">
        <v>26</v>
      </c>
      <c r="AB16" s="12">
        <v>88</v>
      </c>
      <c r="AC16" s="12">
        <v>67</v>
      </c>
      <c r="AD16" s="12">
        <v>93</v>
      </c>
      <c r="AE16" s="12">
        <v>64</v>
      </c>
      <c r="AF16" s="12">
        <v>72</v>
      </c>
    </row>
    <row r="17" spans="1:32" ht="34.5">
      <c r="A17" s="23"/>
      <c r="B17" s="13" t="s">
        <v>1569</v>
      </c>
      <c r="C17" s="14">
        <v>0.06</v>
      </c>
      <c r="D17" s="14">
        <v>7.0000000000000007E-2</v>
      </c>
      <c r="E17" s="14">
        <v>0.06</v>
      </c>
      <c r="F17" s="14">
        <v>0.05</v>
      </c>
      <c r="G17" s="14">
        <v>0.06</v>
      </c>
      <c r="H17" s="14">
        <v>0.04</v>
      </c>
      <c r="I17" s="14">
        <v>0.05</v>
      </c>
      <c r="J17" s="14">
        <v>0.09</v>
      </c>
      <c r="K17" s="14">
        <v>0.05</v>
      </c>
      <c r="L17" s="14">
        <v>0.08</v>
      </c>
      <c r="M17" s="14">
        <v>0.04</v>
      </c>
      <c r="N17" s="14">
        <v>0.02</v>
      </c>
      <c r="O17" s="14">
        <v>0.08</v>
      </c>
      <c r="P17" s="14">
        <v>0.06</v>
      </c>
      <c r="Q17" s="14">
        <v>0.04</v>
      </c>
      <c r="R17" s="14">
        <v>0.08</v>
      </c>
      <c r="S17" s="14">
        <v>0.04</v>
      </c>
      <c r="T17" s="14">
        <v>0.03</v>
      </c>
      <c r="U17" s="14">
        <v>7.0000000000000007E-2</v>
      </c>
      <c r="V17" s="14">
        <v>0.15</v>
      </c>
      <c r="W17" s="14">
        <v>0.16</v>
      </c>
      <c r="X17" s="14">
        <v>0.08</v>
      </c>
      <c r="Y17" s="14">
        <v>0.16</v>
      </c>
      <c r="Z17" s="14">
        <v>0.04</v>
      </c>
      <c r="AA17" s="14">
        <v>0.02</v>
      </c>
      <c r="AB17" s="14">
        <v>0.09</v>
      </c>
      <c r="AC17" s="14">
        <v>7.0000000000000007E-2</v>
      </c>
      <c r="AD17" s="14">
        <v>0.09</v>
      </c>
      <c r="AE17" s="14">
        <v>0.06</v>
      </c>
      <c r="AF17" s="14">
        <v>7.0000000000000007E-2</v>
      </c>
    </row>
    <row r="18" spans="1:32" ht="23.25">
      <c r="A18" s="23"/>
      <c r="B18" s="11" t="s">
        <v>1570</v>
      </c>
      <c r="C18" s="12">
        <v>3345</v>
      </c>
      <c r="D18" s="12">
        <v>222</v>
      </c>
      <c r="E18" s="12">
        <v>245</v>
      </c>
      <c r="F18" s="12">
        <v>136</v>
      </c>
      <c r="G18" s="12">
        <v>264</v>
      </c>
      <c r="H18" s="12">
        <v>119</v>
      </c>
      <c r="I18" s="12">
        <v>153</v>
      </c>
      <c r="J18" s="12">
        <v>34</v>
      </c>
      <c r="K18" s="12">
        <v>157</v>
      </c>
      <c r="L18" s="12">
        <v>120</v>
      </c>
      <c r="M18" s="12">
        <v>116</v>
      </c>
      <c r="N18" s="12">
        <v>90</v>
      </c>
      <c r="O18" s="12">
        <v>128</v>
      </c>
      <c r="P18" s="12">
        <v>211</v>
      </c>
      <c r="Q18" s="12">
        <v>111</v>
      </c>
      <c r="R18" s="12">
        <v>113</v>
      </c>
      <c r="S18" s="12">
        <v>158</v>
      </c>
      <c r="T18" s="12">
        <v>183</v>
      </c>
      <c r="U18" s="12">
        <v>62</v>
      </c>
      <c r="V18" s="12">
        <v>160</v>
      </c>
      <c r="W18" s="12">
        <v>105</v>
      </c>
      <c r="X18" s="12">
        <v>200</v>
      </c>
      <c r="Y18" s="12">
        <v>233</v>
      </c>
      <c r="Z18" s="12">
        <v>81</v>
      </c>
      <c r="AA18" s="12">
        <v>101</v>
      </c>
      <c r="AB18" s="12">
        <v>106</v>
      </c>
      <c r="AC18" s="12">
        <v>137</v>
      </c>
      <c r="AD18" s="12">
        <v>261</v>
      </c>
      <c r="AE18" s="12">
        <v>104</v>
      </c>
      <c r="AF18" s="12">
        <v>264</v>
      </c>
    </row>
    <row r="19" spans="1:32" ht="23.25">
      <c r="A19" s="23"/>
      <c r="B19" s="13" t="s">
        <v>1571</v>
      </c>
      <c r="C19" s="14">
        <v>0.13</v>
      </c>
      <c r="D19" s="14">
        <v>0.22</v>
      </c>
      <c r="E19" s="14">
        <v>0.23</v>
      </c>
      <c r="F19" s="14">
        <v>0.14000000000000001</v>
      </c>
      <c r="G19" s="14">
        <v>0.26</v>
      </c>
      <c r="H19" s="14">
        <v>0.1</v>
      </c>
      <c r="I19" s="14">
        <v>0.1</v>
      </c>
      <c r="J19" s="14">
        <v>0.12</v>
      </c>
      <c r="K19" s="14">
        <v>0.16</v>
      </c>
      <c r="L19" s="14">
        <v>0.12</v>
      </c>
      <c r="M19" s="14">
        <v>0.11</v>
      </c>
      <c r="N19" s="14">
        <v>0.09</v>
      </c>
      <c r="O19" s="14">
        <v>0.13</v>
      </c>
      <c r="P19" s="14">
        <v>0.21</v>
      </c>
      <c r="Q19" s="14">
        <v>0.11</v>
      </c>
      <c r="R19" s="14">
        <v>0.22</v>
      </c>
      <c r="S19" s="14">
        <v>0.16</v>
      </c>
      <c r="T19" s="14">
        <v>0.18</v>
      </c>
      <c r="U19" s="14">
        <v>0.12</v>
      </c>
      <c r="V19" s="14">
        <v>0.16</v>
      </c>
      <c r="W19" s="14">
        <v>0.21</v>
      </c>
      <c r="X19" s="14">
        <v>0.2</v>
      </c>
      <c r="Y19" s="14">
        <v>0.23</v>
      </c>
      <c r="Z19" s="14">
        <v>0.08</v>
      </c>
      <c r="AA19" s="14">
        <v>0.1</v>
      </c>
      <c r="AB19" s="14">
        <v>0.1</v>
      </c>
      <c r="AC19" s="14">
        <v>0.14000000000000001</v>
      </c>
      <c r="AD19" s="14">
        <v>0.26</v>
      </c>
      <c r="AE19" s="14">
        <v>0.1</v>
      </c>
      <c r="AF19" s="14">
        <v>0.25</v>
      </c>
    </row>
    <row r="20" spans="1:32">
      <c r="A20" s="23"/>
      <c r="B20" s="11" t="s">
        <v>1572</v>
      </c>
      <c r="C20" s="12">
        <v>3281</v>
      </c>
      <c r="D20" s="12">
        <v>161</v>
      </c>
      <c r="E20" s="12">
        <v>126</v>
      </c>
      <c r="F20" s="12">
        <v>112</v>
      </c>
      <c r="G20" s="12">
        <v>181</v>
      </c>
      <c r="H20" s="12">
        <v>182</v>
      </c>
      <c r="I20" s="12">
        <v>247</v>
      </c>
      <c r="J20" s="12">
        <v>65</v>
      </c>
      <c r="K20" s="12">
        <v>110</v>
      </c>
      <c r="L20" s="12">
        <v>267</v>
      </c>
      <c r="M20" s="12">
        <v>220</v>
      </c>
      <c r="N20" s="12">
        <v>61</v>
      </c>
      <c r="O20" s="12">
        <v>74</v>
      </c>
      <c r="P20" s="12">
        <v>83</v>
      </c>
      <c r="Q20" s="12">
        <v>72</v>
      </c>
      <c r="R20" s="12">
        <v>102</v>
      </c>
      <c r="S20" s="12">
        <v>98</v>
      </c>
      <c r="T20" s="12">
        <v>7</v>
      </c>
      <c r="U20" s="12">
        <v>43</v>
      </c>
      <c r="V20" s="12">
        <v>126</v>
      </c>
      <c r="W20" s="12">
        <v>124</v>
      </c>
      <c r="X20" s="12">
        <v>414</v>
      </c>
      <c r="Y20" s="12">
        <v>161</v>
      </c>
      <c r="Z20" s="12">
        <v>84</v>
      </c>
      <c r="AA20" s="12">
        <v>48</v>
      </c>
      <c r="AB20" s="12">
        <v>68</v>
      </c>
      <c r="AC20" s="12">
        <v>163</v>
      </c>
      <c r="AD20" s="12">
        <v>253</v>
      </c>
      <c r="AE20" s="12">
        <v>156</v>
      </c>
      <c r="AF20" s="12">
        <v>327</v>
      </c>
    </row>
    <row r="21" spans="1:32">
      <c r="A21" s="23"/>
      <c r="B21" s="13" t="s">
        <v>1573</v>
      </c>
      <c r="C21" s="14">
        <v>0.12</v>
      </c>
      <c r="D21" s="14">
        <v>0.16</v>
      </c>
      <c r="E21" s="14">
        <v>0.12</v>
      </c>
      <c r="F21" s="14">
        <v>0.11</v>
      </c>
      <c r="G21" s="14">
        <v>0.18</v>
      </c>
      <c r="H21" s="14">
        <v>0.15</v>
      </c>
      <c r="I21" s="14">
        <v>0.16</v>
      </c>
      <c r="J21" s="14">
        <v>0.22</v>
      </c>
      <c r="K21" s="14">
        <v>0.11</v>
      </c>
      <c r="L21" s="14">
        <v>0.27</v>
      </c>
      <c r="M21" s="14">
        <v>0.22</v>
      </c>
      <c r="N21" s="14">
        <v>0.06</v>
      </c>
      <c r="O21" s="14">
        <v>7.0000000000000007E-2</v>
      </c>
      <c r="P21" s="14">
        <v>0.08</v>
      </c>
      <c r="Q21" s="14">
        <v>7.0000000000000007E-2</v>
      </c>
      <c r="R21" s="14">
        <v>0.2</v>
      </c>
      <c r="S21" s="14">
        <v>0.1</v>
      </c>
      <c r="T21" s="14">
        <v>0.01</v>
      </c>
      <c r="U21" s="14">
        <v>0.08</v>
      </c>
      <c r="V21" s="14">
        <v>0.13</v>
      </c>
      <c r="W21" s="14">
        <v>0.25</v>
      </c>
      <c r="X21" s="14">
        <v>0.41</v>
      </c>
      <c r="Y21" s="14">
        <v>0.16</v>
      </c>
      <c r="Z21" s="14">
        <v>0.08</v>
      </c>
      <c r="AA21" s="14">
        <v>0.05</v>
      </c>
      <c r="AB21" s="14">
        <v>7.0000000000000007E-2</v>
      </c>
      <c r="AC21" s="14">
        <v>0.16</v>
      </c>
      <c r="AD21" s="14">
        <v>0.25</v>
      </c>
      <c r="AE21" s="14">
        <v>0.15</v>
      </c>
      <c r="AF21" s="14">
        <v>0.3</v>
      </c>
    </row>
    <row r="22" spans="1:32" ht="34.5">
      <c r="A22" s="23"/>
      <c r="B22" s="11" t="s">
        <v>1574</v>
      </c>
      <c r="C22" s="12">
        <v>927</v>
      </c>
      <c r="D22" s="12">
        <v>47</v>
      </c>
      <c r="E22" s="12">
        <v>24</v>
      </c>
      <c r="F22" s="12">
        <v>20</v>
      </c>
      <c r="G22" s="12">
        <v>51</v>
      </c>
      <c r="H22" s="12">
        <v>44</v>
      </c>
      <c r="I22" s="12">
        <v>58</v>
      </c>
      <c r="J22" s="12">
        <v>14</v>
      </c>
      <c r="K22" s="12">
        <v>38</v>
      </c>
      <c r="L22" s="12">
        <v>38</v>
      </c>
      <c r="M22" s="12">
        <v>18</v>
      </c>
      <c r="N22" s="12">
        <v>10</v>
      </c>
      <c r="O22" s="12">
        <v>23</v>
      </c>
      <c r="P22" s="12">
        <v>41</v>
      </c>
      <c r="Q22" s="12">
        <v>24</v>
      </c>
      <c r="R22" s="12">
        <v>36</v>
      </c>
      <c r="S22" s="12">
        <v>18</v>
      </c>
      <c r="T22" s="12">
        <v>2</v>
      </c>
      <c r="U22" s="12">
        <v>19</v>
      </c>
      <c r="V22" s="12">
        <v>64</v>
      </c>
      <c r="W22" s="12">
        <v>42</v>
      </c>
      <c r="X22" s="12">
        <v>96</v>
      </c>
      <c r="Y22" s="12">
        <v>121</v>
      </c>
      <c r="Z22" s="12">
        <v>36</v>
      </c>
      <c r="AA22" s="12">
        <v>22</v>
      </c>
      <c r="AB22" s="12">
        <v>80</v>
      </c>
      <c r="AC22" s="12">
        <v>4</v>
      </c>
      <c r="AD22" s="12">
        <v>40</v>
      </c>
      <c r="AE22" s="12">
        <v>26</v>
      </c>
      <c r="AF22" s="12">
        <v>42</v>
      </c>
    </row>
    <row r="23" spans="1:32" ht="34.5">
      <c r="A23" s="23"/>
      <c r="B23" s="13" t="s">
        <v>1575</v>
      </c>
      <c r="C23" s="14">
        <v>0.04</v>
      </c>
      <c r="D23" s="14">
        <v>0.05</v>
      </c>
      <c r="E23" s="14">
        <v>0.02</v>
      </c>
      <c r="F23" s="14">
        <v>0.02</v>
      </c>
      <c r="G23" s="14">
        <v>0.05</v>
      </c>
      <c r="H23" s="14">
        <v>0.04</v>
      </c>
      <c r="I23" s="14">
        <v>0.04</v>
      </c>
      <c r="J23" s="14">
        <v>0.05</v>
      </c>
      <c r="K23" s="14">
        <v>0.04</v>
      </c>
      <c r="L23" s="14">
        <v>0.04</v>
      </c>
      <c r="M23" s="14">
        <v>0.02</v>
      </c>
      <c r="N23" s="14">
        <v>0.01</v>
      </c>
      <c r="O23" s="14">
        <v>0.02</v>
      </c>
      <c r="P23" s="14">
        <v>0.04</v>
      </c>
      <c r="Q23" s="14">
        <v>0.02</v>
      </c>
      <c r="R23" s="14">
        <v>7.0000000000000007E-2</v>
      </c>
      <c r="S23" s="14">
        <v>0.02</v>
      </c>
      <c r="T23" s="15" t="s">
        <v>485</v>
      </c>
      <c r="U23" s="14">
        <v>0.04</v>
      </c>
      <c r="V23" s="14">
        <v>0.06</v>
      </c>
      <c r="W23" s="14">
        <v>0.08</v>
      </c>
      <c r="X23" s="14">
        <v>0.09</v>
      </c>
      <c r="Y23" s="14">
        <v>0.12</v>
      </c>
      <c r="Z23" s="14">
        <v>0.04</v>
      </c>
      <c r="AA23" s="14">
        <v>0.02</v>
      </c>
      <c r="AB23" s="14">
        <v>0.08</v>
      </c>
      <c r="AC23" s="15" t="s">
        <v>485</v>
      </c>
      <c r="AD23" s="14">
        <v>0.04</v>
      </c>
      <c r="AE23" s="14">
        <v>0.03</v>
      </c>
      <c r="AF23" s="14">
        <v>0.04</v>
      </c>
    </row>
    <row r="24" spans="1:32" ht="23.25">
      <c r="A24" s="23"/>
      <c r="B24" s="11" t="s">
        <v>1576</v>
      </c>
      <c r="C24" s="12">
        <v>3060</v>
      </c>
      <c r="D24" s="12">
        <v>0</v>
      </c>
      <c r="E24" s="12">
        <v>257</v>
      </c>
      <c r="F24" s="12">
        <v>0</v>
      </c>
      <c r="G24" s="12">
        <v>0</v>
      </c>
      <c r="H24" s="12">
        <v>0</v>
      </c>
      <c r="I24" s="12">
        <v>0</v>
      </c>
      <c r="J24" s="12">
        <v>0</v>
      </c>
      <c r="K24" s="12">
        <v>0</v>
      </c>
      <c r="L24" s="12">
        <v>0</v>
      </c>
      <c r="M24" s="12">
        <v>0</v>
      </c>
      <c r="N24" s="12">
        <v>129</v>
      </c>
      <c r="O24" s="12">
        <v>204</v>
      </c>
      <c r="P24" s="12">
        <v>455</v>
      </c>
      <c r="Q24" s="12">
        <v>208</v>
      </c>
      <c r="R24" s="12">
        <v>0</v>
      </c>
      <c r="S24" s="12">
        <v>315</v>
      </c>
      <c r="T24" s="12">
        <v>300</v>
      </c>
      <c r="U24" s="12">
        <v>0</v>
      </c>
      <c r="V24" s="12">
        <v>0</v>
      </c>
      <c r="W24" s="12">
        <v>153</v>
      </c>
      <c r="X24" s="12">
        <v>0</v>
      </c>
      <c r="Y24" s="12">
        <v>284</v>
      </c>
      <c r="Z24" s="12">
        <v>91</v>
      </c>
      <c r="AA24" s="12">
        <v>254</v>
      </c>
      <c r="AB24" s="12">
        <v>334</v>
      </c>
      <c r="AC24" s="12">
        <v>261</v>
      </c>
      <c r="AD24" s="12">
        <v>0</v>
      </c>
      <c r="AE24" s="12">
        <v>0</v>
      </c>
      <c r="AF24" s="12">
        <v>0</v>
      </c>
    </row>
    <row r="25" spans="1:32" ht="23.25">
      <c r="A25" s="23"/>
      <c r="B25" s="13" t="s">
        <v>1577</v>
      </c>
      <c r="C25" s="14">
        <v>0.19</v>
      </c>
      <c r="D25" s="15" t="s">
        <v>485</v>
      </c>
      <c r="E25" s="14">
        <v>0.25</v>
      </c>
      <c r="F25" s="15" t="s">
        <v>485</v>
      </c>
      <c r="G25" s="15" t="s">
        <v>485</v>
      </c>
      <c r="H25" s="15" t="s">
        <v>485</v>
      </c>
      <c r="I25" s="15" t="s">
        <v>485</v>
      </c>
      <c r="J25" s="15" t="s">
        <v>485</v>
      </c>
      <c r="K25" s="15" t="s">
        <v>485</v>
      </c>
      <c r="L25" s="15" t="s">
        <v>485</v>
      </c>
      <c r="M25" s="15" t="s">
        <v>485</v>
      </c>
      <c r="N25" s="14">
        <v>0.13</v>
      </c>
      <c r="O25" s="14">
        <v>0.2</v>
      </c>
      <c r="P25" s="14">
        <v>0.45</v>
      </c>
      <c r="Q25" s="14">
        <v>0.2</v>
      </c>
      <c r="R25" s="15" t="s">
        <v>485</v>
      </c>
      <c r="S25" s="14">
        <v>0.31</v>
      </c>
      <c r="T25" s="14">
        <v>0.3</v>
      </c>
      <c r="U25" s="15" t="s">
        <v>485</v>
      </c>
      <c r="V25" s="15" t="s">
        <v>485</v>
      </c>
      <c r="W25" s="14">
        <v>0.3</v>
      </c>
      <c r="X25" s="15" t="s">
        <v>485</v>
      </c>
      <c r="Y25" s="14">
        <v>0.28000000000000003</v>
      </c>
      <c r="Z25" s="14">
        <v>0.09</v>
      </c>
      <c r="AA25" s="14">
        <v>0.24</v>
      </c>
      <c r="AB25" s="14">
        <v>0.32</v>
      </c>
      <c r="AC25" s="14">
        <v>0.26</v>
      </c>
      <c r="AD25" s="15" t="s">
        <v>485</v>
      </c>
      <c r="AE25" s="15" t="s">
        <v>485</v>
      </c>
      <c r="AF25" s="15" t="s">
        <v>485</v>
      </c>
    </row>
    <row r="26" spans="1:32">
      <c r="A26" s="23"/>
      <c r="B26" s="11" t="s">
        <v>1578</v>
      </c>
      <c r="C26" s="12">
        <v>1466</v>
      </c>
      <c r="D26" s="12">
        <v>121</v>
      </c>
      <c r="E26" s="12">
        <v>25</v>
      </c>
      <c r="F26" s="12">
        <v>42</v>
      </c>
      <c r="G26" s="12">
        <v>151</v>
      </c>
      <c r="H26" s="12">
        <v>41</v>
      </c>
      <c r="I26" s="12">
        <v>55</v>
      </c>
      <c r="J26" s="12">
        <v>14</v>
      </c>
      <c r="K26" s="12">
        <v>58</v>
      </c>
      <c r="L26" s="12">
        <v>42</v>
      </c>
      <c r="M26" s="12">
        <v>33</v>
      </c>
      <c r="N26" s="12">
        <v>31</v>
      </c>
      <c r="O26" s="12">
        <v>82</v>
      </c>
      <c r="P26" s="12">
        <v>43</v>
      </c>
      <c r="Q26" s="12">
        <v>50</v>
      </c>
      <c r="R26" s="12">
        <v>8</v>
      </c>
      <c r="S26" s="12">
        <v>32</v>
      </c>
      <c r="T26" s="12">
        <v>25</v>
      </c>
      <c r="U26" s="12">
        <v>65</v>
      </c>
      <c r="V26" s="12">
        <v>51</v>
      </c>
      <c r="W26" s="12">
        <v>27</v>
      </c>
      <c r="X26" s="12">
        <v>127</v>
      </c>
      <c r="Y26" s="12">
        <v>107</v>
      </c>
      <c r="Z26" s="12">
        <v>24</v>
      </c>
      <c r="AA26" s="12">
        <v>10</v>
      </c>
      <c r="AB26" s="12">
        <v>35</v>
      </c>
      <c r="AC26" s="12">
        <v>27</v>
      </c>
      <c r="AD26" s="12">
        <v>27</v>
      </c>
      <c r="AE26" s="12">
        <v>110</v>
      </c>
      <c r="AF26" s="12">
        <v>208</v>
      </c>
    </row>
    <row r="27" spans="1:32">
      <c r="A27" s="23"/>
      <c r="B27" s="13" t="s">
        <v>1579</v>
      </c>
      <c r="C27" s="14">
        <v>0.06</v>
      </c>
      <c r="D27" s="14">
        <v>0.12</v>
      </c>
      <c r="E27" s="14">
        <v>0.02</v>
      </c>
      <c r="F27" s="14">
        <v>0.04</v>
      </c>
      <c r="G27" s="14">
        <v>0.15</v>
      </c>
      <c r="H27" s="14">
        <v>0.03</v>
      </c>
      <c r="I27" s="14">
        <v>0.04</v>
      </c>
      <c r="J27" s="14">
        <v>0.05</v>
      </c>
      <c r="K27" s="14">
        <v>0.06</v>
      </c>
      <c r="L27" s="14">
        <v>0.04</v>
      </c>
      <c r="M27" s="14">
        <v>0.03</v>
      </c>
      <c r="N27" s="14">
        <v>0.03</v>
      </c>
      <c r="O27" s="14">
        <v>0.08</v>
      </c>
      <c r="P27" s="14">
        <v>0.04</v>
      </c>
      <c r="Q27" s="14">
        <v>0.05</v>
      </c>
      <c r="R27" s="14">
        <v>0.02</v>
      </c>
      <c r="S27" s="14">
        <v>0.03</v>
      </c>
      <c r="T27" s="14">
        <v>0.02</v>
      </c>
      <c r="U27" s="14">
        <v>0.13</v>
      </c>
      <c r="V27" s="14">
        <v>0.05</v>
      </c>
      <c r="W27" s="14">
        <v>0.05</v>
      </c>
      <c r="X27" s="14">
        <v>0.13</v>
      </c>
      <c r="Y27" s="14">
        <v>0.11</v>
      </c>
      <c r="Z27" s="14">
        <v>0.02</v>
      </c>
      <c r="AA27" s="14">
        <v>0.01</v>
      </c>
      <c r="AB27" s="14">
        <v>0.03</v>
      </c>
      <c r="AC27" s="14">
        <v>0.03</v>
      </c>
      <c r="AD27" s="14">
        <v>0.03</v>
      </c>
      <c r="AE27" s="14">
        <v>0.11</v>
      </c>
      <c r="AF27" s="14">
        <v>0.19</v>
      </c>
    </row>
    <row r="28" spans="1:32" ht="23.25">
      <c r="A28" s="23"/>
      <c r="B28" s="11" t="s">
        <v>1580</v>
      </c>
      <c r="C28" s="12">
        <v>749</v>
      </c>
      <c r="D28" s="12">
        <v>35</v>
      </c>
      <c r="E28" s="12">
        <v>37</v>
      </c>
      <c r="F28" s="12">
        <v>13</v>
      </c>
      <c r="G28" s="12">
        <v>50</v>
      </c>
      <c r="H28" s="12">
        <v>29</v>
      </c>
      <c r="I28" s="12">
        <v>37</v>
      </c>
      <c r="J28" s="12">
        <v>7</v>
      </c>
      <c r="K28" s="12">
        <v>37</v>
      </c>
      <c r="L28" s="12">
        <v>23</v>
      </c>
      <c r="M28" s="12">
        <v>38</v>
      </c>
      <c r="N28" s="12">
        <v>23</v>
      </c>
      <c r="O28" s="12">
        <v>11</v>
      </c>
      <c r="P28" s="12">
        <v>76</v>
      </c>
      <c r="Q28" s="12">
        <v>19</v>
      </c>
      <c r="R28" s="12">
        <v>33</v>
      </c>
      <c r="S28" s="12">
        <v>63</v>
      </c>
      <c r="T28" s="12">
        <v>16</v>
      </c>
      <c r="U28" s="12">
        <v>18</v>
      </c>
      <c r="V28" s="12">
        <v>102</v>
      </c>
      <c r="W28" s="12">
        <v>54</v>
      </c>
      <c r="X28" s="12">
        <v>51</v>
      </c>
      <c r="Y28" s="12">
        <v>58</v>
      </c>
      <c r="Z28" s="12">
        <v>23</v>
      </c>
      <c r="AA28" s="12">
        <v>14</v>
      </c>
      <c r="AB28" s="12">
        <v>32</v>
      </c>
      <c r="AC28" s="12">
        <v>37</v>
      </c>
      <c r="AD28" s="12">
        <v>80</v>
      </c>
      <c r="AE28" s="12">
        <v>62</v>
      </c>
      <c r="AF28" s="12">
        <v>73</v>
      </c>
    </row>
    <row r="29" spans="1:32">
      <c r="A29" s="23"/>
      <c r="B29" s="13" t="s">
        <v>1581</v>
      </c>
      <c r="C29" s="14">
        <v>0.03</v>
      </c>
      <c r="D29" s="14">
        <v>0.04</v>
      </c>
      <c r="E29" s="14">
        <v>0.04</v>
      </c>
      <c r="F29" s="14">
        <v>0.01</v>
      </c>
      <c r="G29" s="14">
        <v>0.05</v>
      </c>
      <c r="H29" s="14">
        <v>0.02</v>
      </c>
      <c r="I29" s="14">
        <v>0.02</v>
      </c>
      <c r="J29" s="14">
        <v>0.03</v>
      </c>
      <c r="K29" s="14">
        <v>0.04</v>
      </c>
      <c r="L29" s="14">
        <v>0.02</v>
      </c>
      <c r="M29" s="14">
        <v>0.04</v>
      </c>
      <c r="N29" s="14">
        <v>0.02</v>
      </c>
      <c r="O29" s="14">
        <v>0.01</v>
      </c>
      <c r="P29" s="14">
        <v>7.0000000000000007E-2</v>
      </c>
      <c r="Q29" s="14">
        <v>0.02</v>
      </c>
      <c r="R29" s="14">
        <v>7.0000000000000007E-2</v>
      </c>
      <c r="S29" s="14">
        <v>0.06</v>
      </c>
      <c r="T29" s="14">
        <v>0.02</v>
      </c>
      <c r="U29" s="14">
        <v>0.04</v>
      </c>
      <c r="V29" s="14">
        <v>0.1</v>
      </c>
      <c r="W29" s="14">
        <v>0.11</v>
      </c>
      <c r="X29" s="14">
        <v>0.05</v>
      </c>
      <c r="Y29" s="14">
        <v>0.06</v>
      </c>
      <c r="Z29" s="14">
        <v>0.02</v>
      </c>
      <c r="AA29" s="14">
        <v>0.01</v>
      </c>
      <c r="AB29" s="14">
        <v>0.03</v>
      </c>
      <c r="AC29" s="14">
        <v>0.04</v>
      </c>
      <c r="AD29" s="14">
        <v>0.08</v>
      </c>
      <c r="AE29" s="14">
        <v>0.06</v>
      </c>
      <c r="AF29" s="14">
        <v>7.0000000000000007E-2</v>
      </c>
    </row>
    <row r="30" spans="1:32">
      <c r="A30" s="23"/>
      <c r="B30" s="11" t="s">
        <v>550</v>
      </c>
      <c r="C30" s="12">
        <v>191</v>
      </c>
      <c r="D30" s="12">
        <v>12</v>
      </c>
      <c r="E30" s="12">
        <v>9</v>
      </c>
      <c r="F30" s="12">
        <v>2</v>
      </c>
      <c r="G30" s="12">
        <v>14</v>
      </c>
      <c r="H30" s="12">
        <v>17</v>
      </c>
      <c r="I30" s="12">
        <v>18</v>
      </c>
      <c r="J30" s="12">
        <v>1</v>
      </c>
      <c r="K30" s="12">
        <v>17</v>
      </c>
      <c r="L30" s="12">
        <v>3</v>
      </c>
      <c r="M30" s="12">
        <v>14</v>
      </c>
      <c r="N30" s="12">
        <v>3</v>
      </c>
      <c r="O30" s="12">
        <v>3</v>
      </c>
      <c r="P30" s="12">
        <v>4</v>
      </c>
      <c r="Q30" s="12">
        <v>6</v>
      </c>
      <c r="R30" s="12">
        <v>0</v>
      </c>
      <c r="S30" s="12">
        <v>16</v>
      </c>
      <c r="T30" s="12">
        <v>12</v>
      </c>
      <c r="U30" s="12">
        <v>8</v>
      </c>
      <c r="V30" s="12">
        <v>1</v>
      </c>
      <c r="W30" s="12">
        <v>5</v>
      </c>
      <c r="X30" s="12">
        <v>12</v>
      </c>
      <c r="Y30" s="12">
        <v>16</v>
      </c>
      <c r="Z30" s="12">
        <v>4</v>
      </c>
      <c r="AA30" s="12">
        <v>6</v>
      </c>
      <c r="AB30" s="12">
        <v>16</v>
      </c>
      <c r="AC30" s="12">
        <v>3</v>
      </c>
      <c r="AD30" s="12">
        <v>4</v>
      </c>
      <c r="AE30" s="12">
        <v>10</v>
      </c>
      <c r="AF30" s="12">
        <v>3</v>
      </c>
    </row>
    <row r="31" spans="1:32">
      <c r="A31" s="23"/>
      <c r="B31" s="13" t="s">
        <v>551</v>
      </c>
      <c r="C31" s="14">
        <v>0.01</v>
      </c>
      <c r="D31" s="14">
        <v>0.01</v>
      </c>
      <c r="E31" s="14">
        <v>0.01</v>
      </c>
      <c r="F31" s="15" t="s">
        <v>485</v>
      </c>
      <c r="G31" s="14">
        <v>0.01</v>
      </c>
      <c r="H31" s="14">
        <v>0.01</v>
      </c>
      <c r="I31" s="14">
        <v>0.01</v>
      </c>
      <c r="J31" s="14">
        <v>0.01</v>
      </c>
      <c r="K31" s="14">
        <v>0.02</v>
      </c>
      <c r="L31" s="15" t="s">
        <v>485</v>
      </c>
      <c r="M31" s="14">
        <v>0.01</v>
      </c>
      <c r="N31" s="15" t="s">
        <v>485</v>
      </c>
      <c r="O31" s="15" t="s">
        <v>485</v>
      </c>
      <c r="P31" s="15" t="s">
        <v>485</v>
      </c>
      <c r="Q31" s="14">
        <v>0.01</v>
      </c>
      <c r="R31" s="15" t="s">
        <v>485</v>
      </c>
      <c r="S31" s="14">
        <v>0.02</v>
      </c>
      <c r="T31" s="14">
        <v>0.01</v>
      </c>
      <c r="U31" s="14">
        <v>0.02</v>
      </c>
      <c r="V31" s="15" t="s">
        <v>485</v>
      </c>
      <c r="W31" s="14">
        <v>0.01</v>
      </c>
      <c r="X31" s="14">
        <v>0.01</v>
      </c>
      <c r="Y31" s="14">
        <v>0.02</v>
      </c>
      <c r="Z31" s="15" t="s">
        <v>485</v>
      </c>
      <c r="AA31" s="14">
        <v>0.01</v>
      </c>
      <c r="AB31" s="14">
        <v>0.02</v>
      </c>
      <c r="AC31" s="15" t="s">
        <v>485</v>
      </c>
      <c r="AD31" s="15" t="s">
        <v>485</v>
      </c>
      <c r="AE31" s="14">
        <v>0.01</v>
      </c>
      <c r="AF31" s="15" t="s">
        <v>485</v>
      </c>
    </row>
    <row r="32" spans="1:32">
      <c r="A32" s="23"/>
      <c r="B32" s="11" t="s">
        <v>618</v>
      </c>
      <c r="C32" s="12">
        <v>1092</v>
      </c>
      <c r="D32" s="12">
        <v>33</v>
      </c>
      <c r="E32" s="12">
        <v>100</v>
      </c>
      <c r="F32" s="12">
        <v>48</v>
      </c>
      <c r="G32" s="12">
        <v>10</v>
      </c>
      <c r="H32" s="12">
        <v>33</v>
      </c>
      <c r="I32" s="12">
        <v>46</v>
      </c>
      <c r="J32" s="12">
        <v>14</v>
      </c>
      <c r="K32" s="12">
        <v>59</v>
      </c>
      <c r="L32" s="12">
        <v>45</v>
      </c>
      <c r="M32" s="12">
        <v>76</v>
      </c>
      <c r="N32" s="12">
        <v>36</v>
      </c>
      <c r="O32" s="12">
        <v>44</v>
      </c>
      <c r="P32" s="12">
        <v>11</v>
      </c>
      <c r="Q32" s="12">
        <v>31</v>
      </c>
      <c r="R32" s="12">
        <v>65</v>
      </c>
      <c r="S32" s="12">
        <v>55</v>
      </c>
      <c r="T32" s="12">
        <v>123</v>
      </c>
      <c r="U32" s="12">
        <v>16</v>
      </c>
      <c r="V32" s="12">
        <v>93</v>
      </c>
      <c r="W32" s="12">
        <v>42</v>
      </c>
      <c r="X32" s="12">
        <v>11</v>
      </c>
      <c r="Y32" s="12">
        <v>51</v>
      </c>
      <c r="Z32" s="12">
        <v>69</v>
      </c>
      <c r="AA32" s="12">
        <v>22</v>
      </c>
      <c r="AB32" s="12">
        <v>79</v>
      </c>
      <c r="AC32" s="12">
        <v>93</v>
      </c>
      <c r="AD32" s="12">
        <v>28</v>
      </c>
      <c r="AE32" s="12">
        <v>4</v>
      </c>
      <c r="AF32" s="12">
        <v>17</v>
      </c>
    </row>
    <row r="33" spans="1:32">
      <c r="A33" s="23"/>
      <c r="B33" s="13" t="s">
        <v>619</v>
      </c>
      <c r="C33" s="14">
        <v>0.04</v>
      </c>
      <c r="D33" s="14">
        <v>0.03</v>
      </c>
      <c r="E33" s="14">
        <v>0.1</v>
      </c>
      <c r="F33" s="14">
        <v>0.05</v>
      </c>
      <c r="G33" s="14">
        <v>0.01</v>
      </c>
      <c r="H33" s="14">
        <v>0.03</v>
      </c>
      <c r="I33" s="14">
        <v>0.03</v>
      </c>
      <c r="J33" s="14">
        <v>0.05</v>
      </c>
      <c r="K33" s="14">
        <v>0.06</v>
      </c>
      <c r="L33" s="14">
        <v>0.04</v>
      </c>
      <c r="M33" s="14">
        <v>7.0000000000000007E-2</v>
      </c>
      <c r="N33" s="14">
        <v>0.04</v>
      </c>
      <c r="O33" s="14">
        <v>0.04</v>
      </c>
      <c r="P33" s="14">
        <v>0.01</v>
      </c>
      <c r="Q33" s="14">
        <v>0.03</v>
      </c>
      <c r="R33" s="14">
        <v>0.13</v>
      </c>
      <c r="S33" s="14">
        <v>0.05</v>
      </c>
      <c r="T33" s="14">
        <v>0.12</v>
      </c>
      <c r="U33" s="14">
        <v>0.03</v>
      </c>
      <c r="V33" s="14">
        <v>0.09</v>
      </c>
      <c r="W33" s="14">
        <v>0.08</v>
      </c>
      <c r="X33" s="14">
        <v>0.01</v>
      </c>
      <c r="Y33" s="14">
        <v>0.05</v>
      </c>
      <c r="Z33" s="14">
        <v>7.0000000000000007E-2</v>
      </c>
      <c r="AA33" s="14">
        <v>0.02</v>
      </c>
      <c r="AB33" s="14">
        <v>0.08</v>
      </c>
      <c r="AC33" s="14">
        <v>0.09</v>
      </c>
      <c r="AD33" s="14">
        <v>0.03</v>
      </c>
      <c r="AE33" s="15" t="s">
        <v>485</v>
      </c>
      <c r="AF33" s="14">
        <v>0.02</v>
      </c>
    </row>
    <row r="34" spans="1:32">
      <c r="A34" s="23"/>
      <c r="B34" s="11" t="s">
        <v>497</v>
      </c>
      <c r="C34" s="12">
        <v>1471</v>
      </c>
      <c r="D34" s="12">
        <v>48</v>
      </c>
      <c r="E34" s="12">
        <v>100</v>
      </c>
      <c r="F34" s="12">
        <v>113</v>
      </c>
      <c r="G34" s="12">
        <v>16</v>
      </c>
      <c r="H34" s="12">
        <v>56</v>
      </c>
      <c r="I34" s="12">
        <v>69</v>
      </c>
      <c r="J34" s="12">
        <v>14</v>
      </c>
      <c r="K34" s="12">
        <v>69</v>
      </c>
      <c r="L34" s="12">
        <v>76</v>
      </c>
      <c r="M34" s="12">
        <v>21</v>
      </c>
      <c r="N34" s="12">
        <v>53</v>
      </c>
      <c r="O34" s="12">
        <v>63</v>
      </c>
      <c r="P34" s="12">
        <v>26</v>
      </c>
      <c r="Q34" s="12">
        <v>62</v>
      </c>
      <c r="R34" s="12">
        <v>13</v>
      </c>
      <c r="S34" s="12">
        <v>74</v>
      </c>
      <c r="T34" s="12">
        <v>36</v>
      </c>
      <c r="U34" s="12">
        <v>11</v>
      </c>
      <c r="V34" s="12">
        <v>84</v>
      </c>
      <c r="W34" s="12">
        <v>23</v>
      </c>
      <c r="X34" s="12">
        <v>16</v>
      </c>
      <c r="Y34" s="12">
        <v>50</v>
      </c>
      <c r="Z34" s="12">
        <v>73</v>
      </c>
      <c r="AA34" s="12">
        <v>120</v>
      </c>
      <c r="AB34" s="12">
        <v>57</v>
      </c>
      <c r="AC34" s="12">
        <v>27</v>
      </c>
      <c r="AD34" s="12">
        <v>59</v>
      </c>
      <c r="AE34" s="12">
        <v>38</v>
      </c>
      <c r="AF34" s="12">
        <v>11</v>
      </c>
    </row>
    <row r="35" spans="1:32">
      <c r="A35" s="23"/>
      <c r="B35" s="13" t="s">
        <v>498</v>
      </c>
      <c r="C35" s="14">
        <v>0.06</v>
      </c>
      <c r="D35" s="14">
        <v>0.05</v>
      </c>
      <c r="E35" s="14">
        <v>0.1</v>
      </c>
      <c r="F35" s="14">
        <v>0.11</v>
      </c>
      <c r="G35" s="14">
        <v>0.02</v>
      </c>
      <c r="H35" s="14">
        <v>0.05</v>
      </c>
      <c r="I35" s="14">
        <v>0.05</v>
      </c>
      <c r="J35" s="14">
        <v>0.05</v>
      </c>
      <c r="K35" s="14">
        <v>7.0000000000000007E-2</v>
      </c>
      <c r="L35" s="14">
        <v>0.08</v>
      </c>
      <c r="M35" s="14">
        <v>0.02</v>
      </c>
      <c r="N35" s="14">
        <v>0.05</v>
      </c>
      <c r="O35" s="14">
        <v>0.06</v>
      </c>
      <c r="P35" s="14">
        <v>0.03</v>
      </c>
      <c r="Q35" s="14">
        <v>0.06</v>
      </c>
      <c r="R35" s="14">
        <v>0.03</v>
      </c>
      <c r="S35" s="14">
        <v>7.0000000000000007E-2</v>
      </c>
      <c r="T35" s="14">
        <v>0.04</v>
      </c>
      <c r="U35" s="14">
        <v>0.02</v>
      </c>
      <c r="V35" s="14">
        <v>0.08</v>
      </c>
      <c r="W35" s="14">
        <v>0.05</v>
      </c>
      <c r="X35" s="14">
        <v>0.02</v>
      </c>
      <c r="Y35" s="14">
        <v>0.05</v>
      </c>
      <c r="Z35" s="14">
        <v>7.0000000000000007E-2</v>
      </c>
      <c r="AA35" s="14">
        <v>0.12</v>
      </c>
      <c r="AB35" s="14">
        <v>0.06</v>
      </c>
      <c r="AC35" s="14">
        <v>0.03</v>
      </c>
      <c r="AD35" s="14">
        <v>0.06</v>
      </c>
      <c r="AE35" s="14">
        <v>0.04</v>
      </c>
      <c r="AF35" s="14">
        <v>0.01</v>
      </c>
    </row>
  </sheetData>
  <mergeCells count="9">
    <mergeCell ref="B10:B11"/>
    <mergeCell ref="H4:L4"/>
    <mergeCell ref="A10:A35"/>
    <mergeCell ref="B4:F4"/>
    <mergeCell ref="H3:L3"/>
    <mergeCell ref="C8:AF8"/>
    <mergeCell ref="B3:F3"/>
    <mergeCell ref="B5:F5"/>
    <mergeCell ref="H5:L5"/>
  </mergeCells>
  <pageMargins left="0.75" right="0.75" top="1" bottom="1" header="0.5" footer="0.5"/>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F00-000000000000}">
  <dimension ref="A1:AF25"/>
  <sheetViews>
    <sheetView workbookViewId="0">
      <pane xSplit="3" ySplit="9" topLeftCell="D10" activePane="bottomRight" state="frozen"/>
      <selection pane="bottomRight" activeCell="A25" sqref="A25"/>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357</v>
      </c>
      <c r="C3" s="19"/>
      <c r="D3" s="19"/>
      <c r="E3" s="19"/>
      <c r="F3" s="19"/>
      <c r="H3" s="19" t="s">
        <v>358</v>
      </c>
      <c r="I3" s="19"/>
      <c r="J3" s="19"/>
      <c r="K3" s="19"/>
      <c r="L3" s="19"/>
    </row>
    <row r="4" spans="1:32" ht="27" customHeight="1">
      <c r="B4" s="19"/>
      <c r="C4" s="19"/>
      <c r="D4" s="19"/>
      <c r="E4" s="19"/>
      <c r="F4" s="19"/>
      <c r="H4" s="19"/>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HYPERLINK("#Content!A180","&lt;&lt;Back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1582</v>
      </c>
      <c r="C12" s="12">
        <v>493</v>
      </c>
      <c r="D12" s="12">
        <v>30</v>
      </c>
      <c r="E12" s="12">
        <v>74</v>
      </c>
      <c r="F12" s="12">
        <v>38</v>
      </c>
      <c r="G12" s="12">
        <v>6</v>
      </c>
      <c r="H12" s="12">
        <v>7</v>
      </c>
      <c r="I12" s="12">
        <v>10</v>
      </c>
      <c r="J12" s="12">
        <v>3</v>
      </c>
      <c r="K12" s="12">
        <v>29</v>
      </c>
      <c r="L12" s="12">
        <v>11</v>
      </c>
      <c r="M12" s="12">
        <v>54</v>
      </c>
      <c r="N12" s="12">
        <v>24</v>
      </c>
      <c r="O12" s="12">
        <v>15</v>
      </c>
      <c r="P12" s="12">
        <v>68</v>
      </c>
      <c r="Q12" s="12">
        <v>7</v>
      </c>
      <c r="R12" s="12">
        <v>23</v>
      </c>
      <c r="S12" s="12">
        <v>16</v>
      </c>
      <c r="T12" s="12">
        <v>27</v>
      </c>
      <c r="U12" s="12">
        <v>14</v>
      </c>
      <c r="V12" s="12">
        <v>46</v>
      </c>
      <c r="W12" s="12">
        <v>14</v>
      </c>
      <c r="X12" s="12">
        <v>40</v>
      </c>
      <c r="Y12" s="12">
        <v>38</v>
      </c>
      <c r="Z12" s="12">
        <v>11</v>
      </c>
      <c r="AA12" s="12">
        <v>7</v>
      </c>
      <c r="AB12" s="12">
        <v>20</v>
      </c>
      <c r="AC12" s="12">
        <v>20</v>
      </c>
      <c r="AD12" s="12">
        <v>67</v>
      </c>
      <c r="AE12" s="12">
        <v>16</v>
      </c>
      <c r="AF12" s="12">
        <v>15</v>
      </c>
    </row>
    <row r="13" spans="1:32">
      <c r="A13" s="23"/>
      <c r="B13" s="13" t="s">
        <v>1583</v>
      </c>
      <c r="C13" s="14">
        <v>0.02</v>
      </c>
      <c r="D13" s="14">
        <v>0.03</v>
      </c>
      <c r="E13" s="14">
        <v>7.0000000000000007E-2</v>
      </c>
      <c r="F13" s="14">
        <v>0.04</v>
      </c>
      <c r="G13" s="14">
        <v>0.01</v>
      </c>
      <c r="H13" s="14">
        <v>0.01</v>
      </c>
      <c r="I13" s="14">
        <v>0.01</v>
      </c>
      <c r="J13" s="14">
        <v>0.01</v>
      </c>
      <c r="K13" s="14">
        <v>0.03</v>
      </c>
      <c r="L13" s="14">
        <v>0.01</v>
      </c>
      <c r="M13" s="14">
        <v>0.05</v>
      </c>
      <c r="N13" s="14">
        <v>0.02</v>
      </c>
      <c r="O13" s="14">
        <v>0.01</v>
      </c>
      <c r="P13" s="14">
        <v>7.0000000000000007E-2</v>
      </c>
      <c r="Q13" s="14">
        <v>0.01</v>
      </c>
      <c r="R13" s="14">
        <v>0.05</v>
      </c>
      <c r="S13" s="14">
        <v>0.02</v>
      </c>
      <c r="T13" s="14">
        <v>0.03</v>
      </c>
      <c r="U13" s="14">
        <v>0.03</v>
      </c>
      <c r="V13" s="14">
        <v>0.05</v>
      </c>
      <c r="W13" s="14">
        <v>0.03</v>
      </c>
      <c r="X13" s="14">
        <v>0.04</v>
      </c>
      <c r="Y13" s="14">
        <v>0.04</v>
      </c>
      <c r="Z13" s="14">
        <v>0.01</v>
      </c>
      <c r="AA13" s="14">
        <v>0.01</v>
      </c>
      <c r="AB13" s="14">
        <v>0.02</v>
      </c>
      <c r="AC13" s="14">
        <v>0.02</v>
      </c>
      <c r="AD13" s="14">
        <v>7.0000000000000007E-2</v>
      </c>
      <c r="AE13" s="14">
        <v>0.02</v>
      </c>
      <c r="AF13" s="14">
        <v>0.01</v>
      </c>
    </row>
    <row r="14" spans="1:32">
      <c r="A14" s="23"/>
      <c r="B14" s="11" t="s">
        <v>1584</v>
      </c>
      <c r="C14" s="12">
        <v>818</v>
      </c>
      <c r="D14" s="12">
        <v>47</v>
      </c>
      <c r="E14" s="12">
        <v>65</v>
      </c>
      <c r="F14" s="12">
        <v>30</v>
      </c>
      <c r="G14" s="12">
        <v>22</v>
      </c>
      <c r="H14" s="12">
        <v>36</v>
      </c>
      <c r="I14" s="12">
        <v>45</v>
      </c>
      <c r="J14" s="12">
        <v>8</v>
      </c>
      <c r="K14" s="12">
        <v>37</v>
      </c>
      <c r="L14" s="12">
        <v>23</v>
      </c>
      <c r="M14" s="12">
        <v>42</v>
      </c>
      <c r="N14" s="12">
        <v>23</v>
      </c>
      <c r="O14" s="12">
        <v>32</v>
      </c>
      <c r="P14" s="12">
        <v>66</v>
      </c>
      <c r="Q14" s="12">
        <v>30</v>
      </c>
      <c r="R14" s="12">
        <v>20</v>
      </c>
      <c r="S14" s="12">
        <v>23</v>
      </c>
      <c r="T14" s="12">
        <v>26</v>
      </c>
      <c r="U14" s="12">
        <v>15</v>
      </c>
      <c r="V14" s="12">
        <v>23</v>
      </c>
      <c r="W14" s="12">
        <v>34</v>
      </c>
      <c r="X14" s="12">
        <v>51</v>
      </c>
      <c r="Y14" s="12">
        <v>49</v>
      </c>
      <c r="Z14" s="12">
        <v>30</v>
      </c>
      <c r="AA14" s="12">
        <v>4</v>
      </c>
      <c r="AB14" s="12">
        <v>27</v>
      </c>
      <c r="AC14" s="12">
        <v>25</v>
      </c>
      <c r="AD14" s="12">
        <v>45</v>
      </c>
      <c r="AE14" s="12">
        <v>35</v>
      </c>
      <c r="AF14" s="12">
        <v>28</v>
      </c>
    </row>
    <row r="15" spans="1:32">
      <c r="A15" s="23"/>
      <c r="B15" s="13" t="s">
        <v>1585</v>
      </c>
      <c r="C15" s="14">
        <v>0.03</v>
      </c>
      <c r="D15" s="14">
        <v>0.05</v>
      </c>
      <c r="E15" s="14">
        <v>0.06</v>
      </c>
      <c r="F15" s="14">
        <v>0.03</v>
      </c>
      <c r="G15" s="14">
        <v>0.02</v>
      </c>
      <c r="H15" s="14">
        <v>0.03</v>
      </c>
      <c r="I15" s="14">
        <v>0.03</v>
      </c>
      <c r="J15" s="14">
        <v>0.03</v>
      </c>
      <c r="K15" s="14">
        <v>0.04</v>
      </c>
      <c r="L15" s="14">
        <v>0.02</v>
      </c>
      <c r="M15" s="14">
        <v>0.04</v>
      </c>
      <c r="N15" s="14">
        <v>0.02</v>
      </c>
      <c r="O15" s="14">
        <v>0.03</v>
      </c>
      <c r="P15" s="14">
        <v>0.06</v>
      </c>
      <c r="Q15" s="14">
        <v>0.03</v>
      </c>
      <c r="R15" s="14">
        <v>0.04</v>
      </c>
      <c r="S15" s="14">
        <v>0.02</v>
      </c>
      <c r="T15" s="14">
        <v>0.03</v>
      </c>
      <c r="U15" s="14">
        <v>0.03</v>
      </c>
      <c r="V15" s="14">
        <v>0.02</v>
      </c>
      <c r="W15" s="14">
        <v>7.0000000000000007E-2</v>
      </c>
      <c r="X15" s="14">
        <v>0.05</v>
      </c>
      <c r="Y15" s="14">
        <v>0.05</v>
      </c>
      <c r="Z15" s="14">
        <v>0.03</v>
      </c>
      <c r="AA15" s="15" t="s">
        <v>485</v>
      </c>
      <c r="AB15" s="14">
        <v>0.03</v>
      </c>
      <c r="AC15" s="14">
        <v>0.02</v>
      </c>
      <c r="AD15" s="14">
        <v>0.05</v>
      </c>
      <c r="AE15" s="14">
        <v>0.03</v>
      </c>
      <c r="AF15" s="14">
        <v>0.03</v>
      </c>
    </row>
    <row r="16" spans="1:32">
      <c r="A16" s="23"/>
      <c r="B16" s="11" t="s">
        <v>1111</v>
      </c>
      <c r="C16" s="12">
        <v>24986</v>
      </c>
      <c r="D16" s="12">
        <v>931</v>
      </c>
      <c r="E16" s="12">
        <v>889</v>
      </c>
      <c r="F16" s="12">
        <v>932</v>
      </c>
      <c r="G16" s="12">
        <v>972</v>
      </c>
      <c r="H16" s="12">
        <v>1165</v>
      </c>
      <c r="I16" s="12">
        <v>1445</v>
      </c>
      <c r="J16" s="12">
        <v>281</v>
      </c>
      <c r="K16" s="12">
        <v>925</v>
      </c>
      <c r="L16" s="12">
        <v>964</v>
      </c>
      <c r="M16" s="12">
        <v>918</v>
      </c>
      <c r="N16" s="12">
        <v>954</v>
      </c>
      <c r="O16" s="12">
        <v>957</v>
      </c>
      <c r="P16" s="12">
        <v>869</v>
      </c>
      <c r="Q16" s="12">
        <v>987</v>
      </c>
      <c r="R16" s="12">
        <v>458</v>
      </c>
      <c r="S16" s="12">
        <v>966</v>
      </c>
      <c r="T16" s="12">
        <v>930</v>
      </c>
      <c r="U16" s="12">
        <v>472</v>
      </c>
      <c r="V16" s="12">
        <v>941</v>
      </c>
      <c r="W16" s="12">
        <v>454</v>
      </c>
      <c r="X16" s="12">
        <v>930</v>
      </c>
      <c r="Y16" s="12">
        <v>903</v>
      </c>
      <c r="Z16" s="12">
        <v>975</v>
      </c>
      <c r="AA16" s="12">
        <v>1023</v>
      </c>
      <c r="AB16" s="12">
        <v>975</v>
      </c>
      <c r="AC16" s="12">
        <v>966</v>
      </c>
      <c r="AD16" s="12">
        <v>877</v>
      </c>
      <c r="AE16" s="12">
        <v>958</v>
      </c>
      <c r="AF16" s="12">
        <v>1033</v>
      </c>
    </row>
    <row r="17" spans="1:32">
      <c r="A17" s="23"/>
      <c r="B17" s="13" t="s">
        <v>1112</v>
      </c>
      <c r="C17" s="14">
        <v>0.95000000000000007</v>
      </c>
      <c r="D17" s="14">
        <v>0.93</v>
      </c>
      <c r="E17" s="14">
        <v>0.85</v>
      </c>
      <c r="F17" s="14">
        <v>0.93</v>
      </c>
      <c r="G17" s="14">
        <v>0.97</v>
      </c>
      <c r="H17" s="14">
        <v>0.96</v>
      </c>
      <c r="I17" s="14">
        <v>0.96</v>
      </c>
      <c r="J17" s="14">
        <v>0.96</v>
      </c>
      <c r="K17" s="14">
        <v>0.92</v>
      </c>
      <c r="L17" s="14">
        <v>0.96</v>
      </c>
      <c r="M17" s="14">
        <v>0.91</v>
      </c>
      <c r="N17" s="14">
        <v>0.95000000000000007</v>
      </c>
      <c r="O17" s="14">
        <v>0.95000000000000007</v>
      </c>
      <c r="P17" s="14">
        <v>0.86</v>
      </c>
      <c r="Q17" s="14">
        <v>0.96</v>
      </c>
      <c r="R17" s="14">
        <v>0.91</v>
      </c>
      <c r="S17" s="14">
        <v>0.96</v>
      </c>
      <c r="T17" s="14">
        <v>0.93</v>
      </c>
      <c r="U17" s="14">
        <v>0.94000000000000006</v>
      </c>
      <c r="V17" s="14">
        <v>0.93</v>
      </c>
      <c r="W17" s="14">
        <v>0.9</v>
      </c>
      <c r="X17" s="14">
        <v>0.92</v>
      </c>
      <c r="Y17" s="14">
        <v>0.9</v>
      </c>
      <c r="Z17" s="14">
        <v>0.96</v>
      </c>
      <c r="AA17" s="14">
        <v>0.98</v>
      </c>
      <c r="AB17" s="14">
        <v>0.95000000000000007</v>
      </c>
      <c r="AC17" s="14">
        <v>0.96</v>
      </c>
      <c r="AD17" s="14">
        <v>0.87</v>
      </c>
      <c r="AE17" s="14">
        <v>0.95000000000000007</v>
      </c>
      <c r="AF17" s="14">
        <v>0.96</v>
      </c>
    </row>
    <row r="18" spans="1:32">
      <c r="A18" s="23"/>
      <c r="B18" s="11" t="s">
        <v>1515</v>
      </c>
      <c r="C18" s="12">
        <v>91</v>
      </c>
      <c r="D18" s="12">
        <v>1</v>
      </c>
      <c r="E18" s="12">
        <v>19</v>
      </c>
      <c r="F18" s="12">
        <v>8</v>
      </c>
      <c r="G18" s="12">
        <v>3</v>
      </c>
      <c r="H18" s="12">
        <v>2</v>
      </c>
      <c r="I18" s="12">
        <v>3</v>
      </c>
      <c r="J18" s="12">
        <v>1</v>
      </c>
      <c r="K18" s="12">
        <v>6</v>
      </c>
      <c r="L18" s="12">
        <v>1</v>
      </c>
      <c r="M18" s="12">
        <v>4</v>
      </c>
      <c r="N18" s="12">
        <v>5</v>
      </c>
      <c r="O18" s="12">
        <v>1</v>
      </c>
      <c r="P18" s="12">
        <v>15</v>
      </c>
      <c r="Q18" s="12">
        <v>0</v>
      </c>
      <c r="R18" s="12">
        <v>1</v>
      </c>
      <c r="S18" s="12">
        <v>0</v>
      </c>
      <c r="T18" s="12">
        <v>18</v>
      </c>
      <c r="U18" s="12">
        <v>2</v>
      </c>
      <c r="V18" s="12">
        <v>4</v>
      </c>
      <c r="W18" s="12">
        <v>2</v>
      </c>
      <c r="X18" s="12">
        <v>0</v>
      </c>
      <c r="Y18" s="12">
        <v>21</v>
      </c>
      <c r="Z18" s="12">
        <v>1</v>
      </c>
      <c r="AA18" s="12">
        <v>5</v>
      </c>
      <c r="AB18" s="12">
        <v>12</v>
      </c>
      <c r="AC18" s="12">
        <v>0</v>
      </c>
      <c r="AD18" s="12">
        <v>16</v>
      </c>
      <c r="AE18" s="12">
        <v>1</v>
      </c>
      <c r="AF18" s="12">
        <v>0</v>
      </c>
    </row>
    <row r="19" spans="1:32">
      <c r="A19" s="23"/>
      <c r="B19" s="13" t="s">
        <v>1516</v>
      </c>
      <c r="C19" s="15" t="s">
        <v>485</v>
      </c>
      <c r="D19" s="15" t="s">
        <v>485</v>
      </c>
      <c r="E19" s="14">
        <v>0.02</v>
      </c>
      <c r="F19" s="14">
        <v>0.01</v>
      </c>
      <c r="G19" s="15" t="s">
        <v>485</v>
      </c>
      <c r="H19" s="15" t="s">
        <v>485</v>
      </c>
      <c r="I19" s="15" t="s">
        <v>485</v>
      </c>
      <c r="J19" s="15" t="s">
        <v>485</v>
      </c>
      <c r="K19" s="14">
        <v>0.01</v>
      </c>
      <c r="L19" s="15" t="s">
        <v>485</v>
      </c>
      <c r="M19" s="15" t="s">
        <v>485</v>
      </c>
      <c r="N19" s="15" t="s">
        <v>485</v>
      </c>
      <c r="O19" s="15" t="s">
        <v>485</v>
      </c>
      <c r="P19" s="14">
        <v>0.01</v>
      </c>
      <c r="Q19" s="15" t="s">
        <v>485</v>
      </c>
      <c r="R19" s="15" t="s">
        <v>485</v>
      </c>
      <c r="S19" s="15" t="s">
        <v>485</v>
      </c>
      <c r="T19" s="14">
        <v>0.02</v>
      </c>
      <c r="U19" s="15" t="s">
        <v>485</v>
      </c>
      <c r="V19" s="15" t="s">
        <v>485</v>
      </c>
      <c r="W19" s="15" t="s">
        <v>485</v>
      </c>
      <c r="X19" s="15" t="s">
        <v>485</v>
      </c>
      <c r="Y19" s="14">
        <v>0.02</v>
      </c>
      <c r="Z19" s="15" t="s">
        <v>485</v>
      </c>
      <c r="AA19" s="15" t="s">
        <v>485</v>
      </c>
      <c r="AB19" s="14">
        <v>0.01</v>
      </c>
      <c r="AC19" s="15" t="s">
        <v>485</v>
      </c>
      <c r="AD19" s="14">
        <v>0.02</v>
      </c>
      <c r="AE19" s="15" t="s">
        <v>485</v>
      </c>
      <c r="AF19" s="15" t="s">
        <v>485</v>
      </c>
    </row>
    <row r="20" spans="1:32">
      <c r="A20" s="23"/>
      <c r="B20" s="11" t="s">
        <v>497</v>
      </c>
      <c r="C20" s="12">
        <v>34</v>
      </c>
      <c r="D20" s="12">
        <v>1</v>
      </c>
      <c r="E20" s="12">
        <v>7</v>
      </c>
      <c r="F20" s="12">
        <v>2</v>
      </c>
      <c r="G20" s="12">
        <v>1</v>
      </c>
      <c r="H20" s="12">
        <v>0</v>
      </c>
      <c r="I20" s="12">
        <v>1</v>
      </c>
      <c r="J20" s="12">
        <v>1</v>
      </c>
      <c r="K20" s="12">
        <v>18</v>
      </c>
      <c r="L20" s="12">
        <v>11</v>
      </c>
      <c r="M20" s="12">
        <v>0</v>
      </c>
      <c r="N20" s="12">
        <v>0</v>
      </c>
      <c r="O20" s="12">
        <v>3</v>
      </c>
      <c r="P20" s="12">
        <v>2</v>
      </c>
      <c r="Q20" s="12">
        <v>0</v>
      </c>
      <c r="R20" s="12">
        <v>0</v>
      </c>
      <c r="S20" s="12">
        <v>2</v>
      </c>
      <c r="T20" s="12">
        <v>5</v>
      </c>
      <c r="U20" s="12">
        <v>1</v>
      </c>
      <c r="V20" s="12">
        <v>4</v>
      </c>
      <c r="W20" s="12">
        <v>1</v>
      </c>
      <c r="X20" s="12">
        <v>0</v>
      </c>
      <c r="Y20" s="12">
        <v>1</v>
      </c>
      <c r="Z20" s="12">
        <v>1</v>
      </c>
      <c r="AA20" s="12">
        <v>1</v>
      </c>
      <c r="AB20" s="12">
        <v>3</v>
      </c>
      <c r="AC20" s="12">
        <v>0</v>
      </c>
      <c r="AD20" s="12">
        <v>2</v>
      </c>
      <c r="AE20" s="12">
        <v>2</v>
      </c>
      <c r="AF20" s="12">
        <v>0</v>
      </c>
    </row>
    <row r="21" spans="1:32">
      <c r="A21" s="23"/>
      <c r="B21" s="13" t="s">
        <v>498</v>
      </c>
      <c r="C21" s="15" t="s">
        <v>485</v>
      </c>
      <c r="D21" s="15" t="s">
        <v>485</v>
      </c>
      <c r="E21" s="14">
        <v>0.01</v>
      </c>
      <c r="F21" s="15" t="s">
        <v>485</v>
      </c>
      <c r="G21" s="15" t="s">
        <v>485</v>
      </c>
      <c r="H21" s="15" t="s">
        <v>485</v>
      </c>
      <c r="I21" s="15" t="s">
        <v>485</v>
      </c>
      <c r="J21" s="15" t="s">
        <v>485</v>
      </c>
      <c r="K21" s="14">
        <v>0.02</v>
      </c>
      <c r="L21" s="14">
        <v>0.01</v>
      </c>
      <c r="M21" s="15" t="s">
        <v>485</v>
      </c>
      <c r="N21" s="15" t="s">
        <v>485</v>
      </c>
      <c r="O21" s="15" t="s">
        <v>485</v>
      </c>
      <c r="P21" s="15" t="s">
        <v>485</v>
      </c>
      <c r="Q21" s="15" t="s">
        <v>485</v>
      </c>
      <c r="R21" s="15" t="s">
        <v>485</v>
      </c>
      <c r="S21" s="15" t="s">
        <v>485</v>
      </c>
      <c r="T21" s="14">
        <v>0.01</v>
      </c>
      <c r="U21" s="15" t="s">
        <v>485</v>
      </c>
      <c r="V21" s="15" t="s">
        <v>485</v>
      </c>
      <c r="W21" s="15" t="s">
        <v>485</v>
      </c>
      <c r="X21" s="15" t="s">
        <v>485</v>
      </c>
      <c r="Y21" s="15" t="s">
        <v>485</v>
      </c>
      <c r="Z21" s="15" t="s">
        <v>485</v>
      </c>
      <c r="AA21" s="15" t="s">
        <v>485</v>
      </c>
      <c r="AB21" s="15" t="s">
        <v>485</v>
      </c>
      <c r="AC21" s="15" t="s">
        <v>485</v>
      </c>
      <c r="AD21" s="15" t="s">
        <v>485</v>
      </c>
      <c r="AE21" s="15" t="s">
        <v>485</v>
      </c>
      <c r="AF21" s="15" t="s">
        <v>485</v>
      </c>
    </row>
    <row r="22" spans="1:32">
      <c r="A22" s="23"/>
      <c r="B22" s="11" t="s">
        <v>518</v>
      </c>
      <c r="C22" s="12">
        <v>1243</v>
      </c>
      <c r="D22" s="12">
        <v>73</v>
      </c>
      <c r="E22" s="12">
        <v>129</v>
      </c>
      <c r="F22" s="12">
        <v>66</v>
      </c>
      <c r="G22" s="12">
        <v>28</v>
      </c>
      <c r="H22" s="12">
        <v>44</v>
      </c>
      <c r="I22" s="12">
        <v>54</v>
      </c>
      <c r="J22" s="12">
        <v>11</v>
      </c>
      <c r="K22" s="12">
        <v>56</v>
      </c>
      <c r="L22" s="12">
        <v>32</v>
      </c>
      <c r="M22" s="12">
        <v>90</v>
      </c>
      <c r="N22" s="12">
        <v>41</v>
      </c>
      <c r="O22" s="12">
        <v>45</v>
      </c>
      <c r="P22" s="12">
        <v>126</v>
      </c>
      <c r="Q22" s="12">
        <v>37</v>
      </c>
      <c r="R22" s="12">
        <v>43</v>
      </c>
      <c r="S22" s="12">
        <v>37</v>
      </c>
      <c r="T22" s="12">
        <v>51</v>
      </c>
      <c r="U22" s="12">
        <v>28</v>
      </c>
      <c r="V22" s="12">
        <v>63</v>
      </c>
      <c r="W22" s="12">
        <v>47</v>
      </c>
      <c r="X22" s="12">
        <v>86</v>
      </c>
      <c r="Y22" s="12">
        <v>82</v>
      </c>
      <c r="Z22" s="12">
        <v>40</v>
      </c>
      <c r="AA22" s="12">
        <v>11</v>
      </c>
      <c r="AB22" s="12">
        <v>40</v>
      </c>
      <c r="AC22" s="12">
        <v>39</v>
      </c>
      <c r="AD22" s="12">
        <v>108</v>
      </c>
      <c r="AE22" s="12">
        <v>47</v>
      </c>
      <c r="AF22" s="12">
        <v>40</v>
      </c>
    </row>
    <row r="23" spans="1:32">
      <c r="A23" s="23"/>
      <c r="B23" s="13" t="s">
        <v>519</v>
      </c>
      <c r="C23" s="14">
        <v>0.05</v>
      </c>
      <c r="D23" s="14">
        <v>7.0000000000000007E-2</v>
      </c>
      <c r="E23" s="14">
        <v>0.12</v>
      </c>
      <c r="F23" s="14">
        <v>7.0000000000000007E-2</v>
      </c>
      <c r="G23" s="14">
        <v>0.03</v>
      </c>
      <c r="H23" s="14">
        <v>0.04</v>
      </c>
      <c r="I23" s="14">
        <v>0.04</v>
      </c>
      <c r="J23" s="14">
        <v>0.04</v>
      </c>
      <c r="K23" s="14">
        <v>0.06</v>
      </c>
      <c r="L23" s="14">
        <v>0.03</v>
      </c>
      <c r="M23" s="14">
        <v>0.09</v>
      </c>
      <c r="N23" s="14">
        <v>0.04</v>
      </c>
      <c r="O23" s="14">
        <v>0.04</v>
      </c>
      <c r="P23" s="14">
        <v>0.12</v>
      </c>
      <c r="Q23" s="14">
        <v>0.04</v>
      </c>
      <c r="R23" s="14">
        <v>0.09</v>
      </c>
      <c r="S23" s="14">
        <v>0.04</v>
      </c>
      <c r="T23" s="14">
        <v>0.05</v>
      </c>
      <c r="U23" s="14">
        <v>0.06</v>
      </c>
      <c r="V23" s="14">
        <v>0.06</v>
      </c>
      <c r="W23" s="14">
        <v>0.09</v>
      </c>
      <c r="X23" s="14">
        <v>0.08</v>
      </c>
      <c r="Y23" s="14">
        <v>0.08</v>
      </c>
      <c r="Z23" s="14">
        <v>0.04</v>
      </c>
      <c r="AA23" s="14">
        <v>0.01</v>
      </c>
      <c r="AB23" s="14">
        <v>0.04</v>
      </c>
      <c r="AC23" s="14">
        <v>0.04</v>
      </c>
      <c r="AD23" s="14">
        <v>0.11</v>
      </c>
      <c r="AE23" s="14">
        <v>0.05</v>
      </c>
      <c r="AF23" s="14">
        <v>0.04</v>
      </c>
    </row>
    <row r="25" spans="1:32">
      <c r="C25" s="16"/>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row>
  </sheetData>
  <mergeCells count="10">
    <mergeCell ref="B4:F4"/>
    <mergeCell ref="H3:L3"/>
    <mergeCell ref="A10:A21"/>
    <mergeCell ref="C8:AF8"/>
    <mergeCell ref="A22:A23"/>
    <mergeCell ref="B3:F3"/>
    <mergeCell ref="B5:F5"/>
    <mergeCell ref="H5:L5"/>
    <mergeCell ref="B10:B11"/>
    <mergeCell ref="H4:L4"/>
  </mergeCells>
  <pageMargins left="0.75" right="0.75" top="1" bottom="1" header="0.5" footer="0.5"/>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000-000000000000}">
  <dimension ref="A1:AF24"/>
  <sheetViews>
    <sheetView workbookViewId="0">
      <pane xSplit="3" ySplit="9" topLeftCell="M10" activePane="bottomRight" state="frozen"/>
      <selection pane="bottomRight" activeCell="T24" sqref="S24:T24"/>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359</v>
      </c>
      <c r="C3" s="19"/>
      <c r="D3" s="19"/>
      <c r="E3" s="19"/>
      <c r="F3" s="19"/>
      <c r="H3" s="19" t="s">
        <v>360</v>
      </c>
      <c r="I3" s="19"/>
      <c r="J3" s="19"/>
      <c r="K3" s="19"/>
      <c r="L3" s="19"/>
    </row>
    <row r="4" spans="1:32" ht="27" customHeight="1">
      <c r="B4" s="19"/>
      <c r="C4" s="19"/>
      <c r="D4" s="19"/>
      <c r="E4" s="19"/>
      <c r="F4" s="19"/>
      <c r="H4" s="19"/>
      <c r="I4" s="19"/>
      <c r="J4" s="19"/>
      <c r="K4" s="19"/>
      <c r="L4" s="19"/>
    </row>
    <row r="5" spans="1:32" ht="12" customHeight="1">
      <c r="B5" s="19" t="s">
        <v>1586</v>
      </c>
      <c r="C5" s="19"/>
      <c r="D5" s="19"/>
      <c r="E5" s="19"/>
      <c r="F5" s="19"/>
      <c r="H5" s="19" t="s">
        <v>1587</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HYPERLINK("#Content!A181","&lt;&lt;Back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493</v>
      </c>
      <c r="D10" s="10">
        <v>30</v>
      </c>
      <c r="E10" s="10">
        <v>74</v>
      </c>
      <c r="F10" s="10">
        <v>38</v>
      </c>
      <c r="G10" s="10">
        <v>6</v>
      </c>
      <c r="H10" s="10">
        <v>7</v>
      </c>
      <c r="I10" s="10">
        <v>10</v>
      </c>
      <c r="J10" s="10">
        <v>3</v>
      </c>
      <c r="K10" s="10">
        <v>29</v>
      </c>
      <c r="L10" s="10">
        <v>11</v>
      </c>
      <c r="M10" s="10">
        <v>54</v>
      </c>
      <c r="N10" s="10">
        <v>24</v>
      </c>
      <c r="O10" s="10">
        <v>15</v>
      </c>
      <c r="P10" s="10">
        <v>68</v>
      </c>
      <c r="Q10" s="10">
        <v>7</v>
      </c>
      <c r="R10" s="10">
        <v>23</v>
      </c>
      <c r="S10" s="10">
        <v>16</v>
      </c>
      <c r="T10" s="10">
        <v>27</v>
      </c>
      <c r="U10" s="10">
        <v>14</v>
      </c>
      <c r="V10" s="10">
        <v>46</v>
      </c>
      <c r="W10" s="10">
        <v>14</v>
      </c>
      <c r="X10" s="10">
        <v>40</v>
      </c>
      <c r="Y10" s="10">
        <v>38</v>
      </c>
      <c r="Z10" s="10">
        <v>11</v>
      </c>
      <c r="AA10" s="10">
        <v>7</v>
      </c>
      <c r="AB10" s="10">
        <v>20</v>
      </c>
      <c r="AC10" s="10">
        <v>20</v>
      </c>
      <c r="AD10" s="10">
        <v>67</v>
      </c>
      <c r="AE10" s="10">
        <v>16</v>
      </c>
      <c r="AF10" s="10">
        <v>15</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1109</v>
      </c>
      <c r="C12" s="12">
        <v>273</v>
      </c>
      <c r="D12" s="12">
        <v>17</v>
      </c>
      <c r="E12" s="12">
        <v>50</v>
      </c>
      <c r="F12" s="12">
        <v>20</v>
      </c>
      <c r="G12" s="12">
        <v>5</v>
      </c>
      <c r="H12" s="12">
        <v>6</v>
      </c>
      <c r="I12" s="12">
        <v>8</v>
      </c>
      <c r="J12" s="12">
        <v>2</v>
      </c>
      <c r="K12" s="12">
        <v>19</v>
      </c>
      <c r="L12" s="12">
        <v>8</v>
      </c>
      <c r="M12" s="12">
        <v>29</v>
      </c>
      <c r="N12" s="12">
        <v>14</v>
      </c>
      <c r="O12" s="12">
        <v>6</v>
      </c>
      <c r="P12" s="12">
        <v>48</v>
      </c>
      <c r="Q12" s="12">
        <v>2</v>
      </c>
      <c r="R12" s="12">
        <v>16</v>
      </c>
      <c r="S12" s="12">
        <v>11</v>
      </c>
      <c r="T12" s="12">
        <v>9</v>
      </c>
      <c r="U12" s="12">
        <v>8</v>
      </c>
      <c r="V12" s="12">
        <v>23</v>
      </c>
      <c r="W12" s="12">
        <v>6</v>
      </c>
      <c r="X12" s="12">
        <v>24</v>
      </c>
      <c r="Y12" s="12">
        <v>27</v>
      </c>
      <c r="Z12" s="12">
        <v>3</v>
      </c>
      <c r="AA12" s="12">
        <v>6</v>
      </c>
      <c r="AB12" s="12">
        <v>8</v>
      </c>
      <c r="AC12" s="12">
        <v>17</v>
      </c>
      <c r="AD12" s="12">
        <v>32</v>
      </c>
      <c r="AE12" s="12">
        <v>15</v>
      </c>
      <c r="AF12" s="12">
        <v>10</v>
      </c>
    </row>
    <row r="13" spans="1:32">
      <c r="A13" s="23"/>
      <c r="B13" s="13" t="s">
        <v>1110</v>
      </c>
      <c r="C13" s="14">
        <v>0.56000000000000005</v>
      </c>
      <c r="D13" s="14">
        <v>0.57999999999999996</v>
      </c>
      <c r="E13" s="14">
        <v>0.67</v>
      </c>
      <c r="F13" s="14">
        <v>0.51</v>
      </c>
      <c r="G13" s="14">
        <v>0.82000000000000006</v>
      </c>
      <c r="H13" s="14">
        <v>0.79</v>
      </c>
      <c r="I13" s="14">
        <v>0.78</v>
      </c>
      <c r="J13" s="14">
        <v>0.77</v>
      </c>
      <c r="K13" s="14">
        <v>0.65</v>
      </c>
      <c r="L13" s="14">
        <v>0.71</v>
      </c>
      <c r="M13" s="14">
        <v>0.53</v>
      </c>
      <c r="N13" s="14">
        <v>0.6</v>
      </c>
      <c r="O13" s="14">
        <v>0.42</v>
      </c>
      <c r="P13" s="14">
        <v>0.71</v>
      </c>
      <c r="Q13" s="14">
        <v>0.33</v>
      </c>
      <c r="R13" s="14">
        <v>0.68</v>
      </c>
      <c r="S13" s="14">
        <v>0.65</v>
      </c>
      <c r="T13" s="14">
        <v>0.34</v>
      </c>
      <c r="U13" s="14">
        <v>0.55000000000000004</v>
      </c>
      <c r="V13" s="14">
        <v>0.5</v>
      </c>
      <c r="W13" s="14">
        <v>0.46</v>
      </c>
      <c r="X13" s="14">
        <v>0.59</v>
      </c>
      <c r="Y13" s="14">
        <v>0.70000000000000007</v>
      </c>
      <c r="Z13" s="14">
        <v>0.27</v>
      </c>
      <c r="AA13" s="14">
        <v>0.86</v>
      </c>
      <c r="AB13" s="14">
        <v>0.42</v>
      </c>
      <c r="AC13" s="14">
        <v>0.83000000000000007</v>
      </c>
      <c r="AD13" s="14">
        <v>0.47</v>
      </c>
      <c r="AE13" s="14">
        <v>0.94000000000000006</v>
      </c>
      <c r="AF13" s="14">
        <v>0.70000000000000007</v>
      </c>
    </row>
    <row r="14" spans="1:32">
      <c r="A14" s="23"/>
      <c r="B14" s="11" t="s">
        <v>1111</v>
      </c>
      <c r="C14" s="12">
        <v>218</v>
      </c>
      <c r="D14" s="12">
        <v>13</v>
      </c>
      <c r="E14" s="12">
        <v>22</v>
      </c>
      <c r="F14" s="12">
        <v>18</v>
      </c>
      <c r="G14" s="12">
        <v>1</v>
      </c>
      <c r="H14" s="12">
        <v>2</v>
      </c>
      <c r="I14" s="12">
        <v>2</v>
      </c>
      <c r="J14" s="12">
        <v>1</v>
      </c>
      <c r="K14" s="12">
        <v>8</v>
      </c>
      <c r="L14" s="12">
        <v>3</v>
      </c>
      <c r="M14" s="12">
        <v>26</v>
      </c>
      <c r="N14" s="12">
        <v>10</v>
      </c>
      <c r="O14" s="12">
        <v>9</v>
      </c>
      <c r="P14" s="12">
        <v>19</v>
      </c>
      <c r="Q14" s="12">
        <v>4</v>
      </c>
      <c r="R14" s="12">
        <v>8</v>
      </c>
      <c r="S14" s="12">
        <v>6</v>
      </c>
      <c r="T14" s="12">
        <v>15</v>
      </c>
      <c r="U14" s="12">
        <v>7</v>
      </c>
      <c r="V14" s="12">
        <v>23</v>
      </c>
      <c r="W14" s="12">
        <v>7</v>
      </c>
      <c r="X14" s="12">
        <v>17</v>
      </c>
      <c r="Y14" s="12">
        <v>11</v>
      </c>
      <c r="Z14" s="12">
        <v>8</v>
      </c>
      <c r="AA14" s="12">
        <v>1</v>
      </c>
      <c r="AB14" s="12">
        <v>11</v>
      </c>
      <c r="AC14" s="12">
        <v>3</v>
      </c>
      <c r="AD14" s="12">
        <v>35</v>
      </c>
      <c r="AE14" s="12">
        <v>1</v>
      </c>
      <c r="AF14" s="12">
        <v>4</v>
      </c>
    </row>
    <row r="15" spans="1:32">
      <c r="A15" s="23"/>
      <c r="B15" s="13" t="s">
        <v>1112</v>
      </c>
      <c r="C15" s="14">
        <v>0.44</v>
      </c>
      <c r="D15" s="14">
        <v>0.42</v>
      </c>
      <c r="E15" s="14">
        <v>0.3</v>
      </c>
      <c r="F15" s="14">
        <v>0.47</v>
      </c>
      <c r="G15" s="14">
        <v>0.21</v>
      </c>
      <c r="H15" s="14">
        <v>0.23</v>
      </c>
      <c r="I15" s="14">
        <v>0.22</v>
      </c>
      <c r="J15" s="14">
        <v>0.2</v>
      </c>
      <c r="K15" s="14">
        <v>0.26</v>
      </c>
      <c r="L15" s="14">
        <v>0.27</v>
      </c>
      <c r="M15" s="14">
        <v>0.47</v>
      </c>
      <c r="N15" s="14">
        <v>0.4</v>
      </c>
      <c r="O15" s="14">
        <v>0.57999999999999996</v>
      </c>
      <c r="P15" s="14">
        <v>0.28000000000000003</v>
      </c>
      <c r="Q15" s="14">
        <v>0.63</v>
      </c>
      <c r="R15" s="14">
        <v>0.32</v>
      </c>
      <c r="S15" s="14">
        <v>0.36</v>
      </c>
      <c r="T15" s="14">
        <v>0.57000000000000006</v>
      </c>
      <c r="U15" s="14">
        <v>0.46</v>
      </c>
      <c r="V15" s="14">
        <v>0.5</v>
      </c>
      <c r="W15" s="14">
        <v>0.52</v>
      </c>
      <c r="X15" s="14">
        <v>0.41</v>
      </c>
      <c r="Y15" s="14">
        <v>0.3</v>
      </c>
      <c r="Z15" s="14">
        <v>0.72</v>
      </c>
      <c r="AA15" s="14">
        <v>0.14000000000000001</v>
      </c>
      <c r="AB15" s="14">
        <v>0.57999999999999996</v>
      </c>
      <c r="AC15" s="14">
        <v>0.17</v>
      </c>
      <c r="AD15" s="14">
        <v>0.53</v>
      </c>
      <c r="AE15" s="14">
        <v>0.06</v>
      </c>
      <c r="AF15" s="14">
        <v>0.3</v>
      </c>
    </row>
    <row r="16" spans="1:32">
      <c r="A16" s="23"/>
      <c r="B16" s="11" t="s">
        <v>1515</v>
      </c>
      <c r="C16" s="12">
        <v>2</v>
      </c>
      <c r="D16" s="12">
        <v>0</v>
      </c>
      <c r="E16" s="12">
        <v>1</v>
      </c>
      <c r="F16" s="12">
        <v>1</v>
      </c>
      <c r="G16" s="12">
        <v>0</v>
      </c>
      <c r="H16" s="12">
        <v>0</v>
      </c>
      <c r="I16" s="12">
        <v>0</v>
      </c>
      <c r="J16" s="12">
        <v>0</v>
      </c>
      <c r="K16" s="12">
        <v>1</v>
      </c>
      <c r="L16" s="12">
        <v>0</v>
      </c>
      <c r="M16" s="12">
        <v>0</v>
      </c>
      <c r="N16" s="12">
        <v>0</v>
      </c>
      <c r="O16" s="12">
        <v>0</v>
      </c>
      <c r="P16" s="12">
        <v>1</v>
      </c>
      <c r="Q16" s="12">
        <v>0</v>
      </c>
      <c r="R16" s="12">
        <v>0</v>
      </c>
      <c r="S16" s="12">
        <v>0</v>
      </c>
      <c r="T16" s="12">
        <v>3</v>
      </c>
      <c r="U16" s="12">
        <v>0</v>
      </c>
      <c r="V16" s="12">
        <v>0</v>
      </c>
      <c r="W16" s="12">
        <v>0</v>
      </c>
      <c r="X16" s="12">
        <v>0</v>
      </c>
      <c r="Y16" s="12">
        <v>0</v>
      </c>
      <c r="Z16" s="12">
        <v>0</v>
      </c>
      <c r="AA16" s="12">
        <v>0</v>
      </c>
      <c r="AB16" s="12">
        <v>0</v>
      </c>
      <c r="AC16" s="12">
        <v>0</v>
      </c>
      <c r="AD16" s="12">
        <v>0</v>
      </c>
      <c r="AE16" s="12">
        <v>0</v>
      </c>
      <c r="AF16" s="12">
        <v>0</v>
      </c>
    </row>
    <row r="17" spans="1:32">
      <c r="A17" s="23"/>
      <c r="B17" s="13" t="s">
        <v>1516</v>
      </c>
      <c r="C17" s="15" t="s">
        <v>485</v>
      </c>
      <c r="D17" s="15" t="s">
        <v>485</v>
      </c>
      <c r="E17" s="14">
        <v>0.02</v>
      </c>
      <c r="F17" s="14">
        <v>0.02</v>
      </c>
      <c r="G17" s="15" t="s">
        <v>485</v>
      </c>
      <c r="H17" s="15" t="s">
        <v>485</v>
      </c>
      <c r="I17" s="15" t="s">
        <v>485</v>
      </c>
      <c r="J17" s="15" t="s">
        <v>485</v>
      </c>
      <c r="K17" s="14">
        <v>0.04</v>
      </c>
      <c r="L17" s="15" t="s">
        <v>485</v>
      </c>
      <c r="M17" s="15" t="s">
        <v>485</v>
      </c>
      <c r="N17" s="15" t="s">
        <v>485</v>
      </c>
      <c r="O17" s="15" t="s">
        <v>485</v>
      </c>
      <c r="P17" s="14">
        <v>0.01</v>
      </c>
      <c r="Q17" s="15" t="s">
        <v>485</v>
      </c>
      <c r="R17" s="15" t="s">
        <v>485</v>
      </c>
      <c r="S17" s="15" t="s">
        <v>485</v>
      </c>
      <c r="T17" s="14">
        <v>0.09</v>
      </c>
      <c r="U17" s="15" t="s">
        <v>485</v>
      </c>
      <c r="V17" s="15" t="s">
        <v>485</v>
      </c>
      <c r="W17" s="15" t="s">
        <v>485</v>
      </c>
      <c r="X17" s="15" t="s">
        <v>485</v>
      </c>
      <c r="Y17" s="15" t="s">
        <v>485</v>
      </c>
      <c r="Z17" s="15" t="s">
        <v>485</v>
      </c>
      <c r="AA17" s="15" t="s">
        <v>485</v>
      </c>
      <c r="AB17" s="15" t="s">
        <v>485</v>
      </c>
      <c r="AC17" s="15" t="s">
        <v>485</v>
      </c>
      <c r="AD17" s="15" t="s">
        <v>485</v>
      </c>
      <c r="AE17" s="15" t="s">
        <v>485</v>
      </c>
      <c r="AF17" s="15" t="s">
        <v>485</v>
      </c>
    </row>
    <row r="18" spans="1:32">
      <c r="A18" s="23"/>
      <c r="B18" s="11" t="s">
        <v>497</v>
      </c>
      <c r="C18" s="12">
        <v>0</v>
      </c>
      <c r="D18" s="12">
        <v>0</v>
      </c>
      <c r="E18" s="12">
        <v>1</v>
      </c>
      <c r="F18" s="12">
        <v>0</v>
      </c>
      <c r="G18" s="12">
        <v>0</v>
      </c>
      <c r="H18" s="12">
        <v>0</v>
      </c>
      <c r="I18" s="12">
        <v>0</v>
      </c>
      <c r="J18" s="12">
        <v>0</v>
      </c>
      <c r="K18" s="12">
        <v>1</v>
      </c>
      <c r="L18" s="12">
        <v>0</v>
      </c>
      <c r="M18" s="12">
        <v>0</v>
      </c>
      <c r="N18" s="12">
        <v>0</v>
      </c>
      <c r="O18" s="12">
        <v>0</v>
      </c>
      <c r="P18" s="12">
        <v>0</v>
      </c>
      <c r="Q18" s="12">
        <v>0</v>
      </c>
      <c r="R18" s="12">
        <v>0</v>
      </c>
      <c r="S18" s="12">
        <v>0</v>
      </c>
      <c r="T18" s="12">
        <v>0</v>
      </c>
      <c r="U18" s="12">
        <v>0</v>
      </c>
      <c r="V18" s="12">
        <v>0</v>
      </c>
      <c r="W18" s="12">
        <v>0</v>
      </c>
      <c r="X18" s="12">
        <v>0</v>
      </c>
      <c r="Y18" s="12">
        <v>0</v>
      </c>
      <c r="Z18" s="12">
        <v>0</v>
      </c>
      <c r="AA18" s="12">
        <v>0</v>
      </c>
      <c r="AB18" s="12">
        <v>0</v>
      </c>
      <c r="AC18" s="12">
        <v>0</v>
      </c>
      <c r="AD18" s="12">
        <v>0</v>
      </c>
      <c r="AE18" s="12">
        <v>0</v>
      </c>
      <c r="AF18" s="12">
        <v>0</v>
      </c>
    </row>
    <row r="19" spans="1:32">
      <c r="A19" s="23"/>
      <c r="B19" s="13" t="s">
        <v>498</v>
      </c>
      <c r="C19" s="15" t="s">
        <v>485</v>
      </c>
      <c r="D19" s="15" t="s">
        <v>485</v>
      </c>
      <c r="E19" s="14">
        <v>0.01</v>
      </c>
      <c r="F19" s="15" t="s">
        <v>485</v>
      </c>
      <c r="G19" s="15" t="s">
        <v>485</v>
      </c>
      <c r="H19" s="15" t="s">
        <v>485</v>
      </c>
      <c r="I19" s="15" t="s">
        <v>485</v>
      </c>
      <c r="J19" s="15" t="s">
        <v>485</v>
      </c>
      <c r="K19" s="14">
        <v>0.05</v>
      </c>
      <c r="L19" s="15" t="s">
        <v>485</v>
      </c>
      <c r="M19" s="15" t="s">
        <v>485</v>
      </c>
      <c r="N19" s="15" t="s">
        <v>485</v>
      </c>
      <c r="O19" s="15" t="s">
        <v>485</v>
      </c>
      <c r="P19" s="15" t="s">
        <v>485</v>
      </c>
      <c r="Q19" s="15" t="s">
        <v>485</v>
      </c>
      <c r="R19" s="15" t="s">
        <v>485</v>
      </c>
      <c r="S19" s="15" t="s">
        <v>485</v>
      </c>
      <c r="T19" s="15" t="s">
        <v>485</v>
      </c>
      <c r="U19" s="15" t="s">
        <v>485</v>
      </c>
      <c r="V19" s="15" t="s">
        <v>485</v>
      </c>
      <c r="W19" s="15" t="s">
        <v>485</v>
      </c>
      <c r="X19" s="15" t="s">
        <v>485</v>
      </c>
      <c r="Y19" s="15" t="s">
        <v>485</v>
      </c>
      <c r="Z19" s="15" t="s">
        <v>485</v>
      </c>
      <c r="AA19" s="15" t="s">
        <v>485</v>
      </c>
      <c r="AB19" s="15" t="s">
        <v>485</v>
      </c>
      <c r="AC19" s="15" t="s">
        <v>485</v>
      </c>
      <c r="AD19" s="15" t="s">
        <v>485</v>
      </c>
      <c r="AE19" s="15" t="s">
        <v>485</v>
      </c>
      <c r="AF19" s="15" t="s">
        <v>485</v>
      </c>
    </row>
    <row r="21" spans="1:32">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row>
    <row r="22" spans="1:32">
      <c r="Q22">
        <v>2.2599999999999998</v>
      </c>
      <c r="R22">
        <v>2</v>
      </c>
      <c r="S22" s="16">
        <f>ROUND(Q22/R24,2)</f>
        <v>0.32</v>
      </c>
      <c r="T22" s="16">
        <v>0.33</v>
      </c>
    </row>
    <row r="23" spans="1:32">
      <c r="Q23">
        <v>4.34</v>
      </c>
      <c r="R23">
        <v>4</v>
      </c>
      <c r="S23" s="16">
        <f>ROUND(Q23/R24,2)</f>
        <v>0.62</v>
      </c>
      <c r="T23" s="16">
        <v>0.63</v>
      </c>
    </row>
    <row r="24" spans="1:32">
      <c r="Q24">
        <v>6.6</v>
      </c>
      <c r="R24">
        <v>7</v>
      </c>
      <c r="S24" s="16">
        <v>0.94</v>
      </c>
      <c r="T24" s="16">
        <v>0.96</v>
      </c>
    </row>
  </sheetData>
  <mergeCells count="9">
    <mergeCell ref="H3:L3"/>
    <mergeCell ref="C8:AF8"/>
    <mergeCell ref="B3:F3"/>
    <mergeCell ref="B5:F5"/>
    <mergeCell ref="A10:A19"/>
    <mergeCell ref="H5:L5"/>
    <mergeCell ref="B10:B11"/>
    <mergeCell ref="H4:L4"/>
    <mergeCell ref="B4:F4"/>
  </mergeCells>
  <pageMargins left="0.75" right="0.75" top="1" bottom="1" header="0.5" footer="0.5"/>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100-000000000000}">
  <dimension ref="A1:AF1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361</v>
      </c>
      <c r="C3" s="19"/>
      <c r="D3" s="19"/>
      <c r="E3" s="19"/>
      <c r="F3" s="19"/>
      <c r="H3" s="19" t="s">
        <v>362</v>
      </c>
      <c r="I3" s="19"/>
      <c r="J3" s="19"/>
      <c r="K3" s="19"/>
      <c r="L3" s="19"/>
    </row>
    <row r="4" spans="1:32" ht="27" customHeight="1">
      <c r="B4" s="19"/>
      <c r="C4" s="19"/>
      <c r="D4" s="19"/>
      <c r="E4" s="19"/>
      <c r="F4" s="19"/>
      <c r="H4" s="19"/>
      <c r="I4" s="19"/>
      <c r="J4" s="19"/>
      <c r="K4" s="19"/>
      <c r="L4" s="19"/>
    </row>
    <row r="5" spans="1:32" ht="12" customHeight="1">
      <c r="B5" s="19" t="s">
        <v>1588</v>
      </c>
      <c r="C5" s="19"/>
      <c r="D5" s="19"/>
      <c r="E5" s="19"/>
      <c r="F5" s="19"/>
      <c r="H5" s="19" t="s">
        <v>1589</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HYPERLINK("#Content!A182","&lt;&lt;Back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818</v>
      </c>
      <c r="D10" s="10">
        <v>47</v>
      </c>
      <c r="E10" s="10">
        <v>65</v>
      </c>
      <c r="F10" s="10">
        <v>30</v>
      </c>
      <c r="G10" s="10">
        <v>22</v>
      </c>
      <c r="H10" s="10">
        <v>36</v>
      </c>
      <c r="I10" s="10">
        <v>45</v>
      </c>
      <c r="J10" s="10">
        <v>8</v>
      </c>
      <c r="K10" s="10">
        <v>37</v>
      </c>
      <c r="L10" s="10">
        <v>23</v>
      </c>
      <c r="M10" s="10">
        <v>42</v>
      </c>
      <c r="N10" s="10">
        <v>23</v>
      </c>
      <c r="O10" s="10">
        <v>32</v>
      </c>
      <c r="P10" s="10">
        <v>66</v>
      </c>
      <c r="Q10" s="10">
        <v>30</v>
      </c>
      <c r="R10" s="10">
        <v>20</v>
      </c>
      <c r="S10" s="10">
        <v>23</v>
      </c>
      <c r="T10" s="10">
        <v>26</v>
      </c>
      <c r="U10" s="10">
        <v>15</v>
      </c>
      <c r="V10" s="10">
        <v>23</v>
      </c>
      <c r="W10" s="10">
        <v>34</v>
      </c>
      <c r="X10" s="10">
        <v>51</v>
      </c>
      <c r="Y10" s="10">
        <v>49</v>
      </c>
      <c r="Z10" s="10">
        <v>30</v>
      </c>
      <c r="AA10" s="10">
        <v>4</v>
      </c>
      <c r="AB10" s="10">
        <v>27</v>
      </c>
      <c r="AC10" s="10">
        <v>25</v>
      </c>
      <c r="AD10" s="10">
        <v>45</v>
      </c>
      <c r="AE10" s="10">
        <v>35</v>
      </c>
      <c r="AF10" s="10">
        <v>28</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1109</v>
      </c>
      <c r="C12" s="12">
        <v>411</v>
      </c>
      <c r="D12" s="12">
        <v>24</v>
      </c>
      <c r="E12" s="12">
        <v>19</v>
      </c>
      <c r="F12" s="12">
        <v>12</v>
      </c>
      <c r="G12" s="12">
        <v>16</v>
      </c>
      <c r="H12" s="12">
        <v>19</v>
      </c>
      <c r="I12" s="12">
        <v>25</v>
      </c>
      <c r="J12" s="12">
        <v>6</v>
      </c>
      <c r="K12" s="12">
        <v>21</v>
      </c>
      <c r="L12" s="12">
        <v>15</v>
      </c>
      <c r="M12" s="12">
        <v>16</v>
      </c>
      <c r="N12" s="12">
        <v>13</v>
      </c>
      <c r="O12" s="12">
        <v>21</v>
      </c>
      <c r="P12" s="12">
        <v>26</v>
      </c>
      <c r="Q12" s="12">
        <v>14</v>
      </c>
      <c r="R12" s="12">
        <v>13</v>
      </c>
      <c r="S12" s="12">
        <v>11</v>
      </c>
      <c r="T12" s="12">
        <v>10</v>
      </c>
      <c r="U12" s="12">
        <v>8</v>
      </c>
      <c r="V12" s="12">
        <v>7</v>
      </c>
      <c r="W12" s="12">
        <v>21</v>
      </c>
      <c r="X12" s="12">
        <v>28</v>
      </c>
      <c r="Y12" s="12">
        <v>26</v>
      </c>
      <c r="Z12" s="12">
        <v>7</v>
      </c>
      <c r="AA12" s="12">
        <v>1</v>
      </c>
      <c r="AB12" s="12">
        <v>7</v>
      </c>
      <c r="AC12" s="12">
        <v>18</v>
      </c>
      <c r="AD12" s="12">
        <v>20</v>
      </c>
      <c r="AE12" s="12">
        <v>25</v>
      </c>
      <c r="AF12" s="12">
        <v>22</v>
      </c>
    </row>
    <row r="13" spans="1:32">
      <c r="A13" s="23"/>
      <c r="B13" s="13" t="s">
        <v>1110</v>
      </c>
      <c r="C13" s="14">
        <v>0.5</v>
      </c>
      <c r="D13" s="14">
        <v>0.5</v>
      </c>
      <c r="E13" s="14">
        <v>0.28999999999999998</v>
      </c>
      <c r="F13" s="14">
        <v>0.4</v>
      </c>
      <c r="G13" s="14">
        <v>0.72</v>
      </c>
      <c r="H13" s="14">
        <v>0.53</v>
      </c>
      <c r="I13" s="14">
        <v>0.56000000000000005</v>
      </c>
      <c r="J13" s="14">
        <v>0.76</v>
      </c>
      <c r="K13" s="14">
        <v>0.57000000000000006</v>
      </c>
      <c r="L13" s="14">
        <v>0.66</v>
      </c>
      <c r="M13" s="14">
        <v>0.37</v>
      </c>
      <c r="N13" s="14">
        <v>0.56000000000000005</v>
      </c>
      <c r="O13" s="14">
        <v>0.65</v>
      </c>
      <c r="P13" s="14">
        <v>0.4</v>
      </c>
      <c r="Q13" s="14">
        <v>0.45</v>
      </c>
      <c r="R13" s="14">
        <v>0.68</v>
      </c>
      <c r="S13" s="14">
        <v>0.5</v>
      </c>
      <c r="T13" s="14">
        <v>0.36</v>
      </c>
      <c r="U13" s="14">
        <v>0.53</v>
      </c>
      <c r="V13" s="14">
        <v>0.32</v>
      </c>
      <c r="W13" s="14">
        <v>0.63</v>
      </c>
      <c r="X13" s="14">
        <v>0.55000000000000004</v>
      </c>
      <c r="Y13" s="14">
        <v>0.53</v>
      </c>
      <c r="Z13" s="14">
        <v>0.24</v>
      </c>
      <c r="AA13" s="14">
        <v>0.3</v>
      </c>
      <c r="AB13" s="14">
        <v>0.26</v>
      </c>
      <c r="AC13" s="14">
        <v>0.71</v>
      </c>
      <c r="AD13" s="14">
        <v>0.45</v>
      </c>
      <c r="AE13" s="14">
        <v>0.71</v>
      </c>
      <c r="AF13" s="14">
        <v>0.79</v>
      </c>
    </row>
    <row r="14" spans="1:32">
      <c r="A14" s="23"/>
      <c r="B14" s="11" t="s">
        <v>1111</v>
      </c>
      <c r="C14" s="12">
        <v>400</v>
      </c>
      <c r="D14" s="12">
        <v>23</v>
      </c>
      <c r="E14" s="12">
        <v>45</v>
      </c>
      <c r="F14" s="12">
        <v>18</v>
      </c>
      <c r="G14" s="12">
        <v>5</v>
      </c>
      <c r="H14" s="12">
        <v>17</v>
      </c>
      <c r="I14" s="12">
        <v>19</v>
      </c>
      <c r="J14" s="12">
        <v>2</v>
      </c>
      <c r="K14" s="12">
        <v>14</v>
      </c>
      <c r="L14" s="12">
        <v>7</v>
      </c>
      <c r="M14" s="12">
        <v>25</v>
      </c>
      <c r="N14" s="12">
        <v>10</v>
      </c>
      <c r="O14" s="12">
        <v>11</v>
      </c>
      <c r="P14" s="12">
        <v>39</v>
      </c>
      <c r="Q14" s="12">
        <v>17</v>
      </c>
      <c r="R14" s="12">
        <v>6</v>
      </c>
      <c r="S14" s="12">
        <v>11</v>
      </c>
      <c r="T14" s="12">
        <v>15</v>
      </c>
      <c r="U14" s="12">
        <v>7</v>
      </c>
      <c r="V14" s="12">
        <v>16</v>
      </c>
      <c r="W14" s="12">
        <v>13</v>
      </c>
      <c r="X14" s="12">
        <v>23</v>
      </c>
      <c r="Y14" s="12">
        <v>22</v>
      </c>
      <c r="Z14" s="12">
        <v>23</v>
      </c>
      <c r="AA14" s="12">
        <v>3</v>
      </c>
      <c r="AB14" s="12">
        <v>20</v>
      </c>
      <c r="AC14" s="12">
        <v>6</v>
      </c>
      <c r="AD14" s="12">
        <v>25</v>
      </c>
      <c r="AE14" s="12">
        <v>9</v>
      </c>
      <c r="AF14" s="12">
        <v>6</v>
      </c>
    </row>
    <row r="15" spans="1:32">
      <c r="A15" s="23"/>
      <c r="B15" s="13" t="s">
        <v>1112</v>
      </c>
      <c r="C15" s="14">
        <v>0.49</v>
      </c>
      <c r="D15" s="14">
        <v>0.49</v>
      </c>
      <c r="E15" s="14">
        <v>0.69000000000000006</v>
      </c>
      <c r="F15" s="14">
        <v>0.57999999999999996</v>
      </c>
      <c r="G15" s="14">
        <v>0.23</v>
      </c>
      <c r="H15" s="14">
        <v>0.47</v>
      </c>
      <c r="I15" s="14">
        <v>0.42</v>
      </c>
      <c r="J15" s="14">
        <v>0.21</v>
      </c>
      <c r="K15" s="14">
        <v>0.38</v>
      </c>
      <c r="L15" s="14">
        <v>0.3</v>
      </c>
      <c r="M15" s="14">
        <v>0.6</v>
      </c>
      <c r="N15" s="14">
        <v>0.44</v>
      </c>
      <c r="O15" s="14">
        <v>0.35</v>
      </c>
      <c r="P15" s="14">
        <v>0.59</v>
      </c>
      <c r="Q15" s="14">
        <v>0.55000000000000004</v>
      </c>
      <c r="R15" s="14">
        <v>0.32</v>
      </c>
      <c r="S15" s="14">
        <v>0.5</v>
      </c>
      <c r="T15" s="14">
        <v>0.57999999999999996</v>
      </c>
      <c r="U15" s="14">
        <v>0.47</v>
      </c>
      <c r="V15" s="14">
        <v>0.68</v>
      </c>
      <c r="W15" s="14">
        <v>0.37</v>
      </c>
      <c r="X15" s="14">
        <v>0.44</v>
      </c>
      <c r="Y15" s="14">
        <v>0.45</v>
      </c>
      <c r="Z15" s="14">
        <v>0.76</v>
      </c>
      <c r="AA15" s="14">
        <v>0.74</v>
      </c>
      <c r="AB15" s="14">
        <v>0.74</v>
      </c>
      <c r="AC15" s="14">
        <v>0.23</v>
      </c>
      <c r="AD15" s="14">
        <v>0.55000000000000004</v>
      </c>
      <c r="AE15" s="14">
        <v>0.26</v>
      </c>
      <c r="AF15" s="14">
        <v>0.21</v>
      </c>
    </row>
    <row r="16" spans="1:32">
      <c r="A16" s="23"/>
      <c r="B16" s="11" t="s">
        <v>1515</v>
      </c>
      <c r="C16" s="12">
        <v>5</v>
      </c>
      <c r="D16" s="12">
        <v>0</v>
      </c>
      <c r="E16" s="12">
        <v>1</v>
      </c>
      <c r="F16" s="12">
        <v>1</v>
      </c>
      <c r="G16" s="12">
        <v>0</v>
      </c>
      <c r="H16" s="12">
        <v>0</v>
      </c>
      <c r="I16" s="12">
        <v>1</v>
      </c>
      <c r="J16" s="12">
        <v>1</v>
      </c>
      <c r="K16" s="12">
        <v>2</v>
      </c>
      <c r="L16" s="12">
        <v>1</v>
      </c>
      <c r="M16" s="12">
        <v>1</v>
      </c>
      <c r="N16" s="12">
        <v>0</v>
      </c>
      <c r="O16" s="12">
        <v>0</v>
      </c>
      <c r="P16" s="12">
        <v>1</v>
      </c>
      <c r="Q16" s="12">
        <v>0</v>
      </c>
      <c r="R16" s="12">
        <v>0</v>
      </c>
      <c r="S16" s="12">
        <v>0</v>
      </c>
      <c r="T16" s="12">
        <v>2</v>
      </c>
      <c r="U16" s="12">
        <v>0</v>
      </c>
      <c r="V16" s="12">
        <v>0</v>
      </c>
      <c r="W16" s="12">
        <v>0</v>
      </c>
      <c r="X16" s="12">
        <v>0</v>
      </c>
      <c r="Y16" s="12">
        <v>1</v>
      </c>
      <c r="Z16" s="12">
        <v>0</v>
      </c>
      <c r="AA16" s="12">
        <v>0</v>
      </c>
      <c r="AB16" s="12">
        <v>0</v>
      </c>
      <c r="AC16" s="12">
        <v>0</v>
      </c>
      <c r="AD16" s="12">
        <v>0</v>
      </c>
      <c r="AE16" s="12">
        <v>0</v>
      </c>
      <c r="AF16" s="12">
        <v>0</v>
      </c>
    </row>
    <row r="17" spans="1:32">
      <c r="A17" s="23"/>
      <c r="B17" s="13" t="s">
        <v>1516</v>
      </c>
      <c r="C17" s="14">
        <v>0.01</v>
      </c>
      <c r="D17" s="15" t="s">
        <v>485</v>
      </c>
      <c r="E17" s="14">
        <v>0.01</v>
      </c>
      <c r="F17" s="14">
        <v>0.02</v>
      </c>
      <c r="G17" s="15" t="s">
        <v>485</v>
      </c>
      <c r="H17" s="15" t="s">
        <v>485</v>
      </c>
      <c r="I17" s="14">
        <v>0.02</v>
      </c>
      <c r="J17" s="14">
        <v>0.06</v>
      </c>
      <c r="K17" s="14">
        <v>0.05</v>
      </c>
      <c r="L17" s="14">
        <v>0.04</v>
      </c>
      <c r="M17" s="14">
        <v>0.03</v>
      </c>
      <c r="N17" s="15" t="s">
        <v>485</v>
      </c>
      <c r="O17" s="15" t="s">
        <v>485</v>
      </c>
      <c r="P17" s="14">
        <v>0.01</v>
      </c>
      <c r="Q17" s="15" t="s">
        <v>485</v>
      </c>
      <c r="R17" s="15" t="s">
        <v>485</v>
      </c>
      <c r="S17" s="15" t="s">
        <v>485</v>
      </c>
      <c r="T17" s="14">
        <v>0.06</v>
      </c>
      <c r="U17" s="15" t="s">
        <v>485</v>
      </c>
      <c r="V17" s="15" t="s">
        <v>485</v>
      </c>
      <c r="W17" s="15" t="s">
        <v>485</v>
      </c>
      <c r="X17" s="15" t="s">
        <v>485</v>
      </c>
      <c r="Y17" s="14">
        <v>0.02</v>
      </c>
      <c r="Z17" s="15" t="s">
        <v>485</v>
      </c>
      <c r="AA17" s="15" t="s">
        <v>485</v>
      </c>
      <c r="AB17" s="15" t="s">
        <v>485</v>
      </c>
      <c r="AC17" s="15" t="s">
        <v>485</v>
      </c>
      <c r="AD17" s="15" t="s">
        <v>485</v>
      </c>
      <c r="AE17" s="15" t="s">
        <v>485</v>
      </c>
      <c r="AF17" s="15" t="s">
        <v>485</v>
      </c>
    </row>
    <row r="18" spans="1:32">
      <c r="A18" s="23"/>
      <c r="B18" s="11" t="s">
        <v>497</v>
      </c>
      <c r="C18" s="12">
        <v>2</v>
      </c>
      <c r="D18" s="12">
        <v>0</v>
      </c>
      <c r="E18" s="12">
        <v>1</v>
      </c>
      <c r="F18" s="12">
        <v>0</v>
      </c>
      <c r="G18" s="12">
        <v>1</v>
      </c>
      <c r="H18" s="12">
        <v>0</v>
      </c>
      <c r="I18" s="12">
        <v>0</v>
      </c>
      <c r="J18" s="12">
        <v>0</v>
      </c>
      <c r="K18" s="12">
        <v>0</v>
      </c>
      <c r="L18" s="12">
        <v>0</v>
      </c>
      <c r="M18" s="12">
        <v>0</v>
      </c>
      <c r="N18" s="12">
        <v>0</v>
      </c>
      <c r="O18" s="12">
        <v>0</v>
      </c>
      <c r="P18" s="12">
        <v>0</v>
      </c>
      <c r="Q18" s="12">
        <v>0</v>
      </c>
      <c r="R18" s="12">
        <v>0</v>
      </c>
      <c r="S18" s="12">
        <v>0</v>
      </c>
      <c r="T18" s="12">
        <v>0</v>
      </c>
      <c r="U18" s="12">
        <v>0</v>
      </c>
      <c r="V18" s="12">
        <v>0</v>
      </c>
      <c r="W18" s="12">
        <v>0</v>
      </c>
      <c r="X18" s="12">
        <v>1</v>
      </c>
      <c r="Y18" s="12">
        <v>0</v>
      </c>
      <c r="Z18" s="12">
        <v>0</v>
      </c>
      <c r="AA18" s="12">
        <v>0</v>
      </c>
      <c r="AB18" s="12">
        <v>0</v>
      </c>
      <c r="AC18" s="12">
        <v>1</v>
      </c>
      <c r="AD18" s="12">
        <v>0</v>
      </c>
      <c r="AE18" s="12">
        <v>1</v>
      </c>
      <c r="AF18" s="12">
        <v>0</v>
      </c>
    </row>
    <row r="19" spans="1:32">
      <c r="A19" s="23"/>
      <c r="B19" s="13" t="s">
        <v>498</v>
      </c>
      <c r="C19" s="15" t="s">
        <v>485</v>
      </c>
      <c r="D19" s="14">
        <v>0.01</v>
      </c>
      <c r="E19" s="14">
        <v>0.01</v>
      </c>
      <c r="F19" s="15" t="s">
        <v>485</v>
      </c>
      <c r="G19" s="14">
        <v>0.05</v>
      </c>
      <c r="H19" s="15" t="s">
        <v>485</v>
      </c>
      <c r="I19" s="15" t="s">
        <v>485</v>
      </c>
      <c r="J19" s="15" t="s">
        <v>485</v>
      </c>
      <c r="K19" s="15" t="s">
        <v>485</v>
      </c>
      <c r="L19" s="15" t="s">
        <v>485</v>
      </c>
      <c r="M19" s="15" t="s">
        <v>485</v>
      </c>
      <c r="N19" s="15" t="s">
        <v>485</v>
      </c>
      <c r="O19" s="15" t="s">
        <v>485</v>
      </c>
      <c r="P19" s="15" t="s">
        <v>485</v>
      </c>
      <c r="Q19" s="15" t="s">
        <v>485</v>
      </c>
      <c r="R19" s="15" t="s">
        <v>485</v>
      </c>
      <c r="S19" s="15" t="s">
        <v>485</v>
      </c>
      <c r="T19" s="15" t="s">
        <v>485</v>
      </c>
      <c r="U19" s="15" t="s">
        <v>485</v>
      </c>
      <c r="V19" s="15" t="s">
        <v>485</v>
      </c>
      <c r="W19" s="15" t="s">
        <v>485</v>
      </c>
      <c r="X19" s="14">
        <v>0.01</v>
      </c>
      <c r="Y19" s="15" t="s">
        <v>485</v>
      </c>
      <c r="Z19" s="15" t="s">
        <v>485</v>
      </c>
      <c r="AA19" s="15" t="s">
        <v>485</v>
      </c>
      <c r="AB19" s="15" t="s">
        <v>485</v>
      </c>
      <c r="AC19" s="14">
        <v>0.06</v>
      </c>
      <c r="AD19" s="15" t="s">
        <v>485</v>
      </c>
      <c r="AE19" s="14">
        <v>0.03</v>
      </c>
      <c r="AF19" s="15" t="s">
        <v>485</v>
      </c>
    </row>
  </sheetData>
  <mergeCells count="9">
    <mergeCell ref="H3:L3"/>
    <mergeCell ref="C8:AF8"/>
    <mergeCell ref="B3:F3"/>
    <mergeCell ref="B5:F5"/>
    <mergeCell ref="A10:A19"/>
    <mergeCell ref="H5:L5"/>
    <mergeCell ref="B10:B11"/>
    <mergeCell ref="H4:L4"/>
    <mergeCell ref="B4:F4"/>
  </mergeCells>
  <pageMargins left="0.75" right="0.75" top="1" bottom="1" header="0.5" footer="0.5"/>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200-000000000000}">
  <dimension ref="A1:AF19"/>
  <sheetViews>
    <sheetView workbookViewId="0">
      <pane xSplit="3" ySplit="9" topLeftCell="D10" activePane="bottomRight" state="frozen"/>
      <selection pane="bottomRight" activeCell="A9" activeCellId="1" sqref="A1 A9"/>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12" customHeight="1">
      <c r="B3" s="19" t="s">
        <v>363</v>
      </c>
      <c r="C3" s="19"/>
      <c r="D3" s="19"/>
      <c r="E3" s="19"/>
      <c r="F3" s="19"/>
      <c r="H3" s="19" t="s">
        <v>364</v>
      </c>
      <c r="I3" s="19"/>
      <c r="J3" s="19"/>
      <c r="K3" s="19"/>
      <c r="L3" s="19"/>
    </row>
    <row r="4" spans="1:32" ht="27" customHeight="1">
      <c r="B4" s="19"/>
      <c r="C4" s="19"/>
      <c r="D4" s="19"/>
      <c r="E4" s="19"/>
      <c r="F4" s="19"/>
      <c r="H4" s="19"/>
      <c r="I4" s="19"/>
      <c r="J4" s="19"/>
      <c r="K4" s="19"/>
      <c r="L4" s="19"/>
    </row>
    <row r="5" spans="1:32" ht="12" customHeight="1">
      <c r="B5" s="19" t="s">
        <v>1590</v>
      </c>
      <c r="C5" s="19"/>
      <c r="D5" s="19"/>
      <c r="E5" s="19"/>
      <c r="F5" s="19"/>
      <c r="H5" s="19" t="s">
        <v>1591</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HYPERLINK("#Content!A183","&lt;&lt;Back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1243</v>
      </c>
      <c r="D10" s="10">
        <v>73</v>
      </c>
      <c r="E10" s="10">
        <v>129</v>
      </c>
      <c r="F10" s="10">
        <v>66</v>
      </c>
      <c r="G10" s="10">
        <v>28</v>
      </c>
      <c r="H10" s="10">
        <v>44</v>
      </c>
      <c r="I10" s="10">
        <v>54</v>
      </c>
      <c r="J10" s="10">
        <v>11</v>
      </c>
      <c r="K10" s="10">
        <v>56</v>
      </c>
      <c r="L10" s="10">
        <v>32</v>
      </c>
      <c r="M10" s="10">
        <v>90</v>
      </c>
      <c r="N10" s="10">
        <v>41</v>
      </c>
      <c r="O10" s="10">
        <v>45</v>
      </c>
      <c r="P10" s="10">
        <v>126</v>
      </c>
      <c r="Q10" s="10">
        <v>37</v>
      </c>
      <c r="R10" s="10">
        <v>43</v>
      </c>
      <c r="S10" s="10">
        <v>37</v>
      </c>
      <c r="T10" s="10">
        <v>51</v>
      </c>
      <c r="U10" s="10">
        <v>28</v>
      </c>
      <c r="V10" s="10">
        <v>63</v>
      </c>
      <c r="W10" s="10">
        <v>47</v>
      </c>
      <c r="X10" s="10">
        <v>86</v>
      </c>
      <c r="Y10" s="10">
        <v>82</v>
      </c>
      <c r="Z10" s="10">
        <v>40</v>
      </c>
      <c r="AA10" s="10">
        <v>11</v>
      </c>
      <c r="AB10" s="10">
        <v>40</v>
      </c>
      <c r="AC10" s="10">
        <v>39</v>
      </c>
      <c r="AD10" s="10">
        <v>108</v>
      </c>
      <c r="AE10" s="10">
        <v>47</v>
      </c>
      <c r="AF10" s="10">
        <v>40</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1109</v>
      </c>
      <c r="C12" s="12">
        <v>250</v>
      </c>
      <c r="D12" s="12">
        <v>25</v>
      </c>
      <c r="E12" s="12">
        <v>13</v>
      </c>
      <c r="F12" s="12">
        <v>6</v>
      </c>
      <c r="G12" s="12">
        <v>6</v>
      </c>
      <c r="H12" s="12">
        <v>14</v>
      </c>
      <c r="I12" s="12">
        <v>16</v>
      </c>
      <c r="J12" s="12">
        <v>2</v>
      </c>
      <c r="K12" s="12">
        <v>19</v>
      </c>
      <c r="L12" s="12">
        <v>5</v>
      </c>
      <c r="M12" s="12">
        <v>1</v>
      </c>
      <c r="N12" s="12">
        <v>8</v>
      </c>
      <c r="O12" s="12">
        <v>8</v>
      </c>
      <c r="P12" s="12">
        <v>23</v>
      </c>
      <c r="Q12" s="12">
        <v>6</v>
      </c>
      <c r="R12" s="12">
        <v>8</v>
      </c>
      <c r="S12" s="12">
        <v>2</v>
      </c>
      <c r="T12" s="12">
        <v>6</v>
      </c>
      <c r="U12" s="12">
        <v>9</v>
      </c>
      <c r="V12" s="12">
        <v>7</v>
      </c>
      <c r="W12" s="12">
        <v>15</v>
      </c>
      <c r="X12" s="12">
        <v>35</v>
      </c>
      <c r="Y12" s="12">
        <v>16</v>
      </c>
      <c r="Z12" s="12">
        <v>7</v>
      </c>
      <c r="AA12" s="12">
        <v>3</v>
      </c>
      <c r="AB12" s="12">
        <v>6</v>
      </c>
      <c r="AC12" s="12">
        <v>5</v>
      </c>
      <c r="AD12" s="12">
        <v>8</v>
      </c>
      <c r="AE12" s="12">
        <v>6</v>
      </c>
      <c r="AF12" s="12">
        <v>14</v>
      </c>
    </row>
    <row r="13" spans="1:32">
      <c r="A13" s="23"/>
      <c r="B13" s="13" t="s">
        <v>1110</v>
      </c>
      <c r="C13" s="14">
        <v>0.2</v>
      </c>
      <c r="D13" s="14">
        <v>0.34</v>
      </c>
      <c r="E13" s="14">
        <v>0.1</v>
      </c>
      <c r="F13" s="14">
        <v>0.09</v>
      </c>
      <c r="G13" s="14">
        <v>0.23</v>
      </c>
      <c r="H13" s="14">
        <v>0.32</v>
      </c>
      <c r="I13" s="14">
        <v>0.28999999999999998</v>
      </c>
      <c r="J13" s="14">
        <v>0.17</v>
      </c>
      <c r="K13" s="14">
        <v>0.34</v>
      </c>
      <c r="L13" s="14">
        <v>0.16</v>
      </c>
      <c r="M13" s="14">
        <v>0.01</v>
      </c>
      <c r="N13" s="14">
        <v>0.19</v>
      </c>
      <c r="O13" s="14">
        <v>0.19</v>
      </c>
      <c r="P13" s="14">
        <v>0.18</v>
      </c>
      <c r="Q13" s="14">
        <v>0.15</v>
      </c>
      <c r="R13" s="14">
        <v>0.18</v>
      </c>
      <c r="S13" s="14">
        <v>0.06</v>
      </c>
      <c r="T13" s="14">
        <v>0.12</v>
      </c>
      <c r="U13" s="14">
        <v>0.32</v>
      </c>
      <c r="V13" s="14">
        <v>0.11</v>
      </c>
      <c r="W13" s="14">
        <v>0.32</v>
      </c>
      <c r="X13" s="14">
        <v>0.41</v>
      </c>
      <c r="Y13" s="14">
        <v>0.2</v>
      </c>
      <c r="Z13" s="14">
        <v>0.17</v>
      </c>
      <c r="AA13" s="14">
        <v>0.28000000000000003</v>
      </c>
      <c r="AB13" s="14">
        <v>0.15</v>
      </c>
      <c r="AC13" s="14">
        <v>0.13</v>
      </c>
      <c r="AD13" s="14">
        <v>7.0000000000000007E-2</v>
      </c>
      <c r="AE13" s="14">
        <v>0.12</v>
      </c>
      <c r="AF13" s="14">
        <v>0.36</v>
      </c>
    </row>
    <row r="14" spans="1:32">
      <c r="A14" s="23"/>
      <c r="B14" s="11" t="s">
        <v>1111</v>
      </c>
      <c r="C14" s="12">
        <v>983</v>
      </c>
      <c r="D14" s="12">
        <v>48</v>
      </c>
      <c r="E14" s="12">
        <v>116</v>
      </c>
      <c r="F14" s="12">
        <v>60</v>
      </c>
      <c r="G14" s="12">
        <v>22</v>
      </c>
      <c r="H14" s="12">
        <v>30</v>
      </c>
      <c r="I14" s="12">
        <v>38</v>
      </c>
      <c r="J14" s="12">
        <v>8</v>
      </c>
      <c r="K14" s="12">
        <v>36</v>
      </c>
      <c r="L14" s="12">
        <v>27</v>
      </c>
      <c r="M14" s="12">
        <v>89</v>
      </c>
      <c r="N14" s="12">
        <v>32</v>
      </c>
      <c r="O14" s="12">
        <v>36</v>
      </c>
      <c r="P14" s="12">
        <v>103</v>
      </c>
      <c r="Q14" s="12">
        <v>31</v>
      </c>
      <c r="R14" s="12">
        <v>35</v>
      </c>
      <c r="S14" s="12">
        <v>35</v>
      </c>
      <c r="T14" s="12">
        <v>45</v>
      </c>
      <c r="U14" s="12">
        <v>19</v>
      </c>
      <c r="V14" s="12">
        <v>56</v>
      </c>
      <c r="W14" s="12">
        <v>32</v>
      </c>
      <c r="X14" s="12">
        <v>50</v>
      </c>
      <c r="Y14" s="12">
        <v>64</v>
      </c>
      <c r="Z14" s="12">
        <v>33</v>
      </c>
      <c r="AA14" s="12">
        <v>8</v>
      </c>
      <c r="AB14" s="12">
        <v>33</v>
      </c>
      <c r="AC14" s="12">
        <v>34</v>
      </c>
      <c r="AD14" s="12">
        <v>101</v>
      </c>
      <c r="AE14" s="12">
        <v>42</v>
      </c>
      <c r="AF14" s="12">
        <v>25</v>
      </c>
    </row>
    <row r="15" spans="1:32">
      <c r="A15" s="23"/>
      <c r="B15" s="13" t="s">
        <v>1112</v>
      </c>
      <c r="C15" s="14">
        <v>0.79</v>
      </c>
      <c r="D15" s="14">
        <v>0.66</v>
      </c>
      <c r="E15" s="14">
        <v>0.9</v>
      </c>
      <c r="F15" s="14">
        <v>0.91</v>
      </c>
      <c r="G15" s="14">
        <v>0.77</v>
      </c>
      <c r="H15" s="14">
        <v>0.68</v>
      </c>
      <c r="I15" s="14">
        <v>0.69000000000000006</v>
      </c>
      <c r="J15" s="14">
        <v>0.73</v>
      </c>
      <c r="K15" s="14">
        <v>0.64</v>
      </c>
      <c r="L15" s="14">
        <v>0.84</v>
      </c>
      <c r="M15" s="14">
        <v>0.99</v>
      </c>
      <c r="N15" s="14">
        <v>0.79</v>
      </c>
      <c r="O15" s="14">
        <v>0.81</v>
      </c>
      <c r="P15" s="14">
        <v>0.82000000000000006</v>
      </c>
      <c r="Q15" s="14">
        <v>0.85</v>
      </c>
      <c r="R15" s="14">
        <v>0.82000000000000006</v>
      </c>
      <c r="S15" s="14">
        <v>0.94000000000000006</v>
      </c>
      <c r="T15" s="14">
        <v>0.88</v>
      </c>
      <c r="U15" s="14">
        <v>0.68</v>
      </c>
      <c r="V15" s="14">
        <v>0.89</v>
      </c>
      <c r="W15" s="14">
        <v>0.68</v>
      </c>
      <c r="X15" s="14">
        <v>0.57999999999999996</v>
      </c>
      <c r="Y15" s="14">
        <v>0.78</v>
      </c>
      <c r="Z15" s="14">
        <v>0.83000000000000007</v>
      </c>
      <c r="AA15" s="14">
        <v>0.73</v>
      </c>
      <c r="AB15" s="14">
        <v>0.83000000000000007</v>
      </c>
      <c r="AC15" s="14">
        <v>0.87</v>
      </c>
      <c r="AD15" s="14">
        <v>0.93</v>
      </c>
      <c r="AE15" s="14">
        <v>0.88</v>
      </c>
      <c r="AF15" s="14">
        <v>0.64</v>
      </c>
    </row>
    <row r="16" spans="1:32">
      <c r="A16" s="23"/>
      <c r="B16" s="11" t="s">
        <v>1515</v>
      </c>
      <c r="C16" s="12">
        <v>6</v>
      </c>
      <c r="D16" s="12">
        <v>0</v>
      </c>
      <c r="E16" s="12">
        <v>0</v>
      </c>
      <c r="F16" s="12">
        <v>0</v>
      </c>
      <c r="G16" s="12">
        <v>0</v>
      </c>
      <c r="H16" s="12">
        <v>0</v>
      </c>
      <c r="I16" s="12">
        <v>1</v>
      </c>
      <c r="J16" s="12">
        <v>1</v>
      </c>
      <c r="K16" s="12">
        <v>1</v>
      </c>
      <c r="L16" s="12">
        <v>0</v>
      </c>
      <c r="M16" s="12">
        <v>0</v>
      </c>
      <c r="N16" s="12">
        <v>0</v>
      </c>
      <c r="O16" s="12">
        <v>0</v>
      </c>
      <c r="P16" s="12">
        <v>0</v>
      </c>
      <c r="Q16" s="12">
        <v>0</v>
      </c>
      <c r="R16" s="12">
        <v>0</v>
      </c>
      <c r="S16" s="12">
        <v>0</v>
      </c>
      <c r="T16" s="12">
        <v>0</v>
      </c>
      <c r="U16" s="12">
        <v>0</v>
      </c>
      <c r="V16" s="12">
        <v>0</v>
      </c>
      <c r="W16" s="12">
        <v>0</v>
      </c>
      <c r="X16" s="12">
        <v>1</v>
      </c>
      <c r="Y16" s="12">
        <v>2</v>
      </c>
      <c r="Z16" s="12">
        <v>0</v>
      </c>
      <c r="AA16" s="12">
        <v>0</v>
      </c>
      <c r="AB16" s="12">
        <v>1</v>
      </c>
      <c r="AC16" s="12">
        <v>0</v>
      </c>
      <c r="AD16" s="12">
        <v>0</v>
      </c>
      <c r="AE16" s="12">
        <v>0</v>
      </c>
      <c r="AF16" s="12">
        <v>0</v>
      </c>
    </row>
    <row r="17" spans="1:32">
      <c r="A17" s="23"/>
      <c r="B17" s="13" t="s">
        <v>1516</v>
      </c>
      <c r="C17" s="14">
        <v>0.01</v>
      </c>
      <c r="D17" s="15" t="s">
        <v>485</v>
      </c>
      <c r="E17" s="15" t="s">
        <v>485</v>
      </c>
      <c r="F17" s="15" t="s">
        <v>485</v>
      </c>
      <c r="G17" s="15" t="s">
        <v>485</v>
      </c>
      <c r="H17" s="15" t="s">
        <v>485</v>
      </c>
      <c r="I17" s="14">
        <v>0.02</v>
      </c>
      <c r="J17" s="14">
        <v>0.1</v>
      </c>
      <c r="K17" s="14">
        <v>0.02</v>
      </c>
      <c r="L17" s="15" t="s">
        <v>485</v>
      </c>
      <c r="M17" s="15" t="s">
        <v>485</v>
      </c>
      <c r="N17" s="15" t="s">
        <v>485</v>
      </c>
      <c r="O17" s="15" t="s">
        <v>485</v>
      </c>
      <c r="P17" s="15" t="s">
        <v>485</v>
      </c>
      <c r="Q17" s="15" t="s">
        <v>485</v>
      </c>
      <c r="R17" s="15" t="s">
        <v>485</v>
      </c>
      <c r="S17" s="15" t="s">
        <v>485</v>
      </c>
      <c r="T17" s="15" t="s">
        <v>485</v>
      </c>
      <c r="U17" s="15" t="s">
        <v>485</v>
      </c>
      <c r="V17" s="15" t="s">
        <v>485</v>
      </c>
      <c r="W17" s="15" t="s">
        <v>485</v>
      </c>
      <c r="X17" s="14">
        <v>0.01</v>
      </c>
      <c r="Y17" s="14">
        <v>0.02</v>
      </c>
      <c r="Z17" s="15" t="s">
        <v>485</v>
      </c>
      <c r="AA17" s="15" t="s">
        <v>485</v>
      </c>
      <c r="AB17" s="14">
        <v>0.02</v>
      </c>
      <c r="AC17" s="15" t="s">
        <v>485</v>
      </c>
      <c r="AD17" s="15" t="s">
        <v>485</v>
      </c>
      <c r="AE17" s="15" t="s">
        <v>485</v>
      </c>
      <c r="AF17" s="15" t="s">
        <v>485</v>
      </c>
    </row>
    <row r="18" spans="1:32">
      <c r="A18" s="23"/>
      <c r="B18" s="11" t="s">
        <v>497</v>
      </c>
      <c r="C18" s="12">
        <v>3</v>
      </c>
      <c r="D18" s="12">
        <v>0</v>
      </c>
      <c r="E18" s="12">
        <v>0</v>
      </c>
      <c r="F18" s="12">
        <v>0</v>
      </c>
      <c r="G18" s="12">
        <v>0</v>
      </c>
      <c r="H18" s="12">
        <v>0</v>
      </c>
      <c r="I18" s="12">
        <v>0</v>
      </c>
      <c r="J18" s="12">
        <v>0</v>
      </c>
      <c r="K18" s="12">
        <v>0</v>
      </c>
      <c r="L18" s="12">
        <v>0</v>
      </c>
      <c r="M18" s="12">
        <v>0</v>
      </c>
      <c r="N18" s="12">
        <v>1</v>
      </c>
      <c r="O18" s="12">
        <v>0</v>
      </c>
      <c r="P18" s="12">
        <v>0</v>
      </c>
      <c r="Q18" s="12">
        <v>0</v>
      </c>
      <c r="R18" s="12">
        <v>0</v>
      </c>
      <c r="S18" s="12">
        <v>0</v>
      </c>
      <c r="T18" s="12">
        <v>0</v>
      </c>
      <c r="U18" s="12">
        <v>0</v>
      </c>
      <c r="V18" s="12">
        <v>0</v>
      </c>
      <c r="W18" s="12">
        <v>0</v>
      </c>
      <c r="X18" s="12">
        <v>0</v>
      </c>
      <c r="Y18" s="12">
        <v>0</v>
      </c>
      <c r="Z18" s="12">
        <v>0</v>
      </c>
      <c r="AA18" s="12">
        <v>0</v>
      </c>
      <c r="AB18" s="12">
        <v>0</v>
      </c>
      <c r="AC18" s="12">
        <v>0</v>
      </c>
      <c r="AD18" s="12">
        <v>0</v>
      </c>
      <c r="AE18" s="12">
        <v>0</v>
      </c>
      <c r="AF18" s="12">
        <v>0</v>
      </c>
    </row>
    <row r="19" spans="1:32">
      <c r="A19" s="23"/>
      <c r="B19" s="13" t="s">
        <v>498</v>
      </c>
      <c r="C19" s="15" t="s">
        <v>485</v>
      </c>
      <c r="D19" s="15" t="s">
        <v>485</v>
      </c>
      <c r="E19" s="15" t="s">
        <v>485</v>
      </c>
      <c r="F19" s="15" t="s">
        <v>485</v>
      </c>
      <c r="G19" s="15" t="s">
        <v>485</v>
      </c>
      <c r="H19" s="15" t="s">
        <v>485</v>
      </c>
      <c r="I19" s="15" t="s">
        <v>485</v>
      </c>
      <c r="J19" s="15" t="s">
        <v>485</v>
      </c>
      <c r="K19" s="15" t="s">
        <v>485</v>
      </c>
      <c r="L19" s="15" t="s">
        <v>485</v>
      </c>
      <c r="M19" s="15" t="s">
        <v>485</v>
      </c>
      <c r="N19" s="14">
        <v>0.02</v>
      </c>
      <c r="O19" s="15" t="s">
        <v>485</v>
      </c>
      <c r="P19" s="15" t="s">
        <v>485</v>
      </c>
      <c r="Q19" s="15" t="s">
        <v>485</v>
      </c>
      <c r="R19" s="15" t="s">
        <v>485</v>
      </c>
      <c r="S19" s="15" t="s">
        <v>485</v>
      </c>
      <c r="T19" s="15" t="s">
        <v>485</v>
      </c>
      <c r="U19" s="15" t="s">
        <v>485</v>
      </c>
      <c r="V19" s="15" t="s">
        <v>485</v>
      </c>
      <c r="W19" s="15" t="s">
        <v>485</v>
      </c>
      <c r="X19" s="15" t="s">
        <v>485</v>
      </c>
      <c r="Y19" s="15" t="s">
        <v>485</v>
      </c>
      <c r="Z19" s="15" t="s">
        <v>485</v>
      </c>
      <c r="AA19" s="15" t="s">
        <v>485</v>
      </c>
      <c r="AB19" s="15" t="s">
        <v>485</v>
      </c>
      <c r="AC19" s="15" t="s">
        <v>485</v>
      </c>
      <c r="AD19" s="15" t="s">
        <v>485</v>
      </c>
      <c r="AE19" s="15" t="s">
        <v>485</v>
      </c>
      <c r="AF19" s="15" t="s">
        <v>485</v>
      </c>
    </row>
  </sheetData>
  <mergeCells count="9">
    <mergeCell ref="H3:L3"/>
    <mergeCell ref="C8:AF8"/>
    <mergeCell ref="B3:F3"/>
    <mergeCell ref="B5:F5"/>
    <mergeCell ref="A10:A19"/>
    <mergeCell ref="H5:L5"/>
    <mergeCell ref="B10:B11"/>
    <mergeCell ref="H4:L4"/>
    <mergeCell ref="B4:F4"/>
  </mergeCells>
  <pageMargins left="0.75" right="0.75" top="1" bottom="1" header="0.5" footer="0.5"/>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300-000000000000}">
  <dimension ref="A1:AF33"/>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36" customHeight="1">
      <c r="B3" s="19" t="s">
        <v>365</v>
      </c>
      <c r="C3" s="19"/>
      <c r="D3" s="19"/>
      <c r="E3" s="19"/>
      <c r="F3" s="19"/>
      <c r="H3" s="19" t="s">
        <v>366</v>
      </c>
      <c r="I3" s="19"/>
      <c r="J3" s="19"/>
      <c r="K3" s="19"/>
      <c r="L3" s="19"/>
    </row>
    <row r="4" spans="1:32" ht="27" customHeight="1">
      <c r="B4" s="19"/>
      <c r="C4" s="19"/>
      <c r="D4" s="19"/>
      <c r="E4" s="19"/>
      <c r="F4" s="19"/>
      <c r="H4" s="19"/>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HYPERLINK("#Content!A184","&lt;&lt;Back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23.25">
      <c r="A12" s="23"/>
      <c r="B12" s="11" t="s">
        <v>1592</v>
      </c>
      <c r="C12" s="12">
        <v>5659</v>
      </c>
      <c r="D12" s="12">
        <v>252</v>
      </c>
      <c r="E12" s="12">
        <v>186</v>
      </c>
      <c r="F12" s="12">
        <v>96</v>
      </c>
      <c r="G12" s="12">
        <v>291</v>
      </c>
      <c r="H12" s="12">
        <v>216</v>
      </c>
      <c r="I12" s="12">
        <v>275</v>
      </c>
      <c r="J12" s="12">
        <v>59</v>
      </c>
      <c r="K12" s="12">
        <v>156</v>
      </c>
      <c r="L12" s="12">
        <v>215</v>
      </c>
      <c r="M12" s="12">
        <v>145</v>
      </c>
      <c r="N12" s="12">
        <v>213</v>
      </c>
      <c r="O12" s="12">
        <v>313</v>
      </c>
      <c r="P12" s="12">
        <v>111</v>
      </c>
      <c r="Q12" s="12">
        <v>219</v>
      </c>
      <c r="R12" s="12">
        <v>28</v>
      </c>
      <c r="S12" s="12">
        <v>155</v>
      </c>
      <c r="T12" s="12">
        <v>137</v>
      </c>
      <c r="U12" s="12">
        <v>90</v>
      </c>
      <c r="V12" s="12">
        <v>234</v>
      </c>
      <c r="W12" s="12">
        <v>75</v>
      </c>
      <c r="X12" s="12">
        <v>284</v>
      </c>
      <c r="Y12" s="12">
        <v>275</v>
      </c>
      <c r="Z12" s="12">
        <v>129</v>
      </c>
      <c r="AA12" s="12">
        <v>170</v>
      </c>
      <c r="AB12" s="12">
        <v>181</v>
      </c>
      <c r="AC12" s="12">
        <v>184</v>
      </c>
      <c r="AD12" s="12">
        <v>225</v>
      </c>
      <c r="AE12" s="12">
        <v>283</v>
      </c>
      <c r="AF12" s="12">
        <v>361</v>
      </c>
    </row>
    <row r="13" spans="1:32" ht="23.25">
      <c r="A13" s="23"/>
      <c r="B13" s="13" t="s">
        <v>1593</v>
      </c>
      <c r="C13" s="14">
        <v>0.21</v>
      </c>
      <c r="D13" s="14">
        <v>0.25</v>
      </c>
      <c r="E13" s="14">
        <v>0.18</v>
      </c>
      <c r="F13" s="14">
        <v>0.1</v>
      </c>
      <c r="G13" s="14">
        <v>0.28999999999999998</v>
      </c>
      <c r="H13" s="14">
        <v>0.18</v>
      </c>
      <c r="I13" s="14">
        <v>0.18</v>
      </c>
      <c r="J13" s="14">
        <v>0.2</v>
      </c>
      <c r="K13" s="14">
        <v>0.16</v>
      </c>
      <c r="L13" s="14">
        <v>0.21</v>
      </c>
      <c r="M13" s="14">
        <v>0.14000000000000001</v>
      </c>
      <c r="N13" s="14">
        <v>0.21</v>
      </c>
      <c r="O13" s="14">
        <v>0.31</v>
      </c>
      <c r="P13" s="14">
        <v>0.11</v>
      </c>
      <c r="Q13" s="14">
        <v>0.21</v>
      </c>
      <c r="R13" s="14">
        <v>0.06</v>
      </c>
      <c r="S13" s="14">
        <v>0.15</v>
      </c>
      <c r="T13" s="14">
        <v>0.14000000000000001</v>
      </c>
      <c r="U13" s="14">
        <v>0.18</v>
      </c>
      <c r="V13" s="14">
        <v>0.23</v>
      </c>
      <c r="W13" s="14">
        <v>0.15</v>
      </c>
      <c r="X13" s="14">
        <v>0.28000000000000003</v>
      </c>
      <c r="Y13" s="14">
        <v>0.27</v>
      </c>
      <c r="Z13" s="14">
        <v>0.13</v>
      </c>
      <c r="AA13" s="14">
        <v>0.16</v>
      </c>
      <c r="AB13" s="14">
        <v>0.18</v>
      </c>
      <c r="AC13" s="14">
        <v>0.18</v>
      </c>
      <c r="AD13" s="14">
        <v>0.22</v>
      </c>
      <c r="AE13" s="14">
        <v>0.28000000000000003</v>
      </c>
      <c r="AF13" s="14">
        <v>0.34</v>
      </c>
    </row>
    <row r="14" spans="1:32">
      <c r="A14" s="23"/>
      <c r="B14" s="11" t="s">
        <v>1594</v>
      </c>
      <c r="C14" s="12">
        <v>11404</v>
      </c>
      <c r="D14" s="12">
        <v>479</v>
      </c>
      <c r="E14" s="12">
        <v>432</v>
      </c>
      <c r="F14" s="12">
        <v>463</v>
      </c>
      <c r="G14" s="12">
        <v>588</v>
      </c>
      <c r="H14" s="12">
        <v>596</v>
      </c>
      <c r="I14" s="12">
        <v>734</v>
      </c>
      <c r="J14" s="12">
        <v>138</v>
      </c>
      <c r="K14" s="12">
        <v>380</v>
      </c>
      <c r="L14" s="12">
        <v>433</v>
      </c>
      <c r="M14" s="12">
        <v>443</v>
      </c>
      <c r="N14" s="12">
        <v>383</v>
      </c>
      <c r="O14" s="12">
        <v>532</v>
      </c>
      <c r="P14" s="12">
        <v>377</v>
      </c>
      <c r="Q14" s="12">
        <v>395</v>
      </c>
      <c r="R14" s="12">
        <v>165</v>
      </c>
      <c r="S14" s="12">
        <v>375</v>
      </c>
      <c r="T14" s="12">
        <v>463</v>
      </c>
      <c r="U14" s="12">
        <v>292</v>
      </c>
      <c r="V14" s="12">
        <v>419</v>
      </c>
      <c r="W14" s="12">
        <v>152</v>
      </c>
      <c r="X14" s="12">
        <v>489</v>
      </c>
      <c r="Y14" s="12">
        <v>423</v>
      </c>
      <c r="Z14" s="12">
        <v>278</v>
      </c>
      <c r="AA14" s="12">
        <v>373</v>
      </c>
      <c r="AB14" s="12">
        <v>295</v>
      </c>
      <c r="AC14" s="12">
        <v>396</v>
      </c>
      <c r="AD14" s="12">
        <v>432</v>
      </c>
      <c r="AE14" s="12">
        <v>548</v>
      </c>
      <c r="AF14" s="12">
        <v>594</v>
      </c>
    </row>
    <row r="15" spans="1:32">
      <c r="A15" s="23"/>
      <c r="B15" s="13" t="s">
        <v>1595</v>
      </c>
      <c r="C15" s="14">
        <v>0.43</v>
      </c>
      <c r="D15" s="14">
        <v>0.48</v>
      </c>
      <c r="E15" s="14">
        <v>0.41</v>
      </c>
      <c r="F15" s="14">
        <v>0.46</v>
      </c>
      <c r="G15" s="14">
        <v>0.59</v>
      </c>
      <c r="H15" s="14">
        <v>0.49</v>
      </c>
      <c r="I15" s="14">
        <v>0.49</v>
      </c>
      <c r="J15" s="14">
        <v>0.47</v>
      </c>
      <c r="K15" s="14">
        <v>0.38</v>
      </c>
      <c r="L15" s="14">
        <v>0.43</v>
      </c>
      <c r="M15" s="14">
        <v>0.44</v>
      </c>
      <c r="N15" s="14">
        <v>0.38</v>
      </c>
      <c r="O15" s="14">
        <v>0.53</v>
      </c>
      <c r="P15" s="14">
        <v>0.37</v>
      </c>
      <c r="Q15" s="14">
        <v>0.39</v>
      </c>
      <c r="R15" s="14">
        <v>0.33</v>
      </c>
      <c r="S15" s="14">
        <v>0.37</v>
      </c>
      <c r="T15" s="14">
        <v>0.46</v>
      </c>
      <c r="U15" s="14">
        <v>0.57999999999999996</v>
      </c>
      <c r="V15" s="14">
        <v>0.41</v>
      </c>
      <c r="W15" s="14">
        <v>0.3</v>
      </c>
      <c r="X15" s="14">
        <v>0.48</v>
      </c>
      <c r="Y15" s="14">
        <v>0.42</v>
      </c>
      <c r="Z15" s="14">
        <v>0.27</v>
      </c>
      <c r="AA15" s="14">
        <v>0.36</v>
      </c>
      <c r="AB15" s="14">
        <v>0.28999999999999998</v>
      </c>
      <c r="AC15" s="14">
        <v>0.39</v>
      </c>
      <c r="AD15" s="14">
        <v>0.43</v>
      </c>
      <c r="AE15" s="14">
        <v>0.54</v>
      </c>
      <c r="AF15" s="14">
        <v>0.55000000000000004</v>
      </c>
    </row>
    <row r="16" spans="1:32" ht="45.75">
      <c r="A16" s="23"/>
      <c r="B16" s="11" t="s">
        <v>1596</v>
      </c>
      <c r="C16" s="12">
        <v>7193</v>
      </c>
      <c r="D16" s="12">
        <v>237</v>
      </c>
      <c r="E16" s="12">
        <v>359</v>
      </c>
      <c r="F16" s="12">
        <v>256</v>
      </c>
      <c r="G16" s="12">
        <v>286</v>
      </c>
      <c r="H16" s="12">
        <v>274</v>
      </c>
      <c r="I16" s="12">
        <v>365</v>
      </c>
      <c r="J16" s="12">
        <v>90</v>
      </c>
      <c r="K16" s="12">
        <v>277</v>
      </c>
      <c r="L16" s="12">
        <v>262</v>
      </c>
      <c r="M16" s="12">
        <v>432</v>
      </c>
      <c r="N16" s="12">
        <v>285</v>
      </c>
      <c r="O16" s="12">
        <v>256</v>
      </c>
      <c r="P16" s="12">
        <v>361</v>
      </c>
      <c r="Q16" s="12">
        <v>284</v>
      </c>
      <c r="R16" s="12">
        <v>206</v>
      </c>
      <c r="S16" s="12">
        <v>356</v>
      </c>
      <c r="T16" s="12">
        <v>297</v>
      </c>
      <c r="U16" s="12">
        <v>115</v>
      </c>
      <c r="V16" s="12">
        <v>339</v>
      </c>
      <c r="W16" s="12">
        <v>183</v>
      </c>
      <c r="X16" s="12">
        <v>352</v>
      </c>
      <c r="Y16" s="12">
        <v>326</v>
      </c>
      <c r="Z16" s="12">
        <v>196</v>
      </c>
      <c r="AA16" s="12">
        <v>422</v>
      </c>
      <c r="AB16" s="12">
        <v>269</v>
      </c>
      <c r="AC16" s="12">
        <v>364</v>
      </c>
      <c r="AD16" s="12">
        <v>326</v>
      </c>
      <c r="AE16" s="12">
        <v>231</v>
      </c>
      <c r="AF16" s="12">
        <v>286</v>
      </c>
    </row>
    <row r="17" spans="1:32" ht="45.75">
      <c r="A17" s="23"/>
      <c r="B17" s="13" t="s">
        <v>1597</v>
      </c>
      <c r="C17" s="14">
        <v>0.27</v>
      </c>
      <c r="D17" s="14">
        <v>0.24</v>
      </c>
      <c r="E17" s="14">
        <v>0.34</v>
      </c>
      <c r="F17" s="14">
        <v>0.25</v>
      </c>
      <c r="G17" s="14">
        <v>0.28999999999999998</v>
      </c>
      <c r="H17" s="14">
        <v>0.23</v>
      </c>
      <c r="I17" s="14">
        <v>0.24</v>
      </c>
      <c r="J17" s="14">
        <v>0.31</v>
      </c>
      <c r="K17" s="14">
        <v>0.28000000000000003</v>
      </c>
      <c r="L17" s="14">
        <v>0.26</v>
      </c>
      <c r="M17" s="14">
        <v>0.43</v>
      </c>
      <c r="N17" s="14">
        <v>0.28999999999999998</v>
      </c>
      <c r="O17" s="14">
        <v>0.25</v>
      </c>
      <c r="P17" s="14">
        <v>0.36</v>
      </c>
      <c r="Q17" s="14">
        <v>0.28000000000000003</v>
      </c>
      <c r="R17" s="14">
        <v>0.41</v>
      </c>
      <c r="S17" s="14">
        <v>0.35</v>
      </c>
      <c r="T17" s="14">
        <v>0.3</v>
      </c>
      <c r="U17" s="14">
        <v>0.23</v>
      </c>
      <c r="V17" s="14">
        <v>0.33</v>
      </c>
      <c r="W17" s="14">
        <v>0.36</v>
      </c>
      <c r="X17" s="14">
        <v>0.35</v>
      </c>
      <c r="Y17" s="14">
        <v>0.32</v>
      </c>
      <c r="Z17" s="14">
        <v>0.19</v>
      </c>
      <c r="AA17" s="14">
        <v>0.41</v>
      </c>
      <c r="AB17" s="14">
        <v>0.26</v>
      </c>
      <c r="AC17" s="14">
        <v>0.36</v>
      </c>
      <c r="AD17" s="14">
        <v>0.33</v>
      </c>
      <c r="AE17" s="14">
        <v>0.23</v>
      </c>
      <c r="AF17" s="14">
        <v>0.27</v>
      </c>
    </row>
    <row r="18" spans="1:32" ht="57">
      <c r="A18" s="23"/>
      <c r="B18" s="11" t="s">
        <v>1598</v>
      </c>
      <c r="C18" s="12">
        <v>4833</v>
      </c>
      <c r="D18" s="12">
        <v>124</v>
      </c>
      <c r="E18" s="12">
        <v>313</v>
      </c>
      <c r="F18" s="12">
        <v>270</v>
      </c>
      <c r="G18" s="12">
        <v>65</v>
      </c>
      <c r="H18" s="12">
        <v>246</v>
      </c>
      <c r="I18" s="12">
        <v>296</v>
      </c>
      <c r="J18" s="12">
        <v>50</v>
      </c>
      <c r="K18" s="12">
        <v>201</v>
      </c>
      <c r="L18" s="12">
        <v>156</v>
      </c>
      <c r="M18" s="12">
        <v>239</v>
      </c>
      <c r="N18" s="12">
        <v>187</v>
      </c>
      <c r="O18" s="12">
        <v>121</v>
      </c>
      <c r="P18" s="12">
        <v>219</v>
      </c>
      <c r="Q18" s="12">
        <v>194</v>
      </c>
      <c r="R18" s="12">
        <v>183</v>
      </c>
      <c r="S18" s="12">
        <v>231</v>
      </c>
      <c r="T18" s="12">
        <v>342</v>
      </c>
      <c r="U18" s="12">
        <v>84</v>
      </c>
      <c r="V18" s="12">
        <v>185</v>
      </c>
      <c r="W18" s="12">
        <v>177</v>
      </c>
      <c r="X18" s="12">
        <v>199</v>
      </c>
      <c r="Y18" s="12">
        <v>232</v>
      </c>
      <c r="Z18" s="12">
        <v>207</v>
      </c>
      <c r="AA18" s="12">
        <v>199</v>
      </c>
      <c r="AB18" s="12">
        <v>225</v>
      </c>
      <c r="AC18" s="12">
        <v>199</v>
      </c>
      <c r="AD18" s="12">
        <v>250</v>
      </c>
      <c r="AE18" s="12">
        <v>102</v>
      </c>
      <c r="AF18" s="12">
        <v>80</v>
      </c>
    </row>
    <row r="19" spans="1:32" ht="45.75">
      <c r="A19" s="23"/>
      <c r="B19" s="13" t="s">
        <v>1599</v>
      </c>
      <c r="C19" s="14">
        <v>0.18</v>
      </c>
      <c r="D19" s="14">
        <v>0.12</v>
      </c>
      <c r="E19" s="14">
        <v>0.3</v>
      </c>
      <c r="F19" s="14">
        <v>0.27</v>
      </c>
      <c r="G19" s="14">
        <v>7.0000000000000007E-2</v>
      </c>
      <c r="H19" s="14">
        <v>0.2</v>
      </c>
      <c r="I19" s="14">
        <v>0.2</v>
      </c>
      <c r="J19" s="14">
        <v>0.17</v>
      </c>
      <c r="K19" s="14">
        <v>0.2</v>
      </c>
      <c r="L19" s="14">
        <v>0.15</v>
      </c>
      <c r="M19" s="14">
        <v>0.24</v>
      </c>
      <c r="N19" s="14">
        <v>0.19</v>
      </c>
      <c r="O19" s="14">
        <v>0.12</v>
      </c>
      <c r="P19" s="14">
        <v>0.22</v>
      </c>
      <c r="Q19" s="14">
        <v>0.19</v>
      </c>
      <c r="R19" s="14">
        <v>0.37</v>
      </c>
      <c r="S19" s="14">
        <v>0.23</v>
      </c>
      <c r="T19" s="14">
        <v>0.34</v>
      </c>
      <c r="U19" s="14">
        <v>0.17</v>
      </c>
      <c r="V19" s="14">
        <v>0.18</v>
      </c>
      <c r="W19" s="14">
        <v>0.35</v>
      </c>
      <c r="X19" s="14">
        <v>0.2</v>
      </c>
      <c r="Y19" s="14">
        <v>0.23</v>
      </c>
      <c r="Z19" s="14">
        <v>0.2</v>
      </c>
      <c r="AA19" s="14">
        <v>0.19</v>
      </c>
      <c r="AB19" s="14">
        <v>0.22</v>
      </c>
      <c r="AC19" s="14">
        <v>0.2</v>
      </c>
      <c r="AD19" s="14">
        <v>0.25</v>
      </c>
      <c r="AE19" s="14">
        <v>0.1</v>
      </c>
      <c r="AF19" s="14">
        <v>7.0000000000000007E-2</v>
      </c>
    </row>
    <row r="20" spans="1:32" ht="34.5">
      <c r="A20" s="23"/>
      <c r="B20" s="11" t="s">
        <v>1600</v>
      </c>
      <c r="C20" s="12">
        <v>4816</v>
      </c>
      <c r="D20" s="12">
        <v>159</v>
      </c>
      <c r="E20" s="12">
        <v>277</v>
      </c>
      <c r="F20" s="12">
        <v>187</v>
      </c>
      <c r="G20" s="12">
        <v>136</v>
      </c>
      <c r="H20" s="12">
        <v>178</v>
      </c>
      <c r="I20" s="12">
        <v>233</v>
      </c>
      <c r="J20" s="12">
        <v>55</v>
      </c>
      <c r="K20" s="12">
        <v>143</v>
      </c>
      <c r="L20" s="12">
        <v>175</v>
      </c>
      <c r="M20" s="12">
        <v>376</v>
      </c>
      <c r="N20" s="12">
        <v>127</v>
      </c>
      <c r="O20" s="12">
        <v>164</v>
      </c>
      <c r="P20" s="12">
        <v>315</v>
      </c>
      <c r="Q20" s="12">
        <v>253</v>
      </c>
      <c r="R20" s="12">
        <v>133</v>
      </c>
      <c r="S20" s="12">
        <v>178</v>
      </c>
      <c r="T20" s="12">
        <v>175</v>
      </c>
      <c r="U20" s="12">
        <v>89</v>
      </c>
      <c r="V20" s="12">
        <v>239</v>
      </c>
      <c r="W20" s="12">
        <v>101</v>
      </c>
      <c r="X20" s="12">
        <v>122</v>
      </c>
      <c r="Y20" s="12">
        <v>176</v>
      </c>
      <c r="Z20" s="12">
        <v>187</v>
      </c>
      <c r="AA20" s="12">
        <v>166</v>
      </c>
      <c r="AB20" s="12">
        <v>251</v>
      </c>
      <c r="AC20" s="12">
        <v>239</v>
      </c>
      <c r="AD20" s="12">
        <v>296</v>
      </c>
      <c r="AE20" s="12">
        <v>120</v>
      </c>
      <c r="AF20" s="12">
        <v>136</v>
      </c>
    </row>
    <row r="21" spans="1:32" ht="34.5">
      <c r="A21" s="23"/>
      <c r="B21" s="13" t="s">
        <v>1601</v>
      </c>
      <c r="C21" s="14">
        <v>0.18</v>
      </c>
      <c r="D21" s="14">
        <v>0.16</v>
      </c>
      <c r="E21" s="14">
        <v>0.27</v>
      </c>
      <c r="F21" s="14">
        <v>0.19</v>
      </c>
      <c r="G21" s="14">
        <v>0.14000000000000001</v>
      </c>
      <c r="H21" s="14">
        <v>0.15</v>
      </c>
      <c r="I21" s="14">
        <v>0.15</v>
      </c>
      <c r="J21" s="14">
        <v>0.19</v>
      </c>
      <c r="K21" s="14">
        <v>0.14000000000000001</v>
      </c>
      <c r="L21" s="14">
        <v>0.17</v>
      </c>
      <c r="M21" s="14">
        <v>0.37</v>
      </c>
      <c r="N21" s="14">
        <v>0.13</v>
      </c>
      <c r="O21" s="14">
        <v>0.16</v>
      </c>
      <c r="P21" s="14">
        <v>0.31</v>
      </c>
      <c r="Q21" s="14">
        <v>0.25</v>
      </c>
      <c r="R21" s="14">
        <v>0.26</v>
      </c>
      <c r="S21" s="14">
        <v>0.18</v>
      </c>
      <c r="T21" s="14">
        <v>0.17</v>
      </c>
      <c r="U21" s="14">
        <v>0.18</v>
      </c>
      <c r="V21" s="14">
        <v>0.24</v>
      </c>
      <c r="W21" s="14">
        <v>0.2</v>
      </c>
      <c r="X21" s="14">
        <v>0.12</v>
      </c>
      <c r="Y21" s="14">
        <v>0.17</v>
      </c>
      <c r="Z21" s="14">
        <v>0.18</v>
      </c>
      <c r="AA21" s="14">
        <v>0.16</v>
      </c>
      <c r="AB21" s="14">
        <v>0.24</v>
      </c>
      <c r="AC21" s="14">
        <v>0.24</v>
      </c>
      <c r="AD21" s="14">
        <v>0.3</v>
      </c>
      <c r="AE21" s="14">
        <v>0.12</v>
      </c>
      <c r="AF21" s="14">
        <v>0.13</v>
      </c>
    </row>
    <row r="22" spans="1:32" ht="34.5">
      <c r="A22" s="23"/>
      <c r="B22" s="11" t="s">
        <v>1602</v>
      </c>
      <c r="C22" s="12">
        <v>4859</v>
      </c>
      <c r="D22" s="12">
        <v>204</v>
      </c>
      <c r="E22" s="12">
        <v>207</v>
      </c>
      <c r="F22" s="12">
        <v>184</v>
      </c>
      <c r="G22" s="12">
        <v>215</v>
      </c>
      <c r="H22" s="12">
        <v>191</v>
      </c>
      <c r="I22" s="12">
        <v>266</v>
      </c>
      <c r="J22" s="12">
        <v>74</v>
      </c>
      <c r="K22" s="12">
        <v>230</v>
      </c>
      <c r="L22" s="12">
        <v>261</v>
      </c>
      <c r="M22" s="12">
        <v>205</v>
      </c>
      <c r="N22" s="12">
        <v>240</v>
      </c>
      <c r="O22" s="12">
        <v>104</v>
      </c>
      <c r="P22" s="12">
        <v>299</v>
      </c>
      <c r="Q22" s="12">
        <v>153</v>
      </c>
      <c r="R22" s="12">
        <v>135</v>
      </c>
      <c r="S22" s="12">
        <v>243</v>
      </c>
      <c r="T22" s="12">
        <v>190</v>
      </c>
      <c r="U22" s="12">
        <v>71</v>
      </c>
      <c r="V22" s="12">
        <v>255</v>
      </c>
      <c r="W22" s="12">
        <v>124</v>
      </c>
      <c r="X22" s="12">
        <v>208</v>
      </c>
      <c r="Y22" s="12">
        <v>301</v>
      </c>
      <c r="Z22" s="12">
        <v>156</v>
      </c>
      <c r="AA22" s="12">
        <v>257</v>
      </c>
      <c r="AB22" s="12">
        <v>229</v>
      </c>
      <c r="AC22" s="12">
        <v>258</v>
      </c>
      <c r="AD22" s="12">
        <v>237</v>
      </c>
      <c r="AE22" s="12">
        <v>248</v>
      </c>
      <c r="AF22" s="12">
        <v>260</v>
      </c>
    </row>
    <row r="23" spans="1:32" ht="23.25">
      <c r="A23" s="23"/>
      <c r="B23" s="13" t="s">
        <v>1603</v>
      </c>
      <c r="C23" s="14">
        <v>0.18</v>
      </c>
      <c r="D23" s="14">
        <v>0.2</v>
      </c>
      <c r="E23" s="14">
        <v>0.2</v>
      </c>
      <c r="F23" s="14">
        <v>0.18</v>
      </c>
      <c r="G23" s="14">
        <v>0.21</v>
      </c>
      <c r="H23" s="14">
        <v>0.16</v>
      </c>
      <c r="I23" s="14">
        <v>0.18</v>
      </c>
      <c r="J23" s="14">
        <v>0.25</v>
      </c>
      <c r="K23" s="14">
        <v>0.23</v>
      </c>
      <c r="L23" s="14">
        <v>0.26</v>
      </c>
      <c r="M23" s="14">
        <v>0.2</v>
      </c>
      <c r="N23" s="14">
        <v>0.24</v>
      </c>
      <c r="O23" s="14">
        <v>0.1</v>
      </c>
      <c r="P23" s="14">
        <v>0.3</v>
      </c>
      <c r="Q23" s="14">
        <v>0.15</v>
      </c>
      <c r="R23" s="14">
        <v>0.27</v>
      </c>
      <c r="S23" s="14">
        <v>0.24</v>
      </c>
      <c r="T23" s="14">
        <v>0.19</v>
      </c>
      <c r="U23" s="14">
        <v>0.14000000000000001</v>
      </c>
      <c r="V23" s="14">
        <v>0.25</v>
      </c>
      <c r="W23" s="14">
        <v>0.25</v>
      </c>
      <c r="X23" s="14">
        <v>0.2</v>
      </c>
      <c r="Y23" s="14">
        <v>0.3</v>
      </c>
      <c r="Z23" s="14">
        <v>0.15</v>
      </c>
      <c r="AA23" s="14">
        <v>0.25</v>
      </c>
      <c r="AB23" s="14">
        <v>0.22</v>
      </c>
      <c r="AC23" s="14">
        <v>0.26</v>
      </c>
      <c r="AD23" s="14">
        <v>0.24</v>
      </c>
      <c r="AE23" s="14">
        <v>0.25</v>
      </c>
      <c r="AF23" s="14">
        <v>0.24</v>
      </c>
    </row>
    <row r="24" spans="1:32" ht="79.5">
      <c r="A24" s="23"/>
      <c r="B24" s="11" t="s">
        <v>1604</v>
      </c>
      <c r="C24" s="12">
        <v>7111</v>
      </c>
      <c r="D24" s="12">
        <v>232</v>
      </c>
      <c r="E24" s="12">
        <v>249</v>
      </c>
      <c r="F24" s="12">
        <v>237</v>
      </c>
      <c r="G24" s="12">
        <v>263</v>
      </c>
      <c r="H24" s="12">
        <v>309</v>
      </c>
      <c r="I24" s="12">
        <v>374</v>
      </c>
      <c r="J24" s="12">
        <v>65</v>
      </c>
      <c r="K24" s="12">
        <v>262</v>
      </c>
      <c r="L24" s="12">
        <v>188</v>
      </c>
      <c r="M24" s="12">
        <v>294</v>
      </c>
      <c r="N24" s="12">
        <v>260</v>
      </c>
      <c r="O24" s="12">
        <v>278</v>
      </c>
      <c r="P24" s="12">
        <v>246</v>
      </c>
      <c r="Q24" s="12">
        <v>318</v>
      </c>
      <c r="R24" s="12">
        <v>233</v>
      </c>
      <c r="S24" s="12">
        <v>285</v>
      </c>
      <c r="T24" s="12">
        <v>330</v>
      </c>
      <c r="U24" s="12">
        <v>164</v>
      </c>
      <c r="V24" s="12">
        <v>261</v>
      </c>
      <c r="W24" s="12">
        <v>200</v>
      </c>
      <c r="X24" s="12">
        <v>439</v>
      </c>
      <c r="Y24" s="12">
        <v>245</v>
      </c>
      <c r="Z24" s="12">
        <v>213</v>
      </c>
      <c r="AA24" s="12">
        <v>308</v>
      </c>
      <c r="AB24" s="12">
        <v>262</v>
      </c>
      <c r="AC24" s="12">
        <v>260</v>
      </c>
      <c r="AD24" s="12">
        <v>251</v>
      </c>
      <c r="AE24" s="12">
        <v>195</v>
      </c>
      <c r="AF24" s="12">
        <v>346</v>
      </c>
    </row>
    <row r="25" spans="1:32" ht="57">
      <c r="A25" s="23"/>
      <c r="B25" s="13" t="s">
        <v>1605</v>
      </c>
      <c r="C25" s="14">
        <v>0.27</v>
      </c>
      <c r="D25" s="14">
        <v>0.23</v>
      </c>
      <c r="E25" s="14">
        <v>0.24</v>
      </c>
      <c r="F25" s="14">
        <v>0.24</v>
      </c>
      <c r="G25" s="14">
        <v>0.26</v>
      </c>
      <c r="H25" s="14">
        <v>0.26</v>
      </c>
      <c r="I25" s="14">
        <v>0.25</v>
      </c>
      <c r="J25" s="14">
        <v>0.22</v>
      </c>
      <c r="K25" s="14">
        <v>0.26</v>
      </c>
      <c r="L25" s="14">
        <v>0.19</v>
      </c>
      <c r="M25" s="14">
        <v>0.28999999999999998</v>
      </c>
      <c r="N25" s="14">
        <v>0.26</v>
      </c>
      <c r="O25" s="14">
        <v>0.28000000000000003</v>
      </c>
      <c r="P25" s="14">
        <v>0.24</v>
      </c>
      <c r="Q25" s="14">
        <v>0.31</v>
      </c>
      <c r="R25" s="14">
        <v>0.46</v>
      </c>
      <c r="S25" s="14">
        <v>0.28000000000000003</v>
      </c>
      <c r="T25" s="14">
        <v>0.33</v>
      </c>
      <c r="U25" s="14">
        <v>0.33</v>
      </c>
      <c r="V25" s="14">
        <v>0.26</v>
      </c>
      <c r="W25" s="14">
        <v>0.4</v>
      </c>
      <c r="X25" s="14">
        <v>0.43</v>
      </c>
      <c r="Y25" s="14">
        <v>0.24</v>
      </c>
      <c r="Z25" s="14">
        <v>0.21</v>
      </c>
      <c r="AA25" s="14">
        <v>0.3</v>
      </c>
      <c r="AB25" s="14">
        <v>0.25</v>
      </c>
      <c r="AC25" s="14">
        <v>0.26</v>
      </c>
      <c r="AD25" s="14">
        <v>0.25</v>
      </c>
      <c r="AE25" s="14">
        <v>0.19</v>
      </c>
      <c r="AF25" s="14">
        <v>0.32</v>
      </c>
    </row>
    <row r="26" spans="1:32" ht="23.25">
      <c r="A26" s="23"/>
      <c r="B26" s="11" t="s">
        <v>1606</v>
      </c>
      <c r="C26" s="12">
        <v>4957</v>
      </c>
      <c r="D26" s="12">
        <v>229</v>
      </c>
      <c r="E26" s="12">
        <v>87</v>
      </c>
      <c r="F26" s="12">
        <v>180</v>
      </c>
      <c r="G26" s="12">
        <v>271</v>
      </c>
      <c r="H26" s="12">
        <v>273</v>
      </c>
      <c r="I26" s="12">
        <v>342</v>
      </c>
      <c r="J26" s="12">
        <v>69</v>
      </c>
      <c r="K26" s="12">
        <v>206</v>
      </c>
      <c r="L26" s="12">
        <v>202</v>
      </c>
      <c r="M26" s="12">
        <v>235</v>
      </c>
      <c r="N26" s="12">
        <v>112</v>
      </c>
      <c r="O26" s="12">
        <v>212</v>
      </c>
      <c r="P26" s="12">
        <v>250</v>
      </c>
      <c r="Q26" s="12">
        <v>102</v>
      </c>
      <c r="R26" s="12">
        <v>67</v>
      </c>
      <c r="S26" s="12">
        <v>219</v>
      </c>
      <c r="T26" s="12">
        <v>216</v>
      </c>
      <c r="U26" s="12">
        <v>124</v>
      </c>
      <c r="V26" s="12">
        <v>184</v>
      </c>
      <c r="W26" s="12">
        <v>78</v>
      </c>
      <c r="X26" s="12">
        <v>222</v>
      </c>
      <c r="Y26" s="12">
        <v>270</v>
      </c>
      <c r="Z26" s="12">
        <v>265</v>
      </c>
      <c r="AA26" s="12">
        <v>125</v>
      </c>
      <c r="AB26" s="12">
        <v>186</v>
      </c>
      <c r="AC26" s="12">
        <v>183</v>
      </c>
      <c r="AD26" s="12">
        <v>221</v>
      </c>
      <c r="AE26" s="12">
        <v>134</v>
      </c>
      <c r="AF26" s="12">
        <v>243</v>
      </c>
    </row>
    <row r="27" spans="1:32" ht="23.25">
      <c r="A27" s="23"/>
      <c r="B27" s="13" t="s">
        <v>1607</v>
      </c>
      <c r="C27" s="14">
        <v>0.19</v>
      </c>
      <c r="D27" s="14">
        <v>0.23</v>
      </c>
      <c r="E27" s="14">
        <v>0.08</v>
      </c>
      <c r="F27" s="14">
        <v>0.18</v>
      </c>
      <c r="G27" s="14">
        <v>0.27</v>
      </c>
      <c r="H27" s="14">
        <v>0.23</v>
      </c>
      <c r="I27" s="14">
        <v>0.23</v>
      </c>
      <c r="J27" s="14">
        <v>0.23</v>
      </c>
      <c r="K27" s="14">
        <v>0.21</v>
      </c>
      <c r="L27" s="14">
        <v>0.2</v>
      </c>
      <c r="M27" s="14">
        <v>0.23</v>
      </c>
      <c r="N27" s="14">
        <v>0.11</v>
      </c>
      <c r="O27" s="14">
        <v>0.21</v>
      </c>
      <c r="P27" s="14">
        <v>0.25</v>
      </c>
      <c r="Q27" s="14">
        <v>0.1</v>
      </c>
      <c r="R27" s="14">
        <v>0.13</v>
      </c>
      <c r="S27" s="14">
        <v>0.22</v>
      </c>
      <c r="T27" s="14">
        <v>0.21</v>
      </c>
      <c r="U27" s="14">
        <v>0.25</v>
      </c>
      <c r="V27" s="14">
        <v>0.18</v>
      </c>
      <c r="W27" s="14">
        <v>0.16</v>
      </c>
      <c r="X27" s="14">
        <v>0.22</v>
      </c>
      <c r="Y27" s="14">
        <v>0.27</v>
      </c>
      <c r="Z27" s="14">
        <v>0.26</v>
      </c>
      <c r="AA27" s="14">
        <v>0.12</v>
      </c>
      <c r="AB27" s="14">
        <v>0.18</v>
      </c>
      <c r="AC27" s="14">
        <v>0.18</v>
      </c>
      <c r="AD27" s="14">
        <v>0.22</v>
      </c>
      <c r="AE27" s="14">
        <v>0.13</v>
      </c>
      <c r="AF27" s="14">
        <v>0.23</v>
      </c>
    </row>
    <row r="28" spans="1:32">
      <c r="A28" s="23"/>
      <c r="B28" s="11" t="s">
        <v>550</v>
      </c>
      <c r="C28" s="12">
        <v>133</v>
      </c>
      <c r="D28" s="12">
        <v>8</v>
      </c>
      <c r="E28" s="12">
        <v>2</v>
      </c>
      <c r="F28" s="12">
        <v>0</v>
      </c>
      <c r="G28" s="12">
        <v>4</v>
      </c>
      <c r="H28" s="12">
        <v>7</v>
      </c>
      <c r="I28" s="12">
        <v>7</v>
      </c>
      <c r="J28" s="12">
        <v>0</v>
      </c>
      <c r="K28" s="12">
        <v>19</v>
      </c>
      <c r="L28" s="12">
        <v>1</v>
      </c>
      <c r="M28" s="12">
        <v>11</v>
      </c>
      <c r="N28" s="12">
        <v>13</v>
      </c>
      <c r="O28" s="12">
        <v>1</v>
      </c>
      <c r="P28" s="12">
        <v>1</v>
      </c>
      <c r="Q28" s="12">
        <v>3</v>
      </c>
      <c r="R28" s="12">
        <v>5</v>
      </c>
      <c r="S28" s="12">
        <v>4</v>
      </c>
      <c r="T28" s="12">
        <v>12</v>
      </c>
      <c r="U28" s="12">
        <v>0</v>
      </c>
      <c r="V28" s="12">
        <v>1</v>
      </c>
      <c r="W28" s="12">
        <v>1</v>
      </c>
      <c r="X28" s="12">
        <v>11</v>
      </c>
      <c r="Y28" s="12">
        <v>9</v>
      </c>
      <c r="Z28" s="12">
        <v>0</v>
      </c>
      <c r="AA28" s="12">
        <v>17</v>
      </c>
      <c r="AB28" s="12">
        <v>10</v>
      </c>
      <c r="AC28" s="12">
        <v>8</v>
      </c>
      <c r="AD28" s="12">
        <v>1</v>
      </c>
      <c r="AE28" s="12">
        <v>5</v>
      </c>
      <c r="AF28" s="12">
        <v>3</v>
      </c>
    </row>
    <row r="29" spans="1:32">
      <c r="A29" s="23"/>
      <c r="B29" s="13" t="s">
        <v>551</v>
      </c>
      <c r="C29" s="14">
        <v>0.01</v>
      </c>
      <c r="D29" s="14">
        <v>0.01</v>
      </c>
      <c r="E29" s="15" t="s">
        <v>485</v>
      </c>
      <c r="F29" s="15" t="s">
        <v>485</v>
      </c>
      <c r="G29" s="15" t="s">
        <v>485</v>
      </c>
      <c r="H29" s="14">
        <v>0.01</v>
      </c>
      <c r="I29" s="15" t="s">
        <v>485</v>
      </c>
      <c r="J29" s="15" t="s">
        <v>485</v>
      </c>
      <c r="K29" s="14">
        <v>0.02</v>
      </c>
      <c r="L29" s="15" t="s">
        <v>485</v>
      </c>
      <c r="M29" s="14">
        <v>0.01</v>
      </c>
      <c r="N29" s="14">
        <v>0.01</v>
      </c>
      <c r="O29" s="15" t="s">
        <v>485</v>
      </c>
      <c r="P29" s="15" t="s">
        <v>485</v>
      </c>
      <c r="Q29" s="15" t="s">
        <v>485</v>
      </c>
      <c r="R29" s="14">
        <v>0.01</v>
      </c>
      <c r="S29" s="15" t="s">
        <v>485</v>
      </c>
      <c r="T29" s="14">
        <v>0.01</v>
      </c>
      <c r="U29" s="15" t="s">
        <v>485</v>
      </c>
      <c r="V29" s="15" t="s">
        <v>485</v>
      </c>
      <c r="W29" s="15" t="s">
        <v>485</v>
      </c>
      <c r="X29" s="14">
        <v>0.01</v>
      </c>
      <c r="Y29" s="14">
        <v>0.01</v>
      </c>
      <c r="Z29" s="15" t="s">
        <v>485</v>
      </c>
      <c r="AA29" s="14">
        <v>0.02</v>
      </c>
      <c r="AB29" s="14">
        <v>0.01</v>
      </c>
      <c r="AC29" s="14">
        <v>0.01</v>
      </c>
      <c r="AD29" s="15" t="s">
        <v>485</v>
      </c>
      <c r="AE29" s="15" t="s">
        <v>485</v>
      </c>
      <c r="AF29" s="15" t="s">
        <v>485</v>
      </c>
    </row>
    <row r="30" spans="1:32">
      <c r="A30" s="23"/>
      <c r="B30" s="11" t="s">
        <v>618</v>
      </c>
      <c r="C30" s="12">
        <v>342</v>
      </c>
      <c r="D30" s="12">
        <v>19</v>
      </c>
      <c r="E30" s="12">
        <v>5</v>
      </c>
      <c r="F30" s="12">
        <v>6</v>
      </c>
      <c r="G30" s="12">
        <v>30</v>
      </c>
      <c r="H30" s="12">
        <v>26</v>
      </c>
      <c r="I30" s="12">
        <v>35</v>
      </c>
      <c r="J30" s="12">
        <v>9</v>
      </c>
      <c r="K30" s="12">
        <v>19</v>
      </c>
      <c r="L30" s="12">
        <v>9</v>
      </c>
      <c r="M30" s="12">
        <v>1</v>
      </c>
      <c r="N30" s="12">
        <v>7</v>
      </c>
      <c r="O30" s="12">
        <v>10</v>
      </c>
      <c r="P30" s="12">
        <v>1</v>
      </c>
      <c r="Q30" s="12">
        <v>15</v>
      </c>
      <c r="R30" s="12">
        <v>3</v>
      </c>
      <c r="S30" s="12">
        <v>3</v>
      </c>
      <c r="T30" s="12">
        <v>10</v>
      </c>
      <c r="U30" s="12">
        <v>2</v>
      </c>
      <c r="V30" s="12">
        <v>3</v>
      </c>
      <c r="W30" s="12">
        <v>13</v>
      </c>
      <c r="X30" s="12">
        <v>5</v>
      </c>
      <c r="Y30" s="12">
        <v>17</v>
      </c>
      <c r="Z30" s="12">
        <v>9</v>
      </c>
      <c r="AA30" s="12">
        <v>6</v>
      </c>
      <c r="AB30" s="12">
        <v>9</v>
      </c>
      <c r="AC30" s="12">
        <v>5</v>
      </c>
      <c r="AD30" s="12">
        <v>2</v>
      </c>
      <c r="AE30" s="12">
        <v>22</v>
      </c>
      <c r="AF30" s="12">
        <v>36</v>
      </c>
    </row>
    <row r="31" spans="1:32">
      <c r="A31" s="23"/>
      <c r="B31" s="13" t="s">
        <v>619</v>
      </c>
      <c r="C31" s="14">
        <v>0.01</v>
      </c>
      <c r="D31" s="14">
        <v>0.02</v>
      </c>
      <c r="E31" s="15" t="s">
        <v>485</v>
      </c>
      <c r="F31" s="14">
        <v>0.01</v>
      </c>
      <c r="G31" s="14">
        <v>0.03</v>
      </c>
      <c r="H31" s="14">
        <v>0.02</v>
      </c>
      <c r="I31" s="14">
        <v>0.02</v>
      </c>
      <c r="J31" s="14">
        <v>0.03</v>
      </c>
      <c r="K31" s="14">
        <v>0.02</v>
      </c>
      <c r="L31" s="14">
        <v>0.01</v>
      </c>
      <c r="M31" s="15" t="s">
        <v>485</v>
      </c>
      <c r="N31" s="14">
        <v>0.01</v>
      </c>
      <c r="O31" s="14">
        <v>0.01</v>
      </c>
      <c r="P31" s="15" t="s">
        <v>485</v>
      </c>
      <c r="Q31" s="14">
        <v>0.01</v>
      </c>
      <c r="R31" s="14">
        <v>0.01</v>
      </c>
      <c r="S31" s="15" t="s">
        <v>485</v>
      </c>
      <c r="T31" s="14">
        <v>0.01</v>
      </c>
      <c r="U31" s="15" t="s">
        <v>485</v>
      </c>
      <c r="V31" s="15" t="s">
        <v>485</v>
      </c>
      <c r="W31" s="14">
        <v>0.03</v>
      </c>
      <c r="X31" s="15" t="s">
        <v>485</v>
      </c>
      <c r="Y31" s="14">
        <v>0.02</v>
      </c>
      <c r="Z31" s="14">
        <v>0.01</v>
      </c>
      <c r="AA31" s="14">
        <v>0.01</v>
      </c>
      <c r="AB31" s="14">
        <v>0.01</v>
      </c>
      <c r="AC31" s="14">
        <v>0.01</v>
      </c>
      <c r="AD31" s="15" t="s">
        <v>485</v>
      </c>
      <c r="AE31" s="14">
        <v>0.02</v>
      </c>
      <c r="AF31" s="14">
        <v>0.03</v>
      </c>
    </row>
    <row r="32" spans="1:32">
      <c r="A32" s="23"/>
      <c r="B32" s="11" t="s">
        <v>497</v>
      </c>
      <c r="C32" s="12">
        <v>895</v>
      </c>
      <c r="D32" s="12">
        <v>35</v>
      </c>
      <c r="E32" s="12">
        <v>24</v>
      </c>
      <c r="F32" s="12">
        <v>55</v>
      </c>
      <c r="G32" s="12">
        <v>35</v>
      </c>
      <c r="H32" s="12">
        <v>57</v>
      </c>
      <c r="I32" s="12">
        <v>68</v>
      </c>
      <c r="J32" s="12">
        <v>11</v>
      </c>
      <c r="K32" s="12">
        <v>81</v>
      </c>
      <c r="L32" s="12">
        <v>34</v>
      </c>
      <c r="M32" s="12">
        <v>5</v>
      </c>
      <c r="N32" s="12">
        <v>25</v>
      </c>
      <c r="O32" s="12">
        <v>48</v>
      </c>
      <c r="P32" s="12">
        <v>13</v>
      </c>
      <c r="Q32" s="12">
        <v>30</v>
      </c>
      <c r="R32" s="12">
        <v>15</v>
      </c>
      <c r="S32" s="12">
        <v>39</v>
      </c>
      <c r="T32" s="12">
        <v>14</v>
      </c>
      <c r="U32" s="12">
        <v>15</v>
      </c>
      <c r="V32" s="12">
        <v>12</v>
      </c>
      <c r="W32" s="12">
        <v>31</v>
      </c>
      <c r="X32" s="12">
        <v>10</v>
      </c>
      <c r="Y32" s="12">
        <v>29</v>
      </c>
      <c r="Z32" s="12">
        <v>38</v>
      </c>
      <c r="AA32" s="12">
        <v>34</v>
      </c>
      <c r="AB32" s="12">
        <v>20</v>
      </c>
      <c r="AC32" s="12">
        <v>11</v>
      </c>
      <c r="AD32" s="12">
        <v>22</v>
      </c>
      <c r="AE32" s="12">
        <v>58</v>
      </c>
      <c r="AF32" s="12">
        <v>21</v>
      </c>
    </row>
    <row r="33" spans="1:32">
      <c r="A33" s="23"/>
      <c r="B33" s="13" t="s">
        <v>498</v>
      </c>
      <c r="C33" s="14">
        <v>0.03</v>
      </c>
      <c r="D33" s="14">
        <v>0.03</v>
      </c>
      <c r="E33" s="14">
        <v>0.02</v>
      </c>
      <c r="F33" s="14">
        <v>0.05</v>
      </c>
      <c r="G33" s="14">
        <v>0.03</v>
      </c>
      <c r="H33" s="14">
        <v>0.05</v>
      </c>
      <c r="I33" s="14">
        <v>0.05</v>
      </c>
      <c r="J33" s="14">
        <v>0.04</v>
      </c>
      <c r="K33" s="14">
        <v>0.08</v>
      </c>
      <c r="L33" s="14">
        <v>0.03</v>
      </c>
      <c r="M33" s="15" t="s">
        <v>485</v>
      </c>
      <c r="N33" s="14">
        <v>0.03</v>
      </c>
      <c r="O33" s="14">
        <v>0.05</v>
      </c>
      <c r="P33" s="14">
        <v>0.01</v>
      </c>
      <c r="Q33" s="14">
        <v>0.03</v>
      </c>
      <c r="R33" s="14">
        <v>0.03</v>
      </c>
      <c r="S33" s="14">
        <v>0.04</v>
      </c>
      <c r="T33" s="14">
        <v>0.01</v>
      </c>
      <c r="U33" s="14">
        <v>0.03</v>
      </c>
      <c r="V33" s="14">
        <v>0.01</v>
      </c>
      <c r="W33" s="14">
        <v>0.06</v>
      </c>
      <c r="X33" s="14">
        <v>0.01</v>
      </c>
      <c r="Y33" s="14">
        <v>0.03</v>
      </c>
      <c r="Z33" s="14">
        <v>0.04</v>
      </c>
      <c r="AA33" s="14">
        <v>0.03</v>
      </c>
      <c r="AB33" s="14">
        <v>0.02</v>
      </c>
      <c r="AC33" s="14">
        <v>0.01</v>
      </c>
      <c r="AD33" s="14">
        <v>0.02</v>
      </c>
      <c r="AE33" s="14">
        <v>0.06</v>
      </c>
      <c r="AF33" s="14">
        <v>0.02</v>
      </c>
    </row>
  </sheetData>
  <mergeCells count="9">
    <mergeCell ref="B4:F4"/>
    <mergeCell ref="H3:L3"/>
    <mergeCell ref="C8:AF8"/>
    <mergeCell ref="A10:A33"/>
    <mergeCell ref="B3:F3"/>
    <mergeCell ref="B5:F5"/>
    <mergeCell ref="H5:L5"/>
    <mergeCell ref="B10:B11"/>
    <mergeCell ref="H4:L4"/>
  </mergeCells>
  <pageMargins left="0.75" right="0.75" top="1" bottom="1" header="0.5" footer="0.5"/>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4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1608</v>
      </c>
      <c r="C3" s="19"/>
      <c r="D3" s="19"/>
      <c r="E3" s="19"/>
      <c r="F3" s="19"/>
      <c r="H3" s="19" t="s">
        <v>1609</v>
      </c>
      <c r="I3" s="19"/>
      <c r="J3" s="19"/>
      <c r="K3" s="19"/>
      <c r="L3" s="19"/>
    </row>
    <row r="4" spans="1:32" ht="27" customHeight="1">
      <c r="B4" s="19" t="s">
        <v>1610</v>
      </c>
      <c r="C4" s="19"/>
      <c r="D4" s="19"/>
      <c r="E4" s="19"/>
      <c r="F4" s="19"/>
      <c r="H4" s="19" t="s">
        <v>1611</v>
      </c>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HYPERLINK("#Content!A185","&lt;&lt;Back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1612</v>
      </c>
      <c r="C12" s="12">
        <v>6104</v>
      </c>
      <c r="D12" s="12">
        <v>185</v>
      </c>
      <c r="E12" s="12">
        <v>321</v>
      </c>
      <c r="F12" s="12">
        <v>267</v>
      </c>
      <c r="G12" s="12">
        <v>86</v>
      </c>
      <c r="H12" s="12">
        <v>147</v>
      </c>
      <c r="I12" s="12">
        <v>190</v>
      </c>
      <c r="J12" s="12">
        <v>43</v>
      </c>
      <c r="K12" s="12">
        <v>134</v>
      </c>
      <c r="L12" s="12">
        <v>212</v>
      </c>
      <c r="M12" s="12">
        <v>503</v>
      </c>
      <c r="N12" s="12">
        <v>415</v>
      </c>
      <c r="O12" s="12">
        <v>264</v>
      </c>
      <c r="P12" s="12">
        <v>461</v>
      </c>
      <c r="Q12" s="12">
        <v>278</v>
      </c>
      <c r="R12" s="12">
        <v>254</v>
      </c>
      <c r="S12" s="12">
        <v>243</v>
      </c>
      <c r="T12" s="12">
        <v>238</v>
      </c>
      <c r="U12" s="12">
        <v>101</v>
      </c>
      <c r="V12" s="12">
        <v>276</v>
      </c>
      <c r="W12" s="12">
        <v>196</v>
      </c>
      <c r="X12" s="12">
        <v>83</v>
      </c>
      <c r="Y12" s="12">
        <v>258</v>
      </c>
      <c r="Z12" s="12">
        <v>97</v>
      </c>
      <c r="AA12" s="12">
        <v>298</v>
      </c>
      <c r="AB12" s="12">
        <v>248</v>
      </c>
      <c r="AC12" s="12">
        <v>349</v>
      </c>
      <c r="AD12" s="12">
        <v>127</v>
      </c>
      <c r="AE12" s="12">
        <v>74</v>
      </c>
      <c r="AF12" s="12">
        <v>223</v>
      </c>
    </row>
    <row r="13" spans="1:32">
      <c r="A13" s="23"/>
      <c r="B13" s="13" t="s">
        <v>708</v>
      </c>
      <c r="C13" s="14">
        <v>0.23</v>
      </c>
      <c r="D13" s="14">
        <v>0.18</v>
      </c>
      <c r="E13" s="14">
        <v>0.31</v>
      </c>
      <c r="F13" s="14">
        <v>0.26</v>
      </c>
      <c r="G13" s="14">
        <v>0.09</v>
      </c>
      <c r="H13" s="14">
        <v>0.12</v>
      </c>
      <c r="I13" s="14">
        <v>0.13</v>
      </c>
      <c r="J13" s="14">
        <v>0.15</v>
      </c>
      <c r="K13" s="14">
        <v>0.13</v>
      </c>
      <c r="L13" s="14">
        <v>0.21</v>
      </c>
      <c r="M13" s="14">
        <v>0.5</v>
      </c>
      <c r="N13" s="14">
        <v>0.41</v>
      </c>
      <c r="O13" s="14">
        <v>0.26</v>
      </c>
      <c r="P13" s="14">
        <v>0.46</v>
      </c>
      <c r="Q13" s="14">
        <v>0.27</v>
      </c>
      <c r="R13" s="14">
        <v>0.51</v>
      </c>
      <c r="S13" s="14">
        <v>0.24</v>
      </c>
      <c r="T13" s="14">
        <v>0.24</v>
      </c>
      <c r="U13" s="14">
        <v>0.2</v>
      </c>
      <c r="V13" s="14">
        <v>0.27</v>
      </c>
      <c r="W13" s="14">
        <v>0.39</v>
      </c>
      <c r="X13" s="14">
        <v>0.08</v>
      </c>
      <c r="Y13" s="14">
        <v>0.26</v>
      </c>
      <c r="Z13" s="14">
        <v>0.1</v>
      </c>
      <c r="AA13" s="14">
        <v>0.28999999999999998</v>
      </c>
      <c r="AB13" s="14">
        <v>0.24</v>
      </c>
      <c r="AC13" s="14">
        <v>0.35</v>
      </c>
      <c r="AD13" s="14">
        <v>0.13</v>
      </c>
      <c r="AE13" s="14">
        <v>7.0000000000000007E-2</v>
      </c>
      <c r="AF13" s="14">
        <v>0.21</v>
      </c>
    </row>
    <row r="14" spans="1:32">
      <c r="A14" s="23"/>
      <c r="B14" s="11" t="s">
        <v>1613</v>
      </c>
      <c r="C14" s="12">
        <v>12520</v>
      </c>
      <c r="D14" s="12">
        <v>483</v>
      </c>
      <c r="E14" s="12">
        <v>473</v>
      </c>
      <c r="F14" s="12">
        <v>523</v>
      </c>
      <c r="G14" s="12">
        <v>315</v>
      </c>
      <c r="H14" s="12">
        <v>564</v>
      </c>
      <c r="I14" s="12">
        <v>712</v>
      </c>
      <c r="J14" s="12">
        <v>148</v>
      </c>
      <c r="K14" s="12">
        <v>446</v>
      </c>
      <c r="L14" s="12">
        <v>415</v>
      </c>
      <c r="M14" s="12">
        <v>449</v>
      </c>
      <c r="N14" s="12">
        <v>438</v>
      </c>
      <c r="O14" s="12">
        <v>467</v>
      </c>
      <c r="P14" s="12">
        <v>461</v>
      </c>
      <c r="Q14" s="12">
        <v>552</v>
      </c>
      <c r="R14" s="12">
        <v>159</v>
      </c>
      <c r="S14" s="12">
        <v>460</v>
      </c>
      <c r="T14" s="12">
        <v>547</v>
      </c>
      <c r="U14" s="12">
        <v>222</v>
      </c>
      <c r="V14" s="12">
        <v>571</v>
      </c>
      <c r="W14" s="12">
        <v>200</v>
      </c>
      <c r="X14" s="12">
        <v>369</v>
      </c>
      <c r="Y14" s="12">
        <v>375</v>
      </c>
      <c r="Z14" s="12">
        <v>566</v>
      </c>
      <c r="AA14" s="12">
        <v>629</v>
      </c>
      <c r="AB14" s="12">
        <v>471</v>
      </c>
      <c r="AC14" s="12">
        <v>454</v>
      </c>
      <c r="AD14" s="12">
        <v>424</v>
      </c>
      <c r="AE14" s="12">
        <v>312</v>
      </c>
      <c r="AF14" s="12">
        <v>453</v>
      </c>
    </row>
    <row r="15" spans="1:32">
      <c r="A15" s="23"/>
      <c r="B15" s="13" t="s">
        <v>710</v>
      </c>
      <c r="C15" s="14">
        <v>0.47</v>
      </c>
      <c r="D15" s="14">
        <v>0.48</v>
      </c>
      <c r="E15" s="14">
        <v>0.45</v>
      </c>
      <c r="F15" s="14">
        <v>0.52</v>
      </c>
      <c r="G15" s="14">
        <v>0.31</v>
      </c>
      <c r="H15" s="14">
        <v>0.47</v>
      </c>
      <c r="I15" s="14">
        <v>0.47</v>
      </c>
      <c r="J15" s="14">
        <v>0.5</v>
      </c>
      <c r="K15" s="14">
        <v>0.44</v>
      </c>
      <c r="L15" s="14">
        <v>0.41</v>
      </c>
      <c r="M15" s="14">
        <v>0.44</v>
      </c>
      <c r="N15" s="14">
        <v>0.44</v>
      </c>
      <c r="O15" s="14">
        <v>0.46</v>
      </c>
      <c r="P15" s="14">
        <v>0.46</v>
      </c>
      <c r="Q15" s="14">
        <v>0.54</v>
      </c>
      <c r="R15" s="14">
        <v>0.32</v>
      </c>
      <c r="S15" s="14">
        <v>0.46</v>
      </c>
      <c r="T15" s="14">
        <v>0.54</v>
      </c>
      <c r="U15" s="14">
        <v>0.44</v>
      </c>
      <c r="V15" s="14">
        <v>0.57000000000000006</v>
      </c>
      <c r="W15" s="14">
        <v>0.4</v>
      </c>
      <c r="X15" s="14">
        <v>0.36</v>
      </c>
      <c r="Y15" s="14">
        <v>0.37</v>
      </c>
      <c r="Z15" s="14">
        <v>0.56000000000000005</v>
      </c>
      <c r="AA15" s="14">
        <v>0.6</v>
      </c>
      <c r="AB15" s="14">
        <v>0.46</v>
      </c>
      <c r="AC15" s="14">
        <v>0.45</v>
      </c>
      <c r="AD15" s="14">
        <v>0.42</v>
      </c>
      <c r="AE15" s="14">
        <v>0.31</v>
      </c>
      <c r="AF15" s="14">
        <v>0.42</v>
      </c>
    </row>
    <row r="16" spans="1:32">
      <c r="A16" s="23"/>
      <c r="B16" s="11" t="s">
        <v>1614</v>
      </c>
      <c r="C16" s="12">
        <v>4695</v>
      </c>
      <c r="D16" s="12">
        <v>197</v>
      </c>
      <c r="E16" s="12">
        <v>108</v>
      </c>
      <c r="F16" s="12">
        <v>121</v>
      </c>
      <c r="G16" s="12">
        <v>316</v>
      </c>
      <c r="H16" s="12">
        <v>322</v>
      </c>
      <c r="I16" s="12">
        <v>397</v>
      </c>
      <c r="J16" s="12">
        <v>76</v>
      </c>
      <c r="K16" s="12">
        <v>215</v>
      </c>
      <c r="L16" s="12">
        <v>170</v>
      </c>
      <c r="M16" s="12">
        <v>25</v>
      </c>
      <c r="N16" s="12">
        <v>80</v>
      </c>
      <c r="O16" s="12">
        <v>149</v>
      </c>
      <c r="P16" s="12">
        <v>50</v>
      </c>
      <c r="Q16" s="12">
        <v>137</v>
      </c>
      <c r="R16" s="12">
        <v>30</v>
      </c>
      <c r="S16" s="12">
        <v>132</v>
      </c>
      <c r="T16" s="12">
        <v>92</v>
      </c>
      <c r="U16" s="12">
        <v>78</v>
      </c>
      <c r="V16" s="12">
        <v>95</v>
      </c>
      <c r="W16" s="12">
        <v>44</v>
      </c>
      <c r="X16" s="12">
        <v>363</v>
      </c>
      <c r="Y16" s="12">
        <v>196</v>
      </c>
      <c r="Z16" s="12">
        <v>227</v>
      </c>
      <c r="AA16" s="12">
        <v>17</v>
      </c>
      <c r="AB16" s="12">
        <v>208</v>
      </c>
      <c r="AC16" s="12">
        <v>117</v>
      </c>
      <c r="AD16" s="12">
        <v>332</v>
      </c>
      <c r="AE16" s="12">
        <v>328</v>
      </c>
      <c r="AF16" s="12">
        <v>243</v>
      </c>
    </row>
    <row r="17" spans="1:32">
      <c r="A17" s="23"/>
      <c r="B17" s="13" t="s">
        <v>712</v>
      </c>
      <c r="C17" s="14">
        <v>0.18</v>
      </c>
      <c r="D17" s="14">
        <v>0.2</v>
      </c>
      <c r="E17" s="14">
        <v>0.1</v>
      </c>
      <c r="F17" s="14">
        <v>0.12</v>
      </c>
      <c r="G17" s="14">
        <v>0.31</v>
      </c>
      <c r="H17" s="14">
        <v>0.26</v>
      </c>
      <c r="I17" s="14">
        <v>0.26</v>
      </c>
      <c r="J17" s="14">
        <v>0.26</v>
      </c>
      <c r="K17" s="14">
        <v>0.22</v>
      </c>
      <c r="L17" s="14">
        <v>0.17</v>
      </c>
      <c r="M17" s="14">
        <v>0.03</v>
      </c>
      <c r="N17" s="14">
        <v>0.08</v>
      </c>
      <c r="O17" s="14">
        <v>0.15</v>
      </c>
      <c r="P17" s="14">
        <v>0.05</v>
      </c>
      <c r="Q17" s="14">
        <v>0.13</v>
      </c>
      <c r="R17" s="14">
        <v>0.06</v>
      </c>
      <c r="S17" s="14">
        <v>0.13</v>
      </c>
      <c r="T17" s="14">
        <v>0.09</v>
      </c>
      <c r="U17" s="14">
        <v>0.15</v>
      </c>
      <c r="V17" s="14">
        <v>0.09</v>
      </c>
      <c r="W17" s="14">
        <v>0.09</v>
      </c>
      <c r="X17" s="14">
        <v>0.36</v>
      </c>
      <c r="Y17" s="14">
        <v>0.19</v>
      </c>
      <c r="Z17" s="14">
        <v>0.22</v>
      </c>
      <c r="AA17" s="14">
        <v>0.01</v>
      </c>
      <c r="AB17" s="14">
        <v>0.2</v>
      </c>
      <c r="AC17" s="14">
        <v>0.12</v>
      </c>
      <c r="AD17" s="14">
        <v>0.33</v>
      </c>
      <c r="AE17" s="14">
        <v>0.33</v>
      </c>
      <c r="AF17" s="14">
        <v>0.23</v>
      </c>
    </row>
    <row r="18" spans="1:32">
      <c r="A18" s="23"/>
      <c r="B18" s="11" t="s">
        <v>1615</v>
      </c>
      <c r="C18" s="12">
        <v>976</v>
      </c>
      <c r="D18" s="12">
        <v>85</v>
      </c>
      <c r="E18" s="12">
        <v>18</v>
      </c>
      <c r="F18" s="12">
        <v>19</v>
      </c>
      <c r="G18" s="12">
        <v>239</v>
      </c>
      <c r="H18" s="12">
        <v>45</v>
      </c>
      <c r="I18" s="12">
        <v>52</v>
      </c>
      <c r="J18" s="12">
        <v>8</v>
      </c>
      <c r="K18" s="12">
        <v>43</v>
      </c>
      <c r="L18" s="12">
        <v>56</v>
      </c>
      <c r="M18" s="12">
        <v>2</v>
      </c>
      <c r="N18" s="12">
        <v>15</v>
      </c>
      <c r="O18" s="12">
        <v>17</v>
      </c>
      <c r="P18" s="12">
        <v>13</v>
      </c>
      <c r="Q18" s="12">
        <v>18</v>
      </c>
      <c r="R18" s="12">
        <v>8</v>
      </c>
      <c r="S18" s="12">
        <v>16</v>
      </c>
      <c r="T18" s="12">
        <v>5</v>
      </c>
      <c r="U18" s="12">
        <v>23</v>
      </c>
      <c r="V18" s="12">
        <v>30</v>
      </c>
      <c r="W18" s="12">
        <v>17</v>
      </c>
      <c r="X18" s="12">
        <v>139</v>
      </c>
      <c r="Y18" s="12">
        <v>68</v>
      </c>
      <c r="Z18" s="12">
        <v>35</v>
      </c>
      <c r="AA18" s="12">
        <v>6</v>
      </c>
      <c r="AB18" s="12">
        <v>37</v>
      </c>
      <c r="AC18" s="12">
        <v>13</v>
      </c>
      <c r="AD18" s="12">
        <v>19</v>
      </c>
      <c r="AE18" s="12">
        <v>190</v>
      </c>
      <c r="AF18" s="12">
        <v>107</v>
      </c>
    </row>
    <row r="19" spans="1:32">
      <c r="A19" s="23"/>
      <c r="B19" s="13" t="s">
        <v>714</v>
      </c>
      <c r="C19" s="14">
        <v>0.04</v>
      </c>
      <c r="D19" s="14">
        <v>0.08</v>
      </c>
      <c r="E19" s="14">
        <v>0.02</v>
      </c>
      <c r="F19" s="14">
        <v>0.02</v>
      </c>
      <c r="G19" s="14">
        <v>0.24</v>
      </c>
      <c r="H19" s="14">
        <v>0.04</v>
      </c>
      <c r="I19" s="14">
        <v>0.04</v>
      </c>
      <c r="J19" s="14">
        <v>0.03</v>
      </c>
      <c r="K19" s="14">
        <v>0.04</v>
      </c>
      <c r="L19" s="14">
        <v>0.06</v>
      </c>
      <c r="M19" s="15" t="s">
        <v>485</v>
      </c>
      <c r="N19" s="14">
        <v>0.02</v>
      </c>
      <c r="O19" s="14">
        <v>0.02</v>
      </c>
      <c r="P19" s="14">
        <v>0.01</v>
      </c>
      <c r="Q19" s="14">
        <v>0.02</v>
      </c>
      <c r="R19" s="14">
        <v>0.01</v>
      </c>
      <c r="S19" s="14">
        <v>0.02</v>
      </c>
      <c r="T19" s="14">
        <v>0.01</v>
      </c>
      <c r="U19" s="14">
        <v>0.05</v>
      </c>
      <c r="V19" s="14">
        <v>0.03</v>
      </c>
      <c r="W19" s="14">
        <v>0.03</v>
      </c>
      <c r="X19" s="14">
        <v>0.14000000000000001</v>
      </c>
      <c r="Y19" s="14">
        <v>7.0000000000000007E-2</v>
      </c>
      <c r="Z19" s="14">
        <v>0.03</v>
      </c>
      <c r="AA19" s="14">
        <v>0.01</v>
      </c>
      <c r="AB19" s="14">
        <v>0.04</v>
      </c>
      <c r="AC19" s="14">
        <v>0.01</v>
      </c>
      <c r="AD19" s="14">
        <v>0.02</v>
      </c>
      <c r="AE19" s="14">
        <v>0.19</v>
      </c>
      <c r="AF19" s="14">
        <v>0.1</v>
      </c>
    </row>
    <row r="20" spans="1:32">
      <c r="A20" s="23"/>
      <c r="B20" s="11" t="s">
        <v>497</v>
      </c>
      <c r="C20" s="12">
        <v>2059</v>
      </c>
      <c r="D20" s="12">
        <v>56</v>
      </c>
      <c r="E20" s="12">
        <v>123</v>
      </c>
      <c r="F20" s="12">
        <v>77</v>
      </c>
      <c r="G20" s="12">
        <v>46</v>
      </c>
      <c r="H20" s="12">
        <v>133</v>
      </c>
      <c r="I20" s="12">
        <v>152</v>
      </c>
      <c r="J20" s="12">
        <v>19</v>
      </c>
      <c r="K20" s="12">
        <v>165</v>
      </c>
      <c r="L20" s="12">
        <v>154</v>
      </c>
      <c r="M20" s="12">
        <v>32</v>
      </c>
      <c r="N20" s="12">
        <v>53</v>
      </c>
      <c r="O20" s="12">
        <v>109</v>
      </c>
      <c r="P20" s="12">
        <v>25</v>
      </c>
      <c r="Q20" s="12">
        <v>39</v>
      </c>
      <c r="R20" s="12">
        <v>51</v>
      </c>
      <c r="S20" s="12">
        <v>154</v>
      </c>
      <c r="T20" s="12">
        <v>121</v>
      </c>
      <c r="U20" s="12">
        <v>79</v>
      </c>
      <c r="V20" s="12">
        <v>39</v>
      </c>
      <c r="W20" s="12">
        <v>45</v>
      </c>
      <c r="X20" s="12">
        <v>62</v>
      </c>
      <c r="Y20" s="12">
        <v>111</v>
      </c>
      <c r="Z20" s="12">
        <v>92</v>
      </c>
      <c r="AA20" s="12">
        <v>90</v>
      </c>
      <c r="AB20" s="12">
        <v>67</v>
      </c>
      <c r="AC20" s="12">
        <v>72</v>
      </c>
      <c r="AD20" s="12">
        <v>100</v>
      </c>
      <c r="AE20" s="12">
        <v>105</v>
      </c>
      <c r="AF20" s="12">
        <v>46</v>
      </c>
    </row>
    <row r="21" spans="1:32">
      <c r="A21" s="23"/>
      <c r="B21" s="13" t="s">
        <v>498</v>
      </c>
      <c r="C21" s="14">
        <v>0.08</v>
      </c>
      <c r="D21" s="14">
        <v>0.06</v>
      </c>
      <c r="E21" s="14">
        <v>0.12</v>
      </c>
      <c r="F21" s="14">
        <v>0.08</v>
      </c>
      <c r="G21" s="14">
        <v>0.05</v>
      </c>
      <c r="H21" s="14">
        <v>0.11</v>
      </c>
      <c r="I21" s="14">
        <v>0.1</v>
      </c>
      <c r="J21" s="14">
        <v>0.06</v>
      </c>
      <c r="K21" s="14">
        <v>0.17</v>
      </c>
      <c r="L21" s="14">
        <v>0.15</v>
      </c>
      <c r="M21" s="14">
        <v>0.03</v>
      </c>
      <c r="N21" s="14">
        <v>0.05</v>
      </c>
      <c r="O21" s="14">
        <v>0.11</v>
      </c>
      <c r="P21" s="14">
        <v>0.02</v>
      </c>
      <c r="Q21" s="14">
        <v>0.04</v>
      </c>
      <c r="R21" s="14">
        <v>0.1</v>
      </c>
      <c r="S21" s="14">
        <v>0.15</v>
      </c>
      <c r="T21" s="14">
        <v>0.12</v>
      </c>
      <c r="U21" s="14">
        <v>0.16</v>
      </c>
      <c r="V21" s="14">
        <v>0.04</v>
      </c>
      <c r="W21" s="14">
        <v>0.09</v>
      </c>
      <c r="X21" s="14">
        <v>0.06</v>
      </c>
      <c r="Y21" s="14">
        <v>0.11</v>
      </c>
      <c r="Z21" s="14">
        <v>0.09</v>
      </c>
      <c r="AA21" s="14">
        <v>0.09</v>
      </c>
      <c r="AB21" s="14">
        <v>0.06</v>
      </c>
      <c r="AC21" s="14">
        <v>7.0000000000000007E-2</v>
      </c>
      <c r="AD21" s="14">
        <v>0.1</v>
      </c>
      <c r="AE21" s="14">
        <v>0.1</v>
      </c>
      <c r="AF21" s="14">
        <v>0.04</v>
      </c>
    </row>
    <row r="22" spans="1:32">
      <c r="A22" s="23"/>
      <c r="B22" s="11" t="s">
        <v>715</v>
      </c>
      <c r="C22" s="12">
        <v>18624</v>
      </c>
      <c r="D22" s="12">
        <v>668</v>
      </c>
      <c r="E22" s="12">
        <v>794</v>
      </c>
      <c r="F22" s="12">
        <v>790</v>
      </c>
      <c r="G22" s="12">
        <v>401</v>
      </c>
      <c r="H22" s="12">
        <v>711</v>
      </c>
      <c r="I22" s="12">
        <v>902</v>
      </c>
      <c r="J22" s="12">
        <v>191</v>
      </c>
      <c r="K22" s="12">
        <v>580</v>
      </c>
      <c r="L22" s="12">
        <v>627</v>
      </c>
      <c r="M22" s="12">
        <v>952</v>
      </c>
      <c r="N22" s="12">
        <v>853</v>
      </c>
      <c r="O22" s="12">
        <v>731</v>
      </c>
      <c r="P22" s="12">
        <v>922</v>
      </c>
      <c r="Q22" s="12">
        <v>830</v>
      </c>
      <c r="R22" s="12">
        <v>413</v>
      </c>
      <c r="S22" s="12">
        <v>703</v>
      </c>
      <c r="T22" s="12">
        <v>785</v>
      </c>
      <c r="U22" s="12">
        <v>323</v>
      </c>
      <c r="V22" s="12">
        <v>847</v>
      </c>
      <c r="W22" s="12">
        <v>396</v>
      </c>
      <c r="X22" s="12">
        <v>452</v>
      </c>
      <c r="Y22" s="12">
        <v>633</v>
      </c>
      <c r="Z22" s="12">
        <v>663</v>
      </c>
      <c r="AA22" s="12">
        <v>927</v>
      </c>
      <c r="AB22" s="12">
        <v>719</v>
      </c>
      <c r="AC22" s="12">
        <v>803</v>
      </c>
      <c r="AD22" s="12">
        <v>551</v>
      </c>
      <c r="AE22" s="12">
        <v>386</v>
      </c>
      <c r="AF22" s="12">
        <v>676</v>
      </c>
    </row>
    <row r="23" spans="1:32">
      <c r="A23" s="23"/>
      <c r="B23" s="13" t="s">
        <v>716</v>
      </c>
      <c r="C23" s="14">
        <v>0.70000000000000007</v>
      </c>
      <c r="D23" s="14">
        <v>0.66</v>
      </c>
      <c r="E23" s="14">
        <v>0.76</v>
      </c>
      <c r="F23" s="14">
        <v>0.78</v>
      </c>
      <c r="G23" s="14">
        <v>0.4</v>
      </c>
      <c r="H23" s="14">
        <v>0.59</v>
      </c>
      <c r="I23" s="14">
        <v>0.6</v>
      </c>
      <c r="J23" s="14">
        <v>0.65</v>
      </c>
      <c r="K23" s="14">
        <v>0.57000000000000006</v>
      </c>
      <c r="L23" s="14">
        <v>0.62</v>
      </c>
      <c r="M23" s="14">
        <v>0.94000000000000006</v>
      </c>
      <c r="N23" s="14">
        <v>0.85</v>
      </c>
      <c r="O23" s="14">
        <v>0.72</v>
      </c>
      <c r="P23" s="14">
        <v>0.92</v>
      </c>
      <c r="Q23" s="14">
        <v>0.81</v>
      </c>
      <c r="R23" s="14">
        <v>0.83000000000000007</v>
      </c>
      <c r="S23" s="14">
        <v>0.70000000000000007</v>
      </c>
      <c r="T23" s="14">
        <v>0.78</v>
      </c>
      <c r="U23" s="14">
        <v>0.64</v>
      </c>
      <c r="V23" s="14">
        <v>0.84</v>
      </c>
      <c r="W23" s="14">
        <v>0.79</v>
      </c>
      <c r="X23" s="14">
        <v>0.44</v>
      </c>
      <c r="Y23" s="14">
        <v>0.63</v>
      </c>
      <c r="Z23" s="14">
        <v>0.66</v>
      </c>
      <c r="AA23" s="14">
        <v>0.89</v>
      </c>
      <c r="AB23" s="14">
        <v>0.70000000000000007</v>
      </c>
      <c r="AC23" s="14">
        <v>0.8</v>
      </c>
      <c r="AD23" s="14">
        <v>0.55000000000000004</v>
      </c>
      <c r="AE23" s="14">
        <v>0.38</v>
      </c>
      <c r="AF23" s="14">
        <v>0.63</v>
      </c>
    </row>
    <row r="24" spans="1:32">
      <c r="A24" s="23"/>
      <c r="B24" s="11" t="s">
        <v>717</v>
      </c>
      <c r="C24" s="12">
        <v>5671</v>
      </c>
      <c r="D24" s="12">
        <v>282</v>
      </c>
      <c r="E24" s="12">
        <v>126</v>
      </c>
      <c r="F24" s="12">
        <v>140</v>
      </c>
      <c r="G24" s="12">
        <v>555</v>
      </c>
      <c r="H24" s="12">
        <v>367</v>
      </c>
      <c r="I24" s="12">
        <v>449</v>
      </c>
      <c r="J24" s="12">
        <v>84</v>
      </c>
      <c r="K24" s="12">
        <v>258</v>
      </c>
      <c r="L24" s="12">
        <v>226</v>
      </c>
      <c r="M24" s="12">
        <v>27</v>
      </c>
      <c r="N24" s="12">
        <v>95</v>
      </c>
      <c r="O24" s="12">
        <v>166</v>
      </c>
      <c r="P24" s="12">
        <v>63</v>
      </c>
      <c r="Q24" s="12">
        <v>155</v>
      </c>
      <c r="R24" s="12">
        <v>38</v>
      </c>
      <c r="S24" s="12">
        <v>148</v>
      </c>
      <c r="T24" s="12">
        <v>97</v>
      </c>
      <c r="U24" s="12">
        <v>101</v>
      </c>
      <c r="V24" s="12">
        <v>125</v>
      </c>
      <c r="W24" s="12">
        <v>61</v>
      </c>
      <c r="X24" s="12">
        <v>502</v>
      </c>
      <c r="Y24" s="12">
        <v>264</v>
      </c>
      <c r="Z24" s="12">
        <v>262</v>
      </c>
      <c r="AA24" s="12">
        <v>23</v>
      </c>
      <c r="AB24" s="12">
        <v>245</v>
      </c>
      <c r="AC24" s="12">
        <v>130</v>
      </c>
      <c r="AD24" s="12">
        <v>351</v>
      </c>
      <c r="AE24" s="12">
        <v>518</v>
      </c>
      <c r="AF24" s="12">
        <v>350</v>
      </c>
    </row>
    <row r="25" spans="1:32">
      <c r="A25" s="23"/>
      <c r="B25" s="13" t="s">
        <v>718</v>
      </c>
      <c r="C25" s="14">
        <v>0.22</v>
      </c>
      <c r="D25" s="14">
        <v>0.28000000000000003</v>
      </c>
      <c r="E25" s="14">
        <v>0.12</v>
      </c>
      <c r="F25" s="14">
        <v>0.14000000000000001</v>
      </c>
      <c r="G25" s="14">
        <v>0.55000000000000004</v>
      </c>
      <c r="H25" s="14">
        <v>0.3</v>
      </c>
      <c r="I25" s="14">
        <v>0.3</v>
      </c>
      <c r="J25" s="14">
        <v>0.28999999999999998</v>
      </c>
      <c r="K25" s="14">
        <v>0.26</v>
      </c>
      <c r="L25" s="14">
        <v>0.23</v>
      </c>
      <c r="M25" s="14">
        <v>0.03</v>
      </c>
      <c r="N25" s="14">
        <v>0.1</v>
      </c>
      <c r="O25" s="14">
        <v>0.17</v>
      </c>
      <c r="P25" s="14">
        <v>0.06</v>
      </c>
      <c r="Q25" s="14">
        <v>0.15</v>
      </c>
      <c r="R25" s="14">
        <v>7.0000000000000007E-2</v>
      </c>
      <c r="S25" s="14">
        <v>0.15</v>
      </c>
      <c r="T25" s="14">
        <v>0.1</v>
      </c>
      <c r="U25" s="14">
        <v>0.2</v>
      </c>
      <c r="V25" s="14">
        <v>0.12</v>
      </c>
      <c r="W25" s="14">
        <v>0.12</v>
      </c>
      <c r="X25" s="14">
        <v>0.5</v>
      </c>
      <c r="Y25" s="14">
        <v>0.26</v>
      </c>
      <c r="Z25" s="14">
        <v>0.25</v>
      </c>
      <c r="AA25" s="14">
        <v>0.02</v>
      </c>
      <c r="AB25" s="14">
        <v>0.24</v>
      </c>
      <c r="AC25" s="14">
        <v>0.13</v>
      </c>
      <c r="AD25" s="14">
        <v>0.35</v>
      </c>
      <c r="AE25" s="14">
        <v>0.52</v>
      </c>
      <c r="AF25" s="14">
        <v>0.33</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5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1616</v>
      </c>
      <c r="C3" s="19"/>
      <c r="D3" s="19"/>
      <c r="E3" s="19"/>
      <c r="F3" s="19"/>
      <c r="H3" s="19" t="s">
        <v>1617</v>
      </c>
      <c r="I3" s="19"/>
      <c r="J3" s="19"/>
      <c r="K3" s="19"/>
      <c r="L3" s="19"/>
    </row>
    <row r="4" spans="1:32" ht="27" customHeight="1">
      <c r="B4" s="19" t="s">
        <v>1618</v>
      </c>
      <c r="C4" s="19"/>
      <c r="D4" s="19"/>
      <c r="E4" s="19"/>
      <c r="F4" s="19"/>
      <c r="H4" s="19" t="s">
        <v>1619</v>
      </c>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HYPERLINK("#Content!A186","&lt;&lt;Back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1612</v>
      </c>
      <c r="C12" s="12">
        <v>6962</v>
      </c>
      <c r="D12" s="12">
        <v>190</v>
      </c>
      <c r="E12" s="12">
        <v>374</v>
      </c>
      <c r="F12" s="12">
        <v>312</v>
      </c>
      <c r="G12" s="12">
        <v>82</v>
      </c>
      <c r="H12" s="12">
        <v>196</v>
      </c>
      <c r="I12" s="12">
        <v>246</v>
      </c>
      <c r="J12" s="12">
        <v>51</v>
      </c>
      <c r="K12" s="12">
        <v>158</v>
      </c>
      <c r="L12" s="12">
        <v>195</v>
      </c>
      <c r="M12" s="12">
        <v>544</v>
      </c>
      <c r="N12" s="12">
        <v>436</v>
      </c>
      <c r="O12" s="12">
        <v>308</v>
      </c>
      <c r="P12" s="12">
        <v>489</v>
      </c>
      <c r="Q12" s="12">
        <v>333</v>
      </c>
      <c r="R12" s="12">
        <v>267</v>
      </c>
      <c r="S12" s="12">
        <v>273</v>
      </c>
      <c r="T12" s="12">
        <v>254</v>
      </c>
      <c r="U12" s="12">
        <v>84</v>
      </c>
      <c r="V12" s="12">
        <v>349</v>
      </c>
      <c r="W12" s="12">
        <v>211</v>
      </c>
      <c r="X12" s="12">
        <v>97</v>
      </c>
      <c r="Y12" s="12">
        <v>253</v>
      </c>
      <c r="Z12" s="12">
        <v>127</v>
      </c>
      <c r="AA12" s="12">
        <v>307</v>
      </c>
      <c r="AB12" s="12">
        <v>271</v>
      </c>
      <c r="AC12" s="12">
        <v>410</v>
      </c>
      <c r="AD12" s="12">
        <v>177</v>
      </c>
      <c r="AE12" s="12">
        <v>75</v>
      </c>
      <c r="AF12" s="12">
        <v>216</v>
      </c>
    </row>
    <row r="13" spans="1:32">
      <c r="A13" s="23"/>
      <c r="B13" s="13" t="s">
        <v>708</v>
      </c>
      <c r="C13" s="14">
        <v>0.27</v>
      </c>
      <c r="D13" s="14">
        <v>0.19</v>
      </c>
      <c r="E13" s="14">
        <v>0.36</v>
      </c>
      <c r="F13" s="14">
        <v>0.31</v>
      </c>
      <c r="G13" s="14">
        <v>0.08</v>
      </c>
      <c r="H13" s="14">
        <v>0.16</v>
      </c>
      <c r="I13" s="14">
        <v>0.16</v>
      </c>
      <c r="J13" s="14">
        <v>0.17</v>
      </c>
      <c r="K13" s="14">
        <v>0.16</v>
      </c>
      <c r="L13" s="14">
        <v>0.19</v>
      </c>
      <c r="M13" s="14">
        <v>0.54</v>
      </c>
      <c r="N13" s="14">
        <v>0.44</v>
      </c>
      <c r="O13" s="14">
        <v>0.3</v>
      </c>
      <c r="P13" s="14">
        <v>0.49</v>
      </c>
      <c r="Q13" s="14">
        <v>0.33</v>
      </c>
      <c r="R13" s="14">
        <v>0.53</v>
      </c>
      <c r="S13" s="14">
        <v>0.27</v>
      </c>
      <c r="T13" s="14">
        <v>0.25</v>
      </c>
      <c r="U13" s="14">
        <v>0.17</v>
      </c>
      <c r="V13" s="14">
        <v>0.34</v>
      </c>
      <c r="W13" s="14">
        <v>0.42</v>
      </c>
      <c r="X13" s="14">
        <v>0.09</v>
      </c>
      <c r="Y13" s="14">
        <v>0.25</v>
      </c>
      <c r="Z13" s="14">
        <v>0.13</v>
      </c>
      <c r="AA13" s="14">
        <v>0.3</v>
      </c>
      <c r="AB13" s="14">
        <v>0.26</v>
      </c>
      <c r="AC13" s="14">
        <v>0.41</v>
      </c>
      <c r="AD13" s="14">
        <v>0.18</v>
      </c>
      <c r="AE13" s="14">
        <v>7.0000000000000007E-2</v>
      </c>
      <c r="AF13" s="14">
        <v>0.2</v>
      </c>
    </row>
    <row r="14" spans="1:32">
      <c r="A14" s="23"/>
      <c r="B14" s="11" t="s">
        <v>1613</v>
      </c>
      <c r="C14" s="12">
        <v>12140</v>
      </c>
      <c r="D14" s="12">
        <v>488</v>
      </c>
      <c r="E14" s="12">
        <v>441</v>
      </c>
      <c r="F14" s="12">
        <v>508</v>
      </c>
      <c r="G14" s="12">
        <v>325</v>
      </c>
      <c r="H14" s="12">
        <v>547</v>
      </c>
      <c r="I14" s="12">
        <v>696</v>
      </c>
      <c r="J14" s="12">
        <v>149</v>
      </c>
      <c r="K14" s="12">
        <v>447</v>
      </c>
      <c r="L14" s="12">
        <v>432</v>
      </c>
      <c r="M14" s="12">
        <v>415</v>
      </c>
      <c r="N14" s="12">
        <v>429</v>
      </c>
      <c r="O14" s="12">
        <v>434</v>
      </c>
      <c r="P14" s="12">
        <v>417</v>
      </c>
      <c r="Q14" s="12">
        <v>527</v>
      </c>
      <c r="R14" s="12">
        <v>160</v>
      </c>
      <c r="S14" s="12">
        <v>486</v>
      </c>
      <c r="T14" s="12">
        <v>518</v>
      </c>
      <c r="U14" s="12">
        <v>216</v>
      </c>
      <c r="V14" s="12">
        <v>476</v>
      </c>
      <c r="W14" s="12">
        <v>201</v>
      </c>
      <c r="X14" s="12">
        <v>396</v>
      </c>
      <c r="Y14" s="12">
        <v>356</v>
      </c>
      <c r="Z14" s="12">
        <v>563</v>
      </c>
      <c r="AA14" s="12">
        <v>626</v>
      </c>
      <c r="AB14" s="12">
        <v>448</v>
      </c>
      <c r="AC14" s="12">
        <v>445</v>
      </c>
      <c r="AD14" s="12">
        <v>511</v>
      </c>
      <c r="AE14" s="12">
        <v>300</v>
      </c>
      <c r="AF14" s="12">
        <v>454</v>
      </c>
    </row>
    <row r="15" spans="1:32">
      <c r="A15" s="23"/>
      <c r="B15" s="13" t="s">
        <v>710</v>
      </c>
      <c r="C15" s="14">
        <v>0.46</v>
      </c>
      <c r="D15" s="14">
        <v>0.49</v>
      </c>
      <c r="E15" s="14">
        <v>0.42</v>
      </c>
      <c r="F15" s="14">
        <v>0.5</v>
      </c>
      <c r="G15" s="14">
        <v>0.32</v>
      </c>
      <c r="H15" s="14">
        <v>0.45</v>
      </c>
      <c r="I15" s="14">
        <v>0.46</v>
      </c>
      <c r="J15" s="14">
        <v>0.51</v>
      </c>
      <c r="K15" s="14">
        <v>0.45</v>
      </c>
      <c r="L15" s="14">
        <v>0.43</v>
      </c>
      <c r="M15" s="14">
        <v>0.41</v>
      </c>
      <c r="N15" s="14">
        <v>0.43</v>
      </c>
      <c r="O15" s="14">
        <v>0.43</v>
      </c>
      <c r="P15" s="14">
        <v>0.41</v>
      </c>
      <c r="Q15" s="14">
        <v>0.51</v>
      </c>
      <c r="R15" s="14">
        <v>0.32</v>
      </c>
      <c r="S15" s="14">
        <v>0.48</v>
      </c>
      <c r="T15" s="14">
        <v>0.52</v>
      </c>
      <c r="U15" s="14">
        <v>0.43</v>
      </c>
      <c r="V15" s="14">
        <v>0.47</v>
      </c>
      <c r="W15" s="14">
        <v>0.4</v>
      </c>
      <c r="X15" s="14">
        <v>0.39</v>
      </c>
      <c r="Y15" s="14">
        <v>0.35</v>
      </c>
      <c r="Z15" s="14">
        <v>0.55000000000000004</v>
      </c>
      <c r="AA15" s="14">
        <v>0.6</v>
      </c>
      <c r="AB15" s="14">
        <v>0.44</v>
      </c>
      <c r="AC15" s="14">
        <v>0.44</v>
      </c>
      <c r="AD15" s="14">
        <v>0.51</v>
      </c>
      <c r="AE15" s="14">
        <v>0.3</v>
      </c>
      <c r="AF15" s="14">
        <v>0.42</v>
      </c>
    </row>
    <row r="16" spans="1:32">
      <c r="A16" s="23"/>
      <c r="B16" s="11" t="s">
        <v>1614</v>
      </c>
      <c r="C16" s="12">
        <v>4181</v>
      </c>
      <c r="D16" s="12">
        <v>186</v>
      </c>
      <c r="E16" s="12">
        <v>97</v>
      </c>
      <c r="F16" s="12">
        <v>102</v>
      </c>
      <c r="G16" s="12">
        <v>314</v>
      </c>
      <c r="H16" s="12">
        <v>284</v>
      </c>
      <c r="I16" s="12">
        <v>345</v>
      </c>
      <c r="J16" s="12">
        <v>62</v>
      </c>
      <c r="K16" s="12">
        <v>195</v>
      </c>
      <c r="L16" s="12">
        <v>159</v>
      </c>
      <c r="M16" s="12">
        <v>24</v>
      </c>
      <c r="N16" s="12">
        <v>71</v>
      </c>
      <c r="O16" s="12">
        <v>130</v>
      </c>
      <c r="P16" s="12">
        <v>51</v>
      </c>
      <c r="Q16" s="12">
        <v>113</v>
      </c>
      <c r="R16" s="12">
        <v>20</v>
      </c>
      <c r="S16" s="12">
        <v>86</v>
      </c>
      <c r="T16" s="12">
        <v>102</v>
      </c>
      <c r="U16" s="12">
        <v>91</v>
      </c>
      <c r="V16" s="12">
        <v>112</v>
      </c>
      <c r="W16" s="12">
        <v>33</v>
      </c>
      <c r="X16" s="12">
        <v>343</v>
      </c>
      <c r="Y16" s="12">
        <v>200</v>
      </c>
      <c r="Z16" s="12">
        <v>197</v>
      </c>
      <c r="AA16" s="12">
        <v>20</v>
      </c>
      <c r="AB16" s="12">
        <v>200</v>
      </c>
      <c r="AC16" s="12">
        <v>75</v>
      </c>
      <c r="AD16" s="12">
        <v>215</v>
      </c>
      <c r="AE16" s="12">
        <v>322</v>
      </c>
      <c r="AF16" s="12">
        <v>240</v>
      </c>
    </row>
    <row r="17" spans="1:32">
      <c r="A17" s="23"/>
      <c r="B17" s="13" t="s">
        <v>712</v>
      </c>
      <c r="C17" s="14">
        <v>0.16</v>
      </c>
      <c r="D17" s="14">
        <v>0.18</v>
      </c>
      <c r="E17" s="14">
        <v>0.09</v>
      </c>
      <c r="F17" s="14">
        <v>0.1</v>
      </c>
      <c r="G17" s="14">
        <v>0.31</v>
      </c>
      <c r="H17" s="14">
        <v>0.24</v>
      </c>
      <c r="I17" s="14">
        <v>0.23</v>
      </c>
      <c r="J17" s="14">
        <v>0.21</v>
      </c>
      <c r="K17" s="14">
        <v>0.19</v>
      </c>
      <c r="L17" s="14">
        <v>0.16</v>
      </c>
      <c r="M17" s="14">
        <v>0.02</v>
      </c>
      <c r="N17" s="14">
        <v>7.0000000000000007E-2</v>
      </c>
      <c r="O17" s="14">
        <v>0.13</v>
      </c>
      <c r="P17" s="14">
        <v>0.05</v>
      </c>
      <c r="Q17" s="14">
        <v>0.11</v>
      </c>
      <c r="R17" s="14">
        <v>0.04</v>
      </c>
      <c r="S17" s="14">
        <v>0.09</v>
      </c>
      <c r="T17" s="14">
        <v>0.1</v>
      </c>
      <c r="U17" s="14">
        <v>0.18</v>
      </c>
      <c r="V17" s="14">
        <v>0.11</v>
      </c>
      <c r="W17" s="14">
        <v>0.06</v>
      </c>
      <c r="X17" s="14">
        <v>0.34</v>
      </c>
      <c r="Y17" s="14">
        <v>0.2</v>
      </c>
      <c r="Z17" s="14">
        <v>0.19</v>
      </c>
      <c r="AA17" s="14">
        <v>0.02</v>
      </c>
      <c r="AB17" s="14">
        <v>0.19</v>
      </c>
      <c r="AC17" s="14">
        <v>7.0000000000000007E-2</v>
      </c>
      <c r="AD17" s="14">
        <v>0.21</v>
      </c>
      <c r="AE17" s="14">
        <v>0.32</v>
      </c>
      <c r="AF17" s="14">
        <v>0.22</v>
      </c>
    </row>
    <row r="18" spans="1:32">
      <c r="A18" s="23"/>
      <c r="B18" s="11" t="s">
        <v>1615</v>
      </c>
      <c r="C18" s="12">
        <v>889</v>
      </c>
      <c r="D18" s="12">
        <v>84</v>
      </c>
      <c r="E18" s="12">
        <v>15</v>
      </c>
      <c r="F18" s="12">
        <v>9</v>
      </c>
      <c r="G18" s="12">
        <v>225</v>
      </c>
      <c r="H18" s="12">
        <v>28</v>
      </c>
      <c r="I18" s="12">
        <v>37</v>
      </c>
      <c r="J18" s="12">
        <v>9</v>
      </c>
      <c r="K18" s="12">
        <v>34</v>
      </c>
      <c r="L18" s="12">
        <v>59</v>
      </c>
      <c r="M18" s="12">
        <v>4</v>
      </c>
      <c r="N18" s="12">
        <v>12</v>
      </c>
      <c r="O18" s="12">
        <v>17</v>
      </c>
      <c r="P18" s="12">
        <v>31</v>
      </c>
      <c r="Q18" s="12">
        <v>14</v>
      </c>
      <c r="R18" s="12">
        <v>9</v>
      </c>
      <c r="S18" s="12">
        <v>16</v>
      </c>
      <c r="T18" s="12">
        <v>7</v>
      </c>
      <c r="U18" s="12">
        <v>24</v>
      </c>
      <c r="V18" s="12">
        <v>27</v>
      </c>
      <c r="W18" s="12">
        <v>13</v>
      </c>
      <c r="X18" s="12">
        <v>117</v>
      </c>
      <c r="Y18" s="12">
        <v>79</v>
      </c>
      <c r="Z18" s="12">
        <v>41</v>
      </c>
      <c r="AA18" s="12">
        <v>4</v>
      </c>
      <c r="AB18" s="12">
        <v>42</v>
      </c>
      <c r="AC18" s="12">
        <v>9</v>
      </c>
      <c r="AD18" s="12">
        <v>14</v>
      </c>
      <c r="AE18" s="12">
        <v>188</v>
      </c>
      <c r="AF18" s="12">
        <v>105</v>
      </c>
    </row>
    <row r="19" spans="1:32">
      <c r="A19" s="23"/>
      <c r="B19" s="13" t="s">
        <v>714</v>
      </c>
      <c r="C19" s="14">
        <v>0.03</v>
      </c>
      <c r="D19" s="14">
        <v>0.08</v>
      </c>
      <c r="E19" s="14">
        <v>0.02</v>
      </c>
      <c r="F19" s="14">
        <v>0.01</v>
      </c>
      <c r="G19" s="14">
        <v>0.23</v>
      </c>
      <c r="H19" s="14">
        <v>0.02</v>
      </c>
      <c r="I19" s="14">
        <v>0.03</v>
      </c>
      <c r="J19" s="14">
        <v>0.03</v>
      </c>
      <c r="K19" s="14">
        <v>0.03</v>
      </c>
      <c r="L19" s="14">
        <v>0.06</v>
      </c>
      <c r="M19" s="15" t="s">
        <v>485</v>
      </c>
      <c r="N19" s="14">
        <v>0.01</v>
      </c>
      <c r="O19" s="14">
        <v>0.02</v>
      </c>
      <c r="P19" s="14">
        <v>0.03</v>
      </c>
      <c r="Q19" s="14">
        <v>0.01</v>
      </c>
      <c r="R19" s="14">
        <v>0.02</v>
      </c>
      <c r="S19" s="14">
        <v>0.02</v>
      </c>
      <c r="T19" s="14">
        <v>0.01</v>
      </c>
      <c r="U19" s="14">
        <v>0.05</v>
      </c>
      <c r="V19" s="14">
        <v>0.03</v>
      </c>
      <c r="W19" s="14">
        <v>0.03</v>
      </c>
      <c r="X19" s="14">
        <v>0.12</v>
      </c>
      <c r="Y19" s="14">
        <v>0.08</v>
      </c>
      <c r="Z19" s="14">
        <v>0.04</v>
      </c>
      <c r="AA19" s="15" t="s">
        <v>485</v>
      </c>
      <c r="AB19" s="14">
        <v>0.04</v>
      </c>
      <c r="AC19" s="14">
        <v>0.01</v>
      </c>
      <c r="AD19" s="14">
        <v>0.01</v>
      </c>
      <c r="AE19" s="14">
        <v>0.19</v>
      </c>
      <c r="AF19" s="14">
        <v>0.1</v>
      </c>
    </row>
    <row r="20" spans="1:32">
      <c r="A20" s="23"/>
      <c r="B20" s="11" t="s">
        <v>497</v>
      </c>
      <c r="C20" s="12">
        <v>2182</v>
      </c>
      <c r="D20" s="12">
        <v>57</v>
      </c>
      <c r="E20" s="12">
        <v>117</v>
      </c>
      <c r="F20" s="12">
        <v>76</v>
      </c>
      <c r="G20" s="12">
        <v>56</v>
      </c>
      <c r="H20" s="12">
        <v>156</v>
      </c>
      <c r="I20" s="12">
        <v>180</v>
      </c>
      <c r="J20" s="12">
        <v>24</v>
      </c>
      <c r="K20" s="12">
        <v>170</v>
      </c>
      <c r="L20" s="12">
        <v>163</v>
      </c>
      <c r="M20" s="12">
        <v>25</v>
      </c>
      <c r="N20" s="12">
        <v>52</v>
      </c>
      <c r="O20" s="12">
        <v>117</v>
      </c>
      <c r="P20" s="12">
        <v>23</v>
      </c>
      <c r="Q20" s="12">
        <v>37</v>
      </c>
      <c r="R20" s="12">
        <v>47</v>
      </c>
      <c r="S20" s="12">
        <v>144</v>
      </c>
      <c r="T20" s="12">
        <v>123</v>
      </c>
      <c r="U20" s="12">
        <v>87</v>
      </c>
      <c r="V20" s="12">
        <v>47</v>
      </c>
      <c r="W20" s="12">
        <v>46</v>
      </c>
      <c r="X20" s="12">
        <v>63</v>
      </c>
      <c r="Y20" s="12">
        <v>118</v>
      </c>
      <c r="Z20" s="12">
        <v>89</v>
      </c>
      <c r="AA20" s="12">
        <v>83</v>
      </c>
      <c r="AB20" s="12">
        <v>70</v>
      </c>
      <c r="AC20" s="12">
        <v>66</v>
      </c>
      <c r="AD20" s="12">
        <v>85</v>
      </c>
      <c r="AE20" s="12">
        <v>123</v>
      </c>
      <c r="AF20" s="12">
        <v>59</v>
      </c>
    </row>
    <row r="21" spans="1:32">
      <c r="A21" s="23"/>
      <c r="B21" s="13" t="s">
        <v>498</v>
      </c>
      <c r="C21" s="14">
        <v>0.08</v>
      </c>
      <c r="D21" s="14">
        <v>0.06</v>
      </c>
      <c r="E21" s="14">
        <v>0.11</v>
      </c>
      <c r="F21" s="14">
        <v>0.08</v>
      </c>
      <c r="G21" s="14">
        <v>0.06</v>
      </c>
      <c r="H21" s="14">
        <v>0.13</v>
      </c>
      <c r="I21" s="14">
        <v>0.12</v>
      </c>
      <c r="J21" s="14">
        <v>0.08</v>
      </c>
      <c r="K21" s="14">
        <v>0.17</v>
      </c>
      <c r="L21" s="14">
        <v>0.16</v>
      </c>
      <c r="M21" s="14">
        <v>0.03</v>
      </c>
      <c r="N21" s="14">
        <v>0.05</v>
      </c>
      <c r="O21" s="14">
        <v>0.12</v>
      </c>
      <c r="P21" s="14">
        <v>0.02</v>
      </c>
      <c r="Q21" s="14">
        <v>0.04</v>
      </c>
      <c r="R21" s="14">
        <v>0.09</v>
      </c>
      <c r="S21" s="14">
        <v>0.14000000000000001</v>
      </c>
      <c r="T21" s="14">
        <v>0.12</v>
      </c>
      <c r="U21" s="14">
        <v>0.17</v>
      </c>
      <c r="V21" s="14">
        <v>0.05</v>
      </c>
      <c r="W21" s="14">
        <v>0.09</v>
      </c>
      <c r="X21" s="14">
        <v>0.06</v>
      </c>
      <c r="Y21" s="14">
        <v>0.12</v>
      </c>
      <c r="Z21" s="14">
        <v>0.09</v>
      </c>
      <c r="AA21" s="14">
        <v>0.08</v>
      </c>
      <c r="AB21" s="14">
        <v>7.0000000000000007E-2</v>
      </c>
      <c r="AC21" s="14">
        <v>7.0000000000000007E-2</v>
      </c>
      <c r="AD21" s="14">
        <v>0.09</v>
      </c>
      <c r="AE21" s="14">
        <v>0.12</v>
      </c>
      <c r="AF21" s="14">
        <v>0.06</v>
      </c>
    </row>
    <row r="22" spans="1:32">
      <c r="A22" s="23"/>
      <c r="B22" s="11" t="s">
        <v>715</v>
      </c>
      <c r="C22" s="12">
        <v>19102</v>
      </c>
      <c r="D22" s="12">
        <v>678</v>
      </c>
      <c r="E22" s="12">
        <v>815</v>
      </c>
      <c r="F22" s="12">
        <v>820</v>
      </c>
      <c r="G22" s="12">
        <v>407</v>
      </c>
      <c r="H22" s="12">
        <v>743</v>
      </c>
      <c r="I22" s="12">
        <v>942</v>
      </c>
      <c r="J22" s="12">
        <v>200</v>
      </c>
      <c r="K22" s="12">
        <v>605</v>
      </c>
      <c r="L22" s="12">
        <v>627</v>
      </c>
      <c r="M22" s="12">
        <v>959</v>
      </c>
      <c r="N22" s="12">
        <v>865</v>
      </c>
      <c r="O22" s="12">
        <v>742</v>
      </c>
      <c r="P22" s="12">
        <v>906</v>
      </c>
      <c r="Q22" s="12">
        <v>860</v>
      </c>
      <c r="R22" s="12">
        <v>427</v>
      </c>
      <c r="S22" s="12">
        <v>759</v>
      </c>
      <c r="T22" s="12">
        <v>772</v>
      </c>
      <c r="U22" s="12">
        <v>300</v>
      </c>
      <c r="V22" s="12">
        <v>825</v>
      </c>
      <c r="W22" s="12">
        <v>412</v>
      </c>
      <c r="X22" s="12">
        <v>493</v>
      </c>
      <c r="Y22" s="12">
        <v>609</v>
      </c>
      <c r="Z22" s="12">
        <v>690</v>
      </c>
      <c r="AA22" s="12">
        <v>933</v>
      </c>
      <c r="AB22" s="12">
        <v>719</v>
      </c>
      <c r="AC22" s="12">
        <v>855</v>
      </c>
      <c r="AD22" s="12">
        <v>688</v>
      </c>
      <c r="AE22" s="12">
        <v>375</v>
      </c>
      <c r="AF22" s="12">
        <v>670</v>
      </c>
    </row>
    <row r="23" spans="1:32">
      <c r="A23" s="23"/>
      <c r="B23" s="13" t="s">
        <v>716</v>
      </c>
      <c r="C23" s="14">
        <v>0.73</v>
      </c>
      <c r="D23" s="14">
        <v>0.68</v>
      </c>
      <c r="E23" s="14">
        <v>0.78</v>
      </c>
      <c r="F23" s="14">
        <v>0.81</v>
      </c>
      <c r="G23" s="14">
        <v>0.4</v>
      </c>
      <c r="H23" s="14">
        <v>0.61</v>
      </c>
      <c r="I23" s="14">
        <v>0.62</v>
      </c>
      <c r="J23" s="14">
        <v>0.68</v>
      </c>
      <c r="K23" s="14">
        <v>0.61</v>
      </c>
      <c r="L23" s="14">
        <v>0.62</v>
      </c>
      <c r="M23" s="14">
        <v>0.95000000000000007</v>
      </c>
      <c r="N23" s="14">
        <v>0.87</v>
      </c>
      <c r="O23" s="14">
        <v>0.73</v>
      </c>
      <c r="P23" s="14">
        <v>0.9</v>
      </c>
      <c r="Q23" s="14">
        <v>0.84</v>
      </c>
      <c r="R23" s="14">
        <v>0.85</v>
      </c>
      <c r="S23" s="14">
        <v>0.75</v>
      </c>
      <c r="T23" s="14">
        <v>0.77</v>
      </c>
      <c r="U23" s="14">
        <v>0.6</v>
      </c>
      <c r="V23" s="14">
        <v>0.81</v>
      </c>
      <c r="W23" s="14">
        <v>0.82000000000000006</v>
      </c>
      <c r="X23" s="14">
        <v>0.48</v>
      </c>
      <c r="Y23" s="14">
        <v>0.6</v>
      </c>
      <c r="Z23" s="14">
        <v>0.68</v>
      </c>
      <c r="AA23" s="14">
        <v>0.9</v>
      </c>
      <c r="AB23" s="14">
        <v>0.70000000000000007</v>
      </c>
      <c r="AC23" s="14">
        <v>0.85</v>
      </c>
      <c r="AD23" s="14">
        <v>0.69000000000000006</v>
      </c>
      <c r="AE23" s="14">
        <v>0.37</v>
      </c>
      <c r="AF23" s="14">
        <v>0.62</v>
      </c>
    </row>
    <row r="24" spans="1:32">
      <c r="A24" s="23"/>
      <c r="B24" s="11" t="s">
        <v>717</v>
      </c>
      <c r="C24" s="12">
        <v>5070</v>
      </c>
      <c r="D24" s="12">
        <v>270</v>
      </c>
      <c r="E24" s="12">
        <v>112</v>
      </c>
      <c r="F24" s="12">
        <v>111</v>
      </c>
      <c r="G24" s="12">
        <v>539</v>
      </c>
      <c r="H24" s="12">
        <v>312</v>
      </c>
      <c r="I24" s="12">
        <v>382</v>
      </c>
      <c r="J24" s="12">
        <v>71</v>
      </c>
      <c r="K24" s="12">
        <v>229</v>
      </c>
      <c r="L24" s="12">
        <v>218</v>
      </c>
      <c r="M24" s="12">
        <v>28</v>
      </c>
      <c r="N24" s="12">
        <v>83</v>
      </c>
      <c r="O24" s="12">
        <v>147</v>
      </c>
      <c r="P24" s="12">
        <v>82</v>
      </c>
      <c r="Q24" s="12">
        <v>127</v>
      </c>
      <c r="R24" s="12">
        <v>29</v>
      </c>
      <c r="S24" s="12">
        <v>102</v>
      </c>
      <c r="T24" s="12">
        <v>109</v>
      </c>
      <c r="U24" s="12">
        <v>115</v>
      </c>
      <c r="V24" s="12">
        <v>139</v>
      </c>
      <c r="W24" s="12">
        <v>46</v>
      </c>
      <c r="X24" s="12">
        <v>460</v>
      </c>
      <c r="Y24" s="12">
        <v>279</v>
      </c>
      <c r="Z24" s="12">
        <v>238</v>
      </c>
      <c r="AA24" s="12">
        <v>24</v>
      </c>
      <c r="AB24" s="12">
        <v>242</v>
      </c>
      <c r="AC24" s="12">
        <v>84</v>
      </c>
      <c r="AD24" s="12">
        <v>229</v>
      </c>
      <c r="AE24" s="12">
        <v>510</v>
      </c>
      <c r="AF24" s="12">
        <v>345</v>
      </c>
    </row>
    <row r="25" spans="1:32">
      <c r="A25" s="23"/>
      <c r="B25" s="13" t="s">
        <v>718</v>
      </c>
      <c r="C25" s="14">
        <v>0.19</v>
      </c>
      <c r="D25" s="14">
        <v>0.26</v>
      </c>
      <c r="E25" s="14">
        <v>0.11</v>
      </c>
      <c r="F25" s="14">
        <v>0.11</v>
      </c>
      <c r="G25" s="14">
        <v>0.54</v>
      </c>
      <c r="H25" s="14">
        <v>0.26</v>
      </c>
      <c r="I25" s="14">
        <v>0.26</v>
      </c>
      <c r="J25" s="14">
        <v>0.24</v>
      </c>
      <c r="K25" s="14">
        <v>0.22</v>
      </c>
      <c r="L25" s="14">
        <v>0.22</v>
      </c>
      <c r="M25" s="14">
        <v>0.02</v>
      </c>
      <c r="N25" s="14">
        <v>0.08</v>
      </c>
      <c r="O25" s="14">
        <v>0.15</v>
      </c>
      <c r="P25" s="14">
        <v>0.08</v>
      </c>
      <c r="Q25" s="14">
        <v>0.12</v>
      </c>
      <c r="R25" s="14">
        <v>0.06</v>
      </c>
      <c r="S25" s="14">
        <v>0.11</v>
      </c>
      <c r="T25" s="14">
        <v>0.11</v>
      </c>
      <c r="U25" s="14">
        <v>0.23</v>
      </c>
      <c r="V25" s="14">
        <v>0.14000000000000001</v>
      </c>
      <c r="W25" s="14">
        <v>0.09</v>
      </c>
      <c r="X25" s="14">
        <v>0.46</v>
      </c>
      <c r="Y25" s="14">
        <v>0.28000000000000003</v>
      </c>
      <c r="Z25" s="14">
        <v>0.23</v>
      </c>
      <c r="AA25" s="14">
        <v>0.02</v>
      </c>
      <c r="AB25" s="14">
        <v>0.23</v>
      </c>
      <c r="AC25" s="14">
        <v>0.08</v>
      </c>
      <c r="AD25" s="14">
        <v>0.22</v>
      </c>
      <c r="AE25" s="14">
        <v>0.51</v>
      </c>
      <c r="AF25" s="14">
        <v>0.32</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6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1620</v>
      </c>
      <c r="C3" s="19"/>
      <c r="D3" s="19"/>
      <c r="E3" s="19"/>
      <c r="F3" s="19"/>
      <c r="H3" s="19" t="s">
        <v>1621</v>
      </c>
      <c r="I3" s="19"/>
      <c r="J3" s="19"/>
      <c r="K3" s="19"/>
      <c r="L3" s="19"/>
    </row>
    <row r="4" spans="1:32" ht="27" customHeight="1">
      <c r="B4" s="19" t="s">
        <v>1622</v>
      </c>
      <c r="C4" s="19"/>
      <c r="D4" s="19"/>
      <c r="E4" s="19"/>
      <c r="F4" s="19"/>
      <c r="H4" s="19" t="s">
        <v>1623</v>
      </c>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HYPERLINK("#Content!A187","&lt;&lt;Back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1612</v>
      </c>
      <c r="C12" s="12">
        <v>5243</v>
      </c>
      <c r="D12" s="12">
        <v>142</v>
      </c>
      <c r="E12" s="12">
        <v>329</v>
      </c>
      <c r="F12" s="12">
        <v>238</v>
      </c>
      <c r="G12" s="12">
        <v>54</v>
      </c>
      <c r="H12" s="12">
        <v>127</v>
      </c>
      <c r="I12" s="12">
        <v>166</v>
      </c>
      <c r="J12" s="12">
        <v>39</v>
      </c>
      <c r="K12" s="12">
        <v>122</v>
      </c>
      <c r="L12" s="12">
        <v>195</v>
      </c>
      <c r="M12" s="12">
        <v>462</v>
      </c>
      <c r="N12" s="12">
        <v>304</v>
      </c>
      <c r="O12" s="12">
        <v>198</v>
      </c>
      <c r="P12" s="12">
        <v>414</v>
      </c>
      <c r="Q12" s="12">
        <v>283</v>
      </c>
      <c r="R12" s="12">
        <v>257</v>
      </c>
      <c r="S12" s="12">
        <v>148</v>
      </c>
      <c r="T12" s="12">
        <v>171</v>
      </c>
      <c r="U12" s="12">
        <v>64</v>
      </c>
      <c r="V12" s="12">
        <v>309</v>
      </c>
      <c r="W12" s="12">
        <v>181</v>
      </c>
      <c r="X12" s="12">
        <v>80</v>
      </c>
      <c r="Y12" s="12">
        <v>235</v>
      </c>
      <c r="Z12" s="12">
        <v>126</v>
      </c>
      <c r="AA12" s="12">
        <v>247</v>
      </c>
      <c r="AB12" s="12">
        <v>213</v>
      </c>
      <c r="AC12" s="12">
        <v>255</v>
      </c>
      <c r="AD12" s="12">
        <v>144</v>
      </c>
      <c r="AE12" s="12">
        <v>43</v>
      </c>
      <c r="AF12" s="12">
        <v>79</v>
      </c>
    </row>
    <row r="13" spans="1:32">
      <c r="A13" s="23"/>
      <c r="B13" s="13" t="s">
        <v>708</v>
      </c>
      <c r="C13" s="14">
        <v>0.2</v>
      </c>
      <c r="D13" s="14">
        <v>0.14000000000000001</v>
      </c>
      <c r="E13" s="14">
        <v>0.32</v>
      </c>
      <c r="F13" s="14">
        <v>0.24</v>
      </c>
      <c r="G13" s="14">
        <v>0.05</v>
      </c>
      <c r="H13" s="14">
        <v>0.1</v>
      </c>
      <c r="I13" s="14">
        <v>0.11</v>
      </c>
      <c r="J13" s="14">
        <v>0.13</v>
      </c>
      <c r="K13" s="14">
        <v>0.12</v>
      </c>
      <c r="L13" s="14">
        <v>0.2</v>
      </c>
      <c r="M13" s="14">
        <v>0.46</v>
      </c>
      <c r="N13" s="14">
        <v>0.31</v>
      </c>
      <c r="O13" s="14">
        <v>0.2</v>
      </c>
      <c r="P13" s="14">
        <v>0.41</v>
      </c>
      <c r="Q13" s="14">
        <v>0.28000000000000003</v>
      </c>
      <c r="R13" s="14">
        <v>0.51</v>
      </c>
      <c r="S13" s="14">
        <v>0.15</v>
      </c>
      <c r="T13" s="14">
        <v>0.17</v>
      </c>
      <c r="U13" s="14">
        <v>0.13</v>
      </c>
      <c r="V13" s="14">
        <v>0.31</v>
      </c>
      <c r="W13" s="14">
        <v>0.36</v>
      </c>
      <c r="X13" s="14">
        <v>0.08</v>
      </c>
      <c r="Y13" s="14">
        <v>0.24</v>
      </c>
      <c r="Z13" s="14">
        <v>0.12</v>
      </c>
      <c r="AA13" s="14">
        <v>0.24</v>
      </c>
      <c r="AB13" s="14">
        <v>0.21</v>
      </c>
      <c r="AC13" s="14">
        <v>0.25</v>
      </c>
      <c r="AD13" s="14">
        <v>0.14000000000000001</v>
      </c>
      <c r="AE13" s="14">
        <v>0.04</v>
      </c>
      <c r="AF13" s="14">
        <v>7.0000000000000007E-2</v>
      </c>
    </row>
    <row r="14" spans="1:32">
      <c r="A14" s="23"/>
      <c r="B14" s="11" t="s">
        <v>1613</v>
      </c>
      <c r="C14" s="12">
        <v>10702</v>
      </c>
      <c r="D14" s="12">
        <v>414</v>
      </c>
      <c r="E14" s="12">
        <v>474</v>
      </c>
      <c r="F14" s="12">
        <v>488</v>
      </c>
      <c r="G14" s="12">
        <v>201</v>
      </c>
      <c r="H14" s="12">
        <v>369</v>
      </c>
      <c r="I14" s="12">
        <v>485</v>
      </c>
      <c r="J14" s="12">
        <v>116</v>
      </c>
      <c r="K14" s="12">
        <v>340</v>
      </c>
      <c r="L14" s="12">
        <v>395</v>
      </c>
      <c r="M14" s="12">
        <v>416</v>
      </c>
      <c r="N14" s="12">
        <v>431</v>
      </c>
      <c r="O14" s="12">
        <v>358</v>
      </c>
      <c r="P14" s="12">
        <v>425</v>
      </c>
      <c r="Q14" s="12">
        <v>533</v>
      </c>
      <c r="R14" s="12">
        <v>170</v>
      </c>
      <c r="S14" s="12">
        <v>384</v>
      </c>
      <c r="T14" s="12">
        <v>440</v>
      </c>
      <c r="U14" s="12">
        <v>169</v>
      </c>
      <c r="V14" s="12">
        <v>499</v>
      </c>
      <c r="W14" s="12">
        <v>222</v>
      </c>
      <c r="X14" s="12">
        <v>297</v>
      </c>
      <c r="Y14" s="12">
        <v>324</v>
      </c>
      <c r="Z14" s="12">
        <v>513</v>
      </c>
      <c r="AA14" s="12">
        <v>637</v>
      </c>
      <c r="AB14" s="12">
        <v>463</v>
      </c>
      <c r="AC14" s="12">
        <v>427</v>
      </c>
      <c r="AD14" s="12">
        <v>485</v>
      </c>
      <c r="AE14" s="12">
        <v>248</v>
      </c>
      <c r="AF14" s="12">
        <v>236</v>
      </c>
    </row>
    <row r="15" spans="1:32">
      <c r="A15" s="23"/>
      <c r="B15" s="13" t="s">
        <v>710</v>
      </c>
      <c r="C15" s="14">
        <v>0.41</v>
      </c>
      <c r="D15" s="14">
        <v>0.41</v>
      </c>
      <c r="E15" s="14">
        <v>0.45</v>
      </c>
      <c r="F15" s="14">
        <v>0.48</v>
      </c>
      <c r="G15" s="14">
        <v>0.2</v>
      </c>
      <c r="H15" s="14">
        <v>0.31</v>
      </c>
      <c r="I15" s="14">
        <v>0.32</v>
      </c>
      <c r="J15" s="14">
        <v>0.4</v>
      </c>
      <c r="K15" s="14">
        <v>0.34</v>
      </c>
      <c r="L15" s="14">
        <v>0.39</v>
      </c>
      <c r="M15" s="14">
        <v>0.41</v>
      </c>
      <c r="N15" s="14">
        <v>0.43</v>
      </c>
      <c r="O15" s="14">
        <v>0.35</v>
      </c>
      <c r="P15" s="14">
        <v>0.42</v>
      </c>
      <c r="Q15" s="14">
        <v>0.52</v>
      </c>
      <c r="R15" s="14">
        <v>0.34</v>
      </c>
      <c r="S15" s="14">
        <v>0.38</v>
      </c>
      <c r="T15" s="14">
        <v>0.44</v>
      </c>
      <c r="U15" s="14">
        <v>0.33</v>
      </c>
      <c r="V15" s="14">
        <v>0.49</v>
      </c>
      <c r="W15" s="14">
        <v>0.44</v>
      </c>
      <c r="X15" s="14">
        <v>0.28999999999999998</v>
      </c>
      <c r="Y15" s="14">
        <v>0.32</v>
      </c>
      <c r="Z15" s="14">
        <v>0.51</v>
      </c>
      <c r="AA15" s="14">
        <v>0.61</v>
      </c>
      <c r="AB15" s="14">
        <v>0.45</v>
      </c>
      <c r="AC15" s="14">
        <v>0.43</v>
      </c>
      <c r="AD15" s="14">
        <v>0.48</v>
      </c>
      <c r="AE15" s="14">
        <v>0.25</v>
      </c>
      <c r="AF15" s="14">
        <v>0.22</v>
      </c>
    </row>
    <row r="16" spans="1:32">
      <c r="A16" s="23"/>
      <c r="B16" s="11" t="s">
        <v>1614</v>
      </c>
      <c r="C16" s="12">
        <v>6008</v>
      </c>
      <c r="D16" s="12">
        <v>267</v>
      </c>
      <c r="E16" s="12">
        <v>90</v>
      </c>
      <c r="F16" s="12">
        <v>182</v>
      </c>
      <c r="G16" s="12">
        <v>285</v>
      </c>
      <c r="H16" s="12">
        <v>433</v>
      </c>
      <c r="I16" s="12">
        <v>525</v>
      </c>
      <c r="J16" s="12">
        <v>92</v>
      </c>
      <c r="K16" s="12">
        <v>289</v>
      </c>
      <c r="L16" s="12">
        <v>201</v>
      </c>
      <c r="M16" s="12">
        <v>74</v>
      </c>
      <c r="N16" s="12">
        <v>154</v>
      </c>
      <c r="O16" s="12">
        <v>261</v>
      </c>
      <c r="P16" s="12">
        <v>112</v>
      </c>
      <c r="Q16" s="12">
        <v>138</v>
      </c>
      <c r="R16" s="12">
        <v>31</v>
      </c>
      <c r="S16" s="12">
        <v>199</v>
      </c>
      <c r="T16" s="12">
        <v>195</v>
      </c>
      <c r="U16" s="12">
        <v>141</v>
      </c>
      <c r="V16" s="12">
        <v>129</v>
      </c>
      <c r="W16" s="12">
        <v>51</v>
      </c>
      <c r="X16" s="12">
        <v>379</v>
      </c>
      <c r="Y16" s="12">
        <v>194</v>
      </c>
      <c r="Z16" s="12">
        <v>222</v>
      </c>
      <c r="AA16" s="12">
        <v>38</v>
      </c>
      <c r="AB16" s="12">
        <v>220</v>
      </c>
      <c r="AC16" s="12">
        <v>188</v>
      </c>
      <c r="AD16" s="12">
        <v>213</v>
      </c>
      <c r="AE16" s="12">
        <v>339</v>
      </c>
      <c r="AF16" s="12">
        <v>353</v>
      </c>
    </row>
    <row r="17" spans="1:32">
      <c r="A17" s="23"/>
      <c r="B17" s="13" t="s">
        <v>712</v>
      </c>
      <c r="C17" s="14">
        <v>0.23</v>
      </c>
      <c r="D17" s="14">
        <v>0.27</v>
      </c>
      <c r="E17" s="14">
        <v>0.09</v>
      </c>
      <c r="F17" s="14">
        <v>0.18</v>
      </c>
      <c r="G17" s="14">
        <v>0.28999999999999998</v>
      </c>
      <c r="H17" s="14">
        <v>0.36</v>
      </c>
      <c r="I17" s="14">
        <v>0.35</v>
      </c>
      <c r="J17" s="14">
        <v>0.31</v>
      </c>
      <c r="K17" s="14">
        <v>0.28999999999999998</v>
      </c>
      <c r="L17" s="14">
        <v>0.2</v>
      </c>
      <c r="M17" s="14">
        <v>7.0000000000000007E-2</v>
      </c>
      <c r="N17" s="14">
        <v>0.15</v>
      </c>
      <c r="O17" s="14">
        <v>0.26</v>
      </c>
      <c r="P17" s="14">
        <v>0.11</v>
      </c>
      <c r="Q17" s="14">
        <v>0.13</v>
      </c>
      <c r="R17" s="14">
        <v>0.06</v>
      </c>
      <c r="S17" s="14">
        <v>0.2</v>
      </c>
      <c r="T17" s="14">
        <v>0.19</v>
      </c>
      <c r="U17" s="14">
        <v>0.28000000000000003</v>
      </c>
      <c r="V17" s="14">
        <v>0.13</v>
      </c>
      <c r="W17" s="14">
        <v>0.1</v>
      </c>
      <c r="X17" s="14">
        <v>0.37</v>
      </c>
      <c r="Y17" s="14">
        <v>0.19</v>
      </c>
      <c r="Z17" s="14">
        <v>0.22</v>
      </c>
      <c r="AA17" s="14">
        <v>0.04</v>
      </c>
      <c r="AB17" s="14">
        <v>0.21</v>
      </c>
      <c r="AC17" s="14">
        <v>0.19</v>
      </c>
      <c r="AD17" s="14">
        <v>0.21</v>
      </c>
      <c r="AE17" s="14">
        <v>0.34</v>
      </c>
      <c r="AF17" s="14">
        <v>0.33</v>
      </c>
    </row>
    <row r="18" spans="1:32">
      <c r="A18" s="23"/>
      <c r="B18" s="11" t="s">
        <v>1615</v>
      </c>
      <c r="C18" s="12">
        <v>2212</v>
      </c>
      <c r="D18" s="12">
        <v>133</v>
      </c>
      <c r="E18" s="12">
        <v>46</v>
      </c>
      <c r="F18" s="12">
        <v>18</v>
      </c>
      <c r="G18" s="12">
        <v>420</v>
      </c>
      <c r="H18" s="12">
        <v>135</v>
      </c>
      <c r="I18" s="12">
        <v>163</v>
      </c>
      <c r="J18" s="12">
        <v>28</v>
      </c>
      <c r="K18" s="12">
        <v>102</v>
      </c>
      <c r="L18" s="12">
        <v>74</v>
      </c>
      <c r="M18" s="12">
        <v>14</v>
      </c>
      <c r="N18" s="12">
        <v>32</v>
      </c>
      <c r="O18" s="12">
        <v>69</v>
      </c>
      <c r="P18" s="12">
        <v>32</v>
      </c>
      <c r="Q18" s="12">
        <v>32</v>
      </c>
      <c r="R18" s="12">
        <v>7</v>
      </c>
      <c r="S18" s="12">
        <v>63</v>
      </c>
      <c r="T18" s="12">
        <v>37</v>
      </c>
      <c r="U18" s="12">
        <v>51</v>
      </c>
      <c r="V18" s="12">
        <v>23</v>
      </c>
      <c r="W18" s="12">
        <v>12</v>
      </c>
      <c r="X18" s="12">
        <v>218</v>
      </c>
      <c r="Y18" s="12">
        <v>161</v>
      </c>
      <c r="Z18" s="12">
        <v>74</v>
      </c>
      <c r="AA18" s="12">
        <v>16</v>
      </c>
      <c r="AB18" s="12">
        <v>60</v>
      </c>
      <c r="AC18" s="12">
        <v>62</v>
      </c>
      <c r="AD18" s="12">
        <v>35</v>
      </c>
      <c r="AE18" s="12">
        <v>291</v>
      </c>
      <c r="AF18" s="12">
        <v>373</v>
      </c>
    </row>
    <row r="19" spans="1:32">
      <c r="A19" s="23"/>
      <c r="B19" s="13" t="s">
        <v>714</v>
      </c>
      <c r="C19" s="14">
        <v>0.08</v>
      </c>
      <c r="D19" s="14">
        <v>0.13</v>
      </c>
      <c r="E19" s="14">
        <v>0.04</v>
      </c>
      <c r="F19" s="14">
        <v>0.02</v>
      </c>
      <c r="G19" s="14">
        <v>0.42</v>
      </c>
      <c r="H19" s="14">
        <v>0.11</v>
      </c>
      <c r="I19" s="14">
        <v>0.11</v>
      </c>
      <c r="J19" s="14">
        <v>0.09</v>
      </c>
      <c r="K19" s="14">
        <v>0.1</v>
      </c>
      <c r="L19" s="14">
        <v>7.0000000000000007E-2</v>
      </c>
      <c r="M19" s="14">
        <v>0.01</v>
      </c>
      <c r="N19" s="14">
        <v>0.03</v>
      </c>
      <c r="O19" s="14">
        <v>7.0000000000000007E-2</v>
      </c>
      <c r="P19" s="14">
        <v>0.03</v>
      </c>
      <c r="Q19" s="14">
        <v>0.03</v>
      </c>
      <c r="R19" s="14">
        <v>0.01</v>
      </c>
      <c r="S19" s="14">
        <v>0.06</v>
      </c>
      <c r="T19" s="14">
        <v>0.04</v>
      </c>
      <c r="U19" s="14">
        <v>0.1</v>
      </c>
      <c r="V19" s="14">
        <v>0.02</v>
      </c>
      <c r="W19" s="14">
        <v>0.02</v>
      </c>
      <c r="X19" s="14">
        <v>0.22</v>
      </c>
      <c r="Y19" s="14">
        <v>0.16</v>
      </c>
      <c r="Z19" s="14">
        <v>7.0000000000000007E-2</v>
      </c>
      <c r="AA19" s="14">
        <v>0.01</v>
      </c>
      <c r="AB19" s="14">
        <v>0.06</v>
      </c>
      <c r="AC19" s="14">
        <v>0.06</v>
      </c>
      <c r="AD19" s="14">
        <v>0.04</v>
      </c>
      <c r="AE19" s="14">
        <v>0.28999999999999998</v>
      </c>
      <c r="AF19" s="14">
        <v>0.35</v>
      </c>
    </row>
    <row r="20" spans="1:32">
      <c r="A20" s="23"/>
      <c r="B20" s="11" t="s">
        <v>497</v>
      </c>
      <c r="C20" s="12">
        <v>2189</v>
      </c>
      <c r="D20" s="12">
        <v>51</v>
      </c>
      <c r="E20" s="12">
        <v>106</v>
      </c>
      <c r="F20" s="12">
        <v>81</v>
      </c>
      <c r="G20" s="12">
        <v>43</v>
      </c>
      <c r="H20" s="12">
        <v>146</v>
      </c>
      <c r="I20" s="12">
        <v>165</v>
      </c>
      <c r="J20" s="12">
        <v>19</v>
      </c>
      <c r="K20" s="12">
        <v>151</v>
      </c>
      <c r="L20" s="12">
        <v>142</v>
      </c>
      <c r="M20" s="12">
        <v>45</v>
      </c>
      <c r="N20" s="12">
        <v>80</v>
      </c>
      <c r="O20" s="12">
        <v>120</v>
      </c>
      <c r="P20" s="12">
        <v>28</v>
      </c>
      <c r="Q20" s="12">
        <v>37</v>
      </c>
      <c r="R20" s="12">
        <v>37</v>
      </c>
      <c r="S20" s="12">
        <v>210</v>
      </c>
      <c r="T20" s="12">
        <v>160</v>
      </c>
      <c r="U20" s="12">
        <v>79</v>
      </c>
      <c r="V20" s="12">
        <v>51</v>
      </c>
      <c r="W20" s="12">
        <v>38</v>
      </c>
      <c r="X20" s="12">
        <v>41</v>
      </c>
      <c r="Y20" s="12">
        <v>94</v>
      </c>
      <c r="Z20" s="12">
        <v>82</v>
      </c>
      <c r="AA20" s="12">
        <v>102</v>
      </c>
      <c r="AB20" s="12">
        <v>75</v>
      </c>
      <c r="AC20" s="12">
        <v>74</v>
      </c>
      <c r="AD20" s="12">
        <v>125</v>
      </c>
      <c r="AE20" s="12">
        <v>86</v>
      </c>
      <c r="AF20" s="12">
        <v>32</v>
      </c>
    </row>
    <row r="21" spans="1:32">
      <c r="A21" s="23"/>
      <c r="B21" s="13" t="s">
        <v>498</v>
      </c>
      <c r="C21" s="14">
        <v>0.08</v>
      </c>
      <c r="D21" s="14">
        <v>0.05</v>
      </c>
      <c r="E21" s="14">
        <v>0.1</v>
      </c>
      <c r="F21" s="14">
        <v>0.08</v>
      </c>
      <c r="G21" s="14">
        <v>0.04</v>
      </c>
      <c r="H21" s="14">
        <v>0.12</v>
      </c>
      <c r="I21" s="14">
        <v>0.11</v>
      </c>
      <c r="J21" s="14">
        <v>7.0000000000000007E-2</v>
      </c>
      <c r="K21" s="14">
        <v>0.15</v>
      </c>
      <c r="L21" s="14">
        <v>0.14000000000000001</v>
      </c>
      <c r="M21" s="14">
        <v>0.05</v>
      </c>
      <c r="N21" s="14">
        <v>0.08</v>
      </c>
      <c r="O21" s="14">
        <v>0.12</v>
      </c>
      <c r="P21" s="14">
        <v>0.03</v>
      </c>
      <c r="Q21" s="14">
        <v>0.04</v>
      </c>
      <c r="R21" s="14">
        <v>0.08</v>
      </c>
      <c r="S21" s="14">
        <v>0.21</v>
      </c>
      <c r="T21" s="14">
        <v>0.16</v>
      </c>
      <c r="U21" s="14">
        <v>0.16</v>
      </c>
      <c r="V21" s="14">
        <v>0.05</v>
      </c>
      <c r="W21" s="14">
        <v>0.08</v>
      </c>
      <c r="X21" s="14">
        <v>0.04</v>
      </c>
      <c r="Y21" s="14">
        <v>0.09</v>
      </c>
      <c r="Z21" s="14">
        <v>0.08</v>
      </c>
      <c r="AA21" s="14">
        <v>0.1</v>
      </c>
      <c r="AB21" s="14">
        <v>7.0000000000000007E-2</v>
      </c>
      <c r="AC21" s="14">
        <v>7.0000000000000007E-2</v>
      </c>
      <c r="AD21" s="14">
        <v>0.13</v>
      </c>
      <c r="AE21" s="14">
        <v>0.08</v>
      </c>
      <c r="AF21" s="14">
        <v>0.03</v>
      </c>
    </row>
    <row r="22" spans="1:32">
      <c r="A22" s="23"/>
      <c r="B22" s="11" t="s">
        <v>715</v>
      </c>
      <c r="C22" s="12">
        <v>15945</v>
      </c>
      <c r="D22" s="12">
        <v>556</v>
      </c>
      <c r="E22" s="12">
        <v>803</v>
      </c>
      <c r="F22" s="12">
        <v>726</v>
      </c>
      <c r="G22" s="12">
        <v>255</v>
      </c>
      <c r="H22" s="12">
        <v>496</v>
      </c>
      <c r="I22" s="12">
        <v>651</v>
      </c>
      <c r="J22" s="12">
        <v>155</v>
      </c>
      <c r="K22" s="12">
        <v>462</v>
      </c>
      <c r="L22" s="12">
        <v>590</v>
      </c>
      <c r="M22" s="12">
        <v>878</v>
      </c>
      <c r="N22" s="12">
        <v>735</v>
      </c>
      <c r="O22" s="12">
        <v>556</v>
      </c>
      <c r="P22" s="12">
        <v>839</v>
      </c>
      <c r="Q22" s="12">
        <v>816</v>
      </c>
      <c r="R22" s="12">
        <v>427</v>
      </c>
      <c r="S22" s="12">
        <v>532</v>
      </c>
      <c r="T22" s="12">
        <v>611</v>
      </c>
      <c r="U22" s="12">
        <v>233</v>
      </c>
      <c r="V22" s="12">
        <v>808</v>
      </c>
      <c r="W22" s="12">
        <v>403</v>
      </c>
      <c r="X22" s="12">
        <v>377</v>
      </c>
      <c r="Y22" s="12">
        <v>559</v>
      </c>
      <c r="Z22" s="12">
        <v>639</v>
      </c>
      <c r="AA22" s="12">
        <v>884</v>
      </c>
      <c r="AB22" s="12">
        <v>676</v>
      </c>
      <c r="AC22" s="12">
        <v>682</v>
      </c>
      <c r="AD22" s="12">
        <v>629</v>
      </c>
      <c r="AE22" s="12">
        <v>291</v>
      </c>
      <c r="AF22" s="12">
        <v>315</v>
      </c>
    </row>
    <row r="23" spans="1:32">
      <c r="A23" s="23"/>
      <c r="B23" s="13" t="s">
        <v>716</v>
      </c>
      <c r="C23" s="14">
        <v>0.61</v>
      </c>
      <c r="D23" s="14">
        <v>0.55000000000000004</v>
      </c>
      <c r="E23" s="14">
        <v>0.77</v>
      </c>
      <c r="F23" s="14">
        <v>0.72</v>
      </c>
      <c r="G23" s="14">
        <v>0.25</v>
      </c>
      <c r="H23" s="14">
        <v>0.41</v>
      </c>
      <c r="I23" s="14">
        <v>0.43</v>
      </c>
      <c r="J23" s="14">
        <v>0.53</v>
      </c>
      <c r="K23" s="14">
        <v>0.46</v>
      </c>
      <c r="L23" s="14">
        <v>0.59</v>
      </c>
      <c r="M23" s="14">
        <v>0.87</v>
      </c>
      <c r="N23" s="14">
        <v>0.74</v>
      </c>
      <c r="O23" s="14">
        <v>0.55000000000000004</v>
      </c>
      <c r="P23" s="14">
        <v>0.83000000000000007</v>
      </c>
      <c r="Q23" s="14">
        <v>0.8</v>
      </c>
      <c r="R23" s="14">
        <v>0.85</v>
      </c>
      <c r="S23" s="14">
        <v>0.53</v>
      </c>
      <c r="T23" s="14">
        <v>0.61</v>
      </c>
      <c r="U23" s="14">
        <v>0.46</v>
      </c>
      <c r="V23" s="14">
        <v>0.8</v>
      </c>
      <c r="W23" s="14">
        <v>0.8</v>
      </c>
      <c r="X23" s="14">
        <v>0.37</v>
      </c>
      <c r="Y23" s="14">
        <v>0.56000000000000005</v>
      </c>
      <c r="Z23" s="14">
        <v>0.63</v>
      </c>
      <c r="AA23" s="14">
        <v>0.85</v>
      </c>
      <c r="AB23" s="14">
        <v>0.66</v>
      </c>
      <c r="AC23" s="14">
        <v>0.68</v>
      </c>
      <c r="AD23" s="14">
        <v>0.62</v>
      </c>
      <c r="AE23" s="14">
        <v>0.28999999999999998</v>
      </c>
      <c r="AF23" s="14">
        <v>0.28999999999999998</v>
      </c>
    </row>
    <row r="24" spans="1:32">
      <c r="A24" s="23"/>
      <c r="B24" s="11" t="s">
        <v>717</v>
      </c>
      <c r="C24" s="12">
        <v>8220</v>
      </c>
      <c r="D24" s="12">
        <v>400</v>
      </c>
      <c r="E24" s="12">
        <v>136</v>
      </c>
      <c r="F24" s="12">
        <v>200</v>
      </c>
      <c r="G24" s="12">
        <v>705</v>
      </c>
      <c r="H24" s="12">
        <v>568</v>
      </c>
      <c r="I24" s="12">
        <v>688</v>
      </c>
      <c r="J24" s="12">
        <v>120</v>
      </c>
      <c r="K24" s="12">
        <v>391</v>
      </c>
      <c r="L24" s="12">
        <v>275</v>
      </c>
      <c r="M24" s="12">
        <v>88</v>
      </c>
      <c r="N24" s="12">
        <v>186</v>
      </c>
      <c r="O24" s="12">
        <v>330</v>
      </c>
      <c r="P24" s="12">
        <v>144</v>
      </c>
      <c r="Q24" s="12">
        <v>170</v>
      </c>
      <c r="R24" s="12">
        <v>38</v>
      </c>
      <c r="S24" s="12">
        <v>262</v>
      </c>
      <c r="T24" s="12">
        <v>232</v>
      </c>
      <c r="U24" s="12">
        <v>192</v>
      </c>
      <c r="V24" s="12">
        <v>152</v>
      </c>
      <c r="W24" s="12">
        <v>63</v>
      </c>
      <c r="X24" s="12">
        <v>597</v>
      </c>
      <c r="Y24" s="12">
        <v>355</v>
      </c>
      <c r="Z24" s="12">
        <v>296</v>
      </c>
      <c r="AA24" s="12">
        <v>54</v>
      </c>
      <c r="AB24" s="12">
        <v>280</v>
      </c>
      <c r="AC24" s="12">
        <v>250</v>
      </c>
      <c r="AD24" s="12">
        <v>248</v>
      </c>
      <c r="AE24" s="12">
        <v>630</v>
      </c>
      <c r="AF24" s="12">
        <v>726</v>
      </c>
    </row>
    <row r="25" spans="1:32">
      <c r="A25" s="23"/>
      <c r="B25" s="13" t="s">
        <v>718</v>
      </c>
      <c r="C25" s="14">
        <v>0.31</v>
      </c>
      <c r="D25" s="14">
        <v>0.4</v>
      </c>
      <c r="E25" s="14">
        <v>0.13</v>
      </c>
      <c r="F25" s="14">
        <v>0.2</v>
      </c>
      <c r="G25" s="14">
        <v>0.71</v>
      </c>
      <c r="H25" s="14">
        <v>0.47</v>
      </c>
      <c r="I25" s="14">
        <v>0.46</v>
      </c>
      <c r="J25" s="14">
        <v>0.4</v>
      </c>
      <c r="K25" s="14">
        <v>0.39</v>
      </c>
      <c r="L25" s="14">
        <v>0.27</v>
      </c>
      <c r="M25" s="14">
        <v>0.08</v>
      </c>
      <c r="N25" s="14">
        <v>0.18</v>
      </c>
      <c r="O25" s="14">
        <v>0.33</v>
      </c>
      <c r="P25" s="14">
        <v>0.14000000000000001</v>
      </c>
      <c r="Q25" s="14">
        <v>0.16</v>
      </c>
      <c r="R25" s="14">
        <v>7.0000000000000007E-2</v>
      </c>
      <c r="S25" s="14">
        <v>0.26</v>
      </c>
      <c r="T25" s="14">
        <v>0.23</v>
      </c>
      <c r="U25" s="14">
        <v>0.38</v>
      </c>
      <c r="V25" s="14">
        <v>0.15</v>
      </c>
      <c r="W25" s="14">
        <v>0.12</v>
      </c>
      <c r="X25" s="14">
        <v>0.59</v>
      </c>
      <c r="Y25" s="14">
        <v>0.35</v>
      </c>
      <c r="Z25" s="14">
        <v>0.28999999999999998</v>
      </c>
      <c r="AA25" s="14">
        <v>0.05</v>
      </c>
      <c r="AB25" s="14">
        <v>0.27</v>
      </c>
      <c r="AC25" s="14">
        <v>0.25</v>
      </c>
      <c r="AD25" s="14">
        <v>0.25</v>
      </c>
      <c r="AE25" s="14">
        <v>0.63</v>
      </c>
      <c r="AF25" s="14">
        <v>0.68</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7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1624</v>
      </c>
      <c r="C3" s="19"/>
      <c r="D3" s="19"/>
      <c r="E3" s="19"/>
      <c r="F3" s="19"/>
      <c r="H3" s="19" t="s">
        <v>1625</v>
      </c>
      <c r="I3" s="19"/>
      <c r="J3" s="19"/>
      <c r="K3" s="19"/>
      <c r="L3" s="19"/>
    </row>
    <row r="4" spans="1:32" ht="27" customHeight="1">
      <c r="B4" s="19" t="s">
        <v>1626</v>
      </c>
      <c r="C4" s="19"/>
      <c r="D4" s="19"/>
      <c r="E4" s="19"/>
      <c r="F4" s="19"/>
      <c r="H4" s="19" t="s">
        <v>1627</v>
      </c>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HYPERLINK("#Content!A188","&lt;&lt;Back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1612</v>
      </c>
      <c r="C12" s="12">
        <v>2285</v>
      </c>
      <c r="D12" s="12">
        <v>48</v>
      </c>
      <c r="E12" s="12">
        <v>100</v>
      </c>
      <c r="F12" s="12">
        <v>81</v>
      </c>
      <c r="G12" s="12">
        <v>11</v>
      </c>
      <c r="H12" s="12">
        <v>43</v>
      </c>
      <c r="I12" s="12">
        <v>46</v>
      </c>
      <c r="J12" s="12">
        <v>3</v>
      </c>
      <c r="K12" s="12">
        <v>57</v>
      </c>
      <c r="L12" s="12">
        <v>60</v>
      </c>
      <c r="M12" s="12">
        <v>285</v>
      </c>
      <c r="N12" s="12">
        <v>185</v>
      </c>
      <c r="O12" s="12">
        <v>24</v>
      </c>
      <c r="P12" s="12">
        <v>282</v>
      </c>
      <c r="Q12" s="12">
        <v>113</v>
      </c>
      <c r="R12" s="12">
        <v>125</v>
      </c>
      <c r="S12" s="12">
        <v>55</v>
      </c>
      <c r="T12" s="12">
        <v>38</v>
      </c>
      <c r="U12" s="12">
        <v>12</v>
      </c>
      <c r="V12" s="12">
        <v>91</v>
      </c>
      <c r="W12" s="12">
        <v>132</v>
      </c>
      <c r="X12" s="12">
        <v>35</v>
      </c>
      <c r="Y12" s="12">
        <v>117</v>
      </c>
      <c r="Z12" s="12">
        <v>108</v>
      </c>
      <c r="AA12" s="12">
        <v>157</v>
      </c>
      <c r="AB12" s="12">
        <v>163</v>
      </c>
      <c r="AC12" s="12">
        <v>91</v>
      </c>
      <c r="AD12" s="12">
        <v>46</v>
      </c>
      <c r="AE12" s="12">
        <v>15</v>
      </c>
      <c r="AF12" s="12">
        <v>32</v>
      </c>
    </row>
    <row r="13" spans="1:32">
      <c r="A13" s="23"/>
      <c r="B13" s="13" t="s">
        <v>708</v>
      </c>
      <c r="C13" s="14">
        <v>0.09</v>
      </c>
      <c r="D13" s="14">
        <v>0.05</v>
      </c>
      <c r="E13" s="14">
        <v>0.09</v>
      </c>
      <c r="F13" s="14">
        <v>0.08</v>
      </c>
      <c r="G13" s="14">
        <v>0.01</v>
      </c>
      <c r="H13" s="14">
        <v>0.04</v>
      </c>
      <c r="I13" s="14">
        <v>0.03</v>
      </c>
      <c r="J13" s="14">
        <v>0.01</v>
      </c>
      <c r="K13" s="14">
        <v>0.06</v>
      </c>
      <c r="L13" s="14">
        <v>0.06</v>
      </c>
      <c r="M13" s="14">
        <v>0.28000000000000003</v>
      </c>
      <c r="N13" s="14">
        <v>0.19</v>
      </c>
      <c r="O13" s="14">
        <v>0.02</v>
      </c>
      <c r="P13" s="14">
        <v>0.28000000000000003</v>
      </c>
      <c r="Q13" s="14">
        <v>0.11</v>
      </c>
      <c r="R13" s="14">
        <v>0.25</v>
      </c>
      <c r="S13" s="14">
        <v>0.05</v>
      </c>
      <c r="T13" s="14">
        <v>0.04</v>
      </c>
      <c r="U13" s="14">
        <v>0.02</v>
      </c>
      <c r="V13" s="14">
        <v>0.09</v>
      </c>
      <c r="W13" s="14">
        <v>0.27</v>
      </c>
      <c r="X13" s="14">
        <v>0.03</v>
      </c>
      <c r="Y13" s="14">
        <v>0.12</v>
      </c>
      <c r="Z13" s="14">
        <v>0.11</v>
      </c>
      <c r="AA13" s="14">
        <v>0.15</v>
      </c>
      <c r="AB13" s="14">
        <v>0.16</v>
      </c>
      <c r="AC13" s="14">
        <v>0.09</v>
      </c>
      <c r="AD13" s="14">
        <v>0.04</v>
      </c>
      <c r="AE13" s="14">
        <v>0.01</v>
      </c>
      <c r="AF13" s="14">
        <v>0.03</v>
      </c>
    </row>
    <row r="14" spans="1:32">
      <c r="A14" s="23"/>
      <c r="B14" s="11" t="s">
        <v>1613</v>
      </c>
      <c r="C14" s="12">
        <v>5512</v>
      </c>
      <c r="D14" s="12">
        <v>134</v>
      </c>
      <c r="E14" s="12">
        <v>236</v>
      </c>
      <c r="F14" s="12">
        <v>166</v>
      </c>
      <c r="G14" s="12">
        <v>26</v>
      </c>
      <c r="H14" s="12">
        <v>123</v>
      </c>
      <c r="I14" s="12">
        <v>156</v>
      </c>
      <c r="J14" s="12">
        <v>33</v>
      </c>
      <c r="K14" s="12">
        <v>195</v>
      </c>
      <c r="L14" s="12">
        <v>169</v>
      </c>
      <c r="M14" s="12">
        <v>384</v>
      </c>
      <c r="N14" s="12">
        <v>319</v>
      </c>
      <c r="O14" s="12">
        <v>57</v>
      </c>
      <c r="P14" s="12">
        <v>334</v>
      </c>
      <c r="Q14" s="12">
        <v>302</v>
      </c>
      <c r="R14" s="12">
        <v>174</v>
      </c>
      <c r="S14" s="12">
        <v>153</v>
      </c>
      <c r="T14" s="12">
        <v>193</v>
      </c>
      <c r="U14" s="12">
        <v>40</v>
      </c>
      <c r="V14" s="12">
        <v>233</v>
      </c>
      <c r="W14" s="12">
        <v>127</v>
      </c>
      <c r="X14" s="12">
        <v>76</v>
      </c>
      <c r="Y14" s="12">
        <v>159</v>
      </c>
      <c r="Z14" s="12">
        <v>371</v>
      </c>
      <c r="AA14" s="12">
        <v>505</v>
      </c>
      <c r="AB14" s="12">
        <v>454</v>
      </c>
      <c r="AC14" s="12">
        <v>245</v>
      </c>
      <c r="AD14" s="12">
        <v>269</v>
      </c>
      <c r="AE14" s="12">
        <v>78</v>
      </c>
      <c r="AF14" s="12">
        <v>101</v>
      </c>
    </row>
    <row r="15" spans="1:32">
      <c r="A15" s="23"/>
      <c r="B15" s="13" t="s">
        <v>710</v>
      </c>
      <c r="C15" s="14">
        <v>0.21</v>
      </c>
      <c r="D15" s="14">
        <v>0.13</v>
      </c>
      <c r="E15" s="14">
        <v>0.23</v>
      </c>
      <c r="F15" s="14">
        <v>0.16</v>
      </c>
      <c r="G15" s="14">
        <v>0.03</v>
      </c>
      <c r="H15" s="14">
        <v>0.1</v>
      </c>
      <c r="I15" s="14">
        <v>0.1</v>
      </c>
      <c r="J15" s="14">
        <v>0.11</v>
      </c>
      <c r="K15" s="14">
        <v>0.19</v>
      </c>
      <c r="L15" s="14">
        <v>0.17</v>
      </c>
      <c r="M15" s="14">
        <v>0.38</v>
      </c>
      <c r="N15" s="14">
        <v>0.32</v>
      </c>
      <c r="O15" s="14">
        <v>0.06</v>
      </c>
      <c r="P15" s="14">
        <v>0.33</v>
      </c>
      <c r="Q15" s="14">
        <v>0.3</v>
      </c>
      <c r="R15" s="14">
        <v>0.35</v>
      </c>
      <c r="S15" s="14">
        <v>0.15</v>
      </c>
      <c r="T15" s="14">
        <v>0.19</v>
      </c>
      <c r="U15" s="14">
        <v>0.08</v>
      </c>
      <c r="V15" s="14">
        <v>0.23</v>
      </c>
      <c r="W15" s="14">
        <v>0.25</v>
      </c>
      <c r="X15" s="14">
        <v>0.08</v>
      </c>
      <c r="Y15" s="14">
        <v>0.16</v>
      </c>
      <c r="Z15" s="14">
        <v>0.36</v>
      </c>
      <c r="AA15" s="14">
        <v>0.49</v>
      </c>
      <c r="AB15" s="14">
        <v>0.44</v>
      </c>
      <c r="AC15" s="14">
        <v>0.24</v>
      </c>
      <c r="AD15" s="14">
        <v>0.27</v>
      </c>
      <c r="AE15" s="14">
        <v>0.08</v>
      </c>
      <c r="AF15" s="14">
        <v>0.09</v>
      </c>
    </row>
    <row r="16" spans="1:32">
      <c r="A16" s="23"/>
      <c r="B16" s="11" t="s">
        <v>1614</v>
      </c>
      <c r="C16" s="12">
        <v>5816</v>
      </c>
      <c r="D16" s="12">
        <v>245</v>
      </c>
      <c r="E16" s="12">
        <v>313</v>
      </c>
      <c r="F16" s="12">
        <v>303</v>
      </c>
      <c r="G16" s="12">
        <v>86</v>
      </c>
      <c r="H16" s="12">
        <v>243</v>
      </c>
      <c r="I16" s="12">
        <v>313</v>
      </c>
      <c r="J16" s="12">
        <v>70</v>
      </c>
      <c r="K16" s="12">
        <v>257</v>
      </c>
      <c r="L16" s="12">
        <v>270</v>
      </c>
      <c r="M16" s="12">
        <v>240</v>
      </c>
      <c r="N16" s="12">
        <v>213</v>
      </c>
      <c r="O16" s="12">
        <v>172</v>
      </c>
      <c r="P16" s="12">
        <v>184</v>
      </c>
      <c r="Q16" s="12">
        <v>225</v>
      </c>
      <c r="R16" s="12">
        <v>102</v>
      </c>
      <c r="S16" s="12">
        <v>238</v>
      </c>
      <c r="T16" s="12">
        <v>233</v>
      </c>
      <c r="U16" s="12">
        <v>72</v>
      </c>
      <c r="V16" s="12">
        <v>225</v>
      </c>
      <c r="W16" s="12">
        <v>102</v>
      </c>
      <c r="X16" s="12">
        <v>189</v>
      </c>
      <c r="Y16" s="12">
        <v>182</v>
      </c>
      <c r="Z16" s="12">
        <v>340</v>
      </c>
      <c r="AA16" s="12">
        <v>197</v>
      </c>
      <c r="AB16" s="12">
        <v>275</v>
      </c>
      <c r="AC16" s="12">
        <v>266</v>
      </c>
      <c r="AD16" s="12">
        <v>357</v>
      </c>
      <c r="AE16" s="12">
        <v>149</v>
      </c>
      <c r="AF16" s="12">
        <v>187</v>
      </c>
    </row>
    <row r="17" spans="1:32">
      <c r="A17" s="23"/>
      <c r="B17" s="13" t="s">
        <v>712</v>
      </c>
      <c r="C17" s="14">
        <v>0.22</v>
      </c>
      <c r="D17" s="14">
        <v>0.24</v>
      </c>
      <c r="E17" s="14">
        <v>0.3</v>
      </c>
      <c r="F17" s="14">
        <v>0.3</v>
      </c>
      <c r="G17" s="14">
        <v>0.08</v>
      </c>
      <c r="H17" s="14">
        <v>0.2</v>
      </c>
      <c r="I17" s="14">
        <v>0.21</v>
      </c>
      <c r="J17" s="14">
        <v>0.24</v>
      </c>
      <c r="K17" s="14">
        <v>0.26</v>
      </c>
      <c r="L17" s="14">
        <v>0.27</v>
      </c>
      <c r="M17" s="14">
        <v>0.24</v>
      </c>
      <c r="N17" s="14">
        <v>0.21</v>
      </c>
      <c r="O17" s="14">
        <v>0.17</v>
      </c>
      <c r="P17" s="14">
        <v>0.18</v>
      </c>
      <c r="Q17" s="14">
        <v>0.22</v>
      </c>
      <c r="R17" s="14">
        <v>0.2</v>
      </c>
      <c r="S17" s="14">
        <v>0.24</v>
      </c>
      <c r="T17" s="14">
        <v>0.23</v>
      </c>
      <c r="U17" s="14">
        <v>0.14000000000000001</v>
      </c>
      <c r="V17" s="14">
        <v>0.22</v>
      </c>
      <c r="W17" s="14">
        <v>0.2</v>
      </c>
      <c r="X17" s="14">
        <v>0.19</v>
      </c>
      <c r="Y17" s="14">
        <v>0.18</v>
      </c>
      <c r="Z17" s="14">
        <v>0.33</v>
      </c>
      <c r="AA17" s="14">
        <v>0.19</v>
      </c>
      <c r="AB17" s="14">
        <v>0.27</v>
      </c>
      <c r="AC17" s="14">
        <v>0.27</v>
      </c>
      <c r="AD17" s="14">
        <v>0.36</v>
      </c>
      <c r="AE17" s="14">
        <v>0.15</v>
      </c>
      <c r="AF17" s="14">
        <v>0.18</v>
      </c>
    </row>
    <row r="18" spans="1:32">
      <c r="A18" s="23"/>
      <c r="B18" s="11" t="s">
        <v>1615</v>
      </c>
      <c r="C18" s="12">
        <v>11146</v>
      </c>
      <c r="D18" s="12">
        <v>553</v>
      </c>
      <c r="E18" s="12">
        <v>282</v>
      </c>
      <c r="F18" s="12">
        <v>379</v>
      </c>
      <c r="G18" s="12">
        <v>860</v>
      </c>
      <c r="H18" s="12">
        <v>679</v>
      </c>
      <c r="I18" s="12">
        <v>860</v>
      </c>
      <c r="J18" s="12">
        <v>181</v>
      </c>
      <c r="K18" s="12">
        <v>397</v>
      </c>
      <c r="L18" s="12">
        <v>390</v>
      </c>
      <c r="M18" s="12">
        <v>95</v>
      </c>
      <c r="N18" s="12">
        <v>222</v>
      </c>
      <c r="O18" s="12">
        <v>706</v>
      </c>
      <c r="P18" s="12">
        <v>160</v>
      </c>
      <c r="Q18" s="12">
        <v>341</v>
      </c>
      <c r="R18" s="12">
        <v>70</v>
      </c>
      <c r="S18" s="12">
        <v>460</v>
      </c>
      <c r="T18" s="12">
        <v>461</v>
      </c>
      <c r="U18" s="12">
        <v>350</v>
      </c>
      <c r="V18" s="12">
        <v>422</v>
      </c>
      <c r="W18" s="12">
        <v>100</v>
      </c>
      <c r="X18" s="12">
        <v>676</v>
      </c>
      <c r="Y18" s="12">
        <v>512</v>
      </c>
      <c r="Z18" s="12">
        <v>119</v>
      </c>
      <c r="AA18" s="12">
        <v>74</v>
      </c>
      <c r="AB18" s="12">
        <v>63</v>
      </c>
      <c r="AC18" s="12">
        <v>342</v>
      </c>
      <c r="AD18" s="12">
        <v>248</v>
      </c>
      <c r="AE18" s="12">
        <v>725</v>
      </c>
      <c r="AF18" s="12">
        <v>724</v>
      </c>
    </row>
    <row r="19" spans="1:32">
      <c r="A19" s="23"/>
      <c r="B19" s="13" t="s">
        <v>714</v>
      </c>
      <c r="C19" s="14">
        <v>0.42</v>
      </c>
      <c r="D19" s="14">
        <v>0.55000000000000004</v>
      </c>
      <c r="E19" s="14">
        <v>0.27</v>
      </c>
      <c r="F19" s="14">
        <v>0.38</v>
      </c>
      <c r="G19" s="14">
        <v>0.86</v>
      </c>
      <c r="H19" s="14">
        <v>0.56000000000000005</v>
      </c>
      <c r="I19" s="14">
        <v>0.57000000000000006</v>
      </c>
      <c r="J19" s="14">
        <v>0.62</v>
      </c>
      <c r="K19" s="14">
        <v>0.39</v>
      </c>
      <c r="L19" s="14">
        <v>0.38</v>
      </c>
      <c r="M19" s="14">
        <v>0.09</v>
      </c>
      <c r="N19" s="14">
        <v>0.22</v>
      </c>
      <c r="O19" s="14">
        <v>0.70000000000000007</v>
      </c>
      <c r="P19" s="14">
        <v>0.16</v>
      </c>
      <c r="Q19" s="14">
        <v>0.33</v>
      </c>
      <c r="R19" s="14">
        <v>0.14000000000000001</v>
      </c>
      <c r="S19" s="14">
        <v>0.46</v>
      </c>
      <c r="T19" s="14">
        <v>0.46</v>
      </c>
      <c r="U19" s="14">
        <v>0.70000000000000007</v>
      </c>
      <c r="V19" s="14">
        <v>0.42</v>
      </c>
      <c r="W19" s="14">
        <v>0.2</v>
      </c>
      <c r="X19" s="14">
        <v>0.66</v>
      </c>
      <c r="Y19" s="14">
        <v>0.51</v>
      </c>
      <c r="Z19" s="14">
        <v>0.12</v>
      </c>
      <c r="AA19" s="14">
        <v>7.0000000000000007E-2</v>
      </c>
      <c r="AB19" s="14">
        <v>0.06</v>
      </c>
      <c r="AC19" s="14">
        <v>0.34</v>
      </c>
      <c r="AD19" s="14">
        <v>0.25</v>
      </c>
      <c r="AE19" s="14">
        <v>0.72</v>
      </c>
      <c r="AF19" s="14">
        <v>0.67</v>
      </c>
    </row>
    <row r="20" spans="1:32">
      <c r="A20" s="23"/>
      <c r="B20" s="11" t="s">
        <v>497</v>
      </c>
      <c r="C20" s="12">
        <v>1595</v>
      </c>
      <c r="D20" s="12">
        <v>26</v>
      </c>
      <c r="E20" s="12">
        <v>114</v>
      </c>
      <c r="F20" s="12">
        <v>78</v>
      </c>
      <c r="G20" s="12">
        <v>20</v>
      </c>
      <c r="H20" s="12">
        <v>123</v>
      </c>
      <c r="I20" s="12">
        <v>130</v>
      </c>
      <c r="J20" s="12">
        <v>6</v>
      </c>
      <c r="K20" s="12">
        <v>97</v>
      </c>
      <c r="L20" s="12">
        <v>118</v>
      </c>
      <c r="M20" s="12">
        <v>8</v>
      </c>
      <c r="N20" s="12">
        <v>62</v>
      </c>
      <c r="O20" s="12">
        <v>46</v>
      </c>
      <c r="P20" s="12">
        <v>50</v>
      </c>
      <c r="Q20" s="12">
        <v>42</v>
      </c>
      <c r="R20" s="12">
        <v>30</v>
      </c>
      <c r="S20" s="12">
        <v>99</v>
      </c>
      <c r="T20" s="12">
        <v>79</v>
      </c>
      <c r="U20" s="12">
        <v>29</v>
      </c>
      <c r="V20" s="12">
        <v>41</v>
      </c>
      <c r="W20" s="12">
        <v>42</v>
      </c>
      <c r="X20" s="12">
        <v>40</v>
      </c>
      <c r="Y20" s="12">
        <v>36</v>
      </c>
      <c r="Z20" s="12">
        <v>79</v>
      </c>
      <c r="AA20" s="12">
        <v>107</v>
      </c>
      <c r="AB20" s="12">
        <v>76</v>
      </c>
      <c r="AC20" s="12">
        <v>60</v>
      </c>
      <c r="AD20" s="12">
        <v>82</v>
      </c>
      <c r="AE20" s="12">
        <v>41</v>
      </c>
      <c r="AF20" s="12">
        <v>29</v>
      </c>
    </row>
    <row r="21" spans="1:32">
      <c r="A21" s="23"/>
      <c r="B21" s="13" t="s">
        <v>498</v>
      </c>
      <c r="C21" s="14">
        <v>0.06</v>
      </c>
      <c r="D21" s="14">
        <v>0.03</v>
      </c>
      <c r="E21" s="14">
        <v>0.11</v>
      </c>
      <c r="F21" s="14">
        <v>0.08</v>
      </c>
      <c r="G21" s="14">
        <v>0.02</v>
      </c>
      <c r="H21" s="14">
        <v>0.1</v>
      </c>
      <c r="I21" s="14">
        <v>0.09</v>
      </c>
      <c r="J21" s="14">
        <v>0.02</v>
      </c>
      <c r="K21" s="14">
        <v>0.1</v>
      </c>
      <c r="L21" s="14">
        <v>0.12</v>
      </c>
      <c r="M21" s="14">
        <v>0.01</v>
      </c>
      <c r="N21" s="14">
        <v>0.06</v>
      </c>
      <c r="O21" s="14">
        <v>0.05</v>
      </c>
      <c r="P21" s="14">
        <v>0.05</v>
      </c>
      <c r="Q21" s="14">
        <v>0.04</v>
      </c>
      <c r="R21" s="14">
        <v>0.06</v>
      </c>
      <c r="S21" s="14">
        <v>0.1</v>
      </c>
      <c r="T21" s="14">
        <v>0.08</v>
      </c>
      <c r="U21" s="14">
        <v>0.06</v>
      </c>
      <c r="V21" s="14">
        <v>0.04</v>
      </c>
      <c r="W21" s="14">
        <v>0.08</v>
      </c>
      <c r="X21" s="14">
        <v>0.04</v>
      </c>
      <c r="Y21" s="14">
        <v>0.03</v>
      </c>
      <c r="Z21" s="14">
        <v>0.08</v>
      </c>
      <c r="AA21" s="14">
        <v>0.1</v>
      </c>
      <c r="AB21" s="14">
        <v>7.0000000000000007E-2</v>
      </c>
      <c r="AC21" s="14">
        <v>0.06</v>
      </c>
      <c r="AD21" s="14">
        <v>0.08</v>
      </c>
      <c r="AE21" s="14">
        <v>0.04</v>
      </c>
      <c r="AF21" s="14">
        <v>0.03</v>
      </c>
    </row>
    <row r="22" spans="1:32">
      <c r="A22" s="23"/>
      <c r="B22" s="11" t="s">
        <v>715</v>
      </c>
      <c r="C22" s="12">
        <v>7797</v>
      </c>
      <c r="D22" s="12">
        <v>182</v>
      </c>
      <c r="E22" s="12">
        <v>336</v>
      </c>
      <c r="F22" s="12">
        <v>247</v>
      </c>
      <c r="G22" s="12">
        <v>37</v>
      </c>
      <c r="H22" s="12">
        <v>166</v>
      </c>
      <c r="I22" s="12">
        <v>202</v>
      </c>
      <c r="J22" s="12">
        <v>36</v>
      </c>
      <c r="K22" s="12">
        <v>252</v>
      </c>
      <c r="L22" s="12">
        <v>229</v>
      </c>
      <c r="M22" s="12">
        <v>669</v>
      </c>
      <c r="N22" s="12">
        <v>504</v>
      </c>
      <c r="O22" s="12">
        <v>81</v>
      </c>
      <c r="P22" s="12">
        <v>616</v>
      </c>
      <c r="Q22" s="12">
        <v>415</v>
      </c>
      <c r="R22" s="12">
        <v>299</v>
      </c>
      <c r="S22" s="12">
        <v>208</v>
      </c>
      <c r="T22" s="12">
        <v>231</v>
      </c>
      <c r="U22" s="12">
        <v>52</v>
      </c>
      <c r="V22" s="12">
        <v>324</v>
      </c>
      <c r="W22" s="12">
        <v>259</v>
      </c>
      <c r="X22" s="12">
        <v>111</v>
      </c>
      <c r="Y22" s="12">
        <v>276</v>
      </c>
      <c r="Z22" s="12">
        <v>479</v>
      </c>
      <c r="AA22" s="12">
        <v>662</v>
      </c>
      <c r="AB22" s="12">
        <v>617</v>
      </c>
      <c r="AC22" s="12">
        <v>336</v>
      </c>
      <c r="AD22" s="12">
        <v>315</v>
      </c>
      <c r="AE22" s="12">
        <v>93</v>
      </c>
      <c r="AF22" s="12">
        <v>133</v>
      </c>
    </row>
    <row r="23" spans="1:32">
      <c r="A23" s="23"/>
      <c r="B23" s="13" t="s">
        <v>716</v>
      </c>
      <c r="C23" s="14">
        <v>0.3</v>
      </c>
      <c r="D23" s="14">
        <v>0.18</v>
      </c>
      <c r="E23" s="14">
        <v>0.32</v>
      </c>
      <c r="F23" s="14">
        <v>0.24</v>
      </c>
      <c r="G23" s="14">
        <v>0.04</v>
      </c>
      <c r="H23" s="14">
        <v>0.14000000000000001</v>
      </c>
      <c r="I23" s="14">
        <v>0.13</v>
      </c>
      <c r="J23" s="14">
        <v>0.12</v>
      </c>
      <c r="K23" s="14">
        <v>0.25</v>
      </c>
      <c r="L23" s="14">
        <v>0.23</v>
      </c>
      <c r="M23" s="14">
        <v>0.66</v>
      </c>
      <c r="N23" s="14">
        <v>0.51</v>
      </c>
      <c r="O23" s="14">
        <v>0.08</v>
      </c>
      <c r="P23" s="14">
        <v>0.61</v>
      </c>
      <c r="Q23" s="14">
        <v>0.41</v>
      </c>
      <c r="R23" s="14">
        <v>0.6</v>
      </c>
      <c r="S23" s="14">
        <v>0.2</v>
      </c>
      <c r="T23" s="14">
        <v>0.23</v>
      </c>
      <c r="U23" s="14">
        <v>0.1</v>
      </c>
      <c r="V23" s="14">
        <v>0.32</v>
      </c>
      <c r="W23" s="14">
        <v>0.52</v>
      </c>
      <c r="X23" s="14">
        <v>0.11</v>
      </c>
      <c r="Y23" s="14">
        <v>0.28000000000000003</v>
      </c>
      <c r="Z23" s="14">
        <v>0.47</v>
      </c>
      <c r="AA23" s="14">
        <v>0.64</v>
      </c>
      <c r="AB23" s="14">
        <v>0.6</v>
      </c>
      <c r="AC23" s="14">
        <v>0.33</v>
      </c>
      <c r="AD23" s="14">
        <v>0.31</v>
      </c>
      <c r="AE23" s="14">
        <v>0.09</v>
      </c>
      <c r="AF23" s="14">
        <v>0.12</v>
      </c>
    </row>
    <row r="24" spans="1:32">
      <c r="A24" s="23"/>
      <c r="B24" s="11" t="s">
        <v>717</v>
      </c>
      <c r="C24" s="12">
        <v>16962</v>
      </c>
      <c r="D24" s="12">
        <v>798</v>
      </c>
      <c r="E24" s="12">
        <v>595</v>
      </c>
      <c r="F24" s="12">
        <v>682</v>
      </c>
      <c r="G24" s="12">
        <v>946</v>
      </c>
      <c r="H24" s="12">
        <v>922</v>
      </c>
      <c r="I24" s="12">
        <v>1173</v>
      </c>
      <c r="J24" s="12">
        <v>251</v>
      </c>
      <c r="K24" s="12">
        <v>654</v>
      </c>
      <c r="L24" s="12">
        <v>660</v>
      </c>
      <c r="M24" s="12">
        <v>335</v>
      </c>
      <c r="N24" s="12">
        <v>435</v>
      </c>
      <c r="O24" s="12">
        <v>878</v>
      </c>
      <c r="P24" s="12">
        <v>344</v>
      </c>
      <c r="Q24" s="12">
        <v>566</v>
      </c>
      <c r="R24" s="12">
        <v>172</v>
      </c>
      <c r="S24" s="12">
        <v>698</v>
      </c>
      <c r="T24" s="12">
        <v>694</v>
      </c>
      <c r="U24" s="12">
        <v>422</v>
      </c>
      <c r="V24" s="12">
        <v>647</v>
      </c>
      <c r="W24" s="12">
        <v>202</v>
      </c>
      <c r="X24" s="12">
        <v>865</v>
      </c>
      <c r="Y24" s="12">
        <v>694</v>
      </c>
      <c r="Z24" s="12">
        <v>459</v>
      </c>
      <c r="AA24" s="12">
        <v>271</v>
      </c>
      <c r="AB24" s="12">
        <v>338</v>
      </c>
      <c r="AC24" s="12">
        <v>608</v>
      </c>
      <c r="AD24" s="12">
        <v>605</v>
      </c>
      <c r="AE24" s="12">
        <v>874</v>
      </c>
      <c r="AF24" s="12">
        <v>911</v>
      </c>
    </row>
    <row r="25" spans="1:32">
      <c r="A25" s="23"/>
      <c r="B25" s="13" t="s">
        <v>718</v>
      </c>
      <c r="C25" s="14">
        <v>0.64</v>
      </c>
      <c r="D25" s="14">
        <v>0.79</v>
      </c>
      <c r="E25" s="14">
        <v>0.57000000000000006</v>
      </c>
      <c r="F25" s="14">
        <v>0.68</v>
      </c>
      <c r="G25" s="14">
        <v>0.94000000000000006</v>
      </c>
      <c r="H25" s="14">
        <v>0.76</v>
      </c>
      <c r="I25" s="14">
        <v>0.78</v>
      </c>
      <c r="J25" s="14">
        <v>0.86</v>
      </c>
      <c r="K25" s="14">
        <v>0.65</v>
      </c>
      <c r="L25" s="14">
        <v>0.65</v>
      </c>
      <c r="M25" s="14">
        <v>0.33</v>
      </c>
      <c r="N25" s="14">
        <v>0.43</v>
      </c>
      <c r="O25" s="14">
        <v>0.87</v>
      </c>
      <c r="P25" s="14">
        <v>0.34</v>
      </c>
      <c r="Q25" s="14">
        <v>0.55000000000000004</v>
      </c>
      <c r="R25" s="14">
        <v>0.34</v>
      </c>
      <c r="S25" s="14">
        <v>0.70000000000000007</v>
      </c>
      <c r="T25" s="14">
        <v>0.69000000000000006</v>
      </c>
      <c r="U25" s="14">
        <v>0.84</v>
      </c>
      <c r="V25" s="14">
        <v>0.64</v>
      </c>
      <c r="W25" s="14">
        <v>0.4</v>
      </c>
      <c r="X25" s="14">
        <v>0.85</v>
      </c>
      <c r="Y25" s="14">
        <v>0.69000000000000006</v>
      </c>
      <c r="Z25" s="14">
        <v>0.45</v>
      </c>
      <c r="AA25" s="14">
        <v>0.26</v>
      </c>
      <c r="AB25" s="14">
        <v>0.33</v>
      </c>
      <c r="AC25" s="14">
        <v>0.61</v>
      </c>
      <c r="AD25" s="14">
        <v>0.61</v>
      </c>
      <c r="AE25" s="14">
        <v>0.87</v>
      </c>
      <c r="AF25" s="14">
        <v>0.85</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8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1628</v>
      </c>
      <c r="C3" s="19"/>
      <c r="D3" s="19"/>
      <c r="E3" s="19"/>
      <c r="F3" s="19"/>
      <c r="H3" s="19" t="s">
        <v>1629</v>
      </c>
      <c r="I3" s="19"/>
      <c r="J3" s="19"/>
      <c r="K3" s="19"/>
      <c r="L3" s="19"/>
    </row>
    <row r="4" spans="1:32" ht="27" customHeight="1">
      <c r="B4" s="19" t="s">
        <v>1630</v>
      </c>
      <c r="C4" s="19"/>
      <c r="D4" s="19"/>
      <c r="E4" s="19"/>
      <c r="F4" s="19"/>
      <c r="H4" s="19" t="s">
        <v>1631</v>
      </c>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HYPERLINK("#Content!A189","&lt;&lt;Back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1612</v>
      </c>
      <c r="C12" s="12">
        <v>2413</v>
      </c>
      <c r="D12" s="12">
        <v>97</v>
      </c>
      <c r="E12" s="12">
        <v>51</v>
      </c>
      <c r="F12" s="12">
        <v>76</v>
      </c>
      <c r="G12" s="12">
        <v>83</v>
      </c>
      <c r="H12" s="12">
        <v>91</v>
      </c>
      <c r="I12" s="12">
        <v>106</v>
      </c>
      <c r="J12" s="12">
        <v>15</v>
      </c>
      <c r="K12" s="12">
        <v>48</v>
      </c>
      <c r="L12" s="12">
        <v>72</v>
      </c>
      <c r="M12" s="12">
        <v>86</v>
      </c>
      <c r="N12" s="12">
        <v>90</v>
      </c>
      <c r="O12" s="12">
        <v>43</v>
      </c>
      <c r="P12" s="12">
        <v>161</v>
      </c>
      <c r="Q12" s="12">
        <v>144</v>
      </c>
      <c r="R12" s="12">
        <v>23</v>
      </c>
      <c r="S12" s="12">
        <v>43</v>
      </c>
      <c r="T12" s="12">
        <v>80</v>
      </c>
      <c r="U12" s="12">
        <v>22</v>
      </c>
      <c r="V12" s="12">
        <v>97</v>
      </c>
      <c r="W12" s="12">
        <v>37</v>
      </c>
      <c r="X12" s="12">
        <v>105</v>
      </c>
      <c r="Y12" s="12">
        <v>202</v>
      </c>
      <c r="Z12" s="12">
        <v>112</v>
      </c>
      <c r="AA12" s="12">
        <v>99</v>
      </c>
      <c r="AB12" s="12">
        <v>177</v>
      </c>
      <c r="AC12" s="12">
        <v>43</v>
      </c>
      <c r="AD12" s="12">
        <v>42</v>
      </c>
      <c r="AE12" s="12">
        <v>99</v>
      </c>
      <c r="AF12" s="12">
        <v>57</v>
      </c>
    </row>
    <row r="13" spans="1:32">
      <c r="A13" s="23"/>
      <c r="B13" s="13" t="s">
        <v>708</v>
      </c>
      <c r="C13" s="14">
        <v>0.09</v>
      </c>
      <c r="D13" s="14">
        <v>0.1</v>
      </c>
      <c r="E13" s="14">
        <v>0.05</v>
      </c>
      <c r="F13" s="14">
        <v>0.08</v>
      </c>
      <c r="G13" s="14">
        <v>0.08</v>
      </c>
      <c r="H13" s="14">
        <v>0.08</v>
      </c>
      <c r="I13" s="14">
        <v>7.0000000000000007E-2</v>
      </c>
      <c r="J13" s="14">
        <v>0.05</v>
      </c>
      <c r="K13" s="14">
        <v>0.05</v>
      </c>
      <c r="L13" s="14">
        <v>7.0000000000000007E-2</v>
      </c>
      <c r="M13" s="14">
        <v>0.09</v>
      </c>
      <c r="N13" s="14">
        <v>0.09</v>
      </c>
      <c r="O13" s="14">
        <v>0.04</v>
      </c>
      <c r="P13" s="14">
        <v>0.16</v>
      </c>
      <c r="Q13" s="14">
        <v>0.14000000000000001</v>
      </c>
      <c r="R13" s="14">
        <v>0.05</v>
      </c>
      <c r="S13" s="14">
        <v>0.04</v>
      </c>
      <c r="T13" s="14">
        <v>0.08</v>
      </c>
      <c r="U13" s="14">
        <v>0.04</v>
      </c>
      <c r="V13" s="14">
        <v>0.1</v>
      </c>
      <c r="W13" s="14">
        <v>7.0000000000000007E-2</v>
      </c>
      <c r="X13" s="14">
        <v>0.1</v>
      </c>
      <c r="Y13" s="14">
        <v>0.2</v>
      </c>
      <c r="Z13" s="14">
        <v>0.11</v>
      </c>
      <c r="AA13" s="14">
        <v>0.1</v>
      </c>
      <c r="AB13" s="14">
        <v>0.17</v>
      </c>
      <c r="AC13" s="14">
        <v>0.04</v>
      </c>
      <c r="AD13" s="14">
        <v>0.04</v>
      </c>
      <c r="AE13" s="14">
        <v>0.1</v>
      </c>
      <c r="AF13" s="14">
        <v>0.05</v>
      </c>
    </row>
    <row r="14" spans="1:32">
      <c r="A14" s="23"/>
      <c r="B14" s="11" t="s">
        <v>1613</v>
      </c>
      <c r="C14" s="12">
        <v>7222</v>
      </c>
      <c r="D14" s="12">
        <v>396</v>
      </c>
      <c r="E14" s="12">
        <v>134</v>
      </c>
      <c r="F14" s="12">
        <v>262</v>
      </c>
      <c r="G14" s="12">
        <v>214</v>
      </c>
      <c r="H14" s="12">
        <v>378</v>
      </c>
      <c r="I14" s="12">
        <v>459</v>
      </c>
      <c r="J14" s="12">
        <v>81</v>
      </c>
      <c r="K14" s="12">
        <v>334</v>
      </c>
      <c r="L14" s="12">
        <v>226</v>
      </c>
      <c r="M14" s="12">
        <v>245</v>
      </c>
      <c r="N14" s="12">
        <v>208</v>
      </c>
      <c r="O14" s="12">
        <v>197</v>
      </c>
      <c r="P14" s="12">
        <v>241</v>
      </c>
      <c r="Q14" s="12">
        <v>300</v>
      </c>
      <c r="R14" s="12">
        <v>52</v>
      </c>
      <c r="S14" s="12">
        <v>190</v>
      </c>
      <c r="T14" s="12">
        <v>370</v>
      </c>
      <c r="U14" s="12">
        <v>154</v>
      </c>
      <c r="V14" s="12">
        <v>248</v>
      </c>
      <c r="W14" s="12">
        <v>123</v>
      </c>
      <c r="X14" s="12">
        <v>371</v>
      </c>
      <c r="Y14" s="12">
        <v>357</v>
      </c>
      <c r="Z14" s="12">
        <v>357</v>
      </c>
      <c r="AA14" s="12">
        <v>231</v>
      </c>
      <c r="AB14" s="12">
        <v>351</v>
      </c>
      <c r="AC14" s="12">
        <v>214</v>
      </c>
      <c r="AD14" s="12">
        <v>219</v>
      </c>
      <c r="AE14" s="12">
        <v>390</v>
      </c>
      <c r="AF14" s="12">
        <v>256</v>
      </c>
    </row>
    <row r="15" spans="1:32">
      <c r="A15" s="23"/>
      <c r="B15" s="13" t="s">
        <v>710</v>
      </c>
      <c r="C15" s="14">
        <v>0.27</v>
      </c>
      <c r="D15" s="14">
        <v>0.39</v>
      </c>
      <c r="E15" s="14">
        <v>0.13</v>
      </c>
      <c r="F15" s="14">
        <v>0.26</v>
      </c>
      <c r="G15" s="14">
        <v>0.21</v>
      </c>
      <c r="H15" s="14">
        <v>0.31</v>
      </c>
      <c r="I15" s="14">
        <v>0.31</v>
      </c>
      <c r="J15" s="14">
        <v>0.28000000000000003</v>
      </c>
      <c r="K15" s="14">
        <v>0.33</v>
      </c>
      <c r="L15" s="14">
        <v>0.22</v>
      </c>
      <c r="M15" s="14">
        <v>0.24</v>
      </c>
      <c r="N15" s="14">
        <v>0.21</v>
      </c>
      <c r="O15" s="14">
        <v>0.2</v>
      </c>
      <c r="P15" s="14">
        <v>0.24</v>
      </c>
      <c r="Q15" s="14">
        <v>0.28999999999999998</v>
      </c>
      <c r="R15" s="14">
        <v>0.1</v>
      </c>
      <c r="S15" s="14">
        <v>0.19</v>
      </c>
      <c r="T15" s="14">
        <v>0.37</v>
      </c>
      <c r="U15" s="14">
        <v>0.31</v>
      </c>
      <c r="V15" s="14">
        <v>0.24</v>
      </c>
      <c r="W15" s="14">
        <v>0.25</v>
      </c>
      <c r="X15" s="14">
        <v>0.37</v>
      </c>
      <c r="Y15" s="14">
        <v>0.35</v>
      </c>
      <c r="Z15" s="14">
        <v>0.35</v>
      </c>
      <c r="AA15" s="14">
        <v>0.22</v>
      </c>
      <c r="AB15" s="14">
        <v>0.34</v>
      </c>
      <c r="AC15" s="14">
        <v>0.22</v>
      </c>
      <c r="AD15" s="14">
        <v>0.22</v>
      </c>
      <c r="AE15" s="14">
        <v>0.39</v>
      </c>
      <c r="AF15" s="14">
        <v>0.24</v>
      </c>
    </row>
    <row r="16" spans="1:32">
      <c r="A16" s="23"/>
      <c r="B16" s="11" t="s">
        <v>1614</v>
      </c>
      <c r="C16" s="12">
        <v>8710</v>
      </c>
      <c r="D16" s="12">
        <v>332</v>
      </c>
      <c r="E16" s="12">
        <v>297</v>
      </c>
      <c r="F16" s="12">
        <v>411</v>
      </c>
      <c r="G16" s="12">
        <v>229</v>
      </c>
      <c r="H16" s="12">
        <v>381</v>
      </c>
      <c r="I16" s="12">
        <v>501</v>
      </c>
      <c r="J16" s="12">
        <v>120</v>
      </c>
      <c r="K16" s="12">
        <v>255</v>
      </c>
      <c r="L16" s="12">
        <v>346</v>
      </c>
      <c r="M16" s="12">
        <v>358</v>
      </c>
      <c r="N16" s="12">
        <v>338</v>
      </c>
      <c r="O16" s="12">
        <v>377</v>
      </c>
      <c r="P16" s="12">
        <v>229</v>
      </c>
      <c r="Q16" s="12">
        <v>298</v>
      </c>
      <c r="R16" s="12">
        <v>173</v>
      </c>
      <c r="S16" s="12">
        <v>340</v>
      </c>
      <c r="T16" s="12">
        <v>331</v>
      </c>
      <c r="U16" s="12">
        <v>119</v>
      </c>
      <c r="V16" s="12">
        <v>321</v>
      </c>
      <c r="W16" s="12">
        <v>127</v>
      </c>
      <c r="X16" s="12">
        <v>342</v>
      </c>
      <c r="Y16" s="12">
        <v>228</v>
      </c>
      <c r="Z16" s="12">
        <v>330</v>
      </c>
      <c r="AA16" s="12">
        <v>450</v>
      </c>
      <c r="AB16" s="12">
        <v>297</v>
      </c>
      <c r="AC16" s="12">
        <v>334</v>
      </c>
      <c r="AD16" s="12">
        <v>426</v>
      </c>
      <c r="AE16" s="12">
        <v>247</v>
      </c>
      <c r="AF16" s="12">
        <v>361</v>
      </c>
    </row>
    <row r="17" spans="1:32">
      <c r="A17" s="23"/>
      <c r="B17" s="13" t="s">
        <v>712</v>
      </c>
      <c r="C17" s="14">
        <v>0.33</v>
      </c>
      <c r="D17" s="14">
        <v>0.33</v>
      </c>
      <c r="E17" s="14">
        <v>0.28000000000000003</v>
      </c>
      <c r="F17" s="14">
        <v>0.41</v>
      </c>
      <c r="G17" s="14">
        <v>0.23</v>
      </c>
      <c r="H17" s="14">
        <v>0.31</v>
      </c>
      <c r="I17" s="14">
        <v>0.33</v>
      </c>
      <c r="J17" s="14">
        <v>0.41</v>
      </c>
      <c r="K17" s="14">
        <v>0.25</v>
      </c>
      <c r="L17" s="14">
        <v>0.34</v>
      </c>
      <c r="M17" s="14">
        <v>0.35</v>
      </c>
      <c r="N17" s="14">
        <v>0.34</v>
      </c>
      <c r="O17" s="14">
        <v>0.37</v>
      </c>
      <c r="P17" s="14">
        <v>0.22</v>
      </c>
      <c r="Q17" s="14">
        <v>0.28999999999999998</v>
      </c>
      <c r="R17" s="14">
        <v>0.34</v>
      </c>
      <c r="S17" s="14">
        <v>0.34</v>
      </c>
      <c r="T17" s="14">
        <v>0.33</v>
      </c>
      <c r="U17" s="14">
        <v>0.24</v>
      </c>
      <c r="V17" s="14">
        <v>0.32</v>
      </c>
      <c r="W17" s="14">
        <v>0.25</v>
      </c>
      <c r="X17" s="14">
        <v>0.34</v>
      </c>
      <c r="Y17" s="14">
        <v>0.23</v>
      </c>
      <c r="Z17" s="14">
        <v>0.33</v>
      </c>
      <c r="AA17" s="14">
        <v>0.43</v>
      </c>
      <c r="AB17" s="14">
        <v>0.28999999999999998</v>
      </c>
      <c r="AC17" s="14">
        <v>0.33</v>
      </c>
      <c r="AD17" s="14">
        <v>0.43</v>
      </c>
      <c r="AE17" s="14">
        <v>0.24</v>
      </c>
      <c r="AF17" s="14">
        <v>0.34</v>
      </c>
    </row>
    <row r="18" spans="1:32">
      <c r="A18" s="23"/>
      <c r="B18" s="11" t="s">
        <v>1615</v>
      </c>
      <c r="C18" s="12">
        <v>4931</v>
      </c>
      <c r="D18" s="12">
        <v>120</v>
      </c>
      <c r="E18" s="12">
        <v>385</v>
      </c>
      <c r="F18" s="12">
        <v>156</v>
      </c>
      <c r="G18" s="12">
        <v>227</v>
      </c>
      <c r="H18" s="12">
        <v>112</v>
      </c>
      <c r="I18" s="12">
        <v>153</v>
      </c>
      <c r="J18" s="12">
        <v>41</v>
      </c>
      <c r="K18" s="12">
        <v>122</v>
      </c>
      <c r="L18" s="12">
        <v>197</v>
      </c>
      <c r="M18" s="12">
        <v>291</v>
      </c>
      <c r="N18" s="12">
        <v>293</v>
      </c>
      <c r="O18" s="12">
        <v>257</v>
      </c>
      <c r="P18" s="12">
        <v>352</v>
      </c>
      <c r="Q18" s="12">
        <v>216</v>
      </c>
      <c r="R18" s="12">
        <v>223</v>
      </c>
      <c r="S18" s="12">
        <v>180</v>
      </c>
      <c r="T18" s="12">
        <v>115</v>
      </c>
      <c r="U18" s="12">
        <v>76</v>
      </c>
      <c r="V18" s="12">
        <v>266</v>
      </c>
      <c r="W18" s="12">
        <v>172</v>
      </c>
      <c r="X18" s="12">
        <v>94</v>
      </c>
      <c r="Y18" s="12">
        <v>123</v>
      </c>
      <c r="Z18" s="12">
        <v>103</v>
      </c>
      <c r="AA18" s="12">
        <v>148</v>
      </c>
      <c r="AB18" s="12">
        <v>122</v>
      </c>
      <c r="AC18" s="12">
        <v>342</v>
      </c>
      <c r="AD18" s="12">
        <v>222</v>
      </c>
      <c r="AE18" s="12">
        <v>85</v>
      </c>
      <c r="AF18" s="12">
        <v>267</v>
      </c>
    </row>
    <row r="19" spans="1:32">
      <c r="A19" s="23"/>
      <c r="B19" s="13" t="s">
        <v>714</v>
      </c>
      <c r="C19" s="14">
        <v>0.19</v>
      </c>
      <c r="D19" s="14">
        <v>0.12</v>
      </c>
      <c r="E19" s="14">
        <v>0.37</v>
      </c>
      <c r="F19" s="14">
        <v>0.15</v>
      </c>
      <c r="G19" s="14">
        <v>0.23</v>
      </c>
      <c r="H19" s="14">
        <v>0.09</v>
      </c>
      <c r="I19" s="14">
        <v>0.1</v>
      </c>
      <c r="J19" s="14">
        <v>0.14000000000000001</v>
      </c>
      <c r="K19" s="14">
        <v>0.12</v>
      </c>
      <c r="L19" s="14">
        <v>0.2</v>
      </c>
      <c r="M19" s="14">
        <v>0.28999999999999998</v>
      </c>
      <c r="N19" s="14">
        <v>0.28999999999999998</v>
      </c>
      <c r="O19" s="14">
        <v>0.26</v>
      </c>
      <c r="P19" s="14">
        <v>0.35</v>
      </c>
      <c r="Q19" s="14">
        <v>0.21</v>
      </c>
      <c r="R19" s="14">
        <v>0.45</v>
      </c>
      <c r="S19" s="14">
        <v>0.18</v>
      </c>
      <c r="T19" s="14">
        <v>0.11</v>
      </c>
      <c r="U19" s="14">
        <v>0.15</v>
      </c>
      <c r="V19" s="14">
        <v>0.26</v>
      </c>
      <c r="W19" s="14">
        <v>0.34</v>
      </c>
      <c r="X19" s="14">
        <v>0.09</v>
      </c>
      <c r="Y19" s="14">
        <v>0.12</v>
      </c>
      <c r="Z19" s="14">
        <v>0.1</v>
      </c>
      <c r="AA19" s="14">
        <v>0.14000000000000001</v>
      </c>
      <c r="AB19" s="14">
        <v>0.12</v>
      </c>
      <c r="AC19" s="14">
        <v>0.34</v>
      </c>
      <c r="AD19" s="14">
        <v>0.22</v>
      </c>
      <c r="AE19" s="14">
        <v>0.08</v>
      </c>
      <c r="AF19" s="14">
        <v>0.25</v>
      </c>
    </row>
    <row r="20" spans="1:32">
      <c r="A20" s="23"/>
      <c r="B20" s="11" t="s">
        <v>497</v>
      </c>
      <c r="C20" s="12">
        <v>3078</v>
      </c>
      <c r="D20" s="12">
        <v>61</v>
      </c>
      <c r="E20" s="12">
        <v>178</v>
      </c>
      <c r="F20" s="12">
        <v>101</v>
      </c>
      <c r="G20" s="12">
        <v>250</v>
      </c>
      <c r="H20" s="12">
        <v>249</v>
      </c>
      <c r="I20" s="12">
        <v>285</v>
      </c>
      <c r="J20" s="12">
        <v>36</v>
      </c>
      <c r="K20" s="12">
        <v>245</v>
      </c>
      <c r="L20" s="12">
        <v>166</v>
      </c>
      <c r="M20" s="12">
        <v>31</v>
      </c>
      <c r="N20" s="12">
        <v>72</v>
      </c>
      <c r="O20" s="12">
        <v>132</v>
      </c>
      <c r="P20" s="12">
        <v>28</v>
      </c>
      <c r="Q20" s="12">
        <v>66</v>
      </c>
      <c r="R20" s="12">
        <v>31</v>
      </c>
      <c r="S20" s="12">
        <v>251</v>
      </c>
      <c r="T20" s="12">
        <v>109</v>
      </c>
      <c r="U20" s="12">
        <v>131</v>
      </c>
      <c r="V20" s="12">
        <v>79</v>
      </c>
      <c r="W20" s="12">
        <v>44</v>
      </c>
      <c r="X20" s="12">
        <v>104</v>
      </c>
      <c r="Y20" s="12">
        <v>98</v>
      </c>
      <c r="Z20" s="12">
        <v>116</v>
      </c>
      <c r="AA20" s="12">
        <v>112</v>
      </c>
      <c r="AB20" s="12">
        <v>84</v>
      </c>
      <c r="AC20" s="12">
        <v>73</v>
      </c>
      <c r="AD20" s="12">
        <v>93</v>
      </c>
      <c r="AE20" s="12">
        <v>187</v>
      </c>
      <c r="AF20" s="12">
        <v>132</v>
      </c>
    </row>
    <row r="21" spans="1:32">
      <c r="A21" s="23"/>
      <c r="B21" s="13" t="s">
        <v>498</v>
      </c>
      <c r="C21" s="14">
        <v>0.12</v>
      </c>
      <c r="D21" s="14">
        <v>0.06</v>
      </c>
      <c r="E21" s="14">
        <v>0.17</v>
      </c>
      <c r="F21" s="14">
        <v>0.1</v>
      </c>
      <c r="G21" s="14">
        <v>0.25</v>
      </c>
      <c r="H21" s="14">
        <v>0.21</v>
      </c>
      <c r="I21" s="14">
        <v>0.19</v>
      </c>
      <c r="J21" s="14">
        <v>0.12</v>
      </c>
      <c r="K21" s="14">
        <v>0.25</v>
      </c>
      <c r="L21" s="14">
        <v>0.17</v>
      </c>
      <c r="M21" s="14">
        <v>0.03</v>
      </c>
      <c r="N21" s="14">
        <v>7.0000000000000007E-2</v>
      </c>
      <c r="O21" s="14">
        <v>0.13</v>
      </c>
      <c r="P21" s="14">
        <v>0.03</v>
      </c>
      <c r="Q21" s="14">
        <v>7.0000000000000007E-2</v>
      </c>
      <c r="R21" s="14">
        <v>0.06</v>
      </c>
      <c r="S21" s="14">
        <v>0.25</v>
      </c>
      <c r="T21" s="14">
        <v>0.11</v>
      </c>
      <c r="U21" s="14">
        <v>0.26</v>
      </c>
      <c r="V21" s="14">
        <v>0.08</v>
      </c>
      <c r="W21" s="14">
        <v>0.09</v>
      </c>
      <c r="X21" s="14">
        <v>0.1</v>
      </c>
      <c r="Y21" s="14">
        <v>0.1</v>
      </c>
      <c r="Z21" s="14">
        <v>0.11</v>
      </c>
      <c r="AA21" s="14">
        <v>0.11</v>
      </c>
      <c r="AB21" s="14">
        <v>0.08</v>
      </c>
      <c r="AC21" s="14">
        <v>7.0000000000000007E-2</v>
      </c>
      <c r="AD21" s="14">
        <v>0.09</v>
      </c>
      <c r="AE21" s="14">
        <v>0.19</v>
      </c>
      <c r="AF21" s="14">
        <v>0.12</v>
      </c>
    </row>
    <row r="22" spans="1:32">
      <c r="A22" s="23"/>
      <c r="B22" s="11" t="s">
        <v>715</v>
      </c>
      <c r="C22" s="12">
        <v>9635</v>
      </c>
      <c r="D22" s="12">
        <v>493</v>
      </c>
      <c r="E22" s="12">
        <v>185</v>
      </c>
      <c r="F22" s="12">
        <v>338</v>
      </c>
      <c r="G22" s="12">
        <v>297</v>
      </c>
      <c r="H22" s="12">
        <v>469</v>
      </c>
      <c r="I22" s="12">
        <v>565</v>
      </c>
      <c r="J22" s="12">
        <v>96</v>
      </c>
      <c r="K22" s="12">
        <v>382</v>
      </c>
      <c r="L22" s="12">
        <v>298</v>
      </c>
      <c r="M22" s="12">
        <v>331</v>
      </c>
      <c r="N22" s="12">
        <v>298</v>
      </c>
      <c r="O22" s="12">
        <v>240</v>
      </c>
      <c r="P22" s="12">
        <v>402</v>
      </c>
      <c r="Q22" s="12">
        <v>444</v>
      </c>
      <c r="R22" s="12">
        <v>75</v>
      </c>
      <c r="S22" s="12">
        <v>233</v>
      </c>
      <c r="T22" s="12">
        <v>450</v>
      </c>
      <c r="U22" s="12">
        <v>176</v>
      </c>
      <c r="V22" s="12">
        <v>345</v>
      </c>
      <c r="W22" s="12">
        <v>160</v>
      </c>
      <c r="X22" s="12">
        <v>476</v>
      </c>
      <c r="Y22" s="12">
        <v>559</v>
      </c>
      <c r="Z22" s="12">
        <v>469</v>
      </c>
      <c r="AA22" s="12">
        <v>330</v>
      </c>
      <c r="AB22" s="12">
        <v>528</v>
      </c>
      <c r="AC22" s="12">
        <v>257</v>
      </c>
      <c r="AD22" s="12">
        <v>261</v>
      </c>
      <c r="AE22" s="12">
        <v>489</v>
      </c>
      <c r="AF22" s="12">
        <v>313</v>
      </c>
    </row>
    <row r="23" spans="1:32">
      <c r="A23" s="23"/>
      <c r="B23" s="13" t="s">
        <v>716</v>
      </c>
      <c r="C23" s="14">
        <v>0.36</v>
      </c>
      <c r="D23" s="14">
        <v>0.49</v>
      </c>
      <c r="E23" s="14">
        <v>0.18</v>
      </c>
      <c r="F23" s="14">
        <v>0.34</v>
      </c>
      <c r="G23" s="14">
        <v>0.28999999999999998</v>
      </c>
      <c r="H23" s="14">
        <v>0.39</v>
      </c>
      <c r="I23" s="14">
        <v>0.38</v>
      </c>
      <c r="J23" s="14">
        <v>0.33</v>
      </c>
      <c r="K23" s="14">
        <v>0.38</v>
      </c>
      <c r="L23" s="14">
        <v>0.28999999999999998</v>
      </c>
      <c r="M23" s="14">
        <v>0.33</v>
      </c>
      <c r="N23" s="14">
        <v>0.3</v>
      </c>
      <c r="O23" s="14">
        <v>0.24</v>
      </c>
      <c r="P23" s="14">
        <v>0.4</v>
      </c>
      <c r="Q23" s="14">
        <v>0.43</v>
      </c>
      <c r="R23" s="14">
        <v>0.15</v>
      </c>
      <c r="S23" s="14">
        <v>0.23</v>
      </c>
      <c r="T23" s="14">
        <v>0.45</v>
      </c>
      <c r="U23" s="14">
        <v>0.35</v>
      </c>
      <c r="V23" s="14">
        <v>0.34</v>
      </c>
      <c r="W23" s="14">
        <v>0.32</v>
      </c>
      <c r="X23" s="14">
        <v>0.47</v>
      </c>
      <c r="Y23" s="14">
        <v>0.55000000000000004</v>
      </c>
      <c r="Z23" s="14">
        <v>0.46</v>
      </c>
      <c r="AA23" s="14">
        <v>0.32</v>
      </c>
      <c r="AB23" s="14">
        <v>0.51</v>
      </c>
      <c r="AC23" s="14">
        <v>0.26</v>
      </c>
      <c r="AD23" s="14">
        <v>0.26</v>
      </c>
      <c r="AE23" s="14">
        <v>0.49</v>
      </c>
      <c r="AF23" s="14">
        <v>0.28999999999999998</v>
      </c>
    </row>
    <row r="24" spans="1:32">
      <c r="A24" s="23"/>
      <c r="B24" s="11" t="s">
        <v>717</v>
      </c>
      <c r="C24" s="12">
        <v>13641</v>
      </c>
      <c r="D24" s="12">
        <v>452</v>
      </c>
      <c r="E24" s="12">
        <v>682</v>
      </c>
      <c r="F24" s="12">
        <v>567</v>
      </c>
      <c r="G24" s="12">
        <v>456</v>
      </c>
      <c r="H24" s="12">
        <v>493</v>
      </c>
      <c r="I24" s="12">
        <v>654</v>
      </c>
      <c r="J24" s="12">
        <v>161</v>
      </c>
      <c r="K24" s="12">
        <v>377</v>
      </c>
      <c r="L24" s="12">
        <v>543</v>
      </c>
      <c r="M24" s="12">
        <v>649</v>
      </c>
      <c r="N24" s="12">
        <v>631</v>
      </c>
      <c r="O24" s="12">
        <v>634</v>
      </c>
      <c r="P24" s="12">
        <v>581</v>
      </c>
      <c r="Q24" s="12">
        <v>514</v>
      </c>
      <c r="R24" s="12">
        <v>396</v>
      </c>
      <c r="S24" s="12">
        <v>520</v>
      </c>
      <c r="T24" s="12">
        <v>446</v>
      </c>
      <c r="U24" s="12">
        <v>195</v>
      </c>
      <c r="V24" s="12">
        <v>587</v>
      </c>
      <c r="W24" s="12">
        <v>299</v>
      </c>
      <c r="X24" s="12">
        <v>436</v>
      </c>
      <c r="Y24" s="12">
        <v>351</v>
      </c>
      <c r="Z24" s="12">
        <v>433</v>
      </c>
      <c r="AA24" s="12">
        <v>598</v>
      </c>
      <c r="AB24" s="12">
        <v>419</v>
      </c>
      <c r="AC24" s="12">
        <v>676</v>
      </c>
      <c r="AD24" s="12">
        <v>648</v>
      </c>
      <c r="AE24" s="12">
        <v>332</v>
      </c>
      <c r="AF24" s="12">
        <v>628</v>
      </c>
    </row>
    <row r="25" spans="1:32">
      <c r="A25" s="23"/>
      <c r="B25" s="13" t="s">
        <v>718</v>
      </c>
      <c r="C25" s="14">
        <v>0.52</v>
      </c>
      <c r="D25" s="14">
        <v>0.45</v>
      </c>
      <c r="E25" s="14">
        <v>0.65</v>
      </c>
      <c r="F25" s="14">
        <v>0.56000000000000005</v>
      </c>
      <c r="G25" s="14">
        <v>0.46</v>
      </c>
      <c r="H25" s="14">
        <v>0.4</v>
      </c>
      <c r="I25" s="14">
        <v>0.43</v>
      </c>
      <c r="J25" s="14">
        <v>0.55000000000000004</v>
      </c>
      <c r="K25" s="14">
        <v>0.37</v>
      </c>
      <c r="L25" s="14">
        <v>0.54</v>
      </c>
      <c r="M25" s="14">
        <v>0.64</v>
      </c>
      <c r="N25" s="14">
        <v>0.63</v>
      </c>
      <c r="O25" s="14">
        <v>0.63</v>
      </c>
      <c r="P25" s="14">
        <v>0.57000000000000006</v>
      </c>
      <c r="Q25" s="14">
        <v>0.5</v>
      </c>
      <c r="R25" s="14">
        <v>0.79</v>
      </c>
      <c r="S25" s="14">
        <v>0.52</v>
      </c>
      <c r="T25" s="14">
        <v>0.44</v>
      </c>
      <c r="U25" s="14">
        <v>0.39</v>
      </c>
      <c r="V25" s="14">
        <v>0.57999999999999996</v>
      </c>
      <c r="W25" s="14">
        <v>0.59</v>
      </c>
      <c r="X25" s="14">
        <v>0.43</v>
      </c>
      <c r="Y25" s="14">
        <v>0.35</v>
      </c>
      <c r="Z25" s="14">
        <v>0.43</v>
      </c>
      <c r="AA25" s="14">
        <v>0.57000000000000006</v>
      </c>
      <c r="AB25" s="14">
        <v>0.41</v>
      </c>
      <c r="AC25" s="14">
        <v>0.67</v>
      </c>
      <c r="AD25" s="14">
        <v>0.65</v>
      </c>
      <c r="AE25" s="14">
        <v>0.32</v>
      </c>
      <c r="AF25" s="14">
        <v>0.59</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9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1632</v>
      </c>
      <c r="C3" s="19"/>
      <c r="D3" s="19"/>
      <c r="E3" s="19"/>
      <c r="F3" s="19"/>
      <c r="H3" s="19" t="s">
        <v>1633</v>
      </c>
      <c r="I3" s="19"/>
      <c r="J3" s="19"/>
      <c r="K3" s="19"/>
      <c r="L3" s="19"/>
    </row>
    <row r="4" spans="1:32" ht="27" customHeight="1">
      <c r="B4" s="19" t="s">
        <v>1634</v>
      </c>
      <c r="C4" s="19"/>
      <c r="D4" s="19"/>
      <c r="E4" s="19"/>
      <c r="F4" s="19"/>
      <c r="H4" s="19" t="s">
        <v>1635</v>
      </c>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HYPERLINK("#Content!A190","&lt;&lt;Back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1612</v>
      </c>
      <c r="C12" s="12">
        <v>7295</v>
      </c>
      <c r="D12" s="12">
        <v>241</v>
      </c>
      <c r="E12" s="12">
        <v>459</v>
      </c>
      <c r="F12" s="12">
        <v>241</v>
      </c>
      <c r="G12" s="12">
        <v>161</v>
      </c>
      <c r="H12" s="12">
        <v>210</v>
      </c>
      <c r="I12" s="12">
        <v>277</v>
      </c>
      <c r="J12" s="12">
        <v>68</v>
      </c>
      <c r="K12" s="12">
        <v>185</v>
      </c>
      <c r="L12" s="12">
        <v>252</v>
      </c>
      <c r="M12" s="12">
        <v>483</v>
      </c>
      <c r="N12" s="12">
        <v>396</v>
      </c>
      <c r="O12" s="12">
        <v>390</v>
      </c>
      <c r="P12" s="12">
        <v>427</v>
      </c>
      <c r="Q12" s="12">
        <v>273</v>
      </c>
      <c r="R12" s="12">
        <v>286</v>
      </c>
      <c r="S12" s="12">
        <v>338</v>
      </c>
      <c r="T12" s="12">
        <v>289</v>
      </c>
      <c r="U12" s="12">
        <v>94</v>
      </c>
      <c r="V12" s="12">
        <v>384</v>
      </c>
      <c r="W12" s="12">
        <v>177</v>
      </c>
      <c r="X12" s="12">
        <v>224</v>
      </c>
      <c r="Y12" s="12">
        <v>281</v>
      </c>
      <c r="Z12" s="12">
        <v>152</v>
      </c>
      <c r="AA12" s="12">
        <v>221</v>
      </c>
      <c r="AB12" s="12">
        <v>233</v>
      </c>
      <c r="AC12" s="12">
        <v>421</v>
      </c>
      <c r="AD12" s="12">
        <v>266</v>
      </c>
      <c r="AE12" s="12">
        <v>135</v>
      </c>
      <c r="AF12" s="12">
        <v>273</v>
      </c>
    </row>
    <row r="13" spans="1:32">
      <c r="A13" s="23"/>
      <c r="B13" s="13" t="s">
        <v>708</v>
      </c>
      <c r="C13" s="14">
        <v>0.28000000000000003</v>
      </c>
      <c r="D13" s="14">
        <v>0.24</v>
      </c>
      <c r="E13" s="14">
        <v>0.44</v>
      </c>
      <c r="F13" s="14">
        <v>0.24</v>
      </c>
      <c r="G13" s="14">
        <v>0.16</v>
      </c>
      <c r="H13" s="14">
        <v>0.17</v>
      </c>
      <c r="I13" s="14">
        <v>0.19</v>
      </c>
      <c r="J13" s="14">
        <v>0.23</v>
      </c>
      <c r="K13" s="14">
        <v>0.18</v>
      </c>
      <c r="L13" s="14">
        <v>0.25</v>
      </c>
      <c r="M13" s="14">
        <v>0.48</v>
      </c>
      <c r="N13" s="14">
        <v>0.4</v>
      </c>
      <c r="O13" s="14">
        <v>0.39</v>
      </c>
      <c r="P13" s="14">
        <v>0.42</v>
      </c>
      <c r="Q13" s="14">
        <v>0.27</v>
      </c>
      <c r="R13" s="14">
        <v>0.57000000000000006</v>
      </c>
      <c r="S13" s="14">
        <v>0.34</v>
      </c>
      <c r="T13" s="14">
        <v>0.28999999999999998</v>
      </c>
      <c r="U13" s="14">
        <v>0.19</v>
      </c>
      <c r="V13" s="14">
        <v>0.38</v>
      </c>
      <c r="W13" s="14">
        <v>0.35</v>
      </c>
      <c r="X13" s="14">
        <v>0.22</v>
      </c>
      <c r="Y13" s="14">
        <v>0.28000000000000003</v>
      </c>
      <c r="Z13" s="14">
        <v>0.15</v>
      </c>
      <c r="AA13" s="14">
        <v>0.21</v>
      </c>
      <c r="AB13" s="14">
        <v>0.23</v>
      </c>
      <c r="AC13" s="14">
        <v>0.42</v>
      </c>
      <c r="AD13" s="14">
        <v>0.26</v>
      </c>
      <c r="AE13" s="14">
        <v>0.13</v>
      </c>
      <c r="AF13" s="14">
        <v>0.25</v>
      </c>
    </row>
    <row r="14" spans="1:32">
      <c r="A14" s="23"/>
      <c r="B14" s="11" t="s">
        <v>1613</v>
      </c>
      <c r="C14" s="12">
        <v>10140</v>
      </c>
      <c r="D14" s="12">
        <v>381</v>
      </c>
      <c r="E14" s="12">
        <v>325</v>
      </c>
      <c r="F14" s="12">
        <v>372</v>
      </c>
      <c r="G14" s="12">
        <v>236</v>
      </c>
      <c r="H14" s="12">
        <v>431</v>
      </c>
      <c r="I14" s="12">
        <v>555</v>
      </c>
      <c r="J14" s="12">
        <v>124</v>
      </c>
      <c r="K14" s="12">
        <v>327</v>
      </c>
      <c r="L14" s="12">
        <v>386</v>
      </c>
      <c r="M14" s="12">
        <v>330</v>
      </c>
      <c r="N14" s="12">
        <v>378</v>
      </c>
      <c r="O14" s="12">
        <v>350</v>
      </c>
      <c r="P14" s="12">
        <v>381</v>
      </c>
      <c r="Q14" s="12">
        <v>467</v>
      </c>
      <c r="R14" s="12">
        <v>113</v>
      </c>
      <c r="S14" s="12">
        <v>339</v>
      </c>
      <c r="T14" s="12">
        <v>443</v>
      </c>
      <c r="U14" s="12">
        <v>176</v>
      </c>
      <c r="V14" s="12">
        <v>403</v>
      </c>
      <c r="W14" s="12">
        <v>177</v>
      </c>
      <c r="X14" s="12">
        <v>343</v>
      </c>
      <c r="Y14" s="12">
        <v>312</v>
      </c>
      <c r="Z14" s="12">
        <v>470</v>
      </c>
      <c r="AA14" s="12">
        <v>554</v>
      </c>
      <c r="AB14" s="12">
        <v>390</v>
      </c>
      <c r="AC14" s="12">
        <v>342</v>
      </c>
      <c r="AD14" s="12">
        <v>440</v>
      </c>
      <c r="AE14" s="12">
        <v>304</v>
      </c>
      <c r="AF14" s="12">
        <v>371</v>
      </c>
    </row>
    <row r="15" spans="1:32">
      <c r="A15" s="23"/>
      <c r="B15" s="13" t="s">
        <v>710</v>
      </c>
      <c r="C15" s="14">
        <v>0.38</v>
      </c>
      <c r="D15" s="14">
        <v>0.38</v>
      </c>
      <c r="E15" s="14">
        <v>0.31</v>
      </c>
      <c r="F15" s="14">
        <v>0.37</v>
      </c>
      <c r="G15" s="14">
        <v>0.23</v>
      </c>
      <c r="H15" s="14">
        <v>0.36</v>
      </c>
      <c r="I15" s="14">
        <v>0.37</v>
      </c>
      <c r="J15" s="14">
        <v>0.42</v>
      </c>
      <c r="K15" s="14">
        <v>0.33</v>
      </c>
      <c r="L15" s="14">
        <v>0.38</v>
      </c>
      <c r="M15" s="14">
        <v>0.32</v>
      </c>
      <c r="N15" s="14">
        <v>0.38</v>
      </c>
      <c r="O15" s="14">
        <v>0.35</v>
      </c>
      <c r="P15" s="14">
        <v>0.38</v>
      </c>
      <c r="Q15" s="14">
        <v>0.46</v>
      </c>
      <c r="R15" s="14">
        <v>0.23</v>
      </c>
      <c r="S15" s="14">
        <v>0.34</v>
      </c>
      <c r="T15" s="14">
        <v>0.44</v>
      </c>
      <c r="U15" s="14">
        <v>0.35</v>
      </c>
      <c r="V15" s="14">
        <v>0.4</v>
      </c>
      <c r="W15" s="14">
        <v>0.35</v>
      </c>
      <c r="X15" s="14">
        <v>0.34</v>
      </c>
      <c r="Y15" s="14">
        <v>0.31</v>
      </c>
      <c r="Z15" s="14">
        <v>0.46</v>
      </c>
      <c r="AA15" s="14">
        <v>0.53</v>
      </c>
      <c r="AB15" s="14">
        <v>0.38</v>
      </c>
      <c r="AC15" s="14">
        <v>0.34</v>
      </c>
      <c r="AD15" s="14">
        <v>0.44</v>
      </c>
      <c r="AE15" s="14">
        <v>0.3</v>
      </c>
      <c r="AF15" s="14">
        <v>0.35</v>
      </c>
    </row>
    <row r="16" spans="1:32">
      <c r="A16" s="23"/>
      <c r="B16" s="11" t="s">
        <v>1614</v>
      </c>
      <c r="C16" s="12">
        <v>4680</v>
      </c>
      <c r="D16" s="12">
        <v>236</v>
      </c>
      <c r="E16" s="12">
        <v>102</v>
      </c>
      <c r="F16" s="12">
        <v>241</v>
      </c>
      <c r="G16" s="12">
        <v>197</v>
      </c>
      <c r="H16" s="12">
        <v>292</v>
      </c>
      <c r="I16" s="12">
        <v>349</v>
      </c>
      <c r="J16" s="12">
        <v>56</v>
      </c>
      <c r="K16" s="12">
        <v>230</v>
      </c>
      <c r="L16" s="12">
        <v>140</v>
      </c>
      <c r="M16" s="12">
        <v>109</v>
      </c>
      <c r="N16" s="12">
        <v>119</v>
      </c>
      <c r="O16" s="12">
        <v>106</v>
      </c>
      <c r="P16" s="12">
        <v>104</v>
      </c>
      <c r="Q16" s="12">
        <v>165</v>
      </c>
      <c r="R16" s="12">
        <v>40</v>
      </c>
      <c r="S16" s="12">
        <v>116</v>
      </c>
      <c r="T16" s="12">
        <v>144</v>
      </c>
      <c r="U16" s="12">
        <v>92</v>
      </c>
      <c r="V16" s="12">
        <v>140</v>
      </c>
      <c r="W16" s="12">
        <v>75</v>
      </c>
      <c r="X16" s="12">
        <v>275</v>
      </c>
      <c r="Y16" s="12">
        <v>218</v>
      </c>
      <c r="Z16" s="12">
        <v>227</v>
      </c>
      <c r="AA16" s="12">
        <v>139</v>
      </c>
      <c r="AB16" s="12">
        <v>252</v>
      </c>
      <c r="AC16" s="12">
        <v>118</v>
      </c>
      <c r="AD16" s="12">
        <v>166</v>
      </c>
      <c r="AE16" s="12">
        <v>277</v>
      </c>
      <c r="AF16" s="12">
        <v>210</v>
      </c>
    </row>
    <row r="17" spans="1:32">
      <c r="A17" s="23"/>
      <c r="B17" s="13" t="s">
        <v>712</v>
      </c>
      <c r="C17" s="14">
        <v>0.18</v>
      </c>
      <c r="D17" s="14">
        <v>0.23</v>
      </c>
      <c r="E17" s="14">
        <v>0.1</v>
      </c>
      <c r="F17" s="14">
        <v>0.24</v>
      </c>
      <c r="G17" s="14">
        <v>0.2</v>
      </c>
      <c r="H17" s="14">
        <v>0.24</v>
      </c>
      <c r="I17" s="14">
        <v>0.23</v>
      </c>
      <c r="J17" s="14">
        <v>0.19</v>
      </c>
      <c r="K17" s="14">
        <v>0.23</v>
      </c>
      <c r="L17" s="14">
        <v>0.14000000000000001</v>
      </c>
      <c r="M17" s="14">
        <v>0.11</v>
      </c>
      <c r="N17" s="14">
        <v>0.12</v>
      </c>
      <c r="O17" s="14">
        <v>0.1</v>
      </c>
      <c r="P17" s="14">
        <v>0.1</v>
      </c>
      <c r="Q17" s="14">
        <v>0.16</v>
      </c>
      <c r="R17" s="14">
        <v>0.08</v>
      </c>
      <c r="S17" s="14">
        <v>0.11</v>
      </c>
      <c r="T17" s="14">
        <v>0.14000000000000001</v>
      </c>
      <c r="U17" s="14">
        <v>0.18</v>
      </c>
      <c r="V17" s="14">
        <v>0.14000000000000001</v>
      </c>
      <c r="W17" s="14">
        <v>0.15</v>
      </c>
      <c r="X17" s="14">
        <v>0.27</v>
      </c>
      <c r="Y17" s="14">
        <v>0.22</v>
      </c>
      <c r="Z17" s="14">
        <v>0.22</v>
      </c>
      <c r="AA17" s="14">
        <v>0.13</v>
      </c>
      <c r="AB17" s="14">
        <v>0.24</v>
      </c>
      <c r="AC17" s="14">
        <v>0.12</v>
      </c>
      <c r="AD17" s="14">
        <v>0.17</v>
      </c>
      <c r="AE17" s="14">
        <v>0.28000000000000003</v>
      </c>
      <c r="AF17" s="14">
        <v>0.19</v>
      </c>
    </row>
    <row r="18" spans="1:32">
      <c r="A18" s="23"/>
      <c r="B18" s="11" t="s">
        <v>1615</v>
      </c>
      <c r="C18" s="12">
        <v>1524</v>
      </c>
      <c r="D18" s="12">
        <v>89</v>
      </c>
      <c r="E18" s="12">
        <v>69</v>
      </c>
      <c r="F18" s="12">
        <v>63</v>
      </c>
      <c r="G18" s="12">
        <v>191</v>
      </c>
      <c r="H18" s="12">
        <v>48</v>
      </c>
      <c r="I18" s="12">
        <v>64</v>
      </c>
      <c r="J18" s="12">
        <v>17</v>
      </c>
      <c r="K18" s="12">
        <v>69</v>
      </c>
      <c r="L18" s="12">
        <v>59</v>
      </c>
      <c r="M18" s="12">
        <v>59</v>
      </c>
      <c r="N18" s="12">
        <v>52</v>
      </c>
      <c r="O18" s="12">
        <v>38</v>
      </c>
      <c r="P18" s="12">
        <v>73</v>
      </c>
      <c r="Q18" s="12">
        <v>64</v>
      </c>
      <c r="R18" s="12">
        <v>37</v>
      </c>
      <c r="S18" s="12">
        <v>39</v>
      </c>
      <c r="T18" s="12">
        <v>28</v>
      </c>
      <c r="U18" s="12">
        <v>23</v>
      </c>
      <c r="V18" s="12">
        <v>39</v>
      </c>
      <c r="W18" s="12">
        <v>28</v>
      </c>
      <c r="X18" s="12">
        <v>65</v>
      </c>
      <c r="Y18" s="12">
        <v>95</v>
      </c>
      <c r="Z18" s="12">
        <v>74</v>
      </c>
      <c r="AA18" s="12">
        <v>19</v>
      </c>
      <c r="AB18" s="12">
        <v>78</v>
      </c>
      <c r="AC18" s="12">
        <v>63</v>
      </c>
      <c r="AD18" s="12">
        <v>52</v>
      </c>
      <c r="AE18" s="12">
        <v>131</v>
      </c>
      <c r="AF18" s="12">
        <v>93</v>
      </c>
    </row>
    <row r="19" spans="1:32">
      <c r="A19" s="23"/>
      <c r="B19" s="13" t="s">
        <v>714</v>
      </c>
      <c r="C19" s="14">
        <v>0.06</v>
      </c>
      <c r="D19" s="14">
        <v>0.09</v>
      </c>
      <c r="E19" s="14">
        <v>7.0000000000000007E-2</v>
      </c>
      <c r="F19" s="14">
        <v>0.06</v>
      </c>
      <c r="G19" s="14">
        <v>0.19</v>
      </c>
      <c r="H19" s="14">
        <v>0.04</v>
      </c>
      <c r="I19" s="14">
        <v>0.04</v>
      </c>
      <c r="J19" s="14">
        <v>0.06</v>
      </c>
      <c r="K19" s="14">
        <v>7.0000000000000007E-2</v>
      </c>
      <c r="L19" s="14">
        <v>0.06</v>
      </c>
      <c r="M19" s="14">
        <v>0.06</v>
      </c>
      <c r="N19" s="14">
        <v>0.05</v>
      </c>
      <c r="O19" s="14">
        <v>0.04</v>
      </c>
      <c r="P19" s="14">
        <v>7.0000000000000007E-2</v>
      </c>
      <c r="Q19" s="14">
        <v>0.06</v>
      </c>
      <c r="R19" s="14">
        <v>7.0000000000000007E-2</v>
      </c>
      <c r="S19" s="14">
        <v>0.04</v>
      </c>
      <c r="T19" s="14">
        <v>0.03</v>
      </c>
      <c r="U19" s="14">
        <v>0.05</v>
      </c>
      <c r="V19" s="14">
        <v>0.04</v>
      </c>
      <c r="W19" s="14">
        <v>0.06</v>
      </c>
      <c r="X19" s="14">
        <v>0.06</v>
      </c>
      <c r="Y19" s="14">
        <v>0.09</v>
      </c>
      <c r="Z19" s="14">
        <v>7.0000000000000007E-2</v>
      </c>
      <c r="AA19" s="14">
        <v>0.02</v>
      </c>
      <c r="AB19" s="14">
        <v>0.08</v>
      </c>
      <c r="AC19" s="14">
        <v>0.06</v>
      </c>
      <c r="AD19" s="14">
        <v>0.05</v>
      </c>
      <c r="AE19" s="14">
        <v>0.13</v>
      </c>
      <c r="AF19" s="14">
        <v>0.09</v>
      </c>
    </row>
    <row r="20" spans="1:32">
      <c r="A20" s="23"/>
      <c r="B20" s="11" t="s">
        <v>497</v>
      </c>
      <c r="C20" s="12">
        <v>2716</v>
      </c>
      <c r="D20" s="12">
        <v>60</v>
      </c>
      <c r="E20" s="12">
        <v>88</v>
      </c>
      <c r="F20" s="12">
        <v>90</v>
      </c>
      <c r="G20" s="12">
        <v>219</v>
      </c>
      <c r="H20" s="12">
        <v>230</v>
      </c>
      <c r="I20" s="12">
        <v>259</v>
      </c>
      <c r="J20" s="12">
        <v>29</v>
      </c>
      <c r="K20" s="12">
        <v>193</v>
      </c>
      <c r="L20" s="12">
        <v>171</v>
      </c>
      <c r="M20" s="12">
        <v>30</v>
      </c>
      <c r="N20" s="12">
        <v>54</v>
      </c>
      <c r="O20" s="12">
        <v>123</v>
      </c>
      <c r="P20" s="12">
        <v>25</v>
      </c>
      <c r="Q20" s="12">
        <v>54</v>
      </c>
      <c r="R20" s="12">
        <v>27</v>
      </c>
      <c r="S20" s="12">
        <v>172</v>
      </c>
      <c r="T20" s="12">
        <v>100</v>
      </c>
      <c r="U20" s="12">
        <v>119</v>
      </c>
      <c r="V20" s="12">
        <v>45</v>
      </c>
      <c r="W20" s="12">
        <v>46</v>
      </c>
      <c r="X20" s="12">
        <v>109</v>
      </c>
      <c r="Y20" s="12">
        <v>101</v>
      </c>
      <c r="Z20" s="12">
        <v>95</v>
      </c>
      <c r="AA20" s="12">
        <v>108</v>
      </c>
      <c r="AB20" s="12">
        <v>78</v>
      </c>
      <c r="AC20" s="12">
        <v>61</v>
      </c>
      <c r="AD20" s="12">
        <v>77</v>
      </c>
      <c r="AE20" s="12">
        <v>161</v>
      </c>
      <c r="AF20" s="12">
        <v>126</v>
      </c>
    </row>
    <row r="21" spans="1:32">
      <c r="A21" s="23"/>
      <c r="B21" s="13" t="s">
        <v>498</v>
      </c>
      <c r="C21" s="14">
        <v>0.1</v>
      </c>
      <c r="D21" s="14">
        <v>0.06</v>
      </c>
      <c r="E21" s="14">
        <v>0.08</v>
      </c>
      <c r="F21" s="14">
        <v>0.09</v>
      </c>
      <c r="G21" s="14">
        <v>0.22</v>
      </c>
      <c r="H21" s="14">
        <v>0.19</v>
      </c>
      <c r="I21" s="14">
        <v>0.17</v>
      </c>
      <c r="J21" s="14">
        <v>0.1</v>
      </c>
      <c r="K21" s="14">
        <v>0.19</v>
      </c>
      <c r="L21" s="14">
        <v>0.17</v>
      </c>
      <c r="M21" s="14">
        <v>0.03</v>
      </c>
      <c r="N21" s="14">
        <v>0.05</v>
      </c>
      <c r="O21" s="14">
        <v>0.12</v>
      </c>
      <c r="P21" s="14">
        <v>0.03</v>
      </c>
      <c r="Q21" s="14">
        <v>0.05</v>
      </c>
      <c r="R21" s="14">
        <v>0.05</v>
      </c>
      <c r="S21" s="14">
        <v>0.17</v>
      </c>
      <c r="T21" s="14">
        <v>0.1</v>
      </c>
      <c r="U21" s="14">
        <v>0.23</v>
      </c>
      <c r="V21" s="14">
        <v>0.04</v>
      </c>
      <c r="W21" s="14">
        <v>0.09</v>
      </c>
      <c r="X21" s="14">
        <v>0.11</v>
      </c>
      <c r="Y21" s="14">
        <v>0.1</v>
      </c>
      <c r="Z21" s="14">
        <v>0.1</v>
      </c>
      <c r="AA21" s="14">
        <v>0.11</v>
      </c>
      <c r="AB21" s="14">
        <v>7.0000000000000007E-2</v>
      </c>
      <c r="AC21" s="14">
        <v>0.06</v>
      </c>
      <c r="AD21" s="14">
        <v>0.08</v>
      </c>
      <c r="AE21" s="14">
        <v>0.16</v>
      </c>
      <c r="AF21" s="14">
        <v>0.12</v>
      </c>
    </row>
    <row r="22" spans="1:32">
      <c r="A22" s="23"/>
      <c r="B22" s="11" t="s">
        <v>715</v>
      </c>
      <c r="C22" s="12">
        <v>17435</v>
      </c>
      <c r="D22" s="12">
        <v>622</v>
      </c>
      <c r="E22" s="12">
        <v>784</v>
      </c>
      <c r="F22" s="12">
        <v>613</v>
      </c>
      <c r="G22" s="12">
        <v>397</v>
      </c>
      <c r="H22" s="12">
        <v>641</v>
      </c>
      <c r="I22" s="12">
        <v>832</v>
      </c>
      <c r="J22" s="12">
        <v>192</v>
      </c>
      <c r="K22" s="12">
        <v>512</v>
      </c>
      <c r="L22" s="12">
        <v>638</v>
      </c>
      <c r="M22" s="12">
        <v>813</v>
      </c>
      <c r="N22" s="12">
        <v>774</v>
      </c>
      <c r="O22" s="12">
        <v>740</v>
      </c>
      <c r="P22" s="12">
        <v>808</v>
      </c>
      <c r="Q22" s="12">
        <v>740</v>
      </c>
      <c r="R22" s="12">
        <v>399</v>
      </c>
      <c r="S22" s="12">
        <v>677</v>
      </c>
      <c r="T22" s="12">
        <v>732</v>
      </c>
      <c r="U22" s="12">
        <v>270</v>
      </c>
      <c r="V22" s="12">
        <v>787</v>
      </c>
      <c r="W22" s="12">
        <v>354</v>
      </c>
      <c r="X22" s="12">
        <v>567</v>
      </c>
      <c r="Y22" s="12">
        <v>593</v>
      </c>
      <c r="Z22" s="12">
        <v>622</v>
      </c>
      <c r="AA22" s="12">
        <v>775</v>
      </c>
      <c r="AB22" s="12">
        <v>623</v>
      </c>
      <c r="AC22" s="12">
        <v>763</v>
      </c>
      <c r="AD22" s="12">
        <v>706</v>
      </c>
      <c r="AE22" s="12">
        <v>439</v>
      </c>
      <c r="AF22" s="12">
        <v>644</v>
      </c>
    </row>
    <row r="23" spans="1:32">
      <c r="A23" s="23"/>
      <c r="B23" s="13" t="s">
        <v>716</v>
      </c>
      <c r="C23" s="14">
        <v>0.66</v>
      </c>
      <c r="D23" s="14">
        <v>0.62</v>
      </c>
      <c r="E23" s="14">
        <v>0.75</v>
      </c>
      <c r="F23" s="14">
        <v>0.61</v>
      </c>
      <c r="G23" s="14">
        <v>0.39</v>
      </c>
      <c r="H23" s="14">
        <v>0.53</v>
      </c>
      <c r="I23" s="14">
        <v>0.56000000000000005</v>
      </c>
      <c r="J23" s="14">
        <v>0.65</v>
      </c>
      <c r="K23" s="14">
        <v>0.51</v>
      </c>
      <c r="L23" s="14">
        <v>0.63</v>
      </c>
      <c r="M23" s="14">
        <v>0.8</v>
      </c>
      <c r="N23" s="14">
        <v>0.78</v>
      </c>
      <c r="O23" s="14">
        <v>0.74</v>
      </c>
      <c r="P23" s="14">
        <v>0.8</v>
      </c>
      <c r="Q23" s="14">
        <v>0.73</v>
      </c>
      <c r="R23" s="14">
        <v>0.8</v>
      </c>
      <c r="S23" s="14">
        <v>0.68</v>
      </c>
      <c r="T23" s="14">
        <v>0.73</v>
      </c>
      <c r="U23" s="14">
        <v>0.54</v>
      </c>
      <c r="V23" s="14">
        <v>0.78</v>
      </c>
      <c r="W23" s="14">
        <v>0.70000000000000007</v>
      </c>
      <c r="X23" s="14">
        <v>0.56000000000000005</v>
      </c>
      <c r="Y23" s="14">
        <v>0.59</v>
      </c>
      <c r="Z23" s="14">
        <v>0.61</v>
      </c>
      <c r="AA23" s="14">
        <v>0.74</v>
      </c>
      <c r="AB23" s="14">
        <v>0.61</v>
      </c>
      <c r="AC23" s="14">
        <v>0.76</v>
      </c>
      <c r="AD23" s="14">
        <v>0.70000000000000007</v>
      </c>
      <c r="AE23" s="14">
        <v>0.43</v>
      </c>
      <c r="AF23" s="14">
        <v>0.6</v>
      </c>
    </row>
    <row r="24" spans="1:32">
      <c r="A24" s="23"/>
      <c r="B24" s="11" t="s">
        <v>717</v>
      </c>
      <c r="C24" s="12">
        <v>6204</v>
      </c>
      <c r="D24" s="12">
        <v>325</v>
      </c>
      <c r="E24" s="12">
        <v>171</v>
      </c>
      <c r="F24" s="12">
        <v>304</v>
      </c>
      <c r="G24" s="12">
        <v>388</v>
      </c>
      <c r="H24" s="12">
        <v>340</v>
      </c>
      <c r="I24" s="12">
        <v>413</v>
      </c>
      <c r="J24" s="12">
        <v>73</v>
      </c>
      <c r="K24" s="12">
        <v>299</v>
      </c>
      <c r="L24" s="12">
        <v>199</v>
      </c>
      <c r="M24" s="12">
        <v>168</v>
      </c>
      <c r="N24" s="12">
        <v>171</v>
      </c>
      <c r="O24" s="12">
        <v>144</v>
      </c>
      <c r="P24" s="12">
        <v>177</v>
      </c>
      <c r="Q24" s="12">
        <v>229</v>
      </c>
      <c r="R24" s="12">
        <v>77</v>
      </c>
      <c r="S24" s="12">
        <v>155</v>
      </c>
      <c r="T24" s="12">
        <v>172</v>
      </c>
      <c r="U24" s="12">
        <v>115</v>
      </c>
      <c r="V24" s="12">
        <v>179</v>
      </c>
      <c r="W24" s="12">
        <v>103</v>
      </c>
      <c r="X24" s="12">
        <v>340</v>
      </c>
      <c r="Y24" s="12">
        <v>313</v>
      </c>
      <c r="Z24" s="12">
        <v>301</v>
      </c>
      <c r="AA24" s="12">
        <v>158</v>
      </c>
      <c r="AB24" s="12">
        <v>330</v>
      </c>
      <c r="AC24" s="12">
        <v>181</v>
      </c>
      <c r="AD24" s="12">
        <v>218</v>
      </c>
      <c r="AE24" s="12">
        <v>408</v>
      </c>
      <c r="AF24" s="12">
        <v>303</v>
      </c>
    </row>
    <row r="25" spans="1:32">
      <c r="A25" s="23"/>
      <c r="B25" s="13" t="s">
        <v>718</v>
      </c>
      <c r="C25" s="14">
        <v>0.24</v>
      </c>
      <c r="D25" s="14">
        <v>0.32</v>
      </c>
      <c r="E25" s="14">
        <v>0.17</v>
      </c>
      <c r="F25" s="14">
        <v>0.3</v>
      </c>
      <c r="G25" s="14">
        <v>0.39</v>
      </c>
      <c r="H25" s="14">
        <v>0.28000000000000003</v>
      </c>
      <c r="I25" s="14">
        <v>0.27</v>
      </c>
      <c r="J25" s="14">
        <v>0.25</v>
      </c>
      <c r="K25" s="14">
        <v>0.3</v>
      </c>
      <c r="L25" s="14">
        <v>0.2</v>
      </c>
      <c r="M25" s="14">
        <v>0.17</v>
      </c>
      <c r="N25" s="14">
        <v>0.17</v>
      </c>
      <c r="O25" s="14">
        <v>0.14000000000000001</v>
      </c>
      <c r="P25" s="14">
        <v>0.17</v>
      </c>
      <c r="Q25" s="14">
        <v>0.22</v>
      </c>
      <c r="R25" s="14">
        <v>0.15</v>
      </c>
      <c r="S25" s="14">
        <v>0.15</v>
      </c>
      <c r="T25" s="14">
        <v>0.17</v>
      </c>
      <c r="U25" s="14">
        <v>0.23</v>
      </c>
      <c r="V25" s="14">
        <v>0.18</v>
      </c>
      <c r="W25" s="14">
        <v>0.21</v>
      </c>
      <c r="X25" s="14">
        <v>0.33</v>
      </c>
      <c r="Y25" s="14">
        <v>0.31</v>
      </c>
      <c r="Z25" s="14">
        <v>0.28999999999999998</v>
      </c>
      <c r="AA25" s="14">
        <v>0.15</v>
      </c>
      <c r="AB25" s="14">
        <v>0.32</v>
      </c>
      <c r="AC25" s="14">
        <v>0.18</v>
      </c>
      <c r="AD25" s="14">
        <v>0.22</v>
      </c>
      <c r="AE25" s="14">
        <v>0.41</v>
      </c>
      <c r="AF25" s="14">
        <v>0.28000000000000003</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A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1636</v>
      </c>
      <c r="C3" s="19"/>
      <c r="D3" s="19"/>
      <c r="E3" s="19"/>
      <c r="F3" s="19"/>
      <c r="H3" s="19" t="s">
        <v>1637</v>
      </c>
      <c r="I3" s="19"/>
      <c r="J3" s="19"/>
      <c r="K3" s="19"/>
      <c r="L3" s="19"/>
    </row>
    <row r="4" spans="1:32" ht="27" customHeight="1">
      <c r="B4" s="19" t="s">
        <v>1638</v>
      </c>
      <c r="C4" s="19"/>
      <c r="D4" s="19"/>
      <c r="E4" s="19"/>
      <c r="F4" s="19"/>
      <c r="H4" s="19" t="s">
        <v>1639</v>
      </c>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HYPERLINK("#Content!A191","&lt;&lt;Back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1612</v>
      </c>
      <c r="C12" s="12">
        <v>1637</v>
      </c>
      <c r="D12" s="12">
        <v>69</v>
      </c>
      <c r="E12" s="12">
        <v>45</v>
      </c>
      <c r="F12" s="12">
        <v>64</v>
      </c>
      <c r="G12" s="12">
        <v>108</v>
      </c>
      <c r="H12" s="12">
        <v>60</v>
      </c>
      <c r="I12" s="12">
        <v>68</v>
      </c>
      <c r="J12" s="12">
        <v>9</v>
      </c>
      <c r="K12" s="12">
        <v>45</v>
      </c>
      <c r="L12" s="12">
        <v>73</v>
      </c>
      <c r="M12" s="12">
        <v>65</v>
      </c>
      <c r="N12" s="12">
        <v>68</v>
      </c>
      <c r="O12" s="12">
        <v>31</v>
      </c>
      <c r="P12" s="12">
        <v>114</v>
      </c>
      <c r="Q12" s="12">
        <v>87</v>
      </c>
      <c r="R12" s="12">
        <v>21</v>
      </c>
      <c r="S12" s="12">
        <v>27</v>
      </c>
      <c r="T12" s="12">
        <v>28</v>
      </c>
      <c r="U12" s="12">
        <v>24</v>
      </c>
      <c r="V12" s="12">
        <v>87</v>
      </c>
      <c r="W12" s="12">
        <v>29</v>
      </c>
      <c r="X12" s="12">
        <v>60</v>
      </c>
      <c r="Y12" s="12">
        <v>158</v>
      </c>
      <c r="Z12" s="12">
        <v>70</v>
      </c>
      <c r="AA12" s="12">
        <v>63</v>
      </c>
      <c r="AB12" s="12">
        <v>93</v>
      </c>
      <c r="AC12" s="12">
        <v>24</v>
      </c>
      <c r="AD12" s="12">
        <v>43</v>
      </c>
      <c r="AE12" s="12">
        <v>82</v>
      </c>
      <c r="AF12" s="12">
        <v>45</v>
      </c>
    </row>
    <row r="13" spans="1:32">
      <c r="A13" s="23"/>
      <c r="B13" s="13" t="s">
        <v>708</v>
      </c>
      <c r="C13" s="14">
        <v>0.06</v>
      </c>
      <c r="D13" s="14">
        <v>7.0000000000000007E-2</v>
      </c>
      <c r="E13" s="14">
        <v>0.04</v>
      </c>
      <c r="F13" s="14">
        <v>0.06</v>
      </c>
      <c r="G13" s="14">
        <v>0.11</v>
      </c>
      <c r="H13" s="14">
        <v>0.05</v>
      </c>
      <c r="I13" s="14">
        <v>0.05</v>
      </c>
      <c r="J13" s="14">
        <v>0.03</v>
      </c>
      <c r="K13" s="14">
        <v>0.04</v>
      </c>
      <c r="L13" s="14">
        <v>7.0000000000000007E-2</v>
      </c>
      <c r="M13" s="14">
        <v>0.06</v>
      </c>
      <c r="N13" s="14">
        <v>7.0000000000000007E-2</v>
      </c>
      <c r="O13" s="14">
        <v>0.03</v>
      </c>
      <c r="P13" s="14">
        <v>0.11</v>
      </c>
      <c r="Q13" s="14">
        <v>0.08</v>
      </c>
      <c r="R13" s="14">
        <v>0.04</v>
      </c>
      <c r="S13" s="14">
        <v>0.03</v>
      </c>
      <c r="T13" s="14">
        <v>0.03</v>
      </c>
      <c r="U13" s="14">
        <v>0.05</v>
      </c>
      <c r="V13" s="14">
        <v>0.08</v>
      </c>
      <c r="W13" s="14">
        <v>0.06</v>
      </c>
      <c r="X13" s="14">
        <v>0.06</v>
      </c>
      <c r="Y13" s="14">
        <v>0.16</v>
      </c>
      <c r="Z13" s="14">
        <v>7.0000000000000007E-2</v>
      </c>
      <c r="AA13" s="14">
        <v>0.06</v>
      </c>
      <c r="AB13" s="14">
        <v>0.09</v>
      </c>
      <c r="AC13" s="14">
        <v>0.02</v>
      </c>
      <c r="AD13" s="14">
        <v>0.04</v>
      </c>
      <c r="AE13" s="14">
        <v>0.08</v>
      </c>
      <c r="AF13" s="14">
        <v>0.04</v>
      </c>
    </row>
    <row r="14" spans="1:32">
      <c r="A14" s="23"/>
      <c r="B14" s="11" t="s">
        <v>1613</v>
      </c>
      <c r="C14" s="12">
        <v>6859</v>
      </c>
      <c r="D14" s="12">
        <v>367</v>
      </c>
      <c r="E14" s="12">
        <v>127</v>
      </c>
      <c r="F14" s="12">
        <v>201</v>
      </c>
      <c r="G14" s="12">
        <v>313</v>
      </c>
      <c r="H14" s="12">
        <v>318</v>
      </c>
      <c r="I14" s="12">
        <v>392</v>
      </c>
      <c r="J14" s="12">
        <v>74</v>
      </c>
      <c r="K14" s="12">
        <v>273</v>
      </c>
      <c r="L14" s="12">
        <v>249</v>
      </c>
      <c r="M14" s="12">
        <v>181</v>
      </c>
      <c r="N14" s="12">
        <v>216</v>
      </c>
      <c r="O14" s="12">
        <v>172</v>
      </c>
      <c r="P14" s="12">
        <v>231</v>
      </c>
      <c r="Q14" s="12">
        <v>315</v>
      </c>
      <c r="R14" s="12">
        <v>46</v>
      </c>
      <c r="S14" s="12">
        <v>159</v>
      </c>
      <c r="T14" s="12">
        <v>267</v>
      </c>
      <c r="U14" s="12">
        <v>158</v>
      </c>
      <c r="V14" s="12">
        <v>240</v>
      </c>
      <c r="W14" s="12">
        <v>107</v>
      </c>
      <c r="X14" s="12">
        <v>369</v>
      </c>
      <c r="Y14" s="12">
        <v>341</v>
      </c>
      <c r="Z14" s="12">
        <v>350</v>
      </c>
      <c r="AA14" s="12">
        <v>249</v>
      </c>
      <c r="AB14" s="12">
        <v>311</v>
      </c>
      <c r="AC14" s="12">
        <v>176</v>
      </c>
      <c r="AD14" s="12">
        <v>237</v>
      </c>
      <c r="AE14" s="12">
        <v>354</v>
      </c>
      <c r="AF14" s="12">
        <v>325</v>
      </c>
    </row>
    <row r="15" spans="1:32">
      <c r="A15" s="23"/>
      <c r="B15" s="13" t="s">
        <v>710</v>
      </c>
      <c r="C15" s="14">
        <v>0.26</v>
      </c>
      <c r="D15" s="14">
        <v>0.36</v>
      </c>
      <c r="E15" s="14">
        <v>0.12</v>
      </c>
      <c r="F15" s="14">
        <v>0.2</v>
      </c>
      <c r="G15" s="14">
        <v>0.31</v>
      </c>
      <c r="H15" s="14">
        <v>0.26</v>
      </c>
      <c r="I15" s="14">
        <v>0.26</v>
      </c>
      <c r="J15" s="14">
        <v>0.25</v>
      </c>
      <c r="K15" s="14">
        <v>0.27</v>
      </c>
      <c r="L15" s="14">
        <v>0.25</v>
      </c>
      <c r="M15" s="14">
        <v>0.18</v>
      </c>
      <c r="N15" s="14">
        <v>0.22</v>
      </c>
      <c r="O15" s="14">
        <v>0.17</v>
      </c>
      <c r="P15" s="14">
        <v>0.23</v>
      </c>
      <c r="Q15" s="14">
        <v>0.31</v>
      </c>
      <c r="R15" s="14">
        <v>0.09</v>
      </c>
      <c r="S15" s="14">
        <v>0.16</v>
      </c>
      <c r="T15" s="14">
        <v>0.27</v>
      </c>
      <c r="U15" s="14">
        <v>0.31</v>
      </c>
      <c r="V15" s="14">
        <v>0.24</v>
      </c>
      <c r="W15" s="14">
        <v>0.21</v>
      </c>
      <c r="X15" s="14">
        <v>0.36</v>
      </c>
      <c r="Y15" s="14">
        <v>0.34</v>
      </c>
      <c r="Z15" s="14">
        <v>0.34</v>
      </c>
      <c r="AA15" s="14">
        <v>0.24</v>
      </c>
      <c r="AB15" s="14">
        <v>0.3</v>
      </c>
      <c r="AC15" s="14">
        <v>0.18</v>
      </c>
      <c r="AD15" s="14">
        <v>0.24</v>
      </c>
      <c r="AE15" s="14">
        <v>0.35</v>
      </c>
      <c r="AF15" s="14">
        <v>0.3</v>
      </c>
    </row>
    <row r="16" spans="1:32">
      <c r="A16" s="23"/>
      <c r="B16" s="11" t="s">
        <v>1614</v>
      </c>
      <c r="C16" s="12">
        <v>9603</v>
      </c>
      <c r="D16" s="12">
        <v>371</v>
      </c>
      <c r="E16" s="12">
        <v>348</v>
      </c>
      <c r="F16" s="12">
        <v>434</v>
      </c>
      <c r="G16" s="12">
        <v>246</v>
      </c>
      <c r="H16" s="12">
        <v>452</v>
      </c>
      <c r="I16" s="12">
        <v>587</v>
      </c>
      <c r="J16" s="12">
        <v>136</v>
      </c>
      <c r="K16" s="12">
        <v>300</v>
      </c>
      <c r="L16" s="12">
        <v>319</v>
      </c>
      <c r="M16" s="12">
        <v>358</v>
      </c>
      <c r="N16" s="12">
        <v>343</v>
      </c>
      <c r="O16" s="12">
        <v>396</v>
      </c>
      <c r="P16" s="12">
        <v>237</v>
      </c>
      <c r="Q16" s="12">
        <v>364</v>
      </c>
      <c r="R16" s="12">
        <v>186</v>
      </c>
      <c r="S16" s="12">
        <v>393</v>
      </c>
      <c r="T16" s="12">
        <v>437</v>
      </c>
      <c r="U16" s="12">
        <v>130</v>
      </c>
      <c r="V16" s="12">
        <v>343</v>
      </c>
      <c r="W16" s="12">
        <v>141</v>
      </c>
      <c r="X16" s="12">
        <v>342</v>
      </c>
      <c r="Y16" s="12">
        <v>239</v>
      </c>
      <c r="Z16" s="12">
        <v>364</v>
      </c>
      <c r="AA16" s="12">
        <v>473</v>
      </c>
      <c r="AB16" s="12">
        <v>343</v>
      </c>
      <c r="AC16" s="12">
        <v>366</v>
      </c>
      <c r="AD16" s="12">
        <v>440</v>
      </c>
      <c r="AE16" s="12">
        <v>284</v>
      </c>
      <c r="AF16" s="12">
        <v>411</v>
      </c>
    </row>
    <row r="17" spans="1:32">
      <c r="A17" s="23"/>
      <c r="B17" s="13" t="s">
        <v>712</v>
      </c>
      <c r="C17" s="14">
        <v>0.36</v>
      </c>
      <c r="D17" s="14">
        <v>0.37</v>
      </c>
      <c r="E17" s="14">
        <v>0.33</v>
      </c>
      <c r="F17" s="14">
        <v>0.43</v>
      </c>
      <c r="G17" s="14">
        <v>0.24</v>
      </c>
      <c r="H17" s="14">
        <v>0.38</v>
      </c>
      <c r="I17" s="14">
        <v>0.39</v>
      </c>
      <c r="J17" s="14">
        <v>0.46</v>
      </c>
      <c r="K17" s="14">
        <v>0.3</v>
      </c>
      <c r="L17" s="14">
        <v>0.32</v>
      </c>
      <c r="M17" s="14">
        <v>0.35</v>
      </c>
      <c r="N17" s="14">
        <v>0.34</v>
      </c>
      <c r="O17" s="14">
        <v>0.39</v>
      </c>
      <c r="P17" s="14">
        <v>0.23</v>
      </c>
      <c r="Q17" s="14">
        <v>0.36</v>
      </c>
      <c r="R17" s="14">
        <v>0.37</v>
      </c>
      <c r="S17" s="14">
        <v>0.39</v>
      </c>
      <c r="T17" s="14">
        <v>0.43</v>
      </c>
      <c r="U17" s="14">
        <v>0.26</v>
      </c>
      <c r="V17" s="14">
        <v>0.34</v>
      </c>
      <c r="W17" s="14">
        <v>0.28000000000000003</v>
      </c>
      <c r="X17" s="14">
        <v>0.34</v>
      </c>
      <c r="Y17" s="14">
        <v>0.24</v>
      </c>
      <c r="Z17" s="14">
        <v>0.36</v>
      </c>
      <c r="AA17" s="14">
        <v>0.46</v>
      </c>
      <c r="AB17" s="14">
        <v>0.33</v>
      </c>
      <c r="AC17" s="14">
        <v>0.36</v>
      </c>
      <c r="AD17" s="14">
        <v>0.44</v>
      </c>
      <c r="AE17" s="14">
        <v>0.28000000000000003</v>
      </c>
      <c r="AF17" s="14">
        <v>0.38</v>
      </c>
    </row>
    <row r="18" spans="1:32">
      <c r="A18" s="23"/>
      <c r="B18" s="11" t="s">
        <v>1615</v>
      </c>
      <c r="C18" s="12">
        <v>5153</v>
      </c>
      <c r="D18" s="12">
        <v>124</v>
      </c>
      <c r="E18" s="12">
        <v>402</v>
      </c>
      <c r="F18" s="12">
        <v>209</v>
      </c>
      <c r="G18" s="12">
        <v>116</v>
      </c>
      <c r="H18" s="12">
        <v>125</v>
      </c>
      <c r="I18" s="12">
        <v>167</v>
      </c>
      <c r="J18" s="12">
        <v>43</v>
      </c>
      <c r="K18" s="12">
        <v>179</v>
      </c>
      <c r="L18" s="12">
        <v>189</v>
      </c>
      <c r="M18" s="12">
        <v>379</v>
      </c>
      <c r="N18" s="12">
        <v>310</v>
      </c>
      <c r="O18" s="12">
        <v>251</v>
      </c>
      <c r="P18" s="12">
        <v>400</v>
      </c>
      <c r="Q18" s="12">
        <v>211</v>
      </c>
      <c r="R18" s="12">
        <v>222</v>
      </c>
      <c r="S18" s="12">
        <v>257</v>
      </c>
      <c r="T18" s="12">
        <v>147</v>
      </c>
      <c r="U18" s="12">
        <v>57</v>
      </c>
      <c r="V18" s="12">
        <v>283</v>
      </c>
      <c r="W18" s="12">
        <v>189</v>
      </c>
      <c r="X18" s="12">
        <v>102</v>
      </c>
      <c r="Y18" s="12">
        <v>137</v>
      </c>
      <c r="Z18" s="12">
        <v>110</v>
      </c>
      <c r="AA18" s="12">
        <v>169</v>
      </c>
      <c r="AB18" s="12">
        <v>216</v>
      </c>
      <c r="AC18" s="12">
        <v>363</v>
      </c>
      <c r="AD18" s="12">
        <v>198</v>
      </c>
      <c r="AE18" s="12">
        <v>89</v>
      </c>
      <c r="AF18" s="12">
        <v>148</v>
      </c>
    </row>
    <row r="19" spans="1:32">
      <c r="A19" s="23"/>
      <c r="B19" s="13" t="s">
        <v>714</v>
      </c>
      <c r="C19" s="14">
        <v>0.2</v>
      </c>
      <c r="D19" s="14">
        <v>0.12</v>
      </c>
      <c r="E19" s="14">
        <v>0.39</v>
      </c>
      <c r="F19" s="14">
        <v>0.21</v>
      </c>
      <c r="G19" s="14">
        <v>0.12</v>
      </c>
      <c r="H19" s="14">
        <v>0.1</v>
      </c>
      <c r="I19" s="14">
        <v>0.11</v>
      </c>
      <c r="J19" s="14">
        <v>0.15</v>
      </c>
      <c r="K19" s="14">
        <v>0.18</v>
      </c>
      <c r="L19" s="14">
        <v>0.19</v>
      </c>
      <c r="M19" s="14">
        <v>0.38</v>
      </c>
      <c r="N19" s="14">
        <v>0.31</v>
      </c>
      <c r="O19" s="14">
        <v>0.25</v>
      </c>
      <c r="P19" s="14">
        <v>0.4</v>
      </c>
      <c r="Q19" s="14">
        <v>0.21</v>
      </c>
      <c r="R19" s="14">
        <v>0.44</v>
      </c>
      <c r="S19" s="14">
        <v>0.25</v>
      </c>
      <c r="T19" s="14">
        <v>0.15</v>
      </c>
      <c r="U19" s="14">
        <v>0.11</v>
      </c>
      <c r="V19" s="14">
        <v>0.28000000000000003</v>
      </c>
      <c r="W19" s="14">
        <v>0.38</v>
      </c>
      <c r="X19" s="14">
        <v>0.1</v>
      </c>
      <c r="Y19" s="14">
        <v>0.13</v>
      </c>
      <c r="Z19" s="14">
        <v>0.11</v>
      </c>
      <c r="AA19" s="14">
        <v>0.16</v>
      </c>
      <c r="AB19" s="14">
        <v>0.21</v>
      </c>
      <c r="AC19" s="14">
        <v>0.36</v>
      </c>
      <c r="AD19" s="14">
        <v>0.2</v>
      </c>
      <c r="AE19" s="14">
        <v>0.09</v>
      </c>
      <c r="AF19" s="14">
        <v>0.14000000000000001</v>
      </c>
    </row>
    <row r="20" spans="1:32">
      <c r="A20" s="23"/>
      <c r="B20" s="11" t="s">
        <v>497</v>
      </c>
      <c r="C20" s="12">
        <v>3102</v>
      </c>
      <c r="D20" s="12">
        <v>75</v>
      </c>
      <c r="E20" s="12">
        <v>121</v>
      </c>
      <c r="F20" s="12">
        <v>100</v>
      </c>
      <c r="G20" s="12">
        <v>220</v>
      </c>
      <c r="H20" s="12">
        <v>256</v>
      </c>
      <c r="I20" s="12">
        <v>289</v>
      </c>
      <c r="J20" s="12">
        <v>33</v>
      </c>
      <c r="K20" s="12">
        <v>207</v>
      </c>
      <c r="L20" s="12">
        <v>178</v>
      </c>
      <c r="M20" s="12">
        <v>28</v>
      </c>
      <c r="N20" s="12">
        <v>64</v>
      </c>
      <c r="O20" s="12">
        <v>156</v>
      </c>
      <c r="P20" s="12">
        <v>29</v>
      </c>
      <c r="Q20" s="12">
        <v>47</v>
      </c>
      <c r="R20" s="12">
        <v>27</v>
      </c>
      <c r="S20" s="12">
        <v>169</v>
      </c>
      <c r="T20" s="12">
        <v>126</v>
      </c>
      <c r="U20" s="12">
        <v>134</v>
      </c>
      <c r="V20" s="12">
        <v>58</v>
      </c>
      <c r="W20" s="12">
        <v>37</v>
      </c>
      <c r="X20" s="12">
        <v>143</v>
      </c>
      <c r="Y20" s="12">
        <v>132</v>
      </c>
      <c r="Z20" s="12">
        <v>123</v>
      </c>
      <c r="AA20" s="12">
        <v>86</v>
      </c>
      <c r="AB20" s="12">
        <v>68</v>
      </c>
      <c r="AC20" s="12">
        <v>77</v>
      </c>
      <c r="AD20" s="12">
        <v>84</v>
      </c>
      <c r="AE20" s="12">
        <v>198</v>
      </c>
      <c r="AF20" s="12">
        <v>144</v>
      </c>
    </row>
    <row r="21" spans="1:32">
      <c r="A21" s="23"/>
      <c r="B21" s="13" t="s">
        <v>498</v>
      </c>
      <c r="C21" s="14">
        <v>0.12</v>
      </c>
      <c r="D21" s="14">
        <v>0.08</v>
      </c>
      <c r="E21" s="14">
        <v>0.12</v>
      </c>
      <c r="F21" s="14">
        <v>0.1</v>
      </c>
      <c r="G21" s="14">
        <v>0.22</v>
      </c>
      <c r="H21" s="14">
        <v>0.21</v>
      </c>
      <c r="I21" s="14">
        <v>0.19</v>
      </c>
      <c r="J21" s="14">
        <v>0.11</v>
      </c>
      <c r="K21" s="14">
        <v>0.21</v>
      </c>
      <c r="L21" s="14">
        <v>0.17</v>
      </c>
      <c r="M21" s="14">
        <v>0.03</v>
      </c>
      <c r="N21" s="14">
        <v>0.06</v>
      </c>
      <c r="O21" s="14">
        <v>0.16</v>
      </c>
      <c r="P21" s="14">
        <v>0.03</v>
      </c>
      <c r="Q21" s="14">
        <v>0.04</v>
      </c>
      <c r="R21" s="14">
        <v>0.06</v>
      </c>
      <c r="S21" s="14">
        <v>0.17</v>
      </c>
      <c r="T21" s="14">
        <v>0.12</v>
      </c>
      <c r="U21" s="14">
        <v>0.27</v>
      </c>
      <c r="V21" s="14">
        <v>0.06</v>
      </c>
      <c r="W21" s="14">
        <v>7.0000000000000007E-2</v>
      </c>
      <c r="X21" s="14">
        <v>0.14000000000000001</v>
      </c>
      <c r="Y21" s="14">
        <v>0.13</v>
      </c>
      <c r="Z21" s="14">
        <v>0.12</v>
      </c>
      <c r="AA21" s="14">
        <v>0.08</v>
      </c>
      <c r="AB21" s="14">
        <v>7.0000000000000007E-2</v>
      </c>
      <c r="AC21" s="14">
        <v>0.08</v>
      </c>
      <c r="AD21" s="14">
        <v>0.08</v>
      </c>
      <c r="AE21" s="14">
        <v>0.2</v>
      </c>
      <c r="AF21" s="14">
        <v>0.14000000000000001</v>
      </c>
    </row>
    <row r="22" spans="1:32">
      <c r="A22" s="23"/>
      <c r="B22" s="11" t="s">
        <v>715</v>
      </c>
      <c r="C22" s="12">
        <v>8496</v>
      </c>
      <c r="D22" s="12">
        <v>436</v>
      </c>
      <c r="E22" s="12">
        <v>172</v>
      </c>
      <c r="F22" s="12">
        <v>265</v>
      </c>
      <c r="G22" s="12">
        <v>421</v>
      </c>
      <c r="H22" s="12">
        <v>378</v>
      </c>
      <c r="I22" s="12">
        <v>460</v>
      </c>
      <c r="J22" s="12">
        <v>83</v>
      </c>
      <c r="K22" s="12">
        <v>318</v>
      </c>
      <c r="L22" s="12">
        <v>322</v>
      </c>
      <c r="M22" s="12">
        <v>246</v>
      </c>
      <c r="N22" s="12">
        <v>284</v>
      </c>
      <c r="O22" s="12">
        <v>203</v>
      </c>
      <c r="P22" s="12">
        <v>345</v>
      </c>
      <c r="Q22" s="12">
        <v>402</v>
      </c>
      <c r="R22" s="12">
        <v>67</v>
      </c>
      <c r="S22" s="12">
        <v>186</v>
      </c>
      <c r="T22" s="12">
        <v>295</v>
      </c>
      <c r="U22" s="12">
        <v>182</v>
      </c>
      <c r="V22" s="12">
        <v>327</v>
      </c>
      <c r="W22" s="12">
        <v>136</v>
      </c>
      <c r="X22" s="12">
        <v>429</v>
      </c>
      <c r="Y22" s="12">
        <v>499</v>
      </c>
      <c r="Z22" s="12">
        <v>420</v>
      </c>
      <c r="AA22" s="12">
        <v>312</v>
      </c>
      <c r="AB22" s="12">
        <v>404</v>
      </c>
      <c r="AC22" s="12">
        <v>200</v>
      </c>
      <c r="AD22" s="12">
        <v>280</v>
      </c>
      <c r="AE22" s="12">
        <v>436</v>
      </c>
      <c r="AF22" s="12">
        <v>370</v>
      </c>
    </row>
    <row r="23" spans="1:32">
      <c r="A23" s="23"/>
      <c r="B23" s="13" t="s">
        <v>716</v>
      </c>
      <c r="C23" s="14">
        <v>0.32</v>
      </c>
      <c r="D23" s="14">
        <v>0.43</v>
      </c>
      <c r="E23" s="14">
        <v>0.16</v>
      </c>
      <c r="F23" s="14">
        <v>0.26</v>
      </c>
      <c r="G23" s="14">
        <v>0.42</v>
      </c>
      <c r="H23" s="14">
        <v>0.31</v>
      </c>
      <c r="I23" s="14">
        <v>0.31</v>
      </c>
      <c r="J23" s="14">
        <v>0.28000000000000003</v>
      </c>
      <c r="K23" s="14">
        <v>0.31</v>
      </c>
      <c r="L23" s="14">
        <v>0.32</v>
      </c>
      <c r="M23" s="14">
        <v>0.24</v>
      </c>
      <c r="N23" s="14">
        <v>0.28999999999999998</v>
      </c>
      <c r="O23" s="14">
        <v>0.2</v>
      </c>
      <c r="P23" s="14">
        <v>0.34</v>
      </c>
      <c r="Q23" s="14">
        <v>0.39</v>
      </c>
      <c r="R23" s="14">
        <v>0.13</v>
      </c>
      <c r="S23" s="14">
        <v>0.19</v>
      </c>
      <c r="T23" s="14">
        <v>0.3</v>
      </c>
      <c r="U23" s="14">
        <v>0.36</v>
      </c>
      <c r="V23" s="14">
        <v>0.32</v>
      </c>
      <c r="W23" s="14">
        <v>0.27</v>
      </c>
      <c r="X23" s="14">
        <v>0.42</v>
      </c>
      <c r="Y23" s="14">
        <v>0.5</v>
      </c>
      <c r="Z23" s="14">
        <v>0.41</v>
      </c>
      <c r="AA23" s="14">
        <v>0.3</v>
      </c>
      <c r="AB23" s="14">
        <v>0.39</v>
      </c>
      <c r="AC23" s="14">
        <v>0.2</v>
      </c>
      <c r="AD23" s="14">
        <v>0.28000000000000003</v>
      </c>
      <c r="AE23" s="14">
        <v>0.43</v>
      </c>
      <c r="AF23" s="14">
        <v>0.34</v>
      </c>
    </row>
    <row r="24" spans="1:32">
      <c r="A24" s="23"/>
      <c r="B24" s="11" t="s">
        <v>717</v>
      </c>
      <c r="C24" s="12">
        <v>14756</v>
      </c>
      <c r="D24" s="12">
        <v>495</v>
      </c>
      <c r="E24" s="12">
        <v>750</v>
      </c>
      <c r="F24" s="12">
        <v>643</v>
      </c>
      <c r="G24" s="12">
        <v>362</v>
      </c>
      <c r="H24" s="12">
        <v>577</v>
      </c>
      <c r="I24" s="12">
        <v>754</v>
      </c>
      <c r="J24" s="12">
        <v>179</v>
      </c>
      <c r="K24" s="12">
        <v>479</v>
      </c>
      <c r="L24" s="12">
        <v>508</v>
      </c>
      <c r="M24" s="12">
        <v>737</v>
      </c>
      <c r="N24" s="12">
        <v>653</v>
      </c>
      <c r="O24" s="12">
        <v>647</v>
      </c>
      <c r="P24" s="12">
        <v>637</v>
      </c>
      <c r="Q24" s="12">
        <v>575</v>
      </c>
      <c r="R24" s="12">
        <v>408</v>
      </c>
      <c r="S24" s="12">
        <v>650</v>
      </c>
      <c r="T24" s="12">
        <v>584</v>
      </c>
      <c r="U24" s="12">
        <v>187</v>
      </c>
      <c r="V24" s="12">
        <v>626</v>
      </c>
      <c r="W24" s="12">
        <v>330</v>
      </c>
      <c r="X24" s="12">
        <v>444</v>
      </c>
      <c r="Y24" s="12">
        <v>376</v>
      </c>
      <c r="Z24" s="12">
        <v>474</v>
      </c>
      <c r="AA24" s="12">
        <v>642</v>
      </c>
      <c r="AB24" s="12">
        <v>559</v>
      </c>
      <c r="AC24" s="12">
        <v>729</v>
      </c>
      <c r="AD24" s="12">
        <v>638</v>
      </c>
      <c r="AE24" s="12">
        <v>373</v>
      </c>
      <c r="AF24" s="12">
        <v>559</v>
      </c>
    </row>
    <row r="25" spans="1:32">
      <c r="A25" s="23"/>
      <c r="B25" s="13" t="s">
        <v>718</v>
      </c>
      <c r="C25" s="14">
        <v>0.56000000000000005</v>
      </c>
      <c r="D25" s="14">
        <v>0.49</v>
      </c>
      <c r="E25" s="14">
        <v>0.72</v>
      </c>
      <c r="F25" s="14">
        <v>0.64</v>
      </c>
      <c r="G25" s="14">
        <v>0.36</v>
      </c>
      <c r="H25" s="14">
        <v>0.48</v>
      </c>
      <c r="I25" s="14">
        <v>0.5</v>
      </c>
      <c r="J25" s="14">
        <v>0.61</v>
      </c>
      <c r="K25" s="14">
        <v>0.48</v>
      </c>
      <c r="L25" s="14">
        <v>0.51</v>
      </c>
      <c r="M25" s="14">
        <v>0.73</v>
      </c>
      <c r="N25" s="14">
        <v>0.65</v>
      </c>
      <c r="O25" s="14">
        <v>0.64</v>
      </c>
      <c r="P25" s="14">
        <v>0.63</v>
      </c>
      <c r="Q25" s="14">
        <v>0.57000000000000006</v>
      </c>
      <c r="R25" s="14">
        <v>0.81</v>
      </c>
      <c r="S25" s="14">
        <v>0.64</v>
      </c>
      <c r="T25" s="14">
        <v>0.57999999999999996</v>
      </c>
      <c r="U25" s="14">
        <v>0.37</v>
      </c>
      <c r="V25" s="14">
        <v>0.62</v>
      </c>
      <c r="W25" s="14">
        <v>0.66</v>
      </c>
      <c r="X25" s="14">
        <v>0.44</v>
      </c>
      <c r="Y25" s="14">
        <v>0.37</v>
      </c>
      <c r="Z25" s="14">
        <v>0.47</v>
      </c>
      <c r="AA25" s="14">
        <v>0.62</v>
      </c>
      <c r="AB25" s="14">
        <v>0.54</v>
      </c>
      <c r="AC25" s="14">
        <v>0.72</v>
      </c>
      <c r="AD25" s="14">
        <v>0.64</v>
      </c>
      <c r="AE25" s="14">
        <v>0.37</v>
      </c>
      <c r="AF25" s="14">
        <v>0.52</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B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1640</v>
      </c>
      <c r="C3" s="19"/>
      <c r="D3" s="19"/>
      <c r="E3" s="19"/>
      <c r="F3" s="19"/>
      <c r="H3" s="19" t="s">
        <v>1641</v>
      </c>
      <c r="I3" s="19"/>
      <c r="J3" s="19"/>
      <c r="K3" s="19"/>
      <c r="L3" s="19"/>
    </row>
    <row r="4" spans="1:32" ht="27" customHeight="1">
      <c r="B4" s="19" t="s">
        <v>1642</v>
      </c>
      <c r="C4" s="19"/>
      <c r="D4" s="19"/>
      <c r="E4" s="19"/>
      <c r="F4" s="19"/>
      <c r="H4" s="19" t="s">
        <v>1643</v>
      </c>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HYPERLINK("#Content!A192","&lt;&lt;Back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1612</v>
      </c>
      <c r="C12" s="12">
        <v>7712</v>
      </c>
      <c r="D12" s="12">
        <v>232</v>
      </c>
      <c r="E12" s="12">
        <v>407</v>
      </c>
      <c r="F12" s="12">
        <v>300</v>
      </c>
      <c r="G12" s="12">
        <v>163</v>
      </c>
      <c r="H12" s="12">
        <v>301</v>
      </c>
      <c r="I12" s="12">
        <v>389</v>
      </c>
      <c r="J12" s="12">
        <v>88</v>
      </c>
      <c r="K12" s="12">
        <v>229</v>
      </c>
      <c r="L12" s="12">
        <v>312</v>
      </c>
      <c r="M12" s="12">
        <v>476</v>
      </c>
      <c r="N12" s="12">
        <v>375</v>
      </c>
      <c r="O12" s="12">
        <v>337</v>
      </c>
      <c r="P12" s="12">
        <v>355</v>
      </c>
      <c r="Q12" s="12">
        <v>294</v>
      </c>
      <c r="R12" s="12">
        <v>276</v>
      </c>
      <c r="S12" s="12">
        <v>366</v>
      </c>
      <c r="T12" s="12">
        <v>278</v>
      </c>
      <c r="U12" s="12">
        <v>104</v>
      </c>
      <c r="V12" s="12">
        <v>374</v>
      </c>
      <c r="W12" s="12">
        <v>246</v>
      </c>
      <c r="X12" s="12">
        <v>274</v>
      </c>
      <c r="Y12" s="12">
        <v>371</v>
      </c>
      <c r="Z12" s="12">
        <v>193</v>
      </c>
      <c r="AA12" s="12">
        <v>215</v>
      </c>
      <c r="AB12" s="12">
        <v>277</v>
      </c>
      <c r="AC12" s="12">
        <v>328</v>
      </c>
      <c r="AD12" s="12">
        <v>186</v>
      </c>
      <c r="AE12" s="12">
        <v>206</v>
      </c>
      <c r="AF12" s="12">
        <v>299</v>
      </c>
    </row>
    <row r="13" spans="1:32">
      <c r="A13" s="23"/>
      <c r="B13" s="13" t="s">
        <v>708</v>
      </c>
      <c r="C13" s="14">
        <v>0.28999999999999998</v>
      </c>
      <c r="D13" s="14">
        <v>0.23</v>
      </c>
      <c r="E13" s="14">
        <v>0.39</v>
      </c>
      <c r="F13" s="14">
        <v>0.3</v>
      </c>
      <c r="G13" s="14">
        <v>0.16</v>
      </c>
      <c r="H13" s="14">
        <v>0.25</v>
      </c>
      <c r="I13" s="14">
        <v>0.26</v>
      </c>
      <c r="J13" s="14">
        <v>0.3</v>
      </c>
      <c r="K13" s="14">
        <v>0.23</v>
      </c>
      <c r="L13" s="14">
        <v>0.31</v>
      </c>
      <c r="M13" s="14">
        <v>0.47</v>
      </c>
      <c r="N13" s="14">
        <v>0.38</v>
      </c>
      <c r="O13" s="14">
        <v>0.33</v>
      </c>
      <c r="P13" s="14">
        <v>0.35</v>
      </c>
      <c r="Q13" s="14">
        <v>0.28999999999999998</v>
      </c>
      <c r="R13" s="14">
        <v>0.55000000000000004</v>
      </c>
      <c r="S13" s="14">
        <v>0.36</v>
      </c>
      <c r="T13" s="14">
        <v>0.28000000000000003</v>
      </c>
      <c r="U13" s="14">
        <v>0.2</v>
      </c>
      <c r="V13" s="14">
        <v>0.37</v>
      </c>
      <c r="W13" s="14">
        <v>0.49</v>
      </c>
      <c r="X13" s="14">
        <v>0.27</v>
      </c>
      <c r="Y13" s="14">
        <v>0.37</v>
      </c>
      <c r="Z13" s="14">
        <v>0.19</v>
      </c>
      <c r="AA13" s="14">
        <v>0.21</v>
      </c>
      <c r="AB13" s="14">
        <v>0.27</v>
      </c>
      <c r="AC13" s="14">
        <v>0.33</v>
      </c>
      <c r="AD13" s="14">
        <v>0.18</v>
      </c>
      <c r="AE13" s="14">
        <v>0.2</v>
      </c>
      <c r="AF13" s="14">
        <v>0.28000000000000003</v>
      </c>
    </row>
    <row r="14" spans="1:32">
      <c r="A14" s="23"/>
      <c r="B14" s="11" t="s">
        <v>1613</v>
      </c>
      <c r="C14" s="12">
        <v>12517</v>
      </c>
      <c r="D14" s="12">
        <v>508</v>
      </c>
      <c r="E14" s="12">
        <v>424</v>
      </c>
      <c r="F14" s="12">
        <v>487</v>
      </c>
      <c r="G14" s="12">
        <v>390</v>
      </c>
      <c r="H14" s="12">
        <v>556</v>
      </c>
      <c r="I14" s="12">
        <v>697</v>
      </c>
      <c r="J14" s="12">
        <v>141</v>
      </c>
      <c r="K14" s="12">
        <v>432</v>
      </c>
      <c r="L14" s="12">
        <v>438</v>
      </c>
      <c r="M14" s="12">
        <v>458</v>
      </c>
      <c r="N14" s="12">
        <v>454</v>
      </c>
      <c r="O14" s="12">
        <v>449</v>
      </c>
      <c r="P14" s="12">
        <v>513</v>
      </c>
      <c r="Q14" s="12">
        <v>536</v>
      </c>
      <c r="R14" s="12">
        <v>145</v>
      </c>
      <c r="S14" s="12">
        <v>387</v>
      </c>
      <c r="T14" s="12">
        <v>538</v>
      </c>
      <c r="U14" s="12">
        <v>246</v>
      </c>
      <c r="V14" s="12">
        <v>446</v>
      </c>
      <c r="W14" s="12">
        <v>170</v>
      </c>
      <c r="X14" s="12">
        <v>484</v>
      </c>
      <c r="Y14" s="12">
        <v>399</v>
      </c>
      <c r="Z14" s="12">
        <v>527</v>
      </c>
      <c r="AA14" s="12">
        <v>678</v>
      </c>
      <c r="AB14" s="12">
        <v>474</v>
      </c>
      <c r="AC14" s="12">
        <v>445</v>
      </c>
      <c r="AD14" s="12">
        <v>602</v>
      </c>
      <c r="AE14" s="12">
        <v>433</v>
      </c>
      <c r="AF14" s="12">
        <v>454</v>
      </c>
    </row>
    <row r="15" spans="1:32">
      <c r="A15" s="23"/>
      <c r="B15" s="13" t="s">
        <v>710</v>
      </c>
      <c r="C15" s="14">
        <v>0.48</v>
      </c>
      <c r="D15" s="14">
        <v>0.5</v>
      </c>
      <c r="E15" s="14">
        <v>0.41</v>
      </c>
      <c r="F15" s="14">
        <v>0.48</v>
      </c>
      <c r="G15" s="14">
        <v>0.39</v>
      </c>
      <c r="H15" s="14">
        <v>0.46</v>
      </c>
      <c r="I15" s="14">
        <v>0.46</v>
      </c>
      <c r="J15" s="14">
        <v>0.48</v>
      </c>
      <c r="K15" s="14">
        <v>0.43</v>
      </c>
      <c r="L15" s="14">
        <v>0.43</v>
      </c>
      <c r="M15" s="14">
        <v>0.45</v>
      </c>
      <c r="N15" s="14">
        <v>0.45</v>
      </c>
      <c r="O15" s="14">
        <v>0.45</v>
      </c>
      <c r="P15" s="14">
        <v>0.51</v>
      </c>
      <c r="Q15" s="14">
        <v>0.52</v>
      </c>
      <c r="R15" s="14">
        <v>0.28999999999999998</v>
      </c>
      <c r="S15" s="14">
        <v>0.39</v>
      </c>
      <c r="T15" s="14">
        <v>0.53</v>
      </c>
      <c r="U15" s="14">
        <v>0.49</v>
      </c>
      <c r="V15" s="14">
        <v>0.44</v>
      </c>
      <c r="W15" s="14">
        <v>0.34</v>
      </c>
      <c r="X15" s="14">
        <v>0.48</v>
      </c>
      <c r="Y15" s="14">
        <v>0.4</v>
      </c>
      <c r="Z15" s="14">
        <v>0.52</v>
      </c>
      <c r="AA15" s="14">
        <v>0.65</v>
      </c>
      <c r="AB15" s="14">
        <v>0.46</v>
      </c>
      <c r="AC15" s="14">
        <v>0.44</v>
      </c>
      <c r="AD15" s="14">
        <v>0.6</v>
      </c>
      <c r="AE15" s="14">
        <v>0.43</v>
      </c>
      <c r="AF15" s="14">
        <v>0.42</v>
      </c>
    </row>
    <row r="16" spans="1:32">
      <c r="A16" s="23"/>
      <c r="B16" s="11" t="s">
        <v>1614</v>
      </c>
      <c r="C16" s="12">
        <v>3010</v>
      </c>
      <c r="D16" s="12">
        <v>157</v>
      </c>
      <c r="E16" s="12">
        <v>74</v>
      </c>
      <c r="F16" s="12">
        <v>110</v>
      </c>
      <c r="G16" s="12">
        <v>197</v>
      </c>
      <c r="H16" s="12">
        <v>162</v>
      </c>
      <c r="I16" s="12">
        <v>205</v>
      </c>
      <c r="J16" s="12">
        <v>44</v>
      </c>
      <c r="K16" s="12">
        <v>125</v>
      </c>
      <c r="L16" s="12">
        <v>80</v>
      </c>
      <c r="M16" s="12">
        <v>35</v>
      </c>
      <c r="N16" s="12">
        <v>76</v>
      </c>
      <c r="O16" s="12">
        <v>79</v>
      </c>
      <c r="P16" s="12">
        <v>78</v>
      </c>
      <c r="Q16" s="12">
        <v>106</v>
      </c>
      <c r="R16" s="12">
        <v>35</v>
      </c>
      <c r="S16" s="12">
        <v>73</v>
      </c>
      <c r="T16" s="12">
        <v>70</v>
      </c>
      <c r="U16" s="12">
        <v>59</v>
      </c>
      <c r="V16" s="12">
        <v>123</v>
      </c>
      <c r="W16" s="12">
        <v>36</v>
      </c>
      <c r="X16" s="12">
        <v>174</v>
      </c>
      <c r="Y16" s="12">
        <v>122</v>
      </c>
      <c r="Z16" s="12">
        <v>154</v>
      </c>
      <c r="AA16" s="12">
        <v>32</v>
      </c>
      <c r="AB16" s="12">
        <v>176</v>
      </c>
      <c r="AC16" s="12">
        <v>123</v>
      </c>
      <c r="AD16" s="12">
        <v>108</v>
      </c>
      <c r="AE16" s="12">
        <v>197</v>
      </c>
      <c r="AF16" s="12">
        <v>192</v>
      </c>
    </row>
    <row r="17" spans="1:32">
      <c r="A17" s="23"/>
      <c r="B17" s="13" t="s">
        <v>712</v>
      </c>
      <c r="C17" s="14">
        <v>0.11</v>
      </c>
      <c r="D17" s="14">
        <v>0.16</v>
      </c>
      <c r="E17" s="14">
        <v>7.0000000000000007E-2</v>
      </c>
      <c r="F17" s="14">
        <v>0.11</v>
      </c>
      <c r="G17" s="14">
        <v>0.2</v>
      </c>
      <c r="H17" s="14">
        <v>0.13</v>
      </c>
      <c r="I17" s="14">
        <v>0.14000000000000001</v>
      </c>
      <c r="J17" s="14">
        <v>0.15</v>
      </c>
      <c r="K17" s="14">
        <v>0.12</v>
      </c>
      <c r="L17" s="14">
        <v>0.08</v>
      </c>
      <c r="M17" s="14">
        <v>0.04</v>
      </c>
      <c r="N17" s="14">
        <v>0.08</v>
      </c>
      <c r="O17" s="14">
        <v>0.08</v>
      </c>
      <c r="P17" s="14">
        <v>0.08</v>
      </c>
      <c r="Q17" s="14">
        <v>0.1</v>
      </c>
      <c r="R17" s="14">
        <v>7.0000000000000007E-2</v>
      </c>
      <c r="S17" s="14">
        <v>7.0000000000000007E-2</v>
      </c>
      <c r="T17" s="14">
        <v>7.0000000000000007E-2</v>
      </c>
      <c r="U17" s="14">
        <v>0.12</v>
      </c>
      <c r="V17" s="14">
        <v>0.12</v>
      </c>
      <c r="W17" s="14">
        <v>7.0000000000000007E-2</v>
      </c>
      <c r="X17" s="14">
        <v>0.17</v>
      </c>
      <c r="Y17" s="14">
        <v>0.12</v>
      </c>
      <c r="Z17" s="14">
        <v>0.15</v>
      </c>
      <c r="AA17" s="14">
        <v>0.03</v>
      </c>
      <c r="AB17" s="14">
        <v>0.17</v>
      </c>
      <c r="AC17" s="14">
        <v>0.12</v>
      </c>
      <c r="AD17" s="14">
        <v>0.11</v>
      </c>
      <c r="AE17" s="14">
        <v>0.2</v>
      </c>
      <c r="AF17" s="14">
        <v>0.18</v>
      </c>
    </row>
    <row r="18" spans="1:32">
      <c r="A18" s="23"/>
      <c r="B18" s="11" t="s">
        <v>1615</v>
      </c>
      <c r="C18" s="12">
        <v>815</v>
      </c>
      <c r="D18" s="12">
        <v>52</v>
      </c>
      <c r="E18" s="12">
        <v>31</v>
      </c>
      <c r="F18" s="12">
        <v>24</v>
      </c>
      <c r="G18" s="12">
        <v>149</v>
      </c>
      <c r="H18" s="12">
        <v>17</v>
      </c>
      <c r="I18" s="12">
        <v>20</v>
      </c>
      <c r="J18" s="12">
        <v>3</v>
      </c>
      <c r="K18" s="12">
        <v>41</v>
      </c>
      <c r="L18" s="12">
        <v>26</v>
      </c>
      <c r="M18" s="12">
        <v>9</v>
      </c>
      <c r="N18" s="12">
        <v>15</v>
      </c>
      <c r="O18" s="12">
        <v>21</v>
      </c>
      <c r="P18" s="12">
        <v>32</v>
      </c>
      <c r="Q18" s="12">
        <v>43</v>
      </c>
      <c r="R18" s="12">
        <v>6</v>
      </c>
      <c r="S18" s="12">
        <v>17</v>
      </c>
      <c r="T18" s="12">
        <v>8</v>
      </c>
      <c r="U18" s="12">
        <v>19</v>
      </c>
      <c r="V18" s="12">
        <v>28</v>
      </c>
      <c r="W18" s="12">
        <v>13</v>
      </c>
      <c r="X18" s="12">
        <v>34</v>
      </c>
      <c r="Y18" s="12">
        <v>39</v>
      </c>
      <c r="Z18" s="12">
        <v>66</v>
      </c>
      <c r="AA18" s="12">
        <v>7</v>
      </c>
      <c r="AB18" s="12">
        <v>51</v>
      </c>
      <c r="AC18" s="12">
        <v>29</v>
      </c>
      <c r="AD18" s="12">
        <v>27</v>
      </c>
      <c r="AE18" s="12">
        <v>61</v>
      </c>
      <c r="AF18" s="12">
        <v>64</v>
      </c>
    </row>
    <row r="19" spans="1:32">
      <c r="A19" s="23"/>
      <c r="B19" s="13" t="s">
        <v>714</v>
      </c>
      <c r="C19" s="14">
        <v>0.03</v>
      </c>
      <c r="D19" s="14">
        <v>0.05</v>
      </c>
      <c r="E19" s="14">
        <v>0.03</v>
      </c>
      <c r="F19" s="14">
        <v>0.02</v>
      </c>
      <c r="G19" s="14">
        <v>0.15</v>
      </c>
      <c r="H19" s="14">
        <v>0.01</v>
      </c>
      <c r="I19" s="14">
        <v>0.01</v>
      </c>
      <c r="J19" s="14">
        <v>0.01</v>
      </c>
      <c r="K19" s="14">
        <v>0.04</v>
      </c>
      <c r="L19" s="14">
        <v>0.03</v>
      </c>
      <c r="M19" s="14">
        <v>0.01</v>
      </c>
      <c r="N19" s="14">
        <v>0.01</v>
      </c>
      <c r="O19" s="14">
        <v>0.02</v>
      </c>
      <c r="P19" s="14">
        <v>0.03</v>
      </c>
      <c r="Q19" s="14">
        <v>0.04</v>
      </c>
      <c r="R19" s="14">
        <v>0.01</v>
      </c>
      <c r="S19" s="14">
        <v>0.02</v>
      </c>
      <c r="T19" s="14">
        <v>0.01</v>
      </c>
      <c r="U19" s="14">
        <v>0.04</v>
      </c>
      <c r="V19" s="14">
        <v>0.03</v>
      </c>
      <c r="W19" s="14">
        <v>0.02</v>
      </c>
      <c r="X19" s="14">
        <v>0.03</v>
      </c>
      <c r="Y19" s="14">
        <v>0.04</v>
      </c>
      <c r="Z19" s="14">
        <v>0.06</v>
      </c>
      <c r="AA19" s="14">
        <v>0.01</v>
      </c>
      <c r="AB19" s="14">
        <v>0.05</v>
      </c>
      <c r="AC19" s="14">
        <v>0.03</v>
      </c>
      <c r="AD19" s="14">
        <v>0.03</v>
      </c>
      <c r="AE19" s="14">
        <v>0.06</v>
      </c>
      <c r="AF19" s="14">
        <v>0.06</v>
      </c>
    </row>
    <row r="20" spans="1:32">
      <c r="A20" s="23"/>
      <c r="B20" s="11" t="s">
        <v>497</v>
      </c>
      <c r="C20" s="12">
        <v>2300</v>
      </c>
      <c r="D20" s="12">
        <v>57</v>
      </c>
      <c r="E20" s="12">
        <v>107</v>
      </c>
      <c r="F20" s="12">
        <v>86</v>
      </c>
      <c r="G20" s="12">
        <v>105</v>
      </c>
      <c r="H20" s="12">
        <v>175</v>
      </c>
      <c r="I20" s="12">
        <v>193</v>
      </c>
      <c r="J20" s="12">
        <v>18</v>
      </c>
      <c r="K20" s="12">
        <v>177</v>
      </c>
      <c r="L20" s="12">
        <v>150</v>
      </c>
      <c r="M20" s="12">
        <v>33</v>
      </c>
      <c r="N20" s="12">
        <v>80</v>
      </c>
      <c r="O20" s="12">
        <v>120</v>
      </c>
      <c r="P20" s="12">
        <v>33</v>
      </c>
      <c r="Q20" s="12">
        <v>45</v>
      </c>
      <c r="R20" s="12">
        <v>41</v>
      </c>
      <c r="S20" s="12">
        <v>162</v>
      </c>
      <c r="T20" s="12">
        <v>109</v>
      </c>
      <c r="U20" s="12">
        <v>75</v>
      </c>
      <c r="V20" s="12">
        <v>40</v>
      </c>
      <c r="W20" s="12">
        <v>39</v>
      </c>
      <c r="X20" s="12">
        <v>51</v>
      </c>
      <c r="Y20" s="12">
        <v>75</v>
      </c>
      <c r="Z20" s="12">
        <v>77</v>
      </c>
      <c r="AA20" s="12">
        <v>108</v>
      </c>
      <c r="AB20" s="12">
        <v>53</v>
      </c>
      <c r="AC20" s="12">
        <v>79</v>
      </c>
      <c r="AD20" s="12">
        <v>80</v>
      </c>
      <c r="AE20" s="12">
        <v>110</v>
      </c>
      <c r="AF20" s="12">
        <v>65</v>
      </c>
    </row>
    <row r="21" spans="1:32">
      <c r="A21" s="23"/>
      <c r="B21" s="13" t="s">
        <v>498</v>
      </c>
      <c r="C21" s="14">
        <v>0.09</v>
      </c>
      <c r="D21" s="14">
        <v>0.06</v>
      </c>
      <c r="E21" s="14">
        <v>0.1</v>
      </c>
      <c r="F21" s="14">
        <v>0.09</v>
      </c>
      <c r="G21" s="14">
        <v>0.1</v>
      </c>
      <c r="H21" s="14">
        <v>0.15</v>
      </c>
      <c r="I21" s="14">
        <v>0.13</v>
      </c>
      <c r="J21" s="14">
        <v>0.06</v>
      </c>
      <c r="K21" s="14">
        <v>0.18</v>
      </c>
      <c r="L21" s="14">
        <v>0.15</v>
      </c>
      <c r="M21" s="14">
        <v>0.03</v>
      </c>
      <c r="N21" s="14">
        <v>0.08</v>
      </c>
      <c r="O21" s="14">
        <v>0.12</v>
      </c>
      <c r="P21" s="14">
        <v>0.03</v>
      </c>
      <c r="Q21" s="14">
        <v>0.05</v>
      </c>
      <c r="R21" s="14">
        <v>0.08</v>
      </c>
      <c r="S21" s="14">
        <v>0.16</v>
      </c>
      <c r="T21" s="14">
        <v>0.11</v>
      </c>
      <c r="U21" s="14">
        <v>0.15</v>
      </c>
      <c r="V21" s="14">
        <v>0.04</v>
      </c>
      <c r="W21" s="14">
        <v>0.08</v>
      </c>
      <c r="X21" s="14">
        <v>0.05</v>
      </c>
      <c r="Y21" s="14">
        <v>7.0000000000000007E-2</v>
      </c>
      <c r="Z21" s="14">
        <v>0.08</v>
      </c>
      <c r="AA21" s="14">
        <v>0.1</v>
      </c>
      <c r="AB21" s="14">
        <v>0.05</v>
      </c>
      <c r="AC21" s="14">
        <v>0.08</v>
      </c>
      <c r="AD21" s="14">
        <v>0.08</v>
      </c>
      <c r="AE21" s="14">
        <v>0.11</v>
      </c>
      <c r="AF21" s="14">
        <v>0.06</v>
      </c>
    </row>
    <row r="22" spans="1:32">
      <c r="A22" s="23"/>
      <c r="B22" s="11" t="s">
        <v>715</v>
      </c>
      <c r="C22" s="12">
        <v>20229</v>
      </c>
      <c r="D22" s="12">
        <v>740</v>
      </c>
      <c r="E22" s="12">
        <v>831</v>
      </c>
      <c r="F22" s="12">
        <v>787</v>
      </c>
      <c r="G22" s="12">
        <v>553</v>
      </c>
      <c r="H22" s="12">
        <v>857</v>
      </c>
      <c r="I22" s="12">
        <v>1086</v>
      </c>
      <c r="J22" s="12">
        <v>229</v>
      </c>
      <c r="K22" s="12">
        <v>661</v>
      </c>
      <c r="L22" s="12">
        <v>750</v>
      </c>
      <c r="M22" s="12">
        <v>934</v>
      </c>
      <c r="N22" s="12">
        <v>829</v>
      </c>
      <c r="O22" s="12">
        <v>786</v>
      </c>
      <c r="P22" s="12">
        <v>868</v>
      </c>
      <c r="Q22" s="12">
        <v>830</v>
      </c>
      <c r="R22" s="12">
        <v>421</v>
      </c>
      <c r="S22" s="12">
        <v>753</v>
      </c>
      <c r="T22" s="12">
        <v>816</v>
      </c>
      <c r="U22" s="12">
        <v>350</v>
      </c>
      <c r="V22" s="12">
        <v>820</v>
      </c>
      <c r="W22" s="12">
        <v>416</v>
      </c>
      <c r="X22" s="12">
        <v>758</v>
      </c>
      <c r="Y22" s="12">
        <v>770</v>
      </c>
      <c r="Z22" s="12">
        <v>720</v>
      </c>
      <c r="AA22" s="12">
        <v>893</v>
      </c>
      <c r="AB22" s="12">
        <v>751</v>
      </c>
      <c r="AC22" s="12">
        <v>773</v>
      </c>
      <c r="AD22" s="12">
        <v>788</v>
      </c>
      <c r="AE22" s="12">
        <v>639</v>
      </c>
      <c r="AF22" s="12">
        <v>753</v>
      </c>
    </row>
    <row r="23" spans="1:32">
      <c r="A23" s="23"/>
      <c r="B23" s="13" t="s">
        <v>716</v>
      </c>
      <c r="C23" s="14">
        <v>0.77</v>
      </c>
      <c r="D23" s="14">
        <v>0.73</v>
      </c>
      <c r="E23" s="14">
        <v>0.8</v>
      </c>
      <c r="F23" s="14">
        <v>0.78</v>
      </c>
      <c r="G23" s="14">
        <v>0.55000000000000004</v>
      </c>
      <c r="H23" s="14">
        <v>0.71</v>
      </c>
      <c r="I23" s="14">
        <v>0.72</v>
      </c>
      <c r="J23" s="14">
        <v>0.78</v>
      </c>
      <c r="K23" s="14">
        <v>0.66</v>
      </c>
      <c r="L23" s="14">
        <v>0.74</v>
      </c>
      <c r="M23" s="14">
        <v>0.92</v>
      </c>
      <c r="N23" s="14">
        <v>0.83000000000000007</v>
      </c>
      <c r="O23" s="14">
        <v>0.78</v>
      </c>
      <c r="P23" s="14">
        <v>0.86</v>
      </c>
      <c r="Q23" s="14">
        <v>0.81</v>
      </c>
      <c r="R23" s="14">
        <v>0.84</v>
      </c>
      <c r="S23" s="14">
        <v>0.75</v>
      </c>
      <c r="T23" s="14">
        <v>0.81</v>
      </c>
      <c r="U23" s="14">
        <v>0.69000000000000006</v>
      </c>
      <c r="V23" s="14">
        <v>0.81</v>
      </c>
      <c r="W23" s="14">
        <v>0.83000000000000007</v>
      </c>
      <c r="X23" s="14">
        <v>0.75</v>
      </c>
      <c r="Y23" s="14">
        <v>0.77</v>
      </c>
      <c r="Z23" s="14">
        <v>0.71</v>
      </c>
      <c r="AA23" s="14">
        <v>0.86</v>
      </c>
      <c r="AB23" s="14">
        <v>0.73</v>
      </c>
      <c r="AC23" s="14">
        <v>0.77</v>
      </c>
      <c r="AD23" s="14">
        <v>0.78</v>
      </c>
      <c r="AE23" s="14">
        <v>0.63</v>
      </c>
      <c r="AF23" s="14">
        <v>0.70000000000000007</v>
      </c>
    </row>
    <row r="24" spans="1:32">
      <c r="A24" s="23"/>
      <c r="B24" s="11" t="s">
        <v>717</v>
      </c>
      <c r="C24" s="12">
        <v>3825</v>
      </c>
      <c r="D24" s="12">
        <v>209</v>
      </c>
      <c r="E24" s="12">
        <v>105</v>
      </c>
      <c r="F24" s="12">
        <v>134</v>
      </c>
      <c r="G24" s="12">
        <v>346</v>
      </c>
      <c r="H24" s="12">
        <v>179</v>
      </c>
      <c r="I24" s="12">
        <v>225</v>
      </c>
      <c r="J24" s="12">
        <v>47</v>
      </c>
      <c r="K24" s="12">
        <v>166</v>
      </c>
      <c r="L24" s="12">
        <v>106</v>
      </c>
      <c r="M24" s="12">
        <v>44</v>
      </c>
      <c r="N24" s="12">
        <v>91</v>
      </c>
      <c r="O24" s="12">
        <v>100</v>
      </c>
      <c r="P24" s="12">
        <v>110</v>
      </c>
      <c r="Q24" s="12">
        <v>149</v>
      </c>
      <c r="R24" s="12">
        <v>41</v>
      </c>
      <c r="S24" s="12">
        <v>90</v>
      </c>
      <c r="T24" s="12">
        <v>78</v>
      </c>
      <c r="U24" s="12">
        <v>78</v>
      </c>
      <c r="V24" s="12">
        <v>151</v>
      </c>
      <c r="W24" s="12">
        <v>49</v>
      </c>
      <c r="X24" s="12">
        <v>208</v>
      </c>
      <c r="Y24" s="12">
        <v>161</v>
      </c>
      <c r="Z24" s="12">
        <v>220</v>
      </c>
      <c r="AA24" s="12">
        <v>39</v>
      </c>
      <c r="AB24" s="12">
        <v>227</v>
      </c>
      <c r="AC24" s="12">
        <v>152</v>
      </c>
      <c r="AD24" s="12">
        <v>135</v>
      </c>
      <c r="AE24" s="12">
        <v>258</v>
      </c>
      <c r="AF24" s="12">
        <v>256</v>
      </c>
    </row>
    <row r="25" spans="1:32">
      <c r="A25" s="23"/>
      <c r="B25" s="13" t="s">
        <v>718</v>
      </c>
      <c r="C25" s="14">
        <v>0.14000000000000001</v>
      </c>
      <c r="D25" s="14">
        <v>0.21</v>
      </c>
      <c r="E25" s="14">
        <v>0.1</v>
      </c>
      <c r="F25" s="14">
        <v>0.13</v>
      </c>
      <c r="G25" s="14">
        <v>0.35</v>
      </c>
      <c r="H25" s="14">
        <v>0.14000000000000001</v>
      </c>
      <c r="I25" s="14">
        <v>0.15</v>
      </c>
      <c r="J25" s="14">
        <v>0.16</v>
      </c>
      <c r="K25" s="14">
        <v>0.16</v>
      </c>
      <c r="L25" s="14">
        <v>0.11</v>
      </c>
      <c r="M25" s="14">
        <v>0.05</v>
      </c>
      <c r="N25" s="14">
        <v>0.09</v>
      </c>
      <c r="O25" s="14">
        <v>0.1</v>
      </c>
      <c r="P25" s="14">
        <v>0.11</v>
      </c>
      <c r="Q25" s="14">
        <v>0.14000000000000001</v>
      </c>
      <c r="R25" s="14">
        <v>0.08</v>
      </c>
      <c r="S25" s="14">
        <v>0.09</v>
      </c>
      <c r="T25" s="14">
        <v>0.08</v>
      </c>
      <c r="U25" s="14">
        <v>0.16</v>
      </c>
      <c r="V25" s="14">
        <v>0.15</v>
      </c>
      <c r="W25" s="14">
        <v>0.09</v>
      </c>
      <c r="X25" s="14">
        <v>0.2</v>
      </c>
      <c r="Y25" s="14">
        <v>0.16</v>
      </c>
      <c r="Z25" s="14">
        <v>0.21</v>
      </c>
      <c r="AA25" s="14">
        <v>0.04</v>
      </c>
      <c r="AB25" s="14">
        <v>0.22</v>
      </c>
      <c r="AC25" s="14">
        <v>0.15</v>
      </c>
      <c r="AD25" s="14">
        <v>0.14000000000000001</v>
      </c>
      <c r="AE25" s="14">
        <v>0.26</v>
      </c>
      <c r="AF25" s="14">
        <v>0.24</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C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1644</v>
      </c>
      <c r="C3" s="19"/>
      <c r="D3" s="19"/>
      <c r="E3" s="19"/>
      <c r="F3" s="19"/>
      <c r="H3" s="19" t="s">
        <v>1645</v>
      </c>
      <c r="I3" s="19"/>
      <c r="J3" s="19"/>
      <c r="K3" s="19"/>
      <c r="L3" s="19"/>
    </row>
    <row r="4" spans="1:32" ht="27" customHeight="1">
      <c r="B4" s="19" t="s">
        <v>1646</v>
      </c>
      <c r="C4" s="19"/>
      <c r="D4" s="19"/>
      <c r="E4" s="19"/>
      <c r="F4" s="19"/>
      <c r="H4" s="19" t="s">
        <v>1647</v>
      </c>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HYPERLINK("#Content!A193","&lt;&lt;Back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1612</v>
      </c>
      <c r="C12" s="12">
        <v>5846</v>
      </c>
      <c r="D12" s="12">
        <v>162</v>
      </c>
      <c r="E12" s="12">
        <v>395</v>
      </c>
      <c r="F12" s="12">
        <v>232</v>
      </c>
      <c r="G12" s="12">
        <v>60</v>
      </c>
      <c r="H12" s="12">
        <v>193</v>
      </c>
      <c r="I12" s="12">
        <v>260</v>
      </c>
      <c r="J12" s="12">
        <v>67</v>
      </c>
      <c r="K12" s="12">
        <v>165</v>
      </c>
      <c r="L12" s="12">
        <v>194</v>
      </c>
      <c r="M12" s="12">
        <v>430</v>
      </c>
      <c r="N12" s="12">
        <v>286</v>
      </c>
      <c r="O12" s="12">
        <v>195</v>
      </c>
      <c r="P12" s="12">
        <v>390</v>
      </c>
      <c r="Q12" s="12">
        <v>302</v>
      </c>
      <c r="R12" s="12">
        <v>268</v>
      </c>
      <c r="S12" s="12">
        <v>276</v>
      </c>
      <c r="T12" s="12">
        <v>260</v>
      </c>
      <c r="U12" s="12">
        <v>111</v>
      </c>
      <c r="V12" s="12">
        <v>311</v>
      </c>
      <c r="W12" s="12">
        <v>189</v>
      </c>
      <c r="X12" s="12">
        <v>127</v>
      </c>
      <c r="Y12" s="12">
        <v>285</v>
      </c>
      <c r="Z12" s="12">
        <v>173</v>
      </c>
      <c r="AA12" s="12">
        <v>160</v>
      </c>
      <c r="AB12" s="12">
        <v>299</v>
      </c>
      <c r="AC12" s="12">
        <v>325</v>
      </c>
      <c r="AD12" s="12">
        <v>147</v>
      </c>
      <c r="AE12" s="12">
        <v>58</v>
      </c>
      <c r="AF12" s="12">
        <v>89</v>
      </c>
    </row>
    <row r="13" spans="1:32">
      <c r="A13" s="23"/>
      <c r="B13" s="13" t="s">
        <v>708</v>
      </c>
      <c r="C13" s="14">
        <v>0.22</v>
      </c>
      <c r="D13" s="14">
        <v>0.16</v>
      </c>
      <c r="E13" s="14">
        <v>0.38</v>
      </c>
      <c r="F13" s="14">
        <v>0.23</v>
      </c>
      <c r="G13" s="14">
        <v>0.06</v>
      </c>
      <c r="H13" s="14">
        <v>0.16</v>
      </c>
      <c r="I13" s="14">
        <v>0.17</v>
      </c>
      <c r="J13" s="14">
        <v>0.23</v>
      </c>
      <c r="K13" s="14">
        <v>0.16</v>
      </c>
      <c r="L13" s="14">
        <v>0.19</v>
      </c>
      <c r="M13" s="14">
        <v>0.43</v>
      </c>
      <c r="N13" s="14">
        <v>0.28999999999999998</v>
      </c>
      <c r="O13" s="14">
        <v>0.19</v>
      </c>
      <c r="P13" s="14">
        <v>0.39</v>
      </c>
      <c r="Q13" s="14">
        <v>0.28999999999999998</v>
      </c>
      <c r="R13" s="14">
        <v>0.53</v>
      </c>
      <c r="S13" s="14">
        <v>0.27</v>
      </c>
      <c r="T13" s="14">
        <v>0.26</v>
      </c>
      <c r="U13" s="14">
        <v>0.22</v>
      </c>
      <c r="V13" s="14">
        <v>0.31</v>
      </c>
      <c r="W13" s="14">
        <v>0.37</v>
      </c>
      <c r="X13" s="14">
        <v>0.13</v>
      </c>
      <c r="Y13" s="14">
        <v>0.28000000000000003</v>
      </c>
      <c r="Z13" s="14">
        <v>0.17</v>
      </c>
      <c r="AA13" s="14">
        <v>0.15</v>
      </c>
      <c r="AB13" s="14">
        <v>0.28999999999999998</v>
      </c>
      <c r="AC13" s="14">
        <v>0.32</v>
      </c>
      <c r="AD13" s="14">
        <v>0.15</v>
      </c>
      <c r="AE13" s="14">
        <v>0.06</v>
      </c>
      <c r="AF13" s="14">
        <v>0.08</v>
      </c>
    </row>
    <row r="14" spans="1:32">
      <c r="A14" s="23"/>
      <c r="B14" s="11" t="s">
        <v>1613</v>
      </c>
      <c r="C14" s="12">
        <v>11609</v>
      </c>
      <c r="D14" s="12">
        <v>423</v>
      </c>
      <c r="E14" s="12">
        <v>444</v>
      </c>
      <c r="F14" s="12">
        <v>475</v>
      </c>
      <c r="G14" s="12">
        <v>254</v>
      </c>
      <c r="H14" s="12">
        <v>470</v>
      </c>
      <c r="I14" s="12">
        <v>589</v>
      </c>
      <c r="J14" s="12">
        <v>119</v>
      </c>
      <c r="K14" s="12">
        <v>378</v>
      </c>
      <c r="L14" s="12">
        <v>397</v>
      </c>
      <c r="M14" s="12">
        <v>492</v>
      </c>
      <c r="N14" s="12">
        <v>414</v>
      </c>
      <c r="O14" s="12">
        <v>435</v>
      </c>
      <c r="P14" s="12">
        <v>502</v>
      </c>
      <c r="Q14" s="12">
        <v>537</v>
      </c>
      <c r="R14" s="12">
        <v>158</v>
      </c>
      <c r="S14" s="12">
        <v>402</v>
      </c>
      <c r="T14" s="12">
        <v>491</v>
      </c>
      <c r="U14" s="12">
        <v>203</v>
      </c>
      <c r="V14" s="12">
        <v>475</v>
      </c>
      <c r="W14" s="12">
        <v>199</v>
      </c>
      <c r="X14" s="12">
        <v>345</v>
      </c>
      <c r="Y14" s="12">
        <v>394</v>
      </c>
      <c r="Z14" s="12">
        <v>540</v>
      </c>
      <c r="AA14" s="12">
        <v>705</v>
      </c>
      <c r="AB14" s="12">
        <v>471</v>
      </c>
      <c r="AC14" s="12">
        <v>458</v>
      </c>
      <c r="AD14" s="12">
        <v>564</v>
      </c>
      <c r="AE14" s="12">
        <v>228</v>
      </c>
      <c r="AF14" s="12">
        <v>271</v>
      </c>
    </row>
    <row r="15" spans="1:32">
      <c r="A15" s="23"/>
      <c r="B15" s="13" t="s">
        <v>710</v>
      </c>
      <c r="C15" s="14">
        <v>0.44</v>
      </c>
      <c r="D15" s="14">
        <v>0.42</v>
      </c>
      <c r="E15" s="14">
        <v>0.42</v>
      </c>
      <c r="F15" s="14">
        <v>0.47</v>
      </c>
      <c r="G15" s="14">
        <v>0.25</v>
      </c>
      <c r="H15" s="14">
        <v>0.39</v>
      </c>
      <c r="I15" s="14">
        <v>0.39</v>
      </c>
      <c r="J15" s="14">
        <v>0.4</v>
      </c>
      <c r="K15" s="14">
        <v>0.38</v>
      </c>
      <c r="L15" s="14">
        <v>0.39</v>
      </c>
      <c r="M15" s="14">
        <v>0.49</v>
      </c>
      <c r="N15" s="14">
        <v>0.41</v>
      </c>
      <c r="O15" s="14">
        <v>0.43</v>
      </c>
      <c r="P15" s="14">
        <v>0.5</v>
      </c>
      <c r="Q15" s="14">
        <v>0.52</v>
      </c>
      <c r="R15" s="14">
        <v>0.32</v>
      </c>
      <c r="S15" s="14">
        <v>0.4</v>
      </c>
      <c r="T15" s="14">
        <v>0.49</v>
      </c>
      <c r="U15" s="14">
        <v>0.4</v>
      </c>
      <c r="V15" s="14">
        <v>0.47</v>
      </c>
      <c r="W15" s="14">
        <v>0.4</v>
      </c>
      <c r="X15" s="14">
        <v>0.34</v>
      </c>
      <c r="Y15" s="14">
        <v>0.39</v>
      </c>
      <c r="Z15" s="14">
        <v>0.53</v>
      </c>
      <c r="AA15" s="14">
        <v>0.68</v>
      </c>
      <c r="AB15" s="14">
        <v>0.46</v>
      </c>
      <c r="AC15" s="14">
        <v>0.46</v>
      </c>
      <c r="AD15" s="14">
        <v>0.56000000000000005</v>
      </c>
      <c r="AE15" s="14">
        <v>0.23</v>
      </c>
      <c r="AF15" s="14">
        <v>0.25</v>
      </c>
    </row>
    <row r="16" spans="1:32">
      <c r="A16" s="23"/>
      <c r="B16" s="11" t="s">
        <v>1614</v>
      </c>
      <c r="C16" s="12">
        <v>4638</v>
      </c>
      <c r="D16" s="12">
        <v>270</v>
      </c>
      <c r="E16" s="12">
        <v>95</v>
      </c>
      <c r="F16" s="12">
        <v>158</v>
      </c>
      <c r="G16" s="12">
        <v>230</v>
      </c>
      <c r="H16" s="12">
        <v>292</v>
      </c>
      <c r="I16" s="12">
        <v>357</v>
      </c>
      <c r="J16" s="12">
        <v>65</v>
      </c>
      <c r="K16" s="12">
        <v>199</v>
      </c>
      <c r="L16" s="12">
        <v>146</v>
      </c>
      <c r="M16" s="12">
        <v>56</v>
      </c>
      <c r="N16" s="12">
        <v>133</v>
      </c>
      <c r="O16" s="12">
        <v>201</v>
      </c>
      <c r="P16" s="12">
        <v>74</v>
      </c>
      <c r="Q16" s="12">
        <v>107</v>
      </c>
      <c r="R16" s="12">
        <v>31</v>
      </c>
      <c r="S16" s="12">
        <v>109</v>
      </c>
      <c r="T16" s="12">
        <v>106</v>
      </c>
      <c r="U16" s="12">
        <v>73</v>
      </c>
      <c r="V16" s="12">
        <v>145</v>
      </c>
      <c r="W16" s="12">
        <v>44</v>
      </c>
      <c r="X16" s="12">
        <v>317</v>
      </c>
      <c r="Y16" s="12">
        <v>176</v>
      </c>
      <c r="Z16" s="12">
        <v>157</v>
      </c>
      <c r="AA16" s="12">
        <v>48</v>
      </c>
      <c r="AB16" s="12">
        <v>166</v>
      </c>
      <c r="AC16" s="12">
        <v>118</v>
      </c>
      <c r="AD16" s="12">
        <v>150</v>
      </c>
      <c r="AE16" s="12">
        <v>305</v>
      </c>
      <c r="AF16" s="12">
        <v>316</v>
      </c>
    </row>
    <row r="17" spans="1:32">
      <c r="A17" s="23"/>
      <c r="B17" s="13" t="s">
        <v>712</v>
      </c>
      <c r="C17" s="14">
        <v>0.18</v>
      </c>
      <c r="D17" s="14">
        <v>0.27</v>
      </c>
      <c r="E17" s="14">
        <v>0.09</v>
      </c>
      <c r="F17" s="14">
        <v>0.16</v>
      </c>
      <c r="G17" s="14">
        <v>0.23</v>
      </c>
      <c r="H17" s="14">
        <v>0.24</v>
      </c>
      <c r="I17" s="14">
        <v>0.24</v>
      </c>
      <c r="J17" s="14">
        <v>0.22</v>
      </c>
      <c r="K17" s="14">
        <v>0.2</v>
      </c>
      <c r="L17" s="14">
        <v>0.15</v>
      </c>
      <c r="M17" s="14">
        <v>0.05</v>
      </c>
      <c r="N17" s="14">
        <v>0.13</v>
      </c>
      <c r="O17" s="14">
        <v>0.2</v>
      </c>
      <c r="P17" s="14">
        <v>7.0000000000000007E-2</v>
      </c>
      <c r="Q17" s="14">
        <v>0.11</v>
      </c>
      <c r="R17" s="14">
        <v>0.06</v>
      </c>
      <c r="S17" s="14">
        <v>0.11</v>
      </c>
      <c r="T17" s="14">
        <v>0.11</v>
      </c>
      <c r="U17" s="14">
        <v>0.15</v>
      </c>
      <c r="V17" s="14">
        <v>0.14000000000000001</v>
      </c>
      <c r="W17" s="14">
        <v>0.09</v>
      </c>
      <c r="X17" s="14">
        <v>0.31</v>
      </c>
      <c r="Y17" s="14">
        <v>0.18</v>
      </c>
      <c r="Z17" s="14">
        <v>0.16</v>
      </c>
      <c r="AA17" s="14">
        <v>0.05</v>
      </c>
      <c r="AB17" s="14">
        <v>0.16</v>
      </c>
      <c r="AC17" s="14">
        <v>0.12</v>
      </c>
      <c r="AD17" s="14">
        <v>0.15</v>
      </c>
      <c r="AE17" s="14">
        <v>0.3</v>
      </c>
      <c r="AF17" s="14">
        <v>0.3</v>
      </c>
    </row>
    <row r="18" spans="1:32">
      <c r="A18" s="23"/>
      <c r="B18" s="11" t="s">
        <v>1615</v>
      </c>
      <c r="C18" s="12">
        <v>1605</v>
      </c>
      <c r="D18" s="12">
        <v>91</v>
      </c>
      <c r="E18" s="12">
        <v>21</v>
      </c>
      <c r="F18" s="12">
        <v>38</v>
      </c>
      <c r="G18" s="12">
        <v>355</v>
      </c>
      <c r="H18" s="12">
        <v>59</v>
      </c>
      <c r="I18" s="12">
        <v>73</v>
      </c>
      <c r="J18" s="12">
        <v>13</v>
      </c>
      <c r="K18" s="12">
        <v>81</v>
      </c>
      <c r="L18" s="12">
        <v>90</v>
      </c>
      <c r="M18" s="12">
        <v>13</v>
      </c>
      <c r="N18" s="12">
        <v>38</v>
      </c>
      <c r="O18" s="12">
        <v>45</v>
      </c>
      <c r="P18" s="12">
        <v>22</v>
      </c>
      <c r="Q18" s="12">
        <v>36</v>
      </c>
      <c r="R18" s="12">
        <v>5</v>
      </c>
      <c r="S18" s="12">
        <v>28</v>
      </c>
      <c r="T18" s="12">
        <v>13</v>
      </c>
      <c r="U18" s="12">
        <v>33</v>
      </c>
      <c r="V18" s="12">
        <v>32</v>
      </c>
      <c r="W18" s="12">
        <v>28</v>
      </c>
      <c r="X18" s="12">
        <v>155</v>
      </c>
      <c r="Y18" s="12">
        <v>70</v>
      </c>
      <c r="Z18" s="12">
        <v>54</v>
      </c>
      <c r="AA18" s="12">
        <v>16</v>
      </c>
      <c r="AB18" s="12">
        <v>37</v>
      </c>
      <c r="AC18" s="12">
        <v>28</v>
      </c>
      <c r="AD18" s="12">
        <v>15</v>
      </c>
      <c r="AE18" s="12">
        <v>324</v>
      </c>
      <c r="AF18" s="12">
        <v>348</v>
      </c>
    </row>
    <row r="19" spans="1:32">
      <c r="A19" s="23"/>
      <c r="B19" s="13" t="s">
        <v>714</v>
      </c>
      <c r="C19" s="14">
        <v>0.06</v>
      </c>
      <c r="D19" s="14">
        <v>0.09</v>
      </c>
      <c r="E19" s="14">
        <v>0.02</v>
      </c>
      <c r="F19" s="14">
        <v>0.04</v>
      </c>
      <c r="G19" s="14">
        <v>0.36</v>
      </c>
      <c r="H19" s="14">
        <v>0.05</v>
      </c>
      <c r="I19" s="14">
        <v>0.05</v>
      </c>
      <c r="J19" s="14">
        <v>0.05</v>
      </c>
      <c r="K19" s="14">
        <v>0.08</v>
      </c>
      <c r="L19" s="14">
        <v>0.09</v>
      </c>
      <c r="M19" s="14">
        <v>0.01</v>
      </c>
      <c r="N19" s="14">
        <v>0.04</v>
      </c>
      <c r="O19" s="14">
        <v>0.05</v>
      </c>
      <c r="P19" s="14">
        <v>0.02</v>
      </c>
      <c r="Q19" s="14">
        <v>0.04</v>
      </c>
      <c r="R19" s="14">
        <v>0.01</v>
      </c>
      <c r="S19" s="14">
        <v>0.03</v>
      </c>
      <c r="T19" s="14">
        <v>0.01</v>
      </c>
      <c r="U19" s="14">
        <v>7.0000000000000007E-2</v>
      </c>
      <c r="V19" s="14">
        <v>0.03</v>
      </c>
      <c r="W19" s="14">
        <v>0.05</v>
      </c>
      <c r="X19" s="14">
        <v>0.15</v>
      </c>
      <c r="Y19" s="14">
        <v>7.0000000000000007E-2</v>
      </c>
      <c r="Z19" s="14">
        <v>0.05</v>
      </c>
      <c r="AA19" s="14">
        <v>0.01</v>
      </c>
      <c r="AB19" s="14">
        <v>0.04</v>
      </c>
      <c r="AC19" s="14">
        <v>0.03</v>
      </c>
      <c r="AD19" s="14">
        <v>0.01</v>
      </c>
      <c r="AE19" s="14">
        <v>0.32</v>
      </c>
      <c r="AF19" s="14">
        <v>0.32</v>
      </c>
    </row>
    <row r="20" spans="1:32">
      <c r="A20" s="23"/>
      <c r="B20" s="11" t="s">
        <v>497</v>
      </c>
      <c r="C20" s="12">
        <v>2655</v>
      </c>
      <c r="D20" s="12">
        <v>59</v>
      </c>
      <c r="E20" s="12">
        <v>89</v>
      </c>
      <c r="F20" s="12">
        <v>104</v>
      </c>
      <c r="G20" s="12">
        <v>104</v>
      </c>
      <c r="H20" s="12">
        <v>196</v>
      </c>
      <c r="I20" s="12">
        <v>225</v>
      </c>
      <c r="J20" s="12">
        <v>30</v>
      </c>
      <c r="K20" s="12">
        <v>181</v>
      </c>
      <c r="L20" s="12">
        <v>181</v>
      </c>
      <c r="M20" s="12">
        <v>20</v>
      </c>
      <c r="N20" s="12">
        <v>129</v>
      </c>
      <c r="O20" s="12">
        <v>129</v>
      </c>
      <c r="P20" s="12">
        <v>24</v>
      </c>
      <c r="Q20" s="12">
        <v>43</v>
      </c>
      <c r="R20" s="12">
        <v>41</v>
      </c>
      <c r="S20" s="12">
        <v>190</v>
      </c>
      <c r="T20" s="12">
        <v>133</v>
      </c>
      <c r="U20" s="12">
        <v>83</v>
      </c>
      <c r="V20" s="12">
        <v>49</v>
      </c>
      <c r="W20" s="12">
        <v>43</v>
      </c>
      <c r="X20" s="12">
        <v>71</v>
      </c>
      <c r="Y20" s="12">
        <v>83</v>
      </c>
      <c r="Z20" s="12">
        <v>93</v>
      </c>
      <c r="AA20" s="12">
        <v>110</v>
      </c>
      <c r="AB20" s="12">
        <v>57</v>
      </c>
      <c r="AC20" s="12">
        <v>76</v>
      </c>
      <c r="AD20" s="12">
        <v>127</v>
      </c>
      <c r="AE20" s="12">
        <v>93</v>
      </c>
      <c r="AF20" s="12">
        <v>49</v>
      </c>
    </row>
    <row r="21" spans="1:32">
      <c r="A21" s="23"/>
      <c r="B21" s="13" t="s">
        <v>498</v>
      </c>
      <c r="C21" s="14">
        <v>0.1</v>
      </c>
      <c r="D21" s="14">
        <v>0.06</v>
      </c>
      <c r="E21" s="14">
        <v>0.09</v>
      </c>
      <c r="F21" s="14">
        <v>0.1</v>
      </c>
      <c r="G21" s="14">
        <v>0.1</v>
      </c>
      <c r="H21" s="14">
        <v>0.16</v>
      </c>
      <c r="I21" s="14">
        <v>0.15</v>
      </c>
      <c r="J21" s="14">
        <v>0.1</v>
      </c>
      <c r="K21" s="14">
        <v>0.18</v>
      </c>
      <c r="L21" s="14">
        <v>0.18</v>
      </c>
      <c r="M21" s="14">
        <v>0.02</v>
      </c>
      <c r="N21" s="14">
        <v>0.13</v>
      </c>
      <c r="O21" s="14">
        <v>0.13</v>
      </c>
      <c r="P21" s="14">
        <v>0.02</v>
      </c>
      <c r="Q21" s="14">
        <v>0.04</v>
      </c>
      <c r="R21" s="14">
        <v>0.08</v>
      </c>
      <c r="S21" s="14">
        <v>0.19</v>
      </c>
      <c r="T21" s="14">
        <v>0.13</v>
      </c>
      <c r="U21" s="14">
        <v>0.16</v>
      </c>
      <c r="V21" s="14">
        <v>0.05</v>
      </c>
      <c r="W21" s="14">
        <v>0.09</v>
      </c>
      <c r="X21" s="14">
        <v>7.0000000000000007E-2</v>
      </c>
      <c r="Y21" s="14">
        <v>0.08</v>
      </c>
      <c r="Z21" s="14">
        <v>0.09</v>
      </c>
      <c r="AA21" s="14">
        <v>0.11</v>
      </c>
      <c r="AB21" s="14">
        <v>0.05</v>
      </c>
      <c r="AC21" s="14">
        <v>7.0000000000000007E-2</v>
      </c>
      <c r="AD21" s="14">
        <v>0.13</v>
      </c>
      <c r="AE21" s="14">
        <v>0.09</v>
      </c>
      <c r="AF21" s="14">
        <v>0.05</v>
      </c>
    </row>
    <row r="22" spans="1:32">
      <c r="A22" s="23"/>
      <c r="B22" s="11" t="s">
        <v>715</v>
      </c>
      <c r="C22" s="12">
        <v>17455</v>
      </c>
      <c r="D22" s="12">
        <v>585</v>
      </c>
      <c r="E22" s="12">
        <v>839</v>
      </c>
      <c r="F22" s="12">
        <v>707</v>
      </c>
      <c r="G22" s="12">
        <v>314</v>
      </c>
      <c r="H22" s="12">
        <v>663</v>
      </c>
      <c r="I22" s="12">
        <v>849</v>
      </c>
      <c r="J22" s="12">
        <v>186</v>
      </c>
      <c r="K22" s="12">
        <v>543</v>
      </c>
      <c r="L22" s="12">
        <v>591</v>
      </c>
      <c r="M22" s="12">
        <v>922</v>
      </c>
      <c r="N22" s="12">
        <v>700</v>
      </c>
      <c r="O22" s="12">
        <v>630</v>
      </c>
      <c r="P22" s="12">
        <v>892</v>
      </c>
      <c r="Q22" s="12">
        <v>839</v>
      </c>
      <c r="R22" s="12">
        <v>426</v>
      </c>
      <c r="S22" s="12">
        <v>678</v>
      </c>
      <c r="T22" s="12">
        <v>751</v>
      </c>
      <c r="U22" s="12">
        <v>314</v>
      </c>
      <c r="V22" s="12">
        <v>786</v>
      </c>
      <c r="W22" s="12">
        <v>388</v>
      </c>
      <c r="X22" s="12">
        <v>472</v>
      </c>
      <c r="Y22" s="12">
        <v>679</v>
      </c>
      <c r="Z22" s="12">
        <v>713</v>
      </c>
      <c r="AA22" s="12">
        <v>865</v>
      </c>
      <c r="AB22" s="12">
        <v>770</v>
      </c>
      <c r="AC22" s="12">
        <v>783</v>
      </c>
      <c r="AD22" s="12">
        <v>711</v>
      </c>
      <c r="AE22" s="12">
        <v>286</v>
      </c>
      <c r="AF22" s="12">
        <v>360</v>
      </c>
    </row>
    <row r="23" spans="1:32">
      <c r="A23" s="23"/>
      <c r="B23" s="13" t="s">
        <v>716</v>
      </c>
      <c r="C23" s="14">
        <v>0.66</v>
      </c>
      <c r="D23" s="14">
        <v>0.57999999999999996</v>
      </c>
      <c r="E23" s="14">
        <v>0.8</v>
      </c>
      <c r="F23" s="14">
        <v>0.70000000000000007</v>
      </c>
      <c r="G23" s="14">
        <v>0.31</v>
      </c>
      <c r="H23" s="14">
        <v>0.55000000000000004</v>
      </c>
      <c r="I23" s="14">
        <v>0.56000000000000005</v>
      </c>
      <c r="J23" s="14">
        <v>0.63</v>
      </c>
      <c r="K23" s="14">
        <v>0.54</v>
      </c>
      <c r="L23" s="14">
        <v>0.57999999999999996</v>
      </c>
      <c r="M23" s="14">
        <v>0.92</v>
      </c>
      <c r="N23" s="14">
        <v>0.70000000000000007</v>
      </c>
      <c r="O23" s="14">
        <v>0.62</v>
      </c>
      <c r="P23" s="14">
        <v>0.89</v>
      </c>
      <c r="Q23" s="14">
        <v>0.81</v>
      </c>
      <c r="R23" s="14">
        <v>0.85</v>
      </c>
      <c r="S23" s="14">
        <v>0.67</v>
      </c>
      <c r="T23" s="14">
        <v>0.75</v>
      </c>
      <c r="U23" s="14">
        <v>0.62</v>
      </c>
      <c r="V23" s="14">
        <v>0.78</v>
      </c>
      <c r="W23" s="14">
        <v>0.77</v>
      </c>
      <c r="X23" s="14">
        <v>0.47</v>
      </c>
      <c r="Y23" s="14">
        <v>0.67</v>
      </c>
      <c r="Z23" s="14">
        <v>0.70000000000000007</v>
      </c>
      <c r="AA23" s="14">
        <v>0.83000000000000007</v>
      </c>
      <c r="AB23" s="14">
        <v>0.75</v>
      </c>
      <c r="AC23" s="14">
        <v>0.78</v>
      </c>
      <c r="AD23" s="14">
        <v>0.71</v>
      </c>
      <c r="AE23" s="14">
        <v>0.28999999999999998</v>
      </c>
      <c r="AF23" s="14">
        <v>0.33</v>
      </c>
    </row>
    <row r="24" spans="1:32">
      <c r="A24" s="23"/>
      <c r="B24" s="11" t="s">
        <v>717</v>
      </c>
      <c r="C24" s="12">
        <v>6243</v>
      </c>
      <c r="D24" s="12">
        <v>361</v>
      </c>
      <c r="E24" s="12">
        <v>116</v>
      </c>
      <c r="F24" s="12">
        <v>196</v>
      </c>
      <c r="G24" s="12">
        <v>585</v>
      </c>
      <c r="H24" s="12">
        <v>351</v>
      </c>
      <c r="I24" s="12">
        <v>430</v>
      </c>
      <c r="J24" s="12">
        <v>78</v>
      </c>
      <c r="K24" s="12">
        <v>280</v>
      </c>
      <c r="L24" s="12">
        <v>236</v>
      </c>
      <c r="M24" s="12">
        <v>69</v>
      </c>
      <c r="N24" s="12">
        <v>171</v>
      </c>
      <c r="O24" s="12">
        <v>246</v>
      </c>
      <c r="P24" s="12">
        <v>96</v>
      </c>
      <c r="Q24" s="12">
        <v>143</v>
      </c>
      <c r="R24" s="12">
        <v>36</v>
      </c>
      <c r="S24" s="12">
        <v>137</v>
      </c>
      <c r="T24" s="12">
        <v>119</v>
      </c>
      <c r="U24" s="12">
        <v>106</v>
      </c>
      <c r="V24" s="12">
        <v>177</v>
      </c>
      <c r="W24" s="12">
        <v>72</v>
      </c>
      <c r="X24" s="12">
        <v>472</v>
      </c>
      <c r="Y24" s="12">
        <v>246</v>
      </c>
      <c r="Z24" s="12">
        <v>211</v>
      </c>
      <c r="AA24" s="12">
        <v>64</v>
      </c>
      <c r="AB24" s="12">
        <v>203</v>
      </c>
      <c r="AC24" s="12">
        <v>146</v>
      </c>
      <c r="AD24" s="12">
        <v>165</v>
      </c>
      <c r="AE24" s="12">
        <v>629</v>
      </c>
      <c r="AF24" s="12">
        <v>664</v>
      </c>
    </row>
    <row r="25" spans="1:32">
      <c r="A25" s="23"/>
      <c r="B25" s="13" t="s">
        <v>718</v>
      </c>
      <c r="C25" s="14">
        <v>0.24</v>
      </c>
      <c r="D25" s="14">
        <v>0.36</v>
      </c>
      <c r="E25" s="14">
        <v>0.11</v>
      </c>
      <c r="F25" s="14">
        <v>0.2</v>
      </c>
      <c r="G25" s="14">
        <v>0.59</v>
      </c>
      <c r="H25" s="14">
        <v>0.28999999999999998</v>
      </c>
      <c r="I25" s="14">
        <v>0.28999999999999998</v>
      </c>
      <c r="J25" s="14">
        <v>0.27</v>
      </c>
      <c r="K25" s="14">
        <v>0.28000000000000003</v>
      </c>
      <c r="L25" s="14">
        <v>0.24</v>
      </c>
      <c r="M25" s="14">
        <v>0.06</v>
      </c>
      <c r="N25" s="14">
        <v>0.17</v>
      </c>
      <c r="O25" s="14">
        <v>0.25</v>
      </c>
      <c r="P25" s="14">
        <v>0.09</v>
      </c>
      <c r="Q25" s="14">
        <v>0.15</v>
      </c>
      <c r="R25" s="14">
        <v>7.0000000000000007E-2</v>
      </c>
      <c r="S25" s="14">
        <v>0.14000000000000001</v>
      </c>
      <c r="T25" s="14">
        <v>0.12</v>
      </c>
      <c r="U25" s="14">
        <v>0.22</v>
      </c>
      <c r="V25" s="14">
        <v>0.17</v>
      </c>
      <c r="W25" s="14">
        <v>0.14000000000000001</v>
      </c>
      <c r="X25" s="14">
        <v>0.46</v>
      </c>
      <c r="Y25" s="14">
        <v>0.25</v>
      </c>
      <c r="Z25" s="14">
        <v>0.21</v>
      </c>
      <c r="AA25" s="14">
        <v>0.06</v>
      </c>
      <c r="AB25" s="14">
        <v>0.2</v>
      </c>
      <c r="AC25" s="14">
        <v>0.15</v>
      </c>
      <c r="AD25" s="14">
        <v>0.16</v>
      </c>
      <c r="AE25" s="14">
        <v>0.62</v>
      </c>
      <c r="AF25" s="14">
        <v>0.62</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D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1648</v>
      </c>
      <c r="C3" s="19"/>
      <c r="D3" s="19"/>
      <c r="E3" s="19"/>
      <c r="F3" s="19"/>
      <c r="H3" s="19" t="s">
        <v>1649</v>
      </c>
      <c r="I3" s="19"/>
      <c r="J3" s="19"/>
      <c r="K3" s="19"/>
      <c r="L3" s="19"/>
    </row>
    <row r="4" spans="1:32" ht="27" customHeight="1">
      <c r="B4" s="19" t="s">
        <v>1650</v>
      </c>
      <c r="C4" s="19"/>
      <c r="D4" s="19"/>
      <c r="E4" s="19"/>
      <c r="F4" s="19"/>
      <c r="H4" s="19" t="s">
        <v>1651</v>
      </c>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HYPERLINK("#Content!A194","&lt;&lt;Back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1612</v>
      </c>
      <c r="C12" s="12">
        <v>2133</v>
      </c>
      <c r="D12" s="12">
        <v>85</v>
      </c>
      <c r="E12" s="12">
        <v>59</v>
      </c>
      <c r="F12" s="12">
        <v>72</v>
      </c>
      <c r="G12" s="12">
        <v>92</v>
      </c>
      <c r="H12" s="12">
        <v>107</v>
      </c>
      <c r="I12" s="12">
        <v>120</v>
      </c>
      <c r="J12" s="12">
        <v>13</v>
      </c>
      <c r="K12" s="12">
        <v>27</v>
      </c>
      <c r="L12" s="12">
        <v>63</v>
      </c>
      <c r="M12" s="12">
        <v>81</v>
      </c>
      <c r="N12" s="12">
        <v>67</v>
      </c>
      <c r="O12" s="12">
        <v>42</v>
      </c>
      <c r="P12" s="12">
        <v>129</v>
      </c>
      <c r="Q12" s="12">
        <v>122</v>
      </c>
      <c r="R12" s="12">
        <v>39</v>
      </c>
      <c r="S12" s="12">
        <v>40</v>
      </c>
      <c r="T12" s="12">
        <v>50</v>
      </c>
      <c r="U12" s="12">
        <v>33</v>
      </c>
      <c r="V12" s="12">
        <v>98</v>
      </c>
      <c r="W12" s="12">
        <v>27</v>
      </c>
      <c r="X12" s="12">
        <v>58</v>
      </c>
      <c r="Y12" s="12">
        <v>192</v>
      </c>
      <c r="Z12" s="12">
        <v>85</v>
      </c>
      <c r="AA12" s="12">
        <v>80</v>
      </c>
      <c r="AB12" s="12">
        <v>104</v>
      </c>
      <c r="AC12" s="12">
        <v>59</v>
      </c>
      <c r="AD12" s="12">
        <v>43</v>
      </c>
      <c r="AE12" s="12">
        <v>92</v>
      </c>
      <c r="AF12" s="12">
        <v>129</v>
      </c>
    </row>
    <row r="13" spans="1:32">
      <c r="A13" s="23"/>
      <c r="B13" s="13" t="s">
        <v>708</v>
      </c>
      <c r="C13" s="14">
        <v>0.08</v>
      </c>
      <c r="D13" s="14">
        <v>0.09</v>
      </c>
      <c r="E13" s="14">
        <v>0.06</v>
      </c>
      <c r="F13" s="14">
        <v>7.0000000000000007E-2</v>
      </c>
      <c r="G13" s="14">
        <v>0.09</v>
      </c>
      <c r="H13" s="14">
        <v>0.09</v>
      </c>
      <c r="I13" s="14">
        <v>0.08</v>
      </c>
      <c r="J13" s="14">
        <v>0.04</v>
      </c>
      <c r="K13" s="14">
        <v>0.03</v>
      </c>
      <c r="L13" s="14">
        <v>0.06</v>
      </c>
      <c r="M13" s="14">
        <v>0.08</v>
      </c>
      <c r="N13" s="14">
        <v>7.0000000000000007E-2</v>
      </c>
      <c r="O13" s="14">
        <v>0.04</v>
      </c>
      <c r="P13" s="14">
        <v>0.13</v>
      </c>
      <c r="Q13" s="14">
        <v>0.12</v>
      </c>
      <c r="R13" s="14">
        <v>0.08</v>
      </c>
      <c r="S13" s="14">
        <v>0.04</v>
      </c>
      <c r="T13" s="14">
        <v>0.05</v>
      </c>
      <c r="U13" s="14">
        <v>7.0000000000000007E-2</v>
      </c>
      <c r="V13" s="14">
        <v>0.1</v>
      </c>
      <c r="W13" s="14">
        <v>0.05</v>
      </c>
      <c r="X13" s="14">
        <v>0.06</v>
      </c>
      <c r="Y13" s="14">
        <v>0.19</v>
      </c>
      <c r="Z13" s="14">
        <v>0.08</v>
      </c>
      <c r="AA13" s="14">
        <v>0.08</v>
      </c>
      <c r="AB13" s="14">
        <v>0.1</v>
      </c>
      <c r="AC13" s="14">
        <v>0.06</v>
      </c>
      <c r="AD13" s="14">
        <v>0.04</v>
      </c>
      <c r="AE13" s="14">
        <v>0.09</v>
      </c>
      <c r="AF13" s="14">
        <v>0.12</v>
      </c>
    </row>
    <row r="14" spans="1:32">
      <c r="A14" s="23"/>
      <c r="B14" s="11" t="s">
        <v>1613</v>
      </c>
      <c r="C14" s="12">
        <v>6545</v>
      </c>
      <c r="D14" s="12">
        <v>295</v>
      </c>
      <c r="E14" s="12">
        <v>136</v>
      </c>
      <c r="F14" s="12">
        <v>236</v>
      </c>
      <c r="G14" s="12">
        <v>278</v>
      </c>
      <c r="H14" s="12">
        <v>290</v>
      </c>
      <c r="I14" s="12">
        <v>352</v>
      </c>
      <c r="J14" s="12">
        <v>62</v>
      </c>
      <c r="K14" s="12">
        <v>224</v>
      </c>
      <c r="L14" s="12">
        <v>288</v>
      </c>
      <c r="M14" s="12">
        <v>157</v>
      </c>
      <c r="N14" s="12">
        <v>148</v>
      </c>
      <c r="O14" s="12">
        <v>193</v>
      </c>
      <c r="P14" s="12">
        <v>329</v>
      </c>
      <c r="Q14" s="12">
        <v>315</v>
      </c>
      <c r="R14" s="12">
        <v>57</v>
      </c>
      <c r="S14" s="12">
        <v>159</v>
      </c>
      <c r="T14" s="12">
        <v>180</v>
      </c>
      <c r="U14" s="12">
        <v>118</v>
      </c>
      <c r="V14" s="12">
        <v>243</v>
      </c>
      <c r="W14" s="12">
        <v>82</v>
      </c>
      <c r="X14" s="12">
        <v>323</v>
      </c>
      <c r="Y14" s="12">
        <v>277</v>
      </c>
      <c r="Z14" s="12">
        <v>364</v>
      </c>
      <c r="AA14" s="12">
        <v>204</v>
      </c>
      <c r="AB14" s="12">
        <v>312</v>
      </c>
      <c r="AC14" s="12">
        <v>238</v>
      </c>
      <c r="AD14" s="12">
        <v>267</v>
      </c>
      <c r="AE14" s="12">
        <v>411</v>
      </c>
      <c r="AF14" s="12">
        <v>345</v>
      </c>
    </row>
    <row r="15" spans="1:32">
      <c r="A15" s="23"/>
      <c r="B15" s="13" t="s">
        <v>710</v>
      </c>
      <c r="C15" s="14">
        <v>0.25</v>
      </c>
      <c r="D15" s="14">
        <v>0.28999999999999998</v>
      </c>
      <c r="E15" s="14">
        <v>0.13</v>
      </c>
      <c r="F15" s="14">
        <v>0.23</v>
      </c>
      <c r="G15" s="14">
        <v>0.28000000000000003</v>
      </c>
      <c r="H15" s="14">
        <v>0.24</v>
      </c>
      <c r="I15" s="14">
        <v>0.23</v>
      </c>
      <c r="J15" s="14">
        <v>0.21</v>
      </c>
      <c r="K15" s="14">
        <v>0.22</v>
      </c>
      <c r="L15" s="14">
        <v>0.28999999999999998</v>
      </c>
      <c r="M15" s="14">
        <v>0.16</v>
      </c>
      <c r="N15" s="14">
        <v>0.15</v>
      </c>
      <c r="O15" s="14">
        <v>0.19</v>
      </c>
      <c r="P15" s="14">
        <v>0.32</v>
      </c>
      <c r="Q15" s="14">
        <v>0.31</v>
      </c>
      <c r="R15" s="14">
        <v>0.11</v>
      </c>
      <c r="S15" s="14">
        <v>0.16</v>
      </c>
      <c r="T15" s="14">
        <v>0.18</v>
      </c>
      <c r="U15" s="14">
        <v>0.24</v>
      </c>
      <c r="V15" s="14">
        <v>0.24</v>
      </c>
      <c r="W15" s="14">
        <v>0.16</v>
      </c>
      <c r="X15" s="14">
        <v>0.32</v>
      </c>
      <c r="Y15" s="14">
        <v>0.27</v>
      </c>
      <c r="Z15" s="14">
        <v>0.36</v>
      </c>
      <c r="AA15" s="14">
        <v>0.2</v>
      </c>
      <c r="AB15" s="14">
        <v>0.3</v>
      </c>
      <c r="AC15" s="14">
        <v>0.24</v>
      </c>
      <c r="AD15" s="14">
        <v>0.27</v>
      </c>
      <c r="AE15" s="14">
        <v>0.41</v>
      </c>
      <c r="AF15" s="14">
        <v>0.32</v>
      </c>
    </row>
    <row r="16" spans="1:32">
      <c r="A16" s="23"/>
      <c r="B16" s="11" t="s">
        <v>1614</v>
      </c>
      <c r="C16" s="12">
        <v>8700</v>
      </c>
      <c r="D16" s="12">
        <v>366</v>
      </c>
      <c r="E16" s="12">
        <v>310</v>
      </c>
      <c r="F16" s="12">
        <v>391</v>
      </c>
      <c r="G16" s="12">
        <v>270</v>
      </c>
      <c r="H16" s="12">
        <v>409</v>
      </c>
      <c r="I16" s="12">
        <v>533</v>
      </c>
      <c r="J16" s="12">
        <v>125</v>
      </c>
      <c r="K16" s="12">
        <v>347</v>
      </c>
      <c r="L16" s="12">
        <v>283</v>
      </c>
      <c r="M16" s="12">
        <v>308</v>
      </c>
      <c r="N16" s="12">
        <v>326</v>
      </c>
      <c r="O16" s="12">
        <v>317</v>
      </c>
      <c r="P16" s="12">
        <v>250</v>
      </c>
      <c r="Q16" s="12">
        <v>333</v>
      </c>
      <c r="R16" s="12">
        <v>147</v>
      </c>
      <c r="S16" s="12">
        <v>357</v>
      </c>
      <c r="T16" s="12">
        <v>397</v>
      </c>
      <c r="U16" s="12">
        <v>172</v>
      </c>
      <c r="V16" s="12">
        <v>315</v>
      </c>
      <c r="W16" s="12">
        <v>140</v>
      </c>
      <c r="X16" s="12">
        <v>361</v>
      </c>
      <c r="Y16" s="12">
        <v>227</v>
      </c>
      <c r="Z16" s="12">
        <v>318</v>
      </c>
      <c r="AA16" s="12">
        <v>419</v>
      </c>
      <c r="AB16" s="12">
        <v>344</v>
      </c>
      <c r="AC16" s="12">
        <v>346</v>
      </c>
      <c r="AD16" s="12">
        <v>404</v>
      </c>
      <c r="AE16" s="12">
        <v>276</v>
      </c>
      <c r="AF16" s="12">
        <v>351</v>
      </c>
    </row>
    <row r="17" spans="1:32">
      <c r="A17" s="23"/>
      <c r="B17" s="13" t="s">
        <v>712</v>
      </c>
      <c r="C17" s="14">
        <v>0.33</v>
      </c>
      <c r="D17" s="14">
        <v>0.36</v>
      </c>
      <c r="E17" s="14">
        <v>0.3</v>
      </c>
      <c r="F17" s="14">
        <v>0.39</v>
      </c>
      <c r="G17" s="14">
        <v>0.27</v>
      </c>
      <c r="H17" s="14">
        <v>0.34</v>
      </c>
      <c r="I17" s="14">
        <v>0.35</v>
      </c>
      <c r="J17" s="14">
        <v>0.43</v>
      </c>
      <c r="K17" s="14">
        <v>0.35</v>
      </c>
      <c r="L17" s="14">
        <v>0.28000000000000003</v>
      </c>
      <c r="M17" s="14">
        <v>0.3</v>
      </c>
      <c r="N17" s="14">
        <v>0.32</v>
      </c>
      <c r="O17" s="14">
        <v>0.32</v>
      </c>
      <c r="P17" s="14">
        <v>0.25</v>
      </c>
      <c r="Q17" s="14">
        <v>0.33</v>
      </c>
      <c r="R17" s="14">
        <v>0.28999999999999998</v>
      </c>
      <c r="S17" s="14">
        <v>0.35</v>
      </c>
      <c r="T17" s="14">
        <v>0.39</v>
      </c>
      <c r="U17" s="14">
        <v>0.34</v>
      </c>
      <c r="V17" s="14">
        <v>0.31</v>
      </c>
      <c r="W17" s="14">
        <v>0.28000000000000003</v>
      </c>
      <c r="X17" s="14">
        <v>0.35</v>
      </c>
      <c r="Y17" s="14">
        <v>0.23</v>
      </c>
      <c r="Z17" s="14">
        <v>0.31</v>
      </c>
      <c r="AA17" s="14">
        <v>0.4</v>
      </c>
      <c r="AB17" s="14">
        <v>0.34</v>
      </c>
      <c r="AC17" s="14">
        <v>0.34</v>
      </c>
      <c r="AD17" s="14">
        <v>0.4</v>
      </c>
      <c r="AE17" s="14">
        <v>0.27</v>
      </c>
      <c r="AF17" s="14">
        <v>0.33</v>
      </c>
    </row>
    <row r="18" spans="1:32">
      <c r="A18" s="23"/>
      <c r="B18" s="11" t="s">
        <v>1615</v>
      </c>
      <c r="C18" s="12">
        <v>6292</v>
      </c>
      <c r="D18" s="12">
        <v>194</v>
      </c>
      <c r="E18" s="12">
        <v>403</v>
      </c>
      <c r="F18" s="12">
        <v>191</v>
      </c>
      <c r="G18" s="12">
        <v>239</v>
      </c>
      <c r="H18" s="12">
        <v>226</v>
      </c>
      <c r="I18" s="12">
        <v>295</v>
      </c>
      <c r="J18" s="12">
        <v>69</v>
      </c>
      <c r="K18" s="12">
        <v>202</v>
      </c>
      <c r="L18" s="12">
        <v>205</v>
      </c>
      <c r="M18" s="12">
        <v>405</v>
      </c>
      <c r="N18" s="12">
        <v>387</v>
      </c>
      <c r="O18" s="12">
        <v>335</v>
      </c>
      <c r="P18" s="12">
        <v>270</v>
      </c>
      <c r="Q18" s="12">
        <v>198</v>
      </c>
      <c r="R18" s="12">
        <v>215</v>
      </c>
      <c r="S18" s="12">
        <v>249</v>
      </c>
      <c r="T18" s="12">
        <v>209</v>
      </c>
      <c r="U18" s="12">
        <v>82</v>
      </c>
      <c r="V18" s="12">
        <v>273</v>
      </c>
      <c r="W18" s="12">
        <v>204</v>
      </c>
      <c r="X18" s="12">
        <v>184</v>
      </c>
      <c r="Y18" s="12">
        <v>188</v>
      </c>
      <c r="Z18" s="12">
        <v>128</v>
      </c>
      <c r="AA18" s="12">
        <v>218</v>
      </c>
      <c r="AB18" s="12">
        <v>177</v>
      </c>
      <c r="AC18" s="12">
        <v>253</v>
      </c>
      <c r="AD18" s="12">
        <v>178</v>
      </c>
      <c r="AE18" s="12">
        <v>104</v>
      </c>
      <c r="AF18" s="12">
        <v>171</v>
      </c>
    </row>
    <row r="19" spans="1:32">
      <c r="A19" s="23"/>
      <c r="B19" s="13" t="s">
        <v>714</v>
      </c>
      <c r="C19" s="14">
        <v>0.24</v>
      </c>
      <c r="D19" s="14">
        <v>0.19</v>
      </c>
      <c r="E19" s="14">
        <v>0.38</v>
      </c>
      <c r="F19" s="14">
        <v>0.19</v>
      </c>
      <c r="G19" s="14">
        <v>0.24</v>
      </c>
      <c r="H19" s="14">
        <v>0.18</v>
      </c>
      <c r="I19" s="14">
        <v>0.2</v>
      </c>
      <c r="J19" s="14">
        <v>0.23</v>
      </c>
      <c r="K19" s="14">
        <v>0.2</v>
      </c>
      <c r="L19" s="14">
        <v>0.2</v>
      </c>
      <c r="M19" s="14">
        <v>0.4</v>
      </c>
      <c r="N19" s="14">
        <v>0.39</v>
      </c>
      <c r="O19" s="14">
        <v>0.33</v>
      </c>
      <c r="P19" s="14">
        <v>0.27</v>
      </c>
      <c r="Q19" s="14">
        <v>0.19</v>
      </c>
      <c r="R19" s="14">
        <v>0.43</v>
      </c>
      <c r="S19" s="14">
        <v>0.25</v>
      </c>
      <c r="T19" s="14">
        <v>0.21</v>
      </c>
      <c r="U19" s="14">
        <v>0.16</v>
      </c>
      <c r="V19" s="14">
        <v>0.27</v>
      </c>
      <c r="W19" s="14">
        <v>0.41</v>
      </c>
      <c r="X19" s="14">
        <v>0.18</v>
      </c>
      <c r="Y19" s="14">
        <v>0.19</v>
      </c>
      <c r="Z19" s="14">
        <v>0.13</v>
      </c>
      <c r="AA19" s="14">
        <v>0.21</v>
      </c>
      <c r="AB19" s="14">
        <v>0.17</v>
      </c>
      <c r="AC19" s="14">
        <v>0.25</v>
      </c>
      <c r="AD19" s="14">
        <v>0.18</v>
      </c>
      <c r="AE19" s="14">
        <v>0.1</v>
      </c>
      <c r="AF19" s="14">
        <v>0.16</v>
      </c>
    </row>
    <row r="20" spans="1:32">
      <c r="A20" s="23"/>
      <c r="B20" s="11" t="s">
        <v>497</v>
      </c>
      <c r="C20" s="12">
        <v>2684</v>
      </c>
      <c r="D20" s="12">
        <v>65</v>
      </c>
      <c r="E20" s="12">
        <v>136</v>
      </c>
      <c r="F20" s="12">
        <v>118</v>
      </c>
      <c r="G20" s="12">
        <v>125</v>
      </c>
      <c r="H20" s="12">
        <v>179</v>
      </c>
      <c r="I20" s="12">
        <v>204</v>
      </c>
      <c r="J20" s="12">
        <v>25</v>
      </c>
      <c r="K20" s="12">
        <v>204</v>
      </c>
      <c r="L20" s="12">
        <v>168</v>
      </c>
      <c r="M20" s="12">
        <v>59</v>
      </c>
      <c r="N20" s="12">
        <v>73</v>
      </c>
      <c r="O20" s="12">
        <v>118</v>
      </c>
      <c r="P20" s="12">
        <v>33</v>
      </c>
      <c r="Q20" s="12">
        <v>56</v>
      </c>
      <c r="R20" s="12">
        <v>44</v>
      </c>
      <c r="S20" s="12">
        <v>200</v>
      </c>
      <c r="T20" s="12">
        <v>168</v>
      </c>
      <c r="U20" s="12">
        <v>98</v>
      </c>
      <c r="V20" s="12">
        <v>81</v>
      </c>
      <c r="W20" s="12">
        <v>50</v>
      </c>
      <c r="X20" s="12">
        <v>91</v>
      </c>
      <c r="Y20" s="12">
        <v>123</v>
      </c>
      <c r="Z20" s="12">
        <v>121</v>
      </c>
      <c r="AA20" s="12">
        <v>119</v>
      </c>
      <c r="AB20" s="12">
        <v>94</v>
      </c>
      <c r="AC20" s="12">
        <v>109</v>
      </c>
      <c r="AD20" s="12">
        <v>109</v>
      </c>
      <c r="AE20" s="12">
        <v>125</v>
      </c>
      <c r="AF20" s="12">
        <v>77</v>
      </c>
    </row>
    <row r="21" spans="1:32">
      <c r="A21" s="23"/>
      <c r="B21" s="13" t="s">
        <v>498</v>
      </c>
      <c r="C21" s="14">
        <v>0.1</v>
      </c>
      <c r="D21" s="14">
        <v>7.0000000000000007E-2</v>
      </c>
      <c r="E21" s="14">
        <v>0.13</v>
      </c>
      <c r="F21" s="14">
        <v>0.12</v>
      </c>
      <c r="G21" s="14">
        <v>0.12</v>
      </c>
      <c r="H21" s="14">
        <v>0.15</v>
      </c>
      <c r="I21" s="14">
        <v>0.14000000000000001</v>
      </c>
      <c r="J21" s="14">
        <v>0.09</v>
      </c>
      <c r="K21" s="14">
        <v>0.2</v>
      </c>
      <c r="L21" s="14">
        <v>0.17</v>
      </c>
      <c r="M21" s="14">
        <v>0.06</v>
      </c>
      <c r="N21" s="14">
        <v>7.0000000000000007E-2</v>
      </c>
      <c r="O21" s="14">
        <v>0.12</v>
      </c>
      <c r="P21" s="14">
        <v>0.03</v>
      </c>
      <c r="Q21" s="14">
        <v>0.05</v>
      </c>
      <c r="R21" s="14">
        <v>0.09</v>
      </c>
      <c r="S21" s="14">
        <v>0.2</v>
      </c>
      <c r="T21" s="14">
        <v>0.17</v>
      </c>
      <c r="U21" s="14">
        <v>0.19</v>
      </c>
      <c r="V21" s="14">
        <v>0.08</v>
      </c>
      <c r="W21" s="14">
        <v>0.1</v>
      </c>
      <c r="X21" s="14">
        <v>0.09</v>
      </c>
      <c r="Y21" s="14">
        <v>0.12</v>
      </c>
      <c r="Z21" s="14">
        <v>0.12</v>
      </c>
      <c r="AA21" s="14">
        <v>0.11</v>
      </c>
      <c r="AB21" s="14">
        <v>0.09</v>
      </c>
      <c r="AC21" s="14">
        <v>0.11</v>
      </c>
      <c r="AD21" s="14">
        <v>0.11</v>
      </c>
      <c r="AE21" s="14">
        <v>0.13</v>
      </c>
      <c r="AF21" s="14">
        <v>7.0000000000000007E-2</v>
      </c>
    </row>
    <row r="22" spans="1:32">
      <c r="A22" s="23"/>
      <c r="B22" s="11" t="s">
        <v>715</v>
      </c>
      <c r="C22" s="12">
        <v>8678</v>
      </c>
      <c r="D22" s="12">
        <v>380</v>
      </c>
      <c r="E22" s="12">
        <v>195</v>
      </c>
      <c r="F22" s="12">
        <v>308</v>
      </c>
      <c r="G22" s="12">
        <v>370</v>
      </c>
      <c r="H22" s="12">
        <v>397</v>
      </c>
      <c r="I22" s="12">
        <v>472</v>
      </c>
      <c r="J22" s="12">
        <v>75</v>
      </c>
      <c r="K22" s="12">
        <v>251</v>
      </c>
      <c r="L22" s="12">
        <v>351</v>
      </c>
      <c r="M22" s="12">
        <v>238</v>
      </c>
      <c r="N22" s="12">
        <v>215</v>
      </c>
      <c r="O22" s="12">
        <v>235</v>
      </c>
      <c r="P22" s="12">
        <v>458</v>
      </c>
      <c r="Q22" s="12">
        <v>437</v>
      </c>
      <c r="R22" s="12">
        <v>96</v>
      </c>
      <c r="S22" s="12">
        <v>199</v>
      </c>
      <c r="T22" s="12">
        <v>230</v>
      </c>
      <c r="U22" s="12">
        <v>151</v>
      </c>
      <c r="V22" s="12">
        <v>341</v>
      </c>
      <c r="W22" s="12">
        <v>109</v>
      </c>
      <c r="X22" s="12">
        <v>381</v>
      </c>
      <c r="Y22" s="12">
        <v>469</v>
      </c>
      <c r="Z22" s="12">
        <v>449</v>
      </c>
      <c r="AA22" s="12">
        <v>284</v>
      </c>
      <c r="AB22" s="12">
        <v>416</v>
      </c>
      <c r="AC22" s="12">
        <v>297</v>
      </c>
      <c r="AD22" s="12">
        <v>310</v>
      </c>
      <c r="AE22" s="12">
        <v>503</v>
      </c>
      <c r="AF22" s="12">
        <v>474</v>
      </c>
    </row>
    <row r="23" spans="1:32">
      <c r="A23" s="23"/>
      <c r="B23" s="13" t="s">
        <v>716</v>
      </c>
      <c r="C23" s="14">
        <v>0.33</v>
      </c>
      <c r="D23" s="14">
        <v>0.38</v>
      </c>
      <c r="E23" s="14">
        <v>0.19</v>
      </c>
      <c r="F23" s="14">
        <v>0.3</v>
      </c>
      <c r="G23" s="14">
        <v>0.37</v>
      </c>
      <c r="H23" s="14">
        <v>0.33</v>
      </c>
      <c r="I23" s="14">
        <v>0.31</v>
      </c>
      <c r="J23" s="14">
        <v>0.25</v>
      </c>
      <c r="K23" s="14">
        <v>0.25</v>
      </c>
      <c r="L23" s="14">
        <v>0.35</v>
      </c>
      <c r="M23" s="14">
        <v>0.24</v>
      </c>
      <c r="N23" s="14">
        <v>0.22</v>
      </c>
      <c r="O23" s="14">
        <v>0.23</v>
      </c>
      <c r="P23" s="14">
        <v>0.45</v>
      </c>
      <c r="Q23" s="14">
        <v>0.43</v>
      </c>
      <c r="R23" s="14">
        <v>0.19</v>
      </c>
      <c r="S23" s="14">
        <v>0.2</v>
      </c>
      <c r="T23" s="14">
        <v>0.23</v>
      </c>
      <c r="U23" s="14">
        <v>0.31</v>
      </c>
      <c r="V23" s="14">
        <v>0.34</v>
      </c>
      <c r="W23" s="14">
        <v>0.21</v>
      </c>
      <c r="X23" s="14">
        <v>0.38</v>
      </c>
      <c r="Y23" s="14">
        <v>0.46</v>
      </c>
      <c r="Z23" s="14">
        <v>0.44</v>
      </c>
      <c r="AA23" s="14">
        <v>0.28000000000000003</v>
      </c>
      <c r="AB23" s="14">
        <v>0.4</v>
      </c>
      <c r="AC23" s="14">
        <v>0.3</v>
      </c>
      <c r="AD23" s="14">
        <v>0.31</v>
      </c>
      <c r="AE23" s="14">
        <v>0.5</v>
      </c>
      <c r="AF23" s="14">
        <v>0.44</v>
      </c>
    </row>
    <row r="24" spans="1:32">
      <c r="A24" s="23"/>
      <c r="B24" s="11" t="s">
        <v>717</v>
      </c>
      <c r="C24" s="12">
        <v>14992</v>
      </c>
      <c r="D24" s="12">
        <v>560</v>
      </c>
      <c r="E24" s="12">
        <v>713</v>
      </c>
      <c r="F24" s="12">
        <v>582</v>
      </c>
      <c r="G24" s="12">
        <v>509</v>
      </c>
      <c r="H24" s="12">
        <v>635</v>
      </c>
      <c r="I24" s="12">
        <v>828</v>
      </c>
      <c r="J24" s="12">
        <v>194</v>
      </c>
      <c r="K24" s="12">
        <v>549</v>
      </c>
      <c r="L24" s="12">
        <v>488</v>
      </c>
      <c r="M24" s="12">
        <v>713</v>
      </c>
      <c r="N24" s="12">
        <v>713</v>
      </c>
      <c r="O24" s="12">
        <v>652</v>
      </c>
      <c r="P24" s="12">
        <v>520</v>
      </c>
      <c r="Q24" s="12">
        <v>531</v>
      </c>
      <c r="R24" s="12">
        <v>362</v>
      </c>
      <c r="S24" s="12">
        <v>606</v>
      </c>
      <c r="T24" s="12">
        <v>606</v>
      </c>
      <c r="U24" s="12">
        <v>254</v>
      </c>
      <c r="V24" s="12">
        <v>588</v>
      </c>
      <c r="W24" s="12">
        <v>344</v>
      </c>
      <c r="X24" s="12">
        <v>545</v>
      </c>
      <c r="Y24" s="12">
        <v>415</v>
      </c>
      <c r="Z24" s="12">
        <v>446</v>
      </c>
      <c r="AA24" s="12">
        <v>637</v>
      </c>
      <c r="AB24" s="12">
        <v>521</v>
      </c>
      <c r="AC24" s="12">
        <v>599</v>
      </c>
      <c r="AD24" s="12">
        <v>582</v>
      </c>
      <c r="AE24" s="12">
        <v>380</v>
      </c>
      <c r="AF24" s="12">
        <v>522</v>
      </c>
    </row>
    <row r="25" spans="1:32">
      <c r="A25" s="23"/>
      <c r="B25" s="13" t="s">
        <v>718</v>
      </c>
      <c r="C25" s="14">
        <v>0.57000000000000006</v>
      </c>
      <c r="D25" s="14">
        <v>0.55000000000000004</v>
      </c>
      <c r="E25" s="14">
        <v>0.68</v>
      </c>
      <c r="F25" s="14">
        <v>0.57999999999999996</v>
      </c>
      <c r="G25" s="14">
        <v>0.51</v>
      </c>
      <c r="H25" s="14">
        <v>0.52</v>
      </c>
      <c r="I25" s="14">
        <v>0.55000000000000004</v>
      </c>
      <c r="J25" s="14">
        <v>0.66</v>
      </c>
      <c r="K25" s="14">
        <v>0.55000000000000004</v>
      </c>
      <c r="L25" s="14">
        <v>0.48</v>
      </c>
      <c r="M25" s="14">
        <v>0.70000000000000007</v>
      </c>
      <c r="N25" s="14">
        <v>0.71</v>
      </c>
      <c r="O25" s="14">
        <v>0.65</v>
      </c>
      <c r="P25" s="14">
        <v>0.52</v>
      </c>
      <c r="Q25" s="14">
        <v>0.52</v>
      </c>
      <c r="R25" s="14">
        <v>0.72</v>
      </c>
      <c r="S25" s="14">
        <v>0.6</v>
      </c>
      <c r="T25" s="14">
        <v>0.6</v>
      </c>
      <c r="U25" s="14">
        <v>0.5</v>
      </c>
      <c r="V25" s="14">
        <v>0.57999999999999996</v>
      </c>
      <c r="W25" s="14">
        <v>0.69000000000000006</v>
      </c>
      <c r="X25" s="14">
        <v>0.53</v>
      </c>
      <c r="Y25" s="14">
        <v>0.42</v>
      </c>
      <c r="Z25" s="14">
        <v>0.44</v>
      </c>
      <c r="AA25" s="14">
        <v>0.61</v>
      </c>
      <c r="AB25" s="14">
        <v>0.51</v>
      </c>
      <c r="AC25" s="14">
        <v>0.59</v>
      </c>
      <c r="AD25" s="14">
        <v>0.57999999999999996</v>
      </c>
      <c r="AE25" s="14">
        <v>0.37</v>
      </c>
      <c r="AF25" s="14">
        <v>0.49</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E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1652</v>
      </c>
      <c r="C3" s="19"/>
      <c r="D3" s="19"/>
      <c r="E3" s="19"/>
      <c r="F3" s="19"/>
      <c r="H3" s="19" t="s">
        <v>1653</v>
      </c>
      <c r="I3" s="19"/>
      <c r="J3" s="19"/>
      <c r="K3" s="19"/>
      <c r="L3" s="19"/>
    </row>
    <row r="4" spans="1:32" ht="27" customHeight="1">
      <c r="B4" s="19" t="s">
        <v>1654</v>
      </c>
      <c r="C4" s="19"/>
      <c r="D4" s="19"/>
      <c r="E4" s="19"/>
      <c r="F4" s="19"/>
      <c r="H4" s="19" t="s">
        <v>1655</v>
      </c>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HYPERLINK("#Content!A195","&lt;&lt;Back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1612</v>
      </c>
      <c r="C12" s="12">
        <v>3986</v>
      </c>
      <c r="D12" s="12">
        <v>124</v>
      </c>
      <c r="E12" s="12">
        <v>308</v>
      </c>
      <c r="F12" s="12">
        <v>129</v>
      </c>
      <c r="G12" s="12">
        <v>29</v>
      </c>
      <c r="H12" s="12">
        <v>113</v>
      </c>
      <c r="I12" s="12">
        <v>148</v>
      </c>
      <c r="J12" s="12">
        <v>35</v>
      </c>
      <c r="K12" s="12">
        <v>153</v>
      </c>
      <c r="L12" s="12">
        <v>144</v>
      </c>
      <c r="M12" s="12">
        <v>293</v>
      </c>
      <c r="N12" s="12">
        <v>183</v>
      </c>
      <c r="O12" s="12">
        <v>152</v>
      </c>
      <c r="P12" s="12">
        <v>342</v>
      </c>
      <c r="Q12" s="12">
        <v>210</v>
      </c>
      <c r="R12" s="12">
        <v>197</v>
      </c>
      <c r="S12" s="12">
        <v>145</v>
      </c>
      <c r="T12" s="12">
        <v>167</v>
      </c>
      <c r="U12" s="12">
        <v>86</v>
      </c>
      <c r="V12" s="12">
        <v>260</v>
      </c>
      <c r="W12" s="12">
        <v>99</v>
      </c>
      <c r="X12" s="12">
        <v>47</v>
      </c>
      <c r="Y12" s="12">
        <v>218</v>
      </c>
      <c r="Z12" s="12">
        <v>140</v>
      </c>
      <c r="AA12" s="12">
        <v>109</v>
      </c>
      <c r="AB12" s="12">
        <v>215</v>
      </c>
      <c r="AC12" s="12">
        <v>215</v>
      </c>
      <c r="AD12" s="12">
        <v>91</v>
      </c>
      <c r="AE12" s="12">
        <v>18</v>
      </c>
      <c r="AF12" s="12">
        <v>22</v>
      </c>
    </row>
    <row r="13" spans="1:32">
      <c r="A13" s="23"/>
      <c r="B13" s="13" t="s">
        <v>708</v>
      </c>
      <c r="C13" s="14">
        <v>0.15</v>
      </c>
      <c r="D13" s="14">
        <v>0.12</v>
      </c>
      <c r="E13" s="14">
        <v>0.3</v>
      </c>
      <c r="F13" s="14">
        <v>0.13</v>
      </c>
      <c r="G13" s="14">
        <v>0.03</v>
      </c>
      <c r="H13" s="14">
        <v>0.09</v>
      </c>
      <c r="I13" s="14">
        <v>0.1</v>
      </c>
      <c r="J13" s="14">
        <v>0.12</v>
      </c>
      <c r="K13" s="14">
        <v>0.15</v>
      </c>
      <c r="L13" s="14">
        <v>0.14000000000000001</v>
      </c>
      <c r="M13" s="14">
        <v>0.28999999999999998</v>
      </c>
      <c r="N13" s="14">
        <v>0.18</v>
      </c>
      <c r="O13" s="14">
        <v>0.15</v>
      </c>
      <c r="P13" s="14">
        <v>0.34</v>
      </c>
      <c r="Q13" s="14">
        <v>0.2</v>
      </c>
      <c r="R13" s="14">
        <v>0.39</v>
      </c>
      <c r="S13" s="14">
        <v>0.15</v>
      </c>
      <c r="T13" s="14">
        <v>0.17</v>
      </c>
      <c r="U13" s="14">
        <v>0.17</v>
      </c>
      <c r="V13" s="14">
        <v>0.26</v>
      </c>
      <c r="W13" s="14">
        <v>0.2</v>
      </c>
      <c r="X13" s="14">
        <v>0.05</v>
      </c>
      <c r="Y13" s="14">
        <v>0.22</v>
      </c>
      <c r="Z13" s="14">
        <v>0.14000000000000001</v>
      </c>
      <c r="AA13" s="14">
        <v>0.1</v>
      </c>
      <c r="AB13" s="14">
        <v>0.21</v>
      </c>
      <c r="AC13" s="14">
        <v>0.21</v>
      </c>
      <c r="AD13" s="14">
        <v>0.09</v>
      </c>
      <c r="AE13" s="14">
        <v>0.02</v>
      </c>
      <c r="AF13" s="14">
        <v>0.02</v>
      </c>
    </row>
    <row r="14" spans="1:32">
      <c r="A14" s="23"/>
      <c r="B14" s="11" t="s">
        <v>1613</v>
      </c>
      <c r="C14" s="12">
        <v>9581</v>
      </c>
      <c r="D14" s="12">
        <v>408</v>
      </c>
      <c r="E14" s="12">
        <v>420</v>
      </c>
      <c r="F14" s="12">
        <v>337</v>
      </c>
      <c r="G14" s="12">
        <v>124</v>
      </c>
      <c r="H14" s="12">
        <v>327</v>
      </c>
      <c r="I14" s="12">
        <v>441</v>
      </c>
      <c r="J14" s="12">
        <v>114</v>
      </c>
      <c r="K14" s="12">
        <v>329</v>
      </c>
      <c r="L14" s="12">
        <v>347</v>
      </c>
      <c r="M14" s="12">
        <v>411</v>
      </c>
      <c r="N14" s="12">
        <v>350</v>
      </c>
      <c r="O14" s="12">
        <v>364</v>
      </c>
      <c r="P14" s="12">
        <v>483</v>
      </c>
      <c r="Q14" s="12">
        <v>470</v>
      </c>
      <c r="R14" s="12">
        <v>180</v>
      </c>
      <c r="S14" s="12">
        <v>342</v>
      </c>
      <c r="T14" s="12">
        <v>421</v>
      </c>
      <c r="U14" s="12">
        <v>182</v>
      </c>
      <c r="V14" s="12">
        <v>497</v>
      </c>
      <c r="W14" s="12">
        <v>199</v>
      </c>
      <c r="X14" s="12">
        <v>190</v>
      </c>
      <c r="Y14" s="12">
        <v>336</v>
      </c>
      <c r="Z14" s="12">
        <v>445</v>
      </c>
      <c r="AA14" s="12">
        <v>610</v>
      </c>
      <c r="AB14" s="12">
        <v>454</v>
      </c>
      <c r="AC14" s="12">
        <v>383</v>
      </c>
      <c r="AD14" s="12">
        <v>368</v>
      </c>
      <c r="AE14" s="12">
        <v>176</v>
      </c>
      <c r="AF14" s="12">
        <v>150</v>
      </c>
    </row>
    <row r="15" spans="1:32">
      <c r="A15" s="23"/>
      <c r="B15" s="13" t="s">
        <v>710</v>
      </c>
      <c r="C15" s="14">
        <v>0.36</v>
      </c>
      <c r="D15" s="14">
        <v>0.41</v>
      </c>
      <c r="E15" s="14">
        <v>0.4</v>
      </c>
      <c r="F15" s="14">
        <v>0.33</v>
      </c>
      <c r="G15" s="14">
        <v>0.12</v>
      </c>
      <c r="H15" s="14">
        <v>0.27</v>
      </c>
      <c r="I15" s="14">
        <v>0.28999999999999998</v>
      </c>
      <c r="J15" s="14">
        <v>0.39</v>
      </c>
      <c r="K15" s="14">
        <v>0.33</v>
      </c>
      <c r="L15" s="14">
        <v>0.35</v>
      </c>
      <c r="M15" s="14">
        <v>0.41</v>
      </c>
      <c r="N15" s="14">
        <v>0.35</v>
      </c>
      <c r="O15" s="14">
        <v>0.36</v>
      </c>
      <c r="P15" s="14">
        <v>0.48</v>
      </c>
      <c r="Q15" s="14">
        <v>0.46</v>
      </c>
      <c r="R15" s="14">
        <v>0.36</v>
      </c>
      <c r="S15" s="14">
        <v>0.34</v>
      </c>
      <c r="T15" s="14">
        <v>0.42</v>
      </c>
      <c r="U15" s="14">
        <v>0.36</v>
      </c>
      <c r="V15" s="14">
        <v>0.49</v>
      </c>
      <c r="W15" s="14">
        <v>0.39</v>
      </c>
      <c r="X15" s="14">
        <v>0.18</v>
      </c>
      <c r="Y15" s="14">
        <v>0.33</v>
      </c>
      <c r="Z15" s="14">
        <v>0.44</v>
      </c>
      <c r="AA15" s="14">
        <v>0.59</v>
      </c>
      <c r="AB15" s="14">
        <v>0.44</v>
      </c>
      <c r="AC15" s="14">
        <v>0.38</v>
      </c>
      <c r="AD15" s="14">
        <v>0.37</v>
      </c>
      <c r="AE15" s="14">
        <v>0.17</v>
      </c>
      <c r="AF15" s="14">
        <v>0.14000000000000001</v>
      </c>
    </row>
    <row r="16" spans="1:32">
      <c r="A16" s="23"/>
      <c r="B16" s="11" t="s">
        <v>1614</v>
      </c>
      <c r="C16" s="12">
        <v>7084</v>
      </c>
      <c r="D16" s="12">
        <v>306</v>
      </c>
      <c r="E16" s="12">
        <v>126</v>
      </c>
      <c r="F16" s="12">
        <v>280</v>
      </c>
      <c r="G16" s="12">
        <v>308</v>
      </c>
      <c r="H16" s="12">
        <v>379</v>
      </c>
      <c r="I16" s="12">
        <v>476</v>
      </c>
      <c r="J16" s="12">
        <v>96</v>
      </c>
      <c r="K16" s="12">
        <v>260</v>
      </c>
      <c r="L16" s="12">
        <v>265</v>
      </c>
      <c r="M16" s="12">
        <v>221</v>
      </c>
      <c r="N16" s="12">
        <v>259</v>
      </c>
      <c r="O16" s="12">
        <v>283</v>
      </c>
      <c r="P16" s="12">
        <v>127</v>
      </c>
      <c r="Q16" s="12">
        <v>225</v>
      </c>
      <c r="R16" s="12">
        <v>66</v>
      </c>
      <c r="S16" s="12">
        <v>254</v>
      </c>
      <c r="T16" s="12">
        <v>211</v>
      </c>
      <c r="U16" s="12">
        <v>117</v>
      </c>
      <c r="V16" s="12">
        <v>175</v>
      </c>
      <c r="W16" s="12">
        <v>99</v>
      </c>
      <c r="X16" s="12">
        <v>425</v>
      </c>
      <c r="Y16" s="12">
        <v>261</v>
      </c>
      <c r="Z16" s="12">
        <v>248</v>
      </c>
      <c r="AA16" s="12">
        <v>149</v>
      </c>
      <c r="AB16" s="12">
        <v>228</v>
      </c>
      <c r="AC16" s="12">
        <v>260</v>
      </c>
      <c r="AD16" s="12">
        <v>343</v>
      </c>
      <c r="AE16" s="12">
        <v>397</v>
      </c>
      <c r="AF16" s="12">
        <v>370</v>
      </c>
    </row>
    <row r="17" spans="1:32">
      <c r="A17" s="23"/>
      <c r="B17" s="13" t="s">
        <v>712</v>
      </c>
      <c r="C17" s="14">
        <v>0.27</v>
      </c>
      <c r="D17" s="14">
        <v>0.3</v>
      </c>
      <c r="E17" s="14">
        <v>0.12</v>
      </c>
      <c r="F17" s="14">
        <v>0.28000000000000003</v>
      </c>
      <c r="G17" s="14">
        <v>0.31</v>
      </c>
      <c r="H17" s="14">
        <v>0.31</v>
      </c>
      <c r="I17" s="14">
        <v>0.32</v>
      </c>
      <c r="J17" s="14">
        <v>0.33</v>
      </c>
      <c r="K17" s="14">
        <v>0.26</v>
      </c>
      <c r="L17" s="14">
        <v>0.26</v>
      </c>
      <c r="M17" s="14">
        <v>0.22</v>
      </c>
      <c r="N17" s="14">
        <v>0.26</v>
      </c>
      <c r="O17" s="14">
        <v>0.28000000000000003</v>
      </c>
      <c r="P17" s="14">
        <v>0.13</v>
      </c>
      <c r="Q17" s="14">
        <v>0.22</v>
      </c>
      <c r="R17" s="14">
        <v>0.13</v>
      </c>
      <c r="S17" s="14">
        <v>0.25</v>
      </c>
      <c r="T17" s="14">
        <v>0.21</v>
      </c>
      <c r="U17" s="14">
        <v>0.23</v>
      </c>
      <c r="V17" s="14">
        <v>0.17</v>
      </c>
      <c r="W17" s="14">
        <v>0.2</v>
      </c>
      <c r="X17" s="14">
        <v>0.42</v>
      </c>
      <c r="Y17" s="14">
        <v>0.26</v>
      </c>
      <c r="Z17" s="14">
        <v>0.24</v>
      </c>
      <c r="AA17" s="14">
        <v>0.14000000000000001</v>
      </c>
      <c r="AB17" s="14">
        <v>0.22</v>
      </c>
      <c r="AC17" s="14">
        <v>0.26</v>
      </c>
      <c r="AD17" s="14">
        <v>0.34</v>
      </c>
      <c r="AE17" s="14">
        <v>0.39</v>
      </c>
      <c r="AF17" s="14">
        <v>0.34</v>
      </c>
    </row>
    <row r="18" spans="1:32">
      <c r="A18" s="23"/>
      <c r="B18" s="11" t="s">
        <v>1615</v>
      </c>
      <c r="C18" s="12">
        <v>3043</v>
      </c>
      <c r="D18" s="12">
        <v>110</v>
      </c>
      <c r="E18" s="12">
        <v>66</v>
      </c>
      <c r="F18" s="12">
        <v>120</v>
      </c>
      <c r="G18" s="12">
        <v>471</v>
      </c>
      <c r="H18" s="12">
        <v>187</v>
      </c>
      <c r="I18" s="12">
        <v>215</v>
      </c>
      <c r="J18" s="12">
        <v>27</v>
      </c>
      <c r="K18" s="12">
        <v>127</v>
      </c>
      <c r="L18" s="12">
        <v>103</v>
      </c>
      <c r="M18" s="12">
        <v>45</v>
      </c>
      <c r="N18" s="12">
        <v>82</v>
      </c>
      <c r="O18" s="12">
        <v>93</v>
      </c>
      <c r="P18" s="12">
        <v>35</v>
      </c>
      <c r="Q18" s="12">
        <v>73</v>
      </c>
      <c r="R18" s="12">
        <v>18</v>
      </c>
      <c r="S18" s="12">
        <v>89</v>
      </c>
      <c r="T18" s="12">
        <v>64</v>
      </c>
      <c r="U18" s="12">
        <v>50</v>
      </c>
      <c r="V18" s="12">
        <v>37</v>
      </c>
      <c r="W18" s="12">
        <v>65</v>
      </c>
      <c r="X18" s="12">
        <v>296</v>
      </c>
      <c r="Y18" s="12">
        <v>116</v>
      </c>
      <c r="Z18" s="12">
        <v>76</v>
      </c>
      <c r="AA18" s="12">
        <v>41</v>
      </c>
      <c r="AB18" s="12">
        <v>60</v>
      </c>
      <c r="AC18" s="12">
        <v>80</v>
      </c>
      <c r="AD18" s="12">
        <v>43</v>
      </c>
      <c r="AE18" s="12">
        <v>338</v>
      </c>
      <c r="AF18" s="12">
        <v>490</v>
      </c>
    </row>
    <row r="19" spans="1:32">
      <c r="A19" s="23"/>
      <c r="B19" s="13" t="s">
        <v>714</v>
      </c>
      <c r="C19" s="14">
        <v>0.12</v>
      </c>
      <c r="D19" s="14">
        <v>0.11</v>
      </c>
      <c r="E19" s="14">
        <v>0.06</v>
      </c>
      <c r="F19" s="14">
        <v>0.12</v>
      </c>
      <c r="G19" s="14">
        <v>0.47</v>
      </c>
      <c r="H19" s="14">
        <v>0.16</v>
      </c>
      <c r="I19" s="14">
        <v>0.14000000000000001</v>
      </c>
      <c r="J19" s="14">
        <v>0.09</v>
      </c>
      <c r="K19" s="14">
        <v>0.13</v>
      </c>
      <c r="L19" s="14">
        <v>0.1</v>
      </c>
      <c r="M19" s="14">
        <v>0.04</v>
      </c>
      <c r="N19" s="14">
        <v>0.08</v>
      </c>
      <c r="O19" s="14">
        <v>0.09</v>
      </c>
      <c r="P19" s="14">
        <v>0.03</v>
      </c>
      <c r="Q19" s="14">
        <v>7.0000000000000007E-2</v>
      </c>
      <c r="R19" s="14">
        <v>0.04</v>
      </c>
      <c r="S19" s="14">
        <v>0.09</v>
      </c>
      <c r="T19" s="14">
        <v>0.06</v>
      </c>
      <c r="U19" s="14">
        <v>0.1</v>
      </c>
      <c r="V19" s="14">
        <v>0.04</v>
      </c>
      <c r="W19" s="14">
        <v>0.13</v>
      </c>
      <c r="X19" s="14">
        <v>0.28999999999999998</v>
      </c>
      <c r="Y19" s="14">
        <v>0.12</v>
      </c>
      <c r="Z19" s="14">
        <v>7.0000000000000007E-2</v>
      </c>
      <c r="AA19" s="14">
        <v>0.04</v>
      </c>
      <c r="AB19" s="14">
        <v>0.06</v>
      </c>
      <c r="AC19" s="14">
        <v>0.08</v>
      </c>
      <c r="AD19" s="14">
        <v>0.04</v>
      </c>
      <c r="AE19" s="14">
        <v>0.34</v>
      </c>
      <c r="AF19" s="14">
        <v>0.46</v>
      </c>
    </row>
    <row r="20" spans="1:32">
      <c r="A20" s="23"/>
      <c r="B20" s="11" t="s">
        <v>497</v>
      </c>
      <c r="C20" s="12">
        <v>2659</v>
      </c>
      <c r="D20" s="12">
        <v>57</v>
      </c>
      <c r="E20" s="12">
        <v>125</v>
      </c>
      <c r="F20" s="12">
        <v>141</v>
      </c>
      <c r="G20" s="12">
        <v>71</v>
      </c>
      <c r="H20" s="12">
        <v>204</v>
      </c>
      <c r="I20" s="12">
        <v>225</v>
      </c>
      <c r="J20" s="12">
        <v>21</v>
      </c>
      <c r="K20" s="12">
        <v>134</v>
      </c>
      <c r="L20" s="12">
        <v>149</v>
      </c>
      <c r="M20" s="12">
        <v>41</v>
      </c>
      <c r="N20" s="12">
        <v>125</v>
      </c>
      <c r="O20" s="12">
        <v>114</v>
      </c>
      <c r="P20" s="12">
        <v>24</v>
      </c>
      <c r="Q20" s="12">
        <v>46</v>
      </c>
      <c r="R20" s="12">
        <v>41</v>
      </c>
      <c r="S20" s="12">
        <v>175</v>
      </c>
      <c r="T20" s="12">
        <v>141</v>
      </c>
      <c r="U20" s="12">
        <v>68</v>
      </c>
      <c r="V20" s="12">
        <v>42</v>
      </c>
      <c r="W20" s="12">
        <v>40</v>
      </c>
      <c r="X20" s="12">
        <v>58</v>
      </c>
      <c r="Y20" s="12">
        <v>76</v>
      </c>
      <c r="Z20" s="12">
        <v>107</v>
      </c>
      <c r="AA20" s="12">
        <v>131</v>
      </c>
      <c r="AB20" s="12">
        <v>74</v>
      </c>
      <c r="AC20" s="12">
        <v>67</v>
      </c>
      <c r="AD20" s="12">
        <v>157</v>
      </c>
      <c r="AE20" s="12">
        <v>80</v>
      </c>
      <c r="AF20" s="12">
        <v>42</v>
      </c>
    </row>
    <row r="21" spans="1:32">
      <c r="A21" s="23"/>
      <c r="B21" s="13" t="s">
        <v>498</v>
      </c>
      <c r="C21" s="14">
        <v>0.1</v>
      </c>
      <c r="D21" s="14">
        <v>0.06</v>
      </c>
      <c r="E21" s="14">
        <v>0.12</v>
      </c>
      <c r="F21" s="14">
        <v>0.14000000000000001</v>
      </c>
      <c r="G21" s="14">
        <v>7.0000000000000007E-2</v>
      </c>
      <c r="H21" s="14">
        <v>0.17</v>
      </c>
      <c r="I21" s="14">
        <v>0.15</v>
      </c>
      <c r="J21" s="14">
        <v>7.0000000000000007E-2</v>
      </c>
      <c r="K21" s="14">
        <v>0.13</v>
      </c>
      <c r="L21" s="14">
        <v>0.15</v>
      </c>
      <c r="M21" s="14">
        <v>0.04</v>
      </c>
      <c r="N21" s="14">
        <v>0.13</v>
      </c>
      <c r="O21" s="14">
        <v>0.12</v>
      </c>
      <c r="P21" s="14">
        <v>0.02</v>
      </c>
      <c r="Q21" s="14">
        <v>0.05</v>
      </c>
      <c r="R21" s="14">
        <v>0.08</v>
      </c>
      <c r="S21" s="14">
        <v>0.17</v>
      </c>
      <c r="T21" s="14">
        <v>0.14000000000000001</v>
      </c>
      <c r="U21" s="14">
        <v>0.14000000000000001</v>
      </c>
      <c r="V21" s="14">
        <v>0.04</v>
      </c>
      <c r="W21" s="14">
        <v>0.08</v>
      </c>
      <c r="X21" s="14">
        <v>0.06</v>
      </c>
      <c r="Y21" s="14">
        <v>7.0000000000000007E-2</v>
      </c>
      <c r="Z21" s="14">
        <v>0.11</v>
      </c>
      <c r="AA21" s="14">
        <v>0.13</v>
      </c>
      <c r="AB21" s="14">
        <v>7.0000000000000007E-2</v>
      </c>
      <c r="AC21" s="14">
        <v>7.0000000000000007E-2</v>
      </c>
      <c r="AD21" s="14">
        <v>0.16</v>
      </c>
      <c r="AE21" s="14">
        <v>0.08</v>
      </c>
      <c r="AF21" s="14">
        <v>0.04</v>
      </c>
    </row>
    <row r="22" spans="1:32">
      <c r="A22" s="23"/>
      <c r="B22" s="11" t="s">
        <v>715</v>
      </c>
      <c r="C22" s="12">
        <v>13567</v>
      </c>
      <c r="D22" s="12">
        <v>532</v>
      </c>
      <c r="E22" s="12">
        <v>728</v>
      </c>
      <c r="F22" s="12">
        <v>466</v>
      </c>
      <c r="G22" s="12">
        <v>153</v>
      </c>
      <c r="H22" s="12">
        <v>440</v>
      </c>
      <c r="I22" s="12">
        <v>589</v>
      </c>
      <c r="J22" s="12">
        <v>149</v>
      </c>
      <c r="K22" s="12">
        <v>482</v>
      </c>
      <c r="L22" s="12">
        <v>491</v>
      </c>
      <c r="M22" s="12">
        <v>704</v>
      </c>
      <c r="N22" s="12">
        <v>533</v>
      </c>
      <c r="O22" s="12">
        <v>516</v>
      </c>
      <c r="P22" s="12">
        <v>825</v>
      </c>
      <c r="Q22" s="12">
        <v>680</v>
      </c>
      <c r="R22" s="12">
        <v>377</v>
      </c>
      <c r="S22" s="12">
        <v>487</v>
      </c>
      <c r="T22" s="12">
        <v>588</v>
      </c>
      <c r="U22" s="12">
        <v>268</v>
      </c>
      <c r="V22" s="12">
        <v>757</v>
      </c>
      <c r="W22" s="12">
        <v>298</v>
      </c>
      <c r="X22" s="12">
        <v>237</v>
      </c>
      <c r="Y22" s="12">
        <v>554</v>
      </c>
      <c r="Z22" s="12">
        <v>585</v>
      </c>
      <c r="AA22" s="12">
        <v>719</v>
      </c>
      <c r="AB22" s="12">
        <v>669</v>
      </c>
      <c r="AC22" s="12">
        <v>598</v>
      </c>
      <c r="AD22" s="12">
        <v>459</v>
      </c>
      <c r="AE22" s="12">
        <v>194</v>
      </c>
      <c r="AF22" s="12">
        <v>172</v>
      </c>
    </row>
    <row r="23" spans="1:32">
      <c r="A23" s="23"/>
      <c r="B23" s="13" t="s">
        <v>716</v>
      </c>
      <c r="C23" s="14">
        <v>0.51</v>
      </c>
      <c r="D23" s="14">
        <v>0.53</v>
      </c>
      <c r="E23" s="14">
        <v>0.70000000000000007</v>
      </c>
      <c r="F23" s="14">
        <v>0.46</v>
      </c>
      <c r="G23" s="14">
        <v>0.15</v>
      </c>
      <c r="H23" s="14">
        <v>0.36</v>
      </c>
      <c r="I23" s="14">
        <v>0.39</v>
      </c>
      <c r="J23" s="14">
        <v>0.51</v>
      </c>
      <c r="K23" s="14">
        <v>0.48</v>
      </c>
      <c r="L23" s="14">
        <v>0.49</v>
      </c>
      <c r="M23" s="14">
        <v>0.70000000000000007</v>
      </c>
      <c r="N23" s="14">
        <v>0.53</v>
      </c>
      <c r="O23" s="14">
        <v>0.51</v>
      </c>
      <c r="P23" s="14">
        <v>0.82000000000000006</v>
      </c>
      <c r="Q23" s="14">
        <v>0.66</v>
      </c>
      <c r="R23" s="14">
        <v>0.75</v>
      </c>
      <c r="S23" s="14">
        <v>0.49</v>
      </c>
      <c r="T23" s="14">
        <v>0.59</v>
      </c>
      <c r="U23" s="14">
        <v>0.53</v>
      </c>
      <c r="V23" s="14">
        <v>0.75</v>
      </c>
      <c r="W23" s="14">
        <v>0.59</v>
      </c>
      <c r="X23" s="14">
        <v>0.23</v>
      </c>
      <c r="Y23" s="14">
        <v>0.55000000000000004</v>
      </c>
      <c r="Z23" s="14">
        <v>0.57999999999999996</v>
      </c>
      <c r="AA23" s="14">
        <v>0.69000000000000006</v>
      </c>
      <c r="AB23" s="14">
        <v>0.65</v>
      </c>
      <c r="AC23" s="14">
        <v>0.59</v>
      </c>
      <c r="AD23" s="14">
        <v>0.46</v>
      </c>
      <c r="AE23" s="14">
        <v>0.19</v>
      </c>
      <c r="AF23" s="14">
        <v>0.16</v>
      </c>
    </row>
    <row r="24" spans="1:32">
      <c r="A24" s="23"/>
      <c r="B24" s="11" t="s">
        <v>717</v>
      </c>
      <c r="C24" s="12">
        <v>10127</v>
      </c>
      <c r="D24" s="12">
        <v>416</v>
      </c>
      <c r="E24" s="12">
        <v>192</v>
      </c>
      <c r="F24" s="12">
        <v>400</v>
      </c>
      <c r="G24" s="12">
        <v>779</v>
      </c>
      <c r="H24" s="12">
        <v>566</v>
      </c>
      <c r="I24" s="12">
        <v>691</v>
      </c>
      <c r="J24" s="12">
        <v>123</v>
      </c>
      <c r="K24" s="12">
        <v>387</v>
      </c>
      <c r="L24" s="12">
        <v>368</v>
      </c>
      <c r="M24" s="12">
        <v>266</v>
      </c>
      <c r="N24" s="12">
        <v>341</v>
      </c>
      <c r="O24" s="12">
        <v>376</v>
      </c>
      <c r="P24" s="12">
        <v>162</v>
      </c>
      <c r="Q24" s="12">
        <v>298</v>
      </c>
      <c r="R24" s="12">
        <v>84</v>
      </c>
      <c r="S24" s="12">
        <v>343</v>
      </c>
      <c r="T24" s="12">
        <v>275</v>
      </c>
      <c r="U24" s="12">
        <v>167</v>
      </c>
      <c r="V24" s="12">
        <v>212</v>
      </c>
      <c r="W24" s="12">
        <v>164</v>
      </c>
      <c r="X24" s="12">
        <v>721</v>
      </c>
      <c r="Y24" s="12">
        <v>377</v>
      </c>
      <c r="Z24" s="12">
        <v>324</v>
      </c>
      <c r="AA24" s="12">
        <v>190</v>
      </c>
      <c r="AB24" s="12">
        <v>288</v>
      </c>
      <c r="AC24" s="12">
        <v>340</v>
      </c>
      <c r="AD24" s="12">
        <v>386</v>
      </c>
      <c r="AE24" s="12">
        <v>735</v>
      </c>
      <c r="AF24" s="12">
        <v>860</v>
      </c>
    </row>
    <row r="25" spans="1:32">
      <c r="A25" s="23"/>
      <c r="B25" s="13" t="s">
        <v>718</v>
      </c>
      <c r="C25" s="14">
        <v>0.39</v>
      </c>
      <c r="D25" s="14">
        <v>0.41</v>
      </c>
      <c r="E25" s="14">
        <v>0.18</v>
      </c>
      <c r="F25" s="14">
        <v>0.4</v>
      </c>
      <c r="G25" s="14">
        <v>0.78</v>
      </c>
      <c r="H25" s="14">
        <v>0.47</v>
      </c>
      <c r="I25" s="14">
        <v>0.46</v>
      </c>
      <c r="J25" s="14">
        <v>0.42</v>
      </c>
      <c r="K25" s="14">
        <v>0.39</v>
      </c>
      <c r="L25" s="14">
        <v>0.36</v>
      </c>
      <c r="M25" s="14">
        <v>0.26</v>
      </c>
      <c r="N25" s="14">
        <v>0.34</v>
      </c>
      <c r="O25" s="14">
        <v>0.37</v>
      </c>
      <c r="P25" s="14">
        <v>0.16</v>
      </c>
      <c r="Q25" s="14">
        <v>0.28999999999999998</v>
      </c>
      <c r="R25" s="14">
        <v>0.17</v>
      </c>
      <c r="S25" s="14">
        <v>0.34</v>
      </c>
      <c r="T25" s="14">
        <v>0.27</v>
      </c>
      <c r="U25" s="14">
        <v>0.33</v>
      </c>
      <c r="V25" s="14">
        <v>0.21</v>
      </c>
      <c r="W25" s="14">
        <v>0.33</v>
      </c>
      <c r="X25" s="14">
        <v>0.71</v>
      </c>
      <c r="Y25" s="14">
        <v>0.38</v>
      </c>
      <c r="Z25" s="14">
        <v>0.31</v>
      </c>
      <c r="AA25" s="14">
        <v>0.18</v>
      </c>
      <c r="AB25" s="14">
        <v>0.28000000000000003</v>
      </c>
      <c r="AC25" s="14">
        <v>0.34</v>
      </c>
      <c r="AD25" s="14">
        <v>0.38</v>
      </c>
      <c r="AE25" s="14">
        <v>0.73</v>
      </c>
      <c r="AF25" s="14">
        <v>0.8</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F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1656</v>
      </c>
      <c r="C3" s="19"/>
      <c r="D3" s="19"/>
      <c r="E3" s="19"/>
      <c r="F3" s="19"/>
      <c r="H3" s="19" t="s">
        <v>1657</v>
      </c>
      <c r="I3" s="19"/>
      <c r="J3" s="19"/>
      <c r="K3" s="19"/>
      <c r="L3" s="19"/>
    </row>
    <row r="4" spans="1:32" ht="27" customHeight="1">
      <c r="B4" s="19" t="s">
        <v>1658</v>
      </c>
      <c r="C4" s="19"/>
      <c r="D4" s="19"/>
      <c r="E4" s="19"/>
      <c r="F4" s="19"/>
      <c r="H4" s="19" t="s">
        <v>1659</v>
      </c>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HYPERLINK("#Content!A196","&lt;&lt;Back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1612</v>
      </c>
      <c r="C12" s="12">
        <v>5446</v>
      </c>
      <c r="D12" s="12">
        <v>121</v>
      </c>
      <c r="E12" s="12">
        <v>346</v>
      </c>
      <c r="F12" s="12">
        <v>186</v>
      </c>
      <c r="G12" s="12">
        <v>45</v>
      </c>
      <c r="H12" s="12">
        <v>149</v>
      </c>
      <c r="I12" s="12">
        <v>186</v>
      </c>
      <c r="J12" s="12">
        <v>38</v>
      </c>
      <c r="K12" s="12">
        <v>179</v>
      </c>
      <c r="L12" s="12">
        <v>213</v>
      </c>
      <c r="M12" s="12">
        <v>356</v>
      </c>
      <c r="N12" s="12">
        <v>296</v>
      </c>
      <c r="O12" s="12">
        <v>223</v>
      </c>
      <c r="P12" s="12">
        <v>316</v>
      </c>
      <c r="Q12" s="12">
        <v>288</v>
      </c>
      <c r="R12" s="12">
        <v>197</v>
      </c>
      <c r="S12" s="12">
        <v>283</v>
      </c>
      <c r="T12" s="12">
        <v>179</v>
      </c>
      <c r="U12" s="12">
        <v>76</v>
      </c>
      <c r="V12" s="12">
        <v>316</v>
      </c>
      <c r="W12" s="12">
        <v>191</v>
      </c>
      <c r="X12" s="12">
        <v>110</v>
      </c>
      <c r="Y12" s="12">
        <v>238</v>
      </c>
      <c r="Z12" s="12">
        <v>163</v>
      </c>
      <c r="AA12" s="12">
        <v>229</v>
      </c>
      <c r="AB12" s="12">
        <v>207</v>
      </c>
      <c r="AC12" s="12">
        <v>258</v>
      </c>
      <c r="AD12" s="12">
        <v>125</v>
      </c>
      <c r="AE12" s="12">
        <v>97</v>
      </c>
      <c r="AF12" s="12">
        <v>156</v>
      </c>
    </row>
    <row r="13" spans="1:32">
      <c r="A13" s="23"/>
      <c r="B13" s="13" t="s">
        <v>708</v>
      </c>
      <c r="C13" s="14">
        <v>0.21</v>
      </c>
      <c r="D13" s="14">
        <v>0.12</v>
      </c>
      <c r="E13" s="14">
        <v>0.33</v>
      </c>
      <c r="F13" s="14">
        <v>0.18</v>
      </c>
      <c r="G13" s="14">
        <v>0.04</v>
      </c>
      <c r="H13" s="14">
        <v>0.12</v>
      </c>
      <c r="I13" s="14">
        <v>0.13</v>
      </c>
      <c r="J13" s="14">
        <v>0.13</v>
      </c>
      <c r="K13" s="14">
        <v>0.18</v>
      </c>
      <c r="L13" s="14">
        <v>0.21</v>
      </c>
      <c r="M13" s="14">
        <v>0.35</v>
      </c>
      <c r="N13" s="14">
        <v>0.3</v>
      </c>
      <c r="O13" s="14">
        <v>0.22</v>
      </c>
      <c r="P13" s="14">
        <v>0.31</v>
      </c>
      <c r="Q13" s="14">
        <v>0.28000000000000003</v>
      </c>
      <c r="R13" s="14">
        <v>0.39</v>
      </c>
      <c r="S13" s="14">
        <v>0.28000000000000003</v>
      </c>
      <c r="T13" s="14">
        <v>0.18</v>
      </c>
      <c r="U13" s="14">
        <v>0.15</v>
      </c>
      <c r="V13" s="14">
        <v>0.31</v>
      </c>
      <c r="W13" s="14">
        <v>0.38</v>
      </c>
      <c r="X13" s="14">
        <v>0.11</v>
      </c>
      <c r="Y13" s="14">
        <v>0.24</v>
      </c>
      <c r="Z13" s="14">
        <v>0.16</v>
      </c>
      <c r="AA13" s="14">
        <v>0.22</v>
      </c>
      <c r="AB13" s="14">
        <v>0.2</v>
      </c>
      <c r="AC13" s="14">
        <v>0.26</v>
      </c>
      <c r="AD13" s="14">
        <v>0.12</v>
      </c>
      <c r="AE13" s="14">
        <v>0.1</v>
      </c>
      <c r="AF13" s="14">
        <v>0.15</v>
      </c>
    </row>
    <row r="14" spans="1:32">
      <c r="A14" s="23"/>
      <c r="B14" s="11" t="s">
        <v>1613</v>
      </c>
      <c r="C14" s="12">
        <v>11634</v>
      </c>
      <c r="D14" s="12">
        <v>454</v>
      </c>
      <c r="E14" s="12">
        <v>441</v>
      </c>
      <c r="F14" s="12">
        <v>504</v>
      </c>
      <c r="G14" s="12">
        <v>166</v>
      </c>
      <c r="H14" s="12">
        <v>416</v>
      </c>
      <c r="I14" s="12">
        <v>546</v>
      </c>
      <c r="J14" s="12">
        <v>130</v>
      </c>
      <c r="K14" s="12">
        <v>381</v>
      </c>
      <c r="L14" s="12">
        <v>450</v>
      </c>
      <c r="M14" s="12">
        <v>474</v>
      </c>
      <c r="N14" s="12">
        <v>480</v>
      </c>
      <c r="O14" s="12">
        <v>447</v>
      </c>
      <c r="P14" s="12">
        <v>532</v>
      </c>
      <c r="Q14" s="12">
        <v>524</v>
      </c>
      <c r="R14" s="12">
        <v>176</v>
      </c>
      <c r="S14" s="12">
        <v>398</v>
      </c>
      <c r="T14" s="12">
        <v>465</v>
      </c>
      <c r="U14" s="12">
        <v>226</v>
      </c>
      <c r="V14" s="12">
        <v>469</v>
      </c>
      <c r="W14" s="12">
        <v>196</v>
      </c>
      <c r="X14" s="12">
        <v>311</v>
      </c>
      <c r="Y14" s="12">
        <v>371</v>
      </c>
      <c r="Z14" s="12">
        <v>540</v>
      </c>
      <c r="AA14" s="12">
        <v>616</v>
      </c>
      <c r="AB14" s="12">
        <v>504</v>
      </c>
      <c r="AC14" s="12">
        <v>457</v>
      </c>
      <c r="AD14" s="12">
        <v>497</v>
      </c>
      <c r="AE14" s="12">
        <v>266</v>
      </c>
      <c r="AF14" s="12">
        <v>334</v>
      </c>
    </row>
    <row r="15" spans="1:32">
      <c r="A15" s="23"/>
      <c r="B15" s="13" t="s">
        <v>710</v>
      </c>
      <c r="C15" s="14">
        <v>0.44</v>
      </c>
      <c r="D15" s="14">
        <v>0.45</v>
      </c>
      <c r="E15" s="14">
        <v>0.42</v>
      </c>
      <c r="F15" s="14">
        <v>0.5</v>
      </c>
      <c r="G15" s="14">
        <v>0.17</v>
      </c>
      <c r="H15" s="14">
        <v>0.34</v>
      </c>
      <c r="I15" s="14">
        <v>0.36</v>
      </c>
      <c r="J15" s="14">
        <v>0.44</v>
      </c>
      <c r="K15" s="14">
        <v>0.38</v>
      </c>
      <c r="L15" s="14">
        <v>0.45</v>
      </c>
      <c r="M15" s="14">
        <v>0.47</v>
      </c>
      <c r="N15" s="14">
        <v>0.48</v>
      </c>
      <c r="O15" s="14">
        <v>0.44</v>
      </c>
      <c r="P15" s="14">
        <v>0.53</v>
      </c>
      <c r="Q15" s="14">
        <v>0.51</v>
      </c>
      <c r="R15" s="14">
        <v>0.35</v>
      </c>
      <c r="S15" s="14">
        <v>0.4</v>
      </c>
      <c r="T15" s="14">
        <v>0.46</v>
      </c>
      <c r="U15" s="14">
        <v>0.45</v>
      </c>
      <c r="V15" s="14">
        <v>0.47</v>
      </c>
      <c r="W15" s="14">
        <v>0.39</v>
      </c>
      <c r="X15" s="14">
        <v>0.31</v>
      </c>
      <c r="Y15" s="14">
        <v>0.37</v>
      </c>
      <c r="Z15" s="14">
        <v>0.53</v>
      </c>
      <c r="AA15" s="14">
        <v>0.59</v>
      </c>
      <c r="AB15" s="14">
        <v>0.49</v>
      </c>
      <c r="AC15" s="14">
        <v>0.46</v>
      </c>
      <c r="AD15" s="14">
        <v>0.5</v>
      </c>
      <c r="AE15" s="14">
        <v>0.26</v>
      </c>
      <c r="AF15" s="14">
        <v>0.31</v>
      </c>
    </row>
    <row r="16" spans="1:32">
      <c r="A16" s="23"/>
      <c r="B16" s="11" t="s">
        <v>1614</v>
      </c>
      <c r="C16" s="12">
        <v>5017</v>
      </c>
      <c r="D16" s="12">
        <v>272</v>
      </c>
      <c r="E16" s="12">
        <v>93</v>
      </c>
      <c r="F16" s="12">
        <v>169</v>
      </c>
      <c r="G16" s="12">
        <v>243</v>
      </c>
      <c r="H16" s="12">
        <v>349</v>
      </c>
      <c r="I16" s="12">
        <v>434</v>
      </c>
      <c r="J16" s="12">
        <v>85</v>
      </c>
      <c r="K16" s="12">
        <v>200</v>
      </c>
      <c r="L16" s="12">
        <v>131</v>
      </c>
      <c r="M16" s="12">
        <v>109</v>
      </c>
      <c r="N16" s="12">
        <v>92</v>
      </c>
      <c r="O16" s="12">
        <v>185</v>
      </c>
      <c r="P16" s="12">
        <v>99</v>
      </c>
      <c r="Q16" s="12">
        <v>142</v>
      </c>
      <c r="R16" s="12">
        <v>41</v>
      </c>
      <c r="S16" s="12">
        <v>101</v>
      </c>
      <c r="T16" s="12">
        <v>134</v>
      </c>
      <c r="U16" s="12">
        <v>72</v>
      </c>
      <c r="V16" s="12">
        <v>134</v>
      </c>
      <c r="W16" s="12">
        <v>51</v>
      </c>
      <c r="X16" s="12">
        <v>358</v>
      </c>
      <c r="Y16" s="12">
        <v>204</v>
      </c>
      <c r="Z16" s="12">
        <v>162</v>
      </c>
      <c r="AA16" s="12">
        <v>37</v>
      </c>
      <c r="AB16" s="12">
        <v>192</v>
      </c>
      <c r="AC16" s="12">
        <v>174</v>
      </c>
      <c r="AD16" s="12">
        <v>210</v>
      </c>
      <c r="AE16" s="12">
        <v>348</v>
      </c>
      <c r="AF16" s="12">
        <v>334</v>
      </c>
    </row>
    <row r="17" spans="1:32">
      <c r="A17" s="23"/>
      <c r="B17" s="13" t="s">
        <v>712</v>
      </c>
      <c r="C17" s="14">
        <v>0.19</v>
      </c>
      <c r="D17" s="14">
        <v>0.27</v>
      </c>
      <c r="E17" s="14">
        <v>0.09</v>
      </c>
      <c r="F17" s="14">
        <v>0.17</v>
      </c>
      <c r="G17" s="14">
        <v>0.24</v>
      </c>
      <c r="H17" s="14">
        <v>0.28999999999999998</v>
      </c>
      <c r="I17" s="14">
        <v>0.28999999999999998</v>
      </c>
      <c r="J17" s="14">
        <v>0.28999999999999998</v>
      </c>
      <c r="K17" s="14">
        <v>0.2</v>
      </c>
      <c r="L17" s="14">
        <v>0.13</v>
      </c>
      <c r="M17" s="14">
        <v>0.11</v>
      </c>
      <c r="N17" s="14">
        <v>0.09</v>
      </c>
      <c r="O17" s="14">
        <v>0.19</v>
      </c>
      <c r="P17" s="14">
        <v>0.1</v>
      </c>
      <c r="Q17" s="14">
        <v>0.14000000000000001</v>
      </c>
      <c r="R17" s="14">
        <v>0.08</v>
      </c>
      <c r="S17" s="14">
        <v>0.1</v>
      </c>
      <c r="T17" s="14">
        <v>0.13</v>
      </c>
      <c r="U17" s="14">
        <v>0.14000000000000001</v>
      </c>
      <c r="V17" s="14">
        <v>0.13</v>
      </c>
      <c r="W17" s="14">
        <v>0.1</v>
      </c>
      <c r="X17" s="14">
        <v>0.35</v>
      </c>
      <c r="Y17" s="14">
        <v>0.2</v>
      </c>
      <c r="Z17" s="14">
        <v>0.16</v>
      </c>
      <c r="AA17" s="14">
        <v>0.04</v>
      </c>
      <c r="AB17" s="14">
        <v>0.19</v>
      </c>
      <c r="AC17" s="14">
        <v>0.17</v>
      </c>
      <c r="AD17" s="14">
        <v>0.21</v>
      </c>
      <c r="AE17" s="14">
        <v>0.35</v>
      </c>
      <c r="AF17" s="14">
        <v>0.31</v>
      </c>
    </row>
    <row r="18" spans="1:32">
      <c r="A18" s="23"/>
      <c r="B18" s="11" t="s">
        <v>1615</v>
      </c>
      <c r="C18" s="12">
        <v>1388</v>
      </c>
      <c r="D18" s="12">
        <v>86</v>
      </c>
      <c r="E18" s="12">
        <v>25</v>
      </c>
      <c r="F18" s="12">
        <v>29</v>
      </c>
      <c r="G18" s="12">
        <v>415</v>
      </c>
      <c r="H18" s="12">
        <v>78</v>
      </c>
      <c r="I18" s="12">
        <v>92</v>
      </c>
      <c r="J18" s="12">
        <v>14</v>
      </c>
      <c r="K18" s="12">
        <v>70</v>
      </c>
      <c r="L18" s="12">
        <v>42</v>
      </c>
      <c r="M18" s="12">
        <v>21</v>
      </c>
      <c r="N18" s="12">
        <v>21</v>
      </c>
      <c r="O18" s="12">
        <v>17</v>
      </c>
      <c r="P18" s="12">
        <v>33</v>
      </c>
      <c r="Q18" s="12">
        <v>26</v>
      </c>
      <c r="R18" s="12">
        <v>19</v>
      </c>
      <c r="S18" s="12">
        <v>25</v>
      </c>
      <c r="T18" s="12">
        <v>15</v>
      </c>
      <c r="U18" s="12">
        <v>29</v>
      </c>
      <c r="V18" s="12">
        <v>42</v>
      </c>
      <c r="W18" s="12">
        <v>27</v>
      </c>
      <c r="X18" s="12">
        <v>158</v>
      </c>
      <c r="Y18" s="12">
        <v>83</v>
      </c>
      <c r="Z18" s="12">
        <v>70</v>
      </c>
      <c r="AA18" s="12">
        <v>12</v>
      </c>
      <c r="AB18" s="12">
        <v>44</v>
      </c>
      <c r="AC18" s="12">
        <v>33</v>
      </c>
      <c r="AD18" s="12">
        <v>23</v>
      </c>
      <c r="AE18" s="12">
        <v>152</v>
      </c>
      <c r="AF18" s="12">
        <v>176</v>
      </c>
    </row>
    <row r="19" spans="1:32">
      <c r="A19" s="23"/>
      <c r="B19" s="13" t="s">
        <v>714</v>
      </c>
      <c r="C19" s="14">
        <v>0.05</v>
      </c>
      <c r="D19" s="14">
        <v>0.09</v>
      </c>
      <c r="E19" s="14">
        <v>0.02</v>
      </c>
      <c r="F19" s="14">
        <v>0.03</v>
      </c>
      <c r="G19" s="14">
        <v>0.41</v>
      </c>
      <c r="H19" s="14">
        <v>7.0000000000000007E-2</v>
      </c>
      <c r="I19" s="14">
        <v>0.06</v>
      </c>
      <c r="J19" s="14">
        <v>0.05</v>
      </c>
      <c r="K19" s="14">
        <v>7.0000000000000007E-2</v>
      </c>
      <c r="L19" s="14">
        <v>0.04</v>
      </c>
      <c r="M19" s="14">
        <v>0.02</v>
      </c>
      <c r="N19" s="14">
        <v>0.02</v>
      </c>
      <c r="O19" s="14">
        <v>0.02</v>
      </c>
      <c r="P19" s="14">
        <v>0.03</v>
      </c>
      <c r="Q19" s="14">
        <v>0.03</v>
      </c>
      <c r="R19" s="14">
        <v>0.04</v>
      </c>
      <c r="S19" s="14">
        <v>0.02</v>
      </c>
      <c r="T19" s="14">
        <v>0.02</v>
      </c>
      <c r="U19" s="14">
        <v>0.06</v>
      </c>
      <c r="V19" s="14">
        <v>0.04</v>
      </c>
      <c r="W19" s="14">
        <v>0.05</v>
      </c>
      <c r="X19" s="14">
        <v>0.15</v>
      </c>
      <c r="Y19" s="14">
        <v>0.08</v>
      </c>
      <c r="Z19" s="14">
        <v>7.0000000000000007E-2</v>
      </c>
      <c r="AA19" s="14">
        <v>0.01</v>
      </c>
      <c r="AB19" s="14">
        <v>0.04</v>
      </c>
      <c r="AC19" s="14">
        <v>0.03</v>
      </c>
      <c r="AD19" s="14">
        <v>0.02</v>
      </c>
      <c r="AE19" s="14">
        <v>0.15</v>
      </c>
      <c r="AF19" s="14">
        <v>0.16</v>
      </c>
    </row>
    <row r="20" spans="1:32">
      <c r="A20" s="23"/>
      <c r="B20" s="11" t="s">
        <v>497</v>
      </c>
      <c r="C20" s="12">
        <v>2870</v>
      </c>
      <c r="D20" s="12">
        <v>73</v>
      </c>
      <c r="E20" s="12">
        <v>140</v>
      </c>
      <c r="F20" s="12">
        <v>118</v>
      </c>
      <c r="G20" s="12">
        <v>135</v>
      </c>
      <c r="H20" s="12">
        <v>219</v>
      </c>
      <c r="I20" s="12">
        <v>246</v>
      </c>
      <c r="J20" s="12">
        <v>27</v>
      </c>
      <c r="K20" s="12">
        <v>175</v>
      </c>
      <c r="L20" s="12">
        <v>171</v>
      </c>
      <c r="M20" s="12">
        <v>53</v>
      </c>
      <c r="N20" s="12">
        <v>111</v>
      </c>
      <c r="O20" s="12">
        <v>135</v>
      </c>
      <c r="P20" s="12">
        <v>31</v>
      </c>
      <c r="Q20" s="12">
        <v>45</v>
      </c>
      <c r="R20" s="12">
        <v>69</v>
      </c>
      <c r="S20" s="12">
        <v>198</v>
      </c>
      <c r="T20" s="12">
        <v>211</v>
      </c>
      <c r="U20" s="12">
        <v>99</v>
      </c>
      <c r="V20" s="12">
        <v>50</v>
      </c>
      <c r="W20" s="12">
        <v>39</v>
      </c>
      <c r="X20" s="12">
        <v>80</v>
      </c>
      <c r="Y20" s="12">
        <v>112</v>
      </c>
      <c r="Z20" s="12">
        <v>82</v>
      </c>
      <c r="AA20" s="12">
        <v>145</v>
      </c>
      <c r="AB20" s="12">
        <v>83</v>
      </c>
      <c r="AC20" s="12">
        <v>82</v>
      </c>
      <c r="AD20" s="12">
        <v>147</v>
      </c>
      <c r="AE20" s="12">
        <v>143</v>
      </c>
      <c r="AF20" s="12">
        <v>73</v>
      </c>
    </row>
    <row r="21" spans="1:32">
      <c r="A21" s="23"/>
      <c r="B21" s="13" t="s">
        <v>498</v>
      </c>
      <c r="C21" s="14">
        <v>0.11</v>
      </c>
      <c r="D21" s="14">
        <v>7.0000000000000007E-2</v>
      </c>
      <c r="E21" s="14">
        <v>0.14000000000000001</v>
      </c>
      <c r="F21" s="14">
        <v>0.12</v>
      </c>
      <c r="G21" s="14">
        <v>0.14000000000000001</v>
      </c>
      <c r="H21" s="14">
        <v>0.18</v>
      </c>
      <c r="I21" s="14">
        <v>0.16</v>
      </c>
      <c r="J21" s="14">
        <v>0.09</v>
      </c>
      <c r="K21" s="14">
        <v>0.17</v>
      </c>
      <c r="L21" s="14">
        <v>0.17</v>
      </c>
      <c r="M21" s="14">
        <v>0.05</v>
      </c>
      <c r="N21" s="14">
        <v>0.11</v>
      </c>
      <c r="O21" s="14">
        <v>0.13</v>
      </c>
      <c r="P21" s="14">
        <v>0.03</v>
      </c>
      <c r="Q21" s="14">
        <v>0.04</v>
      </c>
      <c r="R21" s="14">
        <v>0.14000000000000001</v>
      </c>
      <c r="S21" s="14">
        <v>0.2</v>
      </c>
      <c r="T21" s="14">
        <v>0.21</v>
      </c>
      <c r="U21" s="14">
        <v>0.2</v>
      </c>
      <c r="V21" s="14">
        <v>0.05</v>
      </c>
      <c r="W21" s="14">
        <v>0.08</v>
      </c>
      <c r="X21" s="14">
        <v>0.08</v>
      </c>
      <c r="Y21" s="14">
        <v>0.11</v>
      </c>
      <c r="Z21" s="14">
        <v>0.08</v>
      </c>
      <c r="AA21" s="14">
        <v>0.14000000000000001</v>
      </c>
      <c r="AB21" s="14">
        <v>0.08</v>
      </c>
      <c r="AC21" s="14">
        <v>0.08</v>
      </c>
      <c r="AD21" s="14">
        <v>0.15</v>
      </c>
      <c r="AE21" s="14">
        <v>0.14000000000000001</v>
      </c>
      <c r="AF21" s="14">
        <v>7.0000000000000007E-2</v>
      </c>
    </row>
    <row r="22" spans="1:32">
      <c r="A22" s="23"/>
      <c r="B22" s="11" t="s">
        <v>715</v>
      </c>
      <c r="C22" s="12">
        <v>17080</v>
      </c>
      <c r="D22" s="12">
        <v>575</v>
      </c>
      <c r="E22" s="12">
        <v>787</v>
      </c>
      <c r="F22" s="12">
        <v>690</v>
      </c>
      <c r="G22" s="12">
        <v>211</v>
      </c>
      <c r="H22" s="12">
        <v>565</v>
      </c>
      <c r="I22" s="12">
        <v>732</v>
      </c>
      <c r="J22" s="12">
        <v>168</v>
      </c>
      <c r="K22" s="12">
        <v>560</v>
      </c>
      <c r="L22" s="12">
        <v>663</v>
      </c>
      <c r="M22" s="12">
        <v>830</v>
      </c>
      <c r="N22" s="12">
        <v>776</v>
      </c>
      <c r="O22" s="12">
        <v>670</v>
      </c>
      <c r="P22" s="12">
        <v>848</v>
      </c>
      <c r="Q22" s="12">
        <v>812</v>
      </c>
      <c r="R22" s="12">
        <v>373</v>
      </c>
      <c r="S22" s="12">
        <v>681</v>
      </c>
      <c r="T22" s="12">
        <v>644</v>
      </c>
      <c r="U22" s="12">
        <v>302</v>
      </c>
      <c r="V22" s="12">
        <v>785</v>
      </c>
      <c r="W22" s="12">
        <v>387</v>
      </c>
      <c r="X22" s="12">
        <v>421</v>
      </c>
      <c r="Y22" s="12">
        <v>609</v>
      </c>
      <c r="Z22" s="12">
        <v>703</v>
      </c>
      <c r="AA22" s="12">
        <v>845</v>
      </c>
      <c r="AB22" s="12">
        <v>711</v>
      </c>
      <c r="AC22" s="12">
        <v>715</v>
      </c>
      <c r="AD22" s="12">
        <v>622</v>
      </c>
      <c r="AE22" s="12">
        <v>363</v>
      </c>
      <c r="AF22" s="12">
        <v>490</v>
      </c>
    </row>
    <row r="23" spans="1:32">
      <c r="A23" s="23"/>
      <c r="B23" s="13" t="s">
        <v>716</v>
      </c>
      <c r="C23" s="14">
        <v>0.65</v>
      </c>
      <c r="D23" s="14">
        <v>0.57000000000000006</v>
      </c>
      <c r="E23" s="14">
        <v>0.75</v>
      </c>
      <c r="F23" s="14">
        <v>0.68</v>
      </c>
      <c r="G23" s="14">
        <v>0.21</v>
      </c>
      <c r="H23" s="14">
        <v>0.46</v>
      </c>
      <c r="I23" s="14">
        <v>0.49</v>
      </c>
      <c r="J23" s="14">
        <v>0.57000000000000006</v>
      </c>
      <c r="K23" s="14">
        <v>0.56000000000000005</v>
      </c>
      <c r="L23" s="14">
        <v>0.66</v>
      </c>
      <c r="M23" s="14">
        <v>0.82000000000000006</v>
      </c>
      <c r="N23" s="14">
        <v>0.78</v>
      </c>
      <c r="O23" s="14">
        <v>0.66</v>
      </c>
      <c r="P23" s="14">
        <v>0.84</v>
      </c>
      <c r="Q23" s="14">
        <v>0.79</v>
      </c>
      <c r="R23" s="14">
        <v>0.74</v>
      </c>
      <c r="S23" s="14">
        <v>0.68</v>
      </c>
      <c r="T23" s="14">
        <v>0.64</v>
      </c>
      <c r="U23" s="14">
        <v>0.6</v>
      </c>
      <c r="V23" s="14">
        <v>0.78</v>
      </c>
      <c r="W23" s="14">
        <v>0.77</v>
      </c>
      <c r="X23" s="14">
        <v>0.42</v>
      </c>
      <c r="Y23" s="14">
        <v>0.61</v>
      </c>
      <c r="Z23" s="14">
        <v>0.69000000000000006</v>
      </c>
      <c r="AA23" s="14">
        <v>0.81</v>
      </c>
      <c r="AB23" s="14">
        <v>0.69000000000000006</v>
      </c>
      <c r="AC23" s="14">
        <v>0.72</v>
      </c>
      <c r="AD23" s="14">
        <v>0.62</v>
      </c>
      <c r="AE23" s="14">
        <v>0.36</v>
      </c>
      <c r="AF23" s="14">
        <v>0.46</v>
      </c>
    </row>
    <row r="24" spans="1:32">
      <c r="A24" s="23"/>
      <c r="B24" s="11" t="s">
        <v>717</v>
      </c>
      <c r="C24" s="12">
        <v>6405</v>
      </c>
      <c r="D24" s="12">
        <v>358</v>
      </c>
      <c r="E24" s="12">
        <v>118</v>
      </c>
      <c r="F24" s="12">
        <v>198</v>
      </c>
      <c r="G24" s="12">
        <v>658</v>
      </c>
      <c r="H24" s="12">
        <v>427</v>
      </c>
      <c r="I24" s="12">
        <v>526</v>
      </c>
      <c r="J24" s="12">
        <v>99</v>
      </c>
      <c r="K24" s="12">
        <v>270</v>
      </c>
      <c r="L24" s="12">
        <v>173</v>
      </c>
      <c r="M24" s="12">
        <v>130</v>
      </c>
      <c r="N24" s="12">
        <v>113</v>
      </c>
      <c r="O24" s="12">
        <v>202</v>
      </c>
      <c r="P24" s="12">
        <v>132</v>
      </c>
      <c r="Q24" s="12">
        <v>168</v>
      </c>
      <c r="R24" s="12">
        <v>60</v>
      </c>
      <c r="S24" s="12">
        <v>126</v>
      </c>
      <c r="T24" s="12">
        <v>149</v>
      </c>
      <c r="U24" s="12">
        <v>101</v>
      </c>
      <c r="V24" s="12">
        <v>176</v>
      </c>
      <c r="W24" s="12">
        <v>78</v>
      </c>
      <c r="X24" s="12">
        <v>516</v>
      </c>
      <c r="Y24" s="12">
        <v>287</v>
      </c>
      <c r="Z24" s="12">
        <v>232</v>
      </c>
      <c r="AA24" s="12">
        <v>49</v>
      </c>
      <c r="AB24" s="12">
        <v>236</v>
      </c>
      <c r="AC24" s="12">
        <v>207</v>
      </c>
      <c r="AD24" s="12">
        <v>233</v>
      </c>
      <c r="AE24" s="12">
        <v>500</v>
      </c>
      <c r="AF24" s="12">
        <v>510</v>
      </c>
    </row>
    <row r="25" spans="1:32">
      <c r="A25" s="23"/>
      <c r="B25" s="13" t="s">
        <v>718</v>
      </c>
      <c r="C25" s="14">
        <v>0.24</v>
      </c>
      <c r="D25" s="14">
        <v>0.36</v>
      </c>
      <c r="E25" s="14">
        <v>0.11</v>
      </c>
      <c r="F25" s="14">
        <v>0.2</v>
      </c>
      <c r="G25" s="14">
        <v>0.65</v>
      </c>
      <c r="H25" s="14">
        <v>0.36</v>
      </c>
      <c r="I25" s="14">
        <v>0.35</v>
      </c>
      <c r="J25" s="14">
        <v>0.34</v>
      </c>
      <c r="K25" s="14">
        <v>0.27</v>
      </c>
      <c r="L25" s="14">
        <v>0.17</v>
      </c>
      <c r="M25" s="14">
        <v>0.13</v>
      </c>
      <c r="N25" s="14">
        <v>0.11</v>
      </c>
      <c r="O25" s="14">
        <v>0.21</v>
      </c>
      <c r="P25" s="14">
        <v>0.13</v>
      </c>
      <c r="Q25" s="14">
        <v>0.17</v>
      </c>
      <c r="R25" s="14">
        <v>0.12</v>
      </c>
      <c r="S25" s="14">
        <v>0.12</v>
      </c>
      <c r="T25" s="14">
        <v>0.15</v>
      </c>
      <c r="U25" s="14">
        <v>0.2</v>
      </c>
      <c r="V25" s="14">
        <v>0.17</v>
      </c>
      <c r="W25" s="14">
        <v>0.15</v>
      </c>
      <c r="X25" s="14">
        <v>0.5</v>
      </c>
      <c r="Y25" s="14">
        <v>0.28000000000000003</v>
      </c>
      <c r="Z25" s="14">
        <v>0.23</v>
      </c>
      <c r="AA25" s="14">
        <v>0.05</v>
      </c>
      <c r="AB25" s="14">
        <v>0.23</v>
      </c>
      <c r="AC25" s="14">
        <v>0.2</v>
      </c>
      <c r="AD25" s="14">
        <v>0.23</v>
      </c>
      <c r="AE25" s="14">
        <v>0.5</v>
      </c>
      <c r="AF25" s="14">
        <v>0.47</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0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1660</v>
      </c>
      <c r="C3" s="19"/>
      <c r="D3" s="19"/>
      <c r="E3" s="19"/>
      <c r="F3" s="19"/>
      <c r="H3" s="19" t="s">
        <v>1661</v>
      </c>
      <c r="I3" s="19"/>
      <c r="J3" s="19"/>
      <c r="K3" s="19"/>
      <c r="L3" s="19"/>
    </row>
    <row r="4" spans="1:32" ht="27" customHeight="1">
      <c r="B4" s="19" t="s">
        <v>1662</v>
      </c>
      <c r="C4" s="19"/>
      <c r="D4" s="19"/>
      <c r="E4" s="19"/>
      <c r="F4" s="19"/>
      <c r="H4" s="19" t="s">
        <v>1663</v>
      </c>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HYPERLINK("#Content!A197","&lt;&lt;Back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1612</v>
      </c>
      <c r="C12" s="12">
        <v>2265</v>
      </c>
      <c r="D12" s="12">
        <v>87</v>
      </c>
      <c r="E12" s="12">
        <v>62</v>
      </c>
      <c r="F12" s="12">
        <v>69</v>
      </c>
      <c r="G12" s="12">
        <v>224</v>
      </c>
      <c r="H12" s="12">
        <v>81</v>
      </c>
      <c r="I12" s="12">
        <v>90</v>
      </c>
      <c r="J12" s="12">
        <v>9</v>
      </c>
      <c r="K12" s="12">
        <v>58</v>
      </c>
      <c r="L12" s="12">
        <v>74</v>
      </c>
      <c r="M12" s="12">
        <v>55</v>
      </c>
      <c r="N12" s="12">
        <v>87</v>
      </c>
      <c r="O12" s="12">
        <v>39</v>
      </c>
      <c r="P12" s="12">
        <v>129</v>
      </c>
      <c r="Q12" s="12">
        <v>124</v>
      </c>
      <c r="R12" s="12">
        <v>23</v>
      </c>
      <c r="S12" s="12">
        <v>42</v>
      </c>
      <c r="T12" s="12">
        <v>40</v>
      </c>
      <c r="U12" s="12">
        <v>17</v>
      </c>
      <c r="V12" s="12">
        <v>133</v>
      </c>
      <c r="W12" s="12">
        <v>45</v>
      </c>
      <c r="X12" s="12">
        <v>139</v>
      </c>
      <c r="Y12" s="12">
        <v>179</v>
      </c>
      <c r="Z12" s="12">
        <v>71</v>
      </c>
      <c r="AA12" s="12">
        <v>78</v>
      </c>
      <c r="AB12" s="12">
        <v>127</v>
      </c>
      <c r="AC12" s="12">
        <v>43</v>
      </c>
      <c r="AD12" s="12">
        <v>41</v>
      </c>
      <c r="AE12" s="12">
        <v>148</v>
      </c>
      <c r="AF12" s="12">
        <v>215</v>
      </c>
    </row>
    <row r="13" spans="1:32">
      <c r="A13" s="23"/>
      <c r="B13" s="13" t="s">
        <v>708</v>
      </c>
      <c r="C13" s="14">
        <v>0.09</v>
      </c>
      <c r="D13" s="14">
        <v>0.08</v>
      </c>
      <c r="E13" s="14">
        <v>0.06</v>
      </c>
      <c r="F13" s="14">
        <v>7.0000000000000007E-2</v>
      </c>
      <c r="G13" s="14">
        <v>0.22</v>
      </c>
      <c r="H13" s="14">
        <v>7.0000000000000007E-2</v>
      </c>
      <c r="I13" s="14">
        <v>0.06</v>
      </c>
      <c r="J13" s="14">
        <v>0.03</v>
      </c>
      <c r="K13" s="14">
        <v>0.06</v>
      </c>
      <c r="L13" s="14">
        <v>7.0000000000000007E-2</v>
      </c>
      <c r="M13" s="14">
        <v>0.05</v>
      </c>
      <c r="N13" s="14">
        <v>0.09</v>
      </c>
      <c r="O13" s="14">
        <v>0.04</v>
      </c>
      <c r="P13" s="14">
        <v>0.13</v>
      </c>
      <c r="Q13" s="14">
        <v>0.12</v>
      </c>
      <c r="R13" s="14">
        <v>0.05</v>
      </c>
      <c r="S13" s="14">
        <v>0.04</v>
      </c>
      <c r="T13" s="14">
        <v>0.04</v>
      </c>
      <c r="U13" s="14">
        <v>0.03</v>
      </c>
      <c r="V13" s="14">
        <v>0.13</v>
      </c>
      <c r="W13" s="14">
        <v>0.09</v>
      </c>
      <c r="X13" s="14">
        <v>0.14000000000000001</v>
      </c>
      <c r="Y13" s="14">
        <v>0.18</v>
      </c>
      <c r="Z13" s="14">
        <v>7.0000000000000007E-2</v>
      </c>
      <c r="AA13" s="14">
        <v>7.0000000000000007E-2</v>
      </c>
      <c r="AB13" s="14">
        <v>0.12</v>
      </c>
      <c r="AC13" s="14">
        <v>0.04</v>
      </c>
      <c r="AD13" s="14">
        <v>0.04</v>
      </c>
      <c r="AE13" s="14">
        <v>0.15</v>
      </c>
      <c r="AF13" s="14">
        <v>0.2</v>
      </c>
    </row>
    <row r="14" spans="1:32">
      <c r="A14" s="23"/>
      <c r="B14" s="11" t="s">
        <v>1613</v>
      </c>
      <c r="C14" s="12">
        <v>7854</v>
      </c>
      <c r="D14" s="12">
        <v>419</v>
      </c>
      <c r="E14" s="12">
        <v>133</v>
      </c>
      <c r="F14" s="12">
        <v>278</v>
      </c>
      <c r="G14" s="12">
        <v>296</v>
      </c>
      <c r="H14" s="12">
        <v>340</v>
      </c>
      <c r="I14" s="12">
        <v>424</v>
      </c>
      <c r="J14" s="12">
        <v>84</v>
      </c>
      <c r="K14" s="12">
        <v>329</v>
      </c>
      <c r="L14" s="12">
        <v>309</v>
      </c>
      <c r="M14" s="12">
        <v>159</v>
      </c>
      <c r="N14" s="12">
        <v>241</v>
      </c>
      <c r="O14" s="12">
        <v>252</v>
      </c>
      <c r="P14" s="12">
        <v>333</v>
      </c>
      <c r="Q14" s="12">
        <v>341</v>
      </c>
      <c r="R14" s="12">
        <v>41</v>
      </c>
      <c r="S14" s="12">
        <v>241</v>
      </c>
      <c r="T14" s="12">
        <v>214</v>
      </c>
      <c r="U14" s="12">
        <v>158</v>
      </c>
      <c r="V14" s="12">
        <v>289</v>
      </c>
      <c r="W14" s="12">
        <v>118</v>
      </c>
      <c r="X14" s="12">
        <v>405</v>
      </c>
      <c r="Y14" s="12">
        <v>302</v>
      </c>
      <c r="Z14" s="12">
        <v>420</v>
      </c>
      <c r="AA14" s="12">
        <v>240</v>
      </c>
      <c r="AB14" s="12">
        <v>369</v>
      </c>
      <c r="AC14" s="12">
        <v>257</v>
      </c>
      <c r="AD14" s="12">
        <v>308</v>
      </c>
      <c r="AE14" s="12">
        <v>376</v>
      </c>
      <c r="AF14" s="12">
        <v>353</v>
      </c>
    </row>
    <row r="15" spans="1:32">
      <c r="A15" s="23"/>
      <c r="B15" s="13" t="s">
        <v>710</v>
      </c>
      <c r="C15" s="14">
        <v>0.3</v>
      </c>
      <c r="D15" s="14">
        <v>0.42</v>
      </c>
      <c r="E15" s="14">
        <v>0.13</v>
      </c>
      <c r="F15" s="14">
        <v>0.27</v>
      </c>
      <c r="G15" s="14">
        <v>0.28999999999999998</v>
      </c>
      <c r="H15" s="14">
        <v>0.28000000000000003</v>
      </c>
      <c r="I15" s="14">
        <v>0.28000000000000003</v>
      </c>
      <c r="J15" s="14">
        <v>0.28999999999999998</v>
      </c>
      <c r="K15" s="14">
        <v>0.33</v>
      </c>
      <c r="L15" s="14">
        <v>0.31</v>
      </c>
      <c r="M15" s="14">
        <v>0.16</v>
      </c>
      <c r="N15" s="14">
        <v>0.24</v>
      </c>
      <c r="O15" s="14">
        <v>0.25</v>
      </c>
      <c r="P15" s="14">
        <v>0.33</v>
      </c>
      <c r="Q15" s="14">
        <v>0.34</v>
      </c>
      <c r="R15" s="14">
        <v>0.08</v>
      </c>
      <c r="S15" s="14">
        <v>0.24</v>
      </c>
      <c r="T15" s="14">
        <v>0.21</v>
      </c>
      <c r="U15" s="14">
        <v>0.32</v>
      </c>
      <c r="V15" s="14">
        <v>0.28000000000000003</v>
      </c>
      <c r="W15" s="14">
        <v>0.24</v>
      </c>
      <c r="X15" s="14">
        <v>0.4</v>
      </c>
      <c r="Y15" s="14">
        <v>0.3</v>
      </c>
      <c r="Z15" s="14">
        <v>0.41</v>
      </c>
      <c r="AA15" s="14">
        <v>0.23</v>
      </c>
      <c r="AB15" s="14">
        <v>0.36</v>
      </c>
      <c r="AC15" s="14">
        <v>0.26</v>
      </c>
      <c r="AD15" s="14">
        <v>0.31</v>
      </c>
      <c r="AE15" s="14">
        <v>0.37</v>
      </c>
      <c r="AF15" s="14">
        <v>0.33</v>
      </c>
    </row>
    <row r="16" spans="1:32">
      <c r="A16" s="23"/>
      <c r="B16" s="11" t="s">
        <v>1614</v>
      </c>
      <c r="C16" s="12">
        <v>8134</v>
      </c>
      <c r="D16" s="12">
        <v>310</v>
      </c>
      <c r="E16" s="12">
        <v>286</v>
      </c>
      <c r="F16" s="12">
        <v>349</v>
      </c>
      <c r="G16" s="12">
        <v>147</v>
      </c>
      <c r="H16" s="12">
        <v>416</v>
      </c>
      <c r="I16" s="12">
        <v>534</v>
      </c>
      <c r="J16" s="12">
        <v>118</v>
      </c>
      <c r="K16" s="12">
        <v>207</v>
      </c>
      <c r="L16" s="12">
        <v>275</v>
      </c>
      <c r="M16" s="12">
        <v>351</v>
      </c>
      <c r="N16" s="12">
        <v>325</v>
      </c>
      <c r="O16" s="12">
        <v>291</v>
      </c>
      <c r="P16" s="12">
        <v>235</v>
      </c>
      <c r="Q16" s="12">
        <v>320</v>
      </c>
      <c r="R16" s="12">
        <v>174</v>
      </c>
      <c r="S16" s="12">
        <v>331</v>
      </c>
      <c r="T16" s="12">
        <v>410</v>
      </c>
      <c r="U16" s="12">
        <v>137</v>
      </c>
      <c r="V16" s="12">
        <v>291</v>
      </c>
      <c r="W16" s="12">
        <v>127</v>
      </c>
      <c r="X16" s="12">
        <v>266</v>
      </c>
      <c r="Y16" s="12">
        <v>240</v>
      </c>
      <c r="Z16" s="12">
        <v>273</v>
      </c>
      <c r="AA16" s="12">
        <v>442</v>
      </c>
      <c r="AB16" s="12">
        <v>311</v>
      </c>
      <c r="AC16" s="12">
        <v>354</v>
      </c>
      <c r="AD16" s="12">
        <v>351</v>
      </c>
      <c r="AE16" s="12">
        <v>196</v>
      </c>
      <c r="AF16" s="12">
        <v>265</v>
      </c>
    </row>
    <row r="17" spans="1:32">
      <c r="A17" s="23"/>
      <c r="B17" s="13" t="s">
        <v>712</v>
      </c>
      <c r="C17" s="14">
        <v>0.31</v>
      </c>
      <c r="D17" s="14">
        <v>0.31</v>
      </c>
      <c r="E17" s="14">
        <v>0.27</v>
      </c>
      <c r="F17" s="14">
        <v>0.35</v>
      </c>
      <c r="G17" s="14">
        <v>0.15</v>
      </c>
      <c r="H17" s="14">
        <v>0.34</v>
      </c>
      <c r="I17" s="14">
        <v>0.36</v>
      </c>
      <c r="J17" s="14">
        <v>0.4</v>
      </c>
      <c r="K17" s="14">
        <v>0.21</v>
      </c>
      <c r="L17" s="14">
        <v>0.27</v>
      </c>
      <c r="M17" s="14">
        <v>0.35</v>
      </c>
      <c r="N17" s="14">
        <v>0.32</v>
      </c>
      <c r="O17" s="14">
        <v>0.28999999999999998</v>
      </c>
      <c r="P17" s="14">
        <v>0.23</v>
      </c>
      <c r="Q17" s="14">
        <v>0.31</v>
      </c>
      <c r="R17" s="14">
        <v>0.35</v>
      </c>
      <c r="S17" s="14">
        <v>0.33</v>
      </c>
      <c r="T17" s="14">
        <v>0.41</v>
      </c>
      <c r="U17" s="14">
        <v>0.27</v>
      </c>
      <c r="V17" s="14">
        <v>0.28999999999999998</v>
      </c>
      <c r="W17" s="14">
        <v>0.25</v>
      </c>
      <c r="X17" s="14">
        <v>0.26</v>
      </c>
      <c r="Y17" s="14">
        <v>0.24</v>
      </c>
      <c r="Z17" s="14">
        <v>0.27</v>
      </c>
      <c r="AA17" s="14">
        <v>0.43</v>
      </c>
      <c r="AB17" s="14">
        <v>0.3</v>
      </c>
      <c r="AC17" s="14">
        <v>0.35</v>
      </c>
      <c r="AD17" s="14">
        <v>0.35</v>
      </c>
      <c r="AE17" s="14">
        <v>0.19</v>
      </c>
      <c r="AF17" s="14">
        <v>0.25</v>
      </c>
    </row>
    <row r="18" spans="1:32">
      <c r="A18" s="23"/>
      <c r="B18" s="11" t="s">
        <v>1615</v>
      </c>
      <c r="C18" s="12">
        <v>4337</v>
      </c>
      <c r="D18" s="12">
        <v>102</v>
      </c>
      <c r="E18" s="12">
        <v>432</v>
      </c>
      <c r="F18" s="12">
        <v>114</v>
      </c>
      <c r="G18" s="12">
        <v>119</v>
      </c>
      <c r="H18" s="12">
        <v>117</v>
      </c>
      <c r="I18" s="12">
        <v>168</v>
      </c>
      <c r="J18" s="12">
        <v>51</v>
      </c>
      <c r="K18" s="12">
        <v>115</v>
      </c>
      <c r="L18" s="12">
        <v>114</v>
      </c>
      <c r="M18" s="12">
        <v>407</v>
      </c>
      <c r="N18" s="12">
        <v>257</v>
      </c>
      <c r="O18" s="12">
        <v>219</v>
      </c>
      <c r="P18" s="12">
        <v>279</v>
      </c>
      <c r="Q18" s="12">
        <v>177</v>
      </c>
      <c r="R18" s="12">
        <v>227</v>
      </c>
      <c r="S18" s="12">
        <v>132</v>
      </c>
      <c r="T18" s="12">
        <v>137</v>
      </c>
      <c r="U18" s="12">
        <v>48</v>
      </c>
      <c r="V18" s="12">
        <v>239</v>
      </c>
      <c r="W18" s="12">
        <v>157</v>
      </c>
      <c r="X18" s="12">
        <v>59</v>
      </c>
      <c r="Y18" s="12">
        <v>175</v>
      </c>
      <c r="Z18" s="12">
        <v>75</v>
      </c>
      <c r="AA18" s="12">
        <v>149</v>
      </c>
      <c r="AB18" s="12">
        <v>143</v>
      </c>
      <c r="AC18" s="12">
        <v>246</v>
      </c>
      <c r="AD18" s="12">
        <v>99</v>
      </c>
      <c r="AE18" s="12">
        <v>66</v>
      </c>
      <c r="AF18" s="12">
        <v>77</v>
      </c>
    </row>
    <row r="19" spans="1:32">
      <c r="A19" s="23"/>
      <c r="B19" s="13" t="s">
        <v>714</v>
      </c>
      <c r="C19" s="14">
        <v>0.16</v>
      </c>
      <c r="D19" s="14">
        <v>0.1</v>
      </c>
      <c r="E19" s="14">
        <v>0.41</v>
      </c>
      <c r="F19" s="14">
        <v>0.11</v>
      </c>
      <c r="G19" s="14">
        <v>0.12</v>
      </c>
      <c r="H19" s="14">
        <v>0.1</v>
      </c>
      <c r="I19" s="14">
        <v>0.11</v>
      </c>
      <c r="J19" s="14">
        <v>0.17</v>
      </c>
      <c r="K19" s="14">
        <v>0.11</v>
      </c>
      <c r="L19" s="14">
        <v>0.11</v>
      </c>
      <c r="M19" s="14">
        <v>0.4</v>
      </c>
      <c r="N19" s="14">
        <v>0.26</v>
      </c>
      <c r="O19" s="14">
        <v>0.22</v>
      </c>
      <c r="P19" s="14">
        <v>0.28000000000000003</v>
      </c>
      <c r="Q19" s="14">
        <v>0.17</v>
      </c>
      <c r="R19" s="14">
        <v>0.45</v>
      </c>
      <c r="S19" s="14">
        <v>0.13</v>
      </c>
      <c r="T19" s="14">
        <v>0.14000000000000001</v>
      </c>
      <c r="U19" s="14">
        <v>0.1</v>
      </c>
      <c r="V19" s="14">
        <v>0.24</v>
      </c>
      <c r="W19" s="14">
        <v>0.31</v>
      </c>
      <c r="X19" s="14">
        <v>0.06</v>
      </c>
      <c r="Y19" s="14">
        <v>0.17</v>
      </c>
      <c r="Z19" s="14">
        <v>7.0000000000000007E-2</v>
      </c>
      <c r="AA19" s="14">
        <v>0.14000000000000001</v>
      </c>
      <c r="AB19" s="14">
        <v>0.14000000000000001</v>
      </c>
      <c r="AC19" s="14">
        <v>0.25</v>
      </c>
      <c r="AD19" s="14">
        <v>0.1</v>
      </c>
      <c r="AE19" s="14">
        <v>7.0000000000000007E-2</v>
      </c>
      <c r="AF19" s="14">
        <v>7.0000000000000007E-2</v>
      </c>
    </row>
    <row r="20" spans="1:32">
      <c r="A20" s="23"/>
      <c r="B20" s="11" t="s">
        <v>497</v>
      </c>
      <c r="C20" s="12">
        <v>3764</v>
      </c>
      <c r="D20" s="12">
        <v>89</v>
      </c>
      <c r="E20" s="12">
        <v>130</v>
      </c>
      <c r="F20" s="12">
        <v>197</v>
      </c>
      <c r="G20" s="12">
        <v>217</v>
      </c>
      <c r="H20" s="12">
        <v>257</v>
      </c>
      <c r="I20" s="12">
        <v>288</v>
      </c>
      <c r="J20" s="12">
        <v>32</v>
      </c>
      <c r="K20" s="12">
        <v>295</v>
      </c>
      <c r="L20" s="12">
        <v>236</v>
      </c>
      <c r="M20" s="12">
        <v>38</v>
      </c>
      <c r="N20" s="12">
        <v>91</v>
      </c>
      <c r="O20" s="12">
        <v>206</v>
      </c>
      <c r="P20" s="12">
        <v>35</v>
      </c>
      <c r="Q20" s="12">
        <v>62</v>
      </c>
      <c r="R20" s="12">
        <v>37</v>
      </c>
      <c r="S20" s="12">
        <v>258</v>
      </c>
      <c r="T20" s="12">
        <v>203</v>
      </c>
      <c r="U20" s="12">
        <v>143</v>
      </c>
      <c r="V20" s="12">
        <v>60</v>
      </c>
      <c r="W20" s="12">
        <v>55</v>
      </c>
      <c r="X20" s="12">
        <v>147</v>
      </c>
      <c r="Y20" s="12">
        <v>113</v>
      </c>
      <c r="Z20" s="12">
        <v>178</v>
      </c>
      <c r="AA20" s="12">
        <v>132</v>
      </c>
      <c r="AB20" s="12">
        <v>81</v>
      </c>
      <c r="AC20" s="12">
        <v>104</v>
      </c>
      <c r="AD20" s="12">
        <v>203</v>
      </c>
      <c r="AE20" s="12">
        <v>222</v>
      </c>
      <c r="AF20" s="12">
        <v>163</v>
      </c>
    </row>
    <row r="21" spans="1:32">
      <c r="A21" s="23"/>
      <c r="B21" s="13" t="s">
        <v>498</v>
      </c>
      <c r="C21" s="14">
        <v>0.14000000000000001</v>
      </c>
      <c r="D21" s="14">
        <v>0.09</v>
      </c>
      <c r="E21" s="14">
        <v>0.13</v>
      </c>
      <c r="F21" s="14">
        <v>0.2</v>
      </c>
      <c r="G21" s="14">
        <v>0.22</v>
      </c>
      <c r="H21" s="14">
        <v>0.21</v>
      </c>
      <c r="I21" s="14">
        <v>0.19</v>
      </c>
      <c r="J21" s="14">
        <v>0.11</v>
      </c>
      <c r="K21" s="14">
        <v>0.28999999999999998</v>
      </c>
      <c r="L21" s="14">
        <v>0.24</v>
      </c>
      <c r="M21" s="14">
        <v>0.04</v>
      </c>
      <c r="N21" s="14">
        <v>0.09</v>
      </c>
      <c r="O21" s="14">
        <v>0.2</v>
      </c>
      <c r="P21" s="14">
        <v>0.03</v>
      </c>
      <c r="Q21" s="14">
        <v>0.06</v>
      </c>
      <c r="R21" s="14">
        <v>7.0000000000000007E-2</v>
      </c>
      <c r="S21" s="14">
        <v>0.26</v>
      </c>
      <c r="T21" s="14">
        <v>0.2</v>
      </c>
      <c r="U21" s="14">
        <v>0.28000000000000003</v>
      </c>
      <c r="V21" s="14">
        <v>0.06</v>
      </c>
      <c r="W21" s="14">
        <v>0.11</v>
      </c>
      <c r="X21" s="14">
        <v>0.14000000000000001</v>
      </c>
      <c r="Y21" s="14">
        <v>0.11</v>
      </c>
      <c r="Z21" s="14">
        <v>0.18</v>
      </c>
      <c r="AA21" s="14">
        <v>0.13</v>
      </c>
      <c r="AB21" s="14">
        <v>0.08</v>
      </c>
      <c r="AC21" s="14">
        <v>0.1</v>
      </c>
      <c r="AD21" s="14">
        <v>0.2</v>
      </c>
      <c r="AE21" s="14">
        <v>0.22</v>
      </c>
      <c r="AF21" s="14">
        <v>0.15</v>
      </c>
    </row>
    <row r="22" spans="1:32">
      <c r="A22" s="23"/>
      <c r="B22" s="11" t="s">
        <v>715</v>
      </c>
      <c r="C22" s="12">
        <v>10119</v>
      </c>
      <c r="D22" s="12">
        <v>506</v>
      </c>
      <c r="E22" s="12">
        <v>195</v>
      </c>
      <c r="F22" s="12">
        <v>347</v>
      </c>
      <c r="G22" s="12">
        <v>520</v>
      </c>
      <c r="H22" s="12">
        <v>421</v>
      </c>
      <c r="I22" s="12">
        <v>514</v>
      </c>
      <c r="J22" s="12">
        <v>93</v>
      </c>
      <c r="K22" s="12">
        <v>387</v>
      </c>
      <c r="L22" s="12">
        <v>383</v>
      </c>
      <c r="M22" s="12">
        <v>214</v>
      </c>
      <c r="N22" s="12">
        <v>328</v>
      </c>
      <c r="O22" s="12">
        <v>291</v>
      </c>
      <c r="P22" s="12">
        <v>462</v>
      </c>
      <c r="Q22" s="12">
        <v>465</v>
      </c>
      <c r="R22" s="12">
        <v>64</v>
      </c>
      <c r="S22" s="12">
        <v>283</v>
      </c>
      <c r="T22" s="12">
        <v>254</v>
      </c>
      <c r="U22" s="12">
        <v>175</v>
      </c>
      <c r="V22" s="12">
        <v>422</v>
      </c>
      <c r="W22" s="12">
        <v>163</v>
      </c>
      <c r="X22" s="12">
        <v>544</v>
      </c>
      <c r="Y22" s="12">
        <v>481</v>
      </c>
      <c r="Z22" s="12">
        <v>491</v>
      </c>
      <c r="AA22" s="12">
        <v>318</v>
      </c>
      <c r="AB22" s="12">
        <v>496</v>
      </c>
      <c r="AC22" s="12">
        <v>300</v>
      </c>
      <c r="AD22" s="12">
        <v>349</v>
      </c>
      <c r="AE22" s="12">
        <v>524</v>
      </c>
      <c r="AF22" s="12">
        <v>568</v>
      </c>
    </row>
    <row r="23" spans="1:32">
      <c r="A23" s="23"/>
      <c r="B23" s="13" t="s">
        <v>716</v>
      </c>
      <c r="C23" s="14">
        <v>0.39</v>
      </c>
      <c r="D23" s="14">
        <v>0.5</v>
      </c>
      <c r="E23" s="14">
        <v>0.19</v>
      </c>
      <c r="F23" s="14">
        <v>0.34</v>
      </c>
      <c r="G23" s="14">
        <v>0.51</v>
      </c>
      <c r="H23" s="14">
        <v>0.35</v>
      </c>
      <c r="I23" s="14">
        <v>0.34</v>
      </c>
      <c r="J23" s="14">
        <v>0.32</v>
      </c>
      <c r="K23" s="14">
        <v>0.39</v>
      </c>
      <c r="L23" s="14">
        <v>0.38</v>
      </c>
      <c r="M23" s="14">
        <v>0.21</v>
      </c>
      <c r="N23" s="14">
        <v>0.33</v>
      </c>
      <c r="O23" s="14">
        <v>0.28999999999999998</v>
      </c>
      <c r="P23" s="14">
        <v>0.46</v>
      </c>
      <c r="Q23" s="14">
        <v>0.46</v>
      </c>
      <c r="R23" s="14">
        <v>0.13</v>
      </c>
      <c r="S23" s="14">
        <v>0.28000000000000003</v>
      </c>
      <c r="T23" s="14">
        <v>0.25</v>
      </c>
      <c r="U23" s="14">
        <v>0.35</v>
      </c>
      <c r="V23" s="14">
        <v>0.41</v>
      </c>
      <c r="W23" s="14">
        <v>0.33</v>
      </c>
      <c r="X23" s="14">
        <v>0.54</v>
      </c>
      <c r="Y23" s="14">
        <v>0.48</v>
      </c>
      <c r="Z23" s="14">
        <v>0.48</v>
      </c>
      <c r="AA23" s="14">
        <v>0.3</v>
      </c>
      <c r="AB23" s="14">
        <v>0.48</v>
      </c>
      <c r="AC23" s="14">
        <v>0.3</v>
      </c>
      <c r="AD23" s="14">
        <v>0.35</v>
      </c>
      <c r="AE23" s="14">
        <v>0.52</v>
      </c>
      <c r="AF23" s="14">
        <v>0.53</v>
      </c>
    </row>
    <row r="24" spans="1:32">
      <c r="A24" s="23"/>
      <c r="B24" s="11" t="s">
        <v>717</v>
      </c>
      <c r="C24" s="12">
        <v>12471</v>
      </c>
      <c r="D24" s="12">
        <v>412</v>
      </c>
      <c r="E24" s="12">
        <v>718</v>
      </c>
      <c r="F24" s="12">
        <v>463</v>
      </c>
      <c r="G24" s="12">
        <v>266</v>
      </c>
      <c r="H24" s="12">
        <v>533</v>
      </c>
      <c r="I24" s="12">
        <v>702</v>
      </c>
      <c r="J24" s="12">
        <v>169</v>
      </c>
      <c r="K24" s="12">
        <v>322</v>
      </c>
      <c r="L24" s="12">
        <v>389</v>
      </c>
      <c r="M24" s="12">
        <v>758</v>
      </c>
      <c r="N24" s="12">
        <v>582</v>
      </c>
      <c r="O24" s="12">
        <v>510</v>
      </c>
      <c r="P24" s="12">
        <v>514</v>
      </c>
      <c r="Q24" s="12">
        <v>497</v>
      </c>
      <c r="R24" s="12">
        <v>401</v>
      </c>
      <c r="S24" s="12">
        <v>463</v>
      </c>
      <c r="T24" s="12">
        <v>547</v>
      </c>
      <c r="U24" s="12">
        <v>185</v>
      </c>
      <c r="V24" s="12">
        <v>530</v>
      </c>
      <c r="W24" s="12">
        <v>284</v>
      </c>
      <c r="X24" s="12">
        <v>325</v>
      </c>
      <c r="Y24" s="12">
        <v>415</v>
      </c>
      <c r="Z24" s="12">
        <v>348</v>
      </c>
      <c r="AA24" s="12">
        <v>591</v>
      </c>
      <c r="AB24" s="12">
        <v>454</v>
      </c>
      <c r="AC24" s="12">
        <v>600</v>
      </c>
      <c r="AD24" s="12">
        <v>450</v>
      </c>
      <c r="AE24" s="12">
        <v>262</v>
      </c>
      <c r="AF24" s="12">
        <v>342</v>
      </c>
    </row>
    <row r="25" spans="1:32">
      <c r="A25" s="23"/>
      <c r="B25" s="13" t="s">
        <v>718</v>
      </c>
      <c r="C25" s="14">
        <v>0.47</v>
      </c>
      <c r="D25" s="14">
        <v>0.41</v>
      </c>
      <c r="E25" s="14">
        <v>0.68</v>
      </c>
      <c r="F25" s="14">
        <v>0.46</v>
      </c>
      <c r="G25" s="14">
        <v>0.27</v>
      </c>
      <c r="H25" s="14">
        <v>0.44</v>
      </c>
      <c r="I25" s="14">
        <v>0.47</v>
      </c>
      <c r="J25" s="14">
        <v>0.57000000000000006</v>
      </c>
      <c r="K25" s="14">
        <v>0.32</v>
      </c>
      <c r="L25" s="14">
        <v>0.38</v>
      </c>
      <c r="M25" s="14">
        <v>0.75</v>
      </c>
      <c r="N25" s="14">
        <v>0.57999999999999996</v>
      </c>
      <c r="O25" s="14">
        <v>0.51</v>
      </c>
      <c r="P25" s="14">
        <v>0.51</v>
      </c>
      <c r="Q25" s="14">
        <v>0.48</v>
      </c>
      <c r="R25" s="14">
        <v>0.8</v>
      </c>
      <c r="S25" s="14">
        <v>0.46</v>
      </c>
      <c r="T25" s="14">
        <v>0.55000000000000004</v>
      </c>
      <c r="U25" s="14">
        <v>0.37</v>
      </c>
      <c r="V25" s="14">
        <v>0.53</v>
      </c>
      <c r="W25" s="14">
        <v>0.56000000000000005</v>
      </c>
      <c r="X25" s="14">
        <v>0.32</v>
      </c>
      <c r="Y25" s="14">
        <v>0.41</v>
      </c>
      <c r="Z25" s="14">
        <v>0.34</v>
      </c>
      <c r="AA25" s="14">
        <v>0.57000000000000006</v>
      </c>
      <c r="AB25" s="14">
        <v>0.44</v>
      </c>
      <c r="AC25" s="14">
        <v>0.6</v>
      </c>
      <c r="AD25" s="14">
        <v>0.45</v>
      </c>
      <c r="AE25" s="14">
        <v>0.26</v>
      </c>
      <c r="AF25" s="14">
        <v>0.32</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1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1664</v>
      </c>
      <c r="C3" s="19"/>
      <c r="D3" s="19"/>
      <c r="E3" s="19"/>
      <c r="F3" s="19"/>
      <c r="H3" s="19" t="s">
        <v>1665</v>
      </c>
      <c r="I3" s="19"/>
      <c r="J3" s="19"/>
      <c r="K3" s="19"/>
      <c r="L3" s="19"/>
    </row>
    <row r="4" spans="1:32" ht="27" customHeight="1">
      <c r="B4" s="19" t="s">
        <v>1666</v>
      </c>
      <c r="C4" s="19"/>
      <c r="D4" s="19"/>
      <c r="E4" s="19"/>
      <c r="F4" s="19"/>
      <c r="H4" s="19" t="s">
        <v>1667</v>
      </c>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HYPERLINK("#Content!A198","&lt;&lt;Back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707</v>
      </c>
      <c r="C12" s="12">
        <v>4729</v>
      </c>
      <c r="D12" s="12">
        <v>124</v>
      </c>
      <c r="E12" s="12">
        <v>355</v>
      </c>
      <c r="F12" s="12">
        <v>258</v>
      </c>
      <c r="G12" s="12">
        <v>50</v>
      </c>
      <c r="H12" s="12">
        <v>138</v>
      </c>
      <c r="I12" s="12">
        <v>182</v>
      </c>
      <c r="J12" s="12">
        <v>44</v>
      </c>
      <c r="K12" s="12">
        <v>140</v>
      </c>
      <c r="L12" s="12">
        <v>185</v>
      </c>
      <c r="M12" s="12">
        <v>404</v>
      </c>
      <c r="N12" s="12">
        <v>232</v>
      </c>
      <c r="O12" s="12">
        <v>154</v>
      </c>
      <c r="P12" s="12">
        <v>342</v>
      </c>
      <c r="Q12" s="12">
        <v>227</v>
      </c>
      <c r="R12" s="12">
        <v>256</v>
      </c>
      <c r="S12" s="12">
        <v>249</v>
      </c>
      <c r="T12" s="12">
        <v>213</v>
      </c>
      <c r="U12" s="12">
        <v>74</v>
      </c>
      <c r="V12" s="12">
        <v>306</v>
      </c>
      <c r="W12" s="12">
        <v>166</v>
      </c>
      <c r="X12" s="12">
        <v>71</v>
      </c>
      <c r="Y12" s="12">
        <v>281</v>
      </c>
      <c r="Z12" s="12">
        <v>145</v>
      </c>
      <c r="AA12" s="12">
        <v>142</v>
      </c>
      <c r="AB12" s="12">
        <v>255</v>
      </c>
      <c r="AC12" s="12">
        <v>302</v>
      </c>
      <c r="AD12" s="12">
        <v>113</v>
      </c>
      <c r="AE12" s="12">
        <v>81</v>
      </c>
      <c r="AF12" s="12">
        <v>48</v>
      </c>
    </row>
    <row r="13" spans="1:32">
      <c r="A13" s="23"/>
      <c r="B13" s="13" t="s">
        <v>708</v>
      </c>
      <c r="C13" s="14">
        <v>0.18</v>
      </c>
      <c r="D13" s="14">
        <v>0.12</v>
      </c>
      <c r="E13" s="14">
        <v>0.34</v>
      </c>
      <c r="F13" s="14">
        <v>0.26</v>
      </c>
      <c r="G13" s="14">
        <v>0.05</v>
      </c>
      <c r="H13" s="14">
        <v>0.11</v>
      </c>
      <c r="I13" s="14">
        <v>0.12</v>
      </c>
      <c r="J13" s="14">
        <v>0.15</v>
      </c>
      <c r="K13" s="14">
        <v>0.14000000000000001</v>
      </c>
      <c r="L13" s="14">
        <v>0.18</v>
      </c>
      <c r="M13" s="14">
        <v>0.4</v>
      </c>
      <c r="N13" s="14">
        <v>0.23</v>
      </c>
      <c r="O13" s="14">
        <v>0.15</v>
      </c>
      <c r="P13" s="14">
        <v>0.34</v>
      </c>
      <c r="Q13" s="14">
        <v>0.22</v>
      </c>
      <c r="R13" s="14">
        <v>0.51</v>
      </c>
      <c r="S13" s="14">
        <v>0.25</v>
      </c>
      <c r="T13" s="14">
        <v>0.21</v>
      </c>
      <c r="U13" s="14">
        <v>0.15</v>
      </c>
      <c r="V13" s="14">
        <v>0.3</v>
      </c>
      <c r="W13" s="14">
        <v>0.33</v>
      </c>
      <c r="X13" s="14">
        <v>7.0000000000000007E-2</v>
      </c>
      <c r="Y13" s="14">
        <v>0.28000000000000003</v>
      </c>
      <c r="Z13" s="14">
        <v>0.14000000000000001</v>
      </c>
      <c r="AA13" s="14">
        <v>0.14000000000000001</v>
      </c>
      <c r="AB13" s="14">
        <v>0.25</v>
      </c>
      <c r="AC13" s="14">
        <v>0.3</v>
      </c>
      <c r="AD13" s="14">
        <v>0.11</v>
      </c>
      <c r="AE13" s="14">
        <v>0.08</v>
      </c>
      <c r="AF13" s="14">
        <v>0.05</v>
      </c>
    </row>
    <row r="14" spans="1:32">
      <c r="A14" s="23"/>
      <c r="B14" s="11" t="s">
        <v>709</v>
      </c>
      <c r="C14" s="12">
        <v>12073</v>
      </c>
      <c r="D14" s="12">
        <v>473</v>
      </c>
      <c r="E14" s="12">
        <v>454</v>
      </c>
      <c r="F14" s="12">
        <v>508</v>
      </c>
      <c r="G14" s="12">
        <v>190</v>
      </c>
      <c r="H14" s="12">
        <v>466</v>
      </c>
      <c r="I14" s="12">
        <v>596</v>
      </c>
      <c r="J14" s="12">
        <v>130</v>
      </c>
      <c r="K14" s="12">
        <v>370</v>
      </c>
      <c r="L14" s="12">
        <v>399</v>
      </c>
      <c r="M14" s="12">
        <v>503</v>
      </c>
      <c r="N14" s="12">
        <v>435</v>
      </c>
      <c r="O14" s="12">
        <v>459</v>
      </c>
      <c r="P14" s="12">
        <v>536</v>
      </c>
      <c r="Q14" s="12">
        <v>588</v>
      </c>
      <c r="R14" s="12">
        <v>173</v>
      </c>
      <c r="S14" s="12">
        <v>391</v>
      </c>
      <c r="T14" s="12">
        <v>516</v>
      </c>
      <c r="U14" s="12">
        <v>232</v>
      </c>
      <c r="V14" s="12">
        <v>547</v>
      </c>
      <c r="W14" s="12">
        <v>207</v>
      </c>
      <c r="X14" s="12">
        <v>273</v>
      </c>
      <c r="Y14" s="12">
        <v>401</v>
      </c>
      <c r="Z14" s="12">
        <v>552</v>
      </c>
      <c r="AA14" s="12">
        <v>717</v>
      </c>
      <c r="AB14" s="12">
        <v>549</v>
      </c>
      <c r="AC14" s="12">
        <v>462</v>
      </c>
      <c r="AD14" s="12">
        <v>532</v>
      </c>
      <c r="AE14" s="12">
        <v>302</v>
      </c>
      <c r="AF14" s="12">
        <v>179</v>
      </c>
    </row>
    <row r="15" spans="1:32">
      <c r="A15" s="23"/>
      <c r="B15" s="13" t="s">
        <v>710</v>
      </c>
      <c r="C15" s="14">
        <v>0.46</v>
      </c>
      <c r="D15" s="14">
        <v>0.47</v>
      </c>
      <c r="E15" s="14">
        <v>0.44</v>
      </c>
      <c r="F15" s="14">
        <v>0.5</v>
      </c>
      <c r="G15" s="14">
        <v>0.19</v>
      </c>
      <c r="H15" s="14">
        <v>0.39</v>
      </c>
      <c r="I15" s="14">
        <v>0.4</v>
      </c>
      <c r="J15" s="14">
        <v>0.44</v>
      </c>
      <c r="K15" s="14">
        <v>0.37</v>
      </c>
      <c r="L15" s="14">
        <v>0.4</v>
      </c>
      <c r="M15" s="14">
        <v>0.5</v>
      </c>
      <c r="N15" s="14">
        <v>0.44</v>
      </c>
      <c r="O15" s="14">
        <v>0.46</v>
      </c>
      <c r="P15" s="14">
        <v>0.53</v>
      </c>
      <c r="Q15" s="14">
        <v>0.57000000000000006</v>
      </c>
      <c r="R15" s="14">
        <v>0.35</v>
      </c>
      <c r="S15" s="14">
        <v>0.39</v>
      </c>
      <c r="T15" s="14">
        <v>0.52</v>
      </c>
      <c r="U15" s="14">
        <v>0.46</v>
      </c>
      <c r="V15" s="14">
        <v>0.54</v>
      </c>
      <c r="W15" s="14">
        <v>0.41</v>
      </c>
      <c r="X15" s="14">
        <v>0.27</v>
      </c>
      <c r="Y15" s="14">
        <v>0.4</v>
      </c>
      <c r="Z15" s="14">
        <v>0.54</v>
      </c>
      <c r="AA15" s="14">
        <v>0.69000000000000006</v>
      </c>
      <c r="AB15" s="14">
        <v>0.53</v>
      </c>
      <c r="AC15" s="14">
        <v>0.46</v>
      </c>
      <c r="AD15" s="14">
        <v>0.53</v>
      </c>
      <c r="AE15" s="14">
        <v>0.3</v>
      </c>
      <c r="AF15" s="14">
        <v>0.17</v>
      </c>
    </row>
    <row r="16" spans="1:32">
      <c r="A16" s="23"/>
      <c r="B16" s="11" t="s">
        <v>711</v>
      </c>
      <c r="C16" s="12">
        <v>5477</v>
      </c>
      <c r="D16" s="12">
        <v>293</v>
      </c>
      <c r="E16" s="12">
        <v>96</v>
      </c>
      <c r="F16" s="12">
        <v>142</v>
      </c>
      <c r="G16" s="12">
        <v>293</v>
      </c>
      <c r="H16" s="12">
        <v>353</v>
      </c>
      <c r="I16" s="12">
        <v>432</v>
      </c>
      <c r="J16" s="12">
        <v>79</v>
      </c>
      <c r="K16" s="12">
        <v>239</v>
      </c>
      <c r="L16" s="12">
        <v>217</v>
      </c>
      <c r="M16" s="12">
        <v>50</v>
      </c>
      <c r="N16" s="12">
        <v>175</v>
      </c>
      <c r="O16" s="12">
        <v>245</v>
      </c>
      <c r="P16" s="12">
        <v>69</v>
      </c>
      <c r="Q16" s="12">
        <v>131</v>
      </c>
      <c r="R16" s="12">
        <v>27</v>
      </c>
      <c r="S16" s="12">
        <v>132</v>
      </c>
      <c r="T16" s="12">
        <v>134</v>
      </c>
      <c r="U16" s="12">
        <v>81</v>
      </c>
      <c r="V16" s="12">
        <v>88</v>
      </c>
      <c r="W16" s="12">
        <v>53</v>
      </c>
      <c r="X16" s="12">
        <v>379</v>
      </c>
      <c r="Y16" s="12">
        <v>181</v>
      </c>
      <c r="Z16" s="12">
        <v>197</v>
      </c>
      <c r="AA16" s="12">
        <v>62</v>
      </c>
      <c r="AB16" s="12">
        <v>149</v>
      </c>
      <c r="AC16" s="12">
        <v>151</v>
      </c>
      <c r="AD16" s="12">
        <v>203</v>
      </c>
      <c r="AE16" s="12">
        <v>323</v>
      </c>
      <c r="AF16" s="12">
        <v>369</v>
      </c>
    </row>
    <row r="17" spans="1:32">
      <c r="A17" s="23"/>
      <c r="B17" s="13" t="s">
        <v>712</v>
      </c>
      <c r="C17" s="14">
        <v>0.21</v>
      </c>
      <c r="D17" s="14">
        <v>0.28999999999999998</v>
      </c>
      <c r="E17" s="14">
        <v>0.09</v>
      </c>
      <c r="F17" s="14">
        <v>0.14000000000000001</v>
      </c>
      <c r="G17" s="14">
        <v>0.28999999999999998</v>
      </c>
      <c r="H17" s="14">
        <v>0.28999999999999998</v>
      </c>
      <c r="I17" s="14">
        <v>0.28999999999999998</v>
      </c>
      <c r="J17" s="14">
        <v>0.27</v>
      </c>
      <c r="K17" s="14">
        <v>0.24</v>
      </c>
      <c r="L17" s="14">
        <v>0.22</v>
      </c>
      <c r="M17" s="14">
        <v>0.05</v>
      </c>
      <c r="N17" s="14">
        <v>0.18</v>
      </c>
      <c r="O17" s="14">
        <v>0.24</v>
      </c>
      <c r="P17" s="14">
        <v>7.0000000000000007E-2</v>
      </c>
      <c r="Q17" s="14">
        <v>0.13</v>
      </c>
      <c r="R17" s="14">
        <v>0.05</v>
      </c>
      <c r="S17" s="14">
        <v>0.13</v>
      </c>
      <c r="T17" s="14">
        <v>0.13</v>
      </c>
      <c r="U17" s="14">
        <v>0.16</v>
      </c>
      <c r="V17" s="14">
        <v>0.09</v>
      </c>
      <c r="W17" s="14">
        <v>0.11</v>
      </c>
      <c r="X17" s="14">
        <v>0.37</v>
      </c>
      <c r="Y17" s="14">
        <v>0.18</v>
      </c>
      <c r="Z17" s="14">
        <v>0.2</v>
      </c>
      <c r="AA17" s="14">
        <v>0.06</v>
      </c>
      <c r="AB17" s="14">
        <v>0.15</v>
      </c>
      <c r="AC17" s="14">
        <v>0.15</v>
      </c>
      <c r="AD17" s="14">
        <v>0.2</v>
      </c>
      <c r="AE17" s="14">
        <v>0.32</v>
      </c>
      <c r="AF17" s="14">
        <v>0.34</v>
      </c>
    </row>
    <row r="18" spans="1:32">
      <c r="A18" s="23"/>
      <c r="B18" s="11" t="s">
        <v>713</v>
      </c>
      <c r="C18" s="12">
        <v>1607</v>
      </c>
      <c r="D18" s="12">
        <v>66</v>
      </c>
      <c r="E18" s="12">
        <v>21</v>
      </c>
      <c r="F18" s="12">
        <v>15</v>
      </c>
      <c r="G18" s="12">
        <v>388</v>
      </c>
      <c r="H18" s="12">
        <v>80</v>
      </c>
      <c r="I18" s="12">
        <v>93</v>
      </c>
      <c r="J18" s="12">
        <v>13</v>
      </c>
      <c r="K18" s="12">
        <v>88</v>
      </c>
      <c r="L18" s="12">
        <v>85</v>
      </c>
      <c r="M18" s="12">
        <v>9</v>
      </c>
      <c r="N18" s="12">
        <v>24</v>
      </c>
      <c r="O18" s="12">
        <v>39</v>
      </c>
      <c r="P18" s="12">
        <v>22</v>
      </c>
      <c r="Q18" s="12">
        <v>35</v>
      </c>
      <c r="R18" s="12">
        <v>20</v>
      </c>
      <c r="S18" s="12">
        <v>31</v>
      </c>
      <c r="T18" s="12">
        <v>23</v>
      </c>
      <c r="U18" s="12">
        <v>37</v>
      </c>
      <c r="V18" s="12">
        <v>19</v>
      </c>
      <c r="W18" s="12">
        <v>37</v>
      </c>
      <c r="X18" s="12">
        <v>227</v>
      </c>
      <c r="Y18" s="12">
        <v>72</v>
      </c>
      <c r="Z18" s="12">
        <v>40</v>
      </c>
      <c r="AA18" s="12">
        <v>19</v>
      </c>
      <c r="AB18" s="12">
        <v>12</v>
      </c>
      <c r="AC18" s="12">
        <v>15</v>
      </c>
      <c r="AD18" s="12">
        <v>16</v>
      </c>
      <c r="AE18" s="12">
        <v>206</v>
      </c>
      <c r="AF18" s="12">
        <v>432</v>
      </c>
    </row>
    <row r="19" spans="1:32">
      <c r="A19" s="23"/>
      <c r="B19" s="13" t="s">
        <v>714</v>
      </c>
      <c r="C19" s="14">
        <v>0.06</v>
      </c>
      <c r="D19" s="14">
        <v>7.0000000000000007E-2</v>
      </c>
      <c r="E19" s="14">
        <v>0.02</v>
      </c>
      <c r="F19" s="14">
        <v>0.02</v>
      </c>
      <c r="G19" s="14">
        <v>0.39</v>
      </c>
      <c r="H19" s="14">
        <v>7.0000000000000007E-2</v>
      </c>
      <c r="I19" s="14">
        <v>0.06</v>
      </c>
      <c r="J19" s="14">
        <v>0.05</v>
      </c>
      <c r="K19" s="14">
        <v>0.09</v>
      </c>
      <c r="L19" s="14">
        <v>0.08</v>
      </c>
      <c r="M19" s="14">
        <v>0.01</v>
      </c>
      <c r="N19" s="14">
        <v>0.02</v>
      </c>
      <c r="O19" s="14">
        <v>0.04</v>
      </c>
      <c r="P19" s="14">
        <v>0.02</v>
      </c>
      <c r="Q19" s="14">
        <v>0.04</v>
      </c>
      <c r="R19" s="14">
        <v>0.04</v>
      </c>
      <c r="S19" s="14">
        <v>0.03</v>
      </c>
      <c r="T19" s="14">
        <v>0.02</v>
      </c>
      <c r="U19" s="14">
        <v>7.0000000000000007E-2</v>
      </c>
      <c r="V19" s="14">
        <v>0.02</v>
      </c>
      <c r="W19" s="14">
        <v>7.0000000000000007E-2</v>
      </c>
      <c r="X19" s="14">
        <v>0.22</v>
      </c>
      <c r="Y19" s="14">
        <v>7.0000000000000007E-2</v>
      </c>
      <c r="Z19" s="14">
        <v>0.04</v>
      </c>
      <c r="AA19" s="14">
        <v>0.02</v>
      </c>
      <c r="AB19" s="14">
        <v>0.01</v>
      </c>
      <c r="AC19" s="14">
        <v>0.02</v>
      </c>
      <c r="AD19" s="14">
        <v>0.02</v>
      </c>
      <c r="AE19" s="14">
        <v>0.2</v>
      </c>
      <c r="AF19" s="14">
        <v>0.4</v>
      </c>
    </row>
    <row r="20" spans="1:32">
      <c r="A20" s="23"/>
      <c r="B20" s="11" t="s">
        <v>497</v>
      </c>
      <c r="C20" s="12">
        <v>2468</v>
      </c>
      <c r="D20" s="12">
        <v>49</v>
      </c>
      <c r="E20" s="12">
        <v>118</v>
      </c>
      <c r="F20" s="12">
        <v>84</v>
      </c>
      <c r="G20" s="12">
        <v>81</v>
      </c>
      <c r="H20" s="12">
        <v>174</v>
      </c>
      <c r="I20" s="12">
        <v>202</v>
      </c>
      <c r="J20" s="12">
        <v>28</v>
      </c>
      <c r="K20" s="12">
        <v>167</v>
      </c>
      <c r="L20" s="12">
        <v>121</v>
      </c>
      <c r="M20" s="12">
        <v>45</v>
      </c>
      <c r="N20" s="12">
        <v>134</v>
      </c>
      <c r="O20" s="12">
        <v>109</v>
      </c>
      <c r="P20" s="12">
        <v>43</v>
      </c>
      <c r="Q20" s="12">
        <v>43</v>
      </c>
      <c r="R20" s="12">
        <v>25</v>
      </c>
      <c r="S20" s="12">
        <v>201</v>
      </c>
      <c r="T20" s="12">
        <v>118</v>
      </c>
      <c r="U20" s="12">
        <v>79</v>
      </c>
      <c r="V20" s="12">
        <v>50</v>
      </c>
      <c r="W20" s="12">
        <v>40</v>
      </c>
      <c r="X20" s="12">
        <v>66</v>
      </c>
      <c r="Y20" s="12">
        <v>71</v>
      </c>
      <c r="Z20" s="12">
        <v>83</v>
      </c>
      <c r="AA20" s="12">
        <v>99</v>
      </c>
      <c r="AB20" s="12">
        <v>66</v>
      </c>
      <c r="AC20" s="12">
        <v>75</v>
      </c>
      <c r="AD20" s="12">
        <v>139</v>
      </c>
      <c r="AE20" s="12">
        <v>96</v>
      </c>
      <c r="AF20" s="12">
        <v>44</v>
      </c>
    </row>
    <row r="21" spans="1:32">
      <c r="A21" s="23"/>
      <c r="B21" s="13" t="s">
        <v>498</v>
      </c>
      <c r="C21" s="14">
        <v>0.09</v>
      </c>
      <c r="D21" s="14">
        <v>0.05</v>
      </c>
      <c r="E21" s="14">
        <v>0.11</v>
      </c>
      <c r="F21" s="14">
        <v>0.08</v>
      </c>
      <c r="G21" s="14">
        <v>0.08</v>
      </c>
      <c r="H21" s="14">
        <v>0.14000000000000001</v>
      </c>
      <c r="I21" s="14">
        <v>0.13</v>
      </c>
      <c r="J21" s="14">
        <v>0.09</v>
      </c>
      <c r="K21" s="14">
        <v>0.16</v>
      </c>
      <c r="L21" s="14">
        <v>0.12</v>
      </c>
      <c r="M21" s="14">
        <v>0.04</v>
      </c>
      <c r="N21" s="14">
        <v>0.13</v>
      </c>
      <c r="O21" s="14">
        <v>0.11</v>
      </c>
      <c r="P21" s="14">
        <v>0.04</v>
      </c>
      <c r="Q21" s="14">
        <v>0.04</v>
      </c>
      <c r="R21" s="14">
        <v>0.05</v>
      </c>
      <c r="S21" s="14">
        <v>0.2</v>
      </c>
      <c r="T21" s="14">
        <v>0.12</v>
      </c>
      <c r="U21" s="14">
        <v>0.16</v>
      </c>
      <c r="V21" s="14">
        <v>0.05</v>
      </c>
      <c r="W21" s="14">
        <v>0.08</v>
      </c>
      <c r="X21" s="14">
        <v>7.0000000000000007E-2</v>
      </c>
      <c r="Y21" s="14">
        <v>7.0000000000000007E-2</v>
      </c>
      <c r="Z21" s="14">
        <v>0.08</v>
      </c>
      <c r="AA21" s="14">
        <v>0.09</v>
      </c>
      <c r="AB21" s="14">
        <v>0.06</v>
      </c>
      <c r="AC21" s="14">
        <v>7.0000000000000007E-2</v>
      </c>
      <c r="AD21" s="14">
        <v>0.14000000000000001</v>
      </c>
      <c r="AE21" s="14">
        <v>0.1</v>
      </c>
      <c r="AF21" s="14">
        <v>0.04</v>
      </c>
    </row>
    <row r="22" spans="1:32">
      <c r="A22" s="23"/>
      <c r="B22" s="11" t="s">
        <v>715</v>
      </c>
      <c r="C22" s="12">
        <v>16802</v>
      </c>
      <c r="D22" s="12">
        <v>597</v>
      </c>
      <c r="E22" s="12">
        <v>809</v>
      </c>
      <c r="F22" s="12">
        <v>766</v>
      </c>
      <c r="G22" s="12">
        <v>240</v>
      </c>
      <c r="H22" s="12">
        <v>604</v>
      </c>
      <c r="I22" s="12">
        <v>778</v>
      </c>
      <c r="J22" s="12">
        <v>174</v>
      </c>
      <c r="K22" s="12">
        <v>510</v>
      </c>
      <c r="L22" s="12">
        <v>584</v>
      </c>
      <c r="M22" s="12">
        <v>907</v>
      </c>
      <c r="N22" s="12">
        <v>667</v>
      </c>
      <c r="O22" s="12">
        <v>613</v>
      </c>
      <c r="P22" s="12">
        <v>878</v>
      </c>
      <c r="Q22" s="12">
        <v>815</v>
      </c>
      <c r="R22" s="12">
        <v>429</v>
      </c>
      <c r="S22" s="12">
        <v>640</v>
      </c>
      <c r="T22" s="12">
        <v>729</v>
      </c>
      <c r="U22" s="12">
        <v>306</v>
      </c>
      <c r="V22" s="12">
        <v>853</v>
      </c>
      <c r="W22" s="12">
        <v>373</v>
      </c>
      <c r="X22" s="12">
        <v>344</v>
      </c>
      <c r="Y22" s="12">
        <v>682</v>
      </c>
      <c r="Z22" s="12">
        <v>697</v>
      </c>
      <c r="AA22" s="12">
        <v>859</v>
      </c>
      <c r="AB22" s="12">
        <v>804</v>
      </c>
      <c r="AC22" s="12">
        <v>764</v>
      </c>
      <c r="AD22" s="12">
        <v>645</v>
      </c>
      <c r="AE22" s="12">
        <v>383</v>
      </c>
      <c r="AF22" s="12">
        <v>227</v>
      </c>
    </row>
    <row r="23" spans="1:32">
      <c r="A23" s="23"/>
      <c r="B23" s="13" t="s">
        <v>716</v>
      </c>
      <c r="C23" s="14">
        <v>0.64</v>
      </c>
      <c r="D23" s="14">
        <v>0.59</v>
      </c>
      <c r="E23" s="14">
        <v>0.78</v>
      </c>
      <c r="F23" s="14">
        <v>0.76</v>
      </c>
      <c r="G23" s="14">
        <v>0.24</v>
      </c>
      <c r="H23" s="14">
        <v>0.5</v>
      </c>
      <c r="I23" s="14">
        <v>0.52</v>
      </c>
      <c r="J23" s="14">
        <v>0.59</v>
      </c>
      <c r="K23" s="14">
        <v>0.51</v>
      </c>
      <c r="L23" s="14">
        <v>0.57999999999999996</v>
      </c>
      <c r="M23" s="14">
        <v>0.9</v>
      </c>
      <c r="N23" s="14">
        <v>0.67</v>
      </c>
      <c r="O23" s="14">
        <v>0.61</v>
      </c>
      <c r="P23" s="14">
        <v>0.87</v>
      </c>
      <c r="Q23" s="14">
        <v>0.79</v>
      </c>
      <c r="R23" s="14">
        <v>0.86</v>
      </c>
      <c r="S23" s="14">
        <v>0.64</v>
      </c>
      <c r="T23" s="14">
        <v>0.73</v>
      </c>
      <c r="U23" s="14">
        <v>0.61</v>
      </c>
      <c r="V23" s="14">
        <v>0.84</v>
      </c>
      <c r="W23" s="14">
        <v>0.74</v>
      </c>
      <c r="X23" s="14">
        <v>0.34</v>
      </c>
      <c r="Y23" s="14">
        <v>0.68</v>
      </c>
      <c r="Z23" s="14">
        <v>0.68</v>
      </c>
      <c r="AA23" s="14">
        <v>0.83000000000000007</v>
      </c>
      <c r="AB23" s="14">
        <v>0.78</v>
      </c>
      <c r="AC23" s="14">
        <v>0.76</v>
      </c>
      <c r="AD23" s="14">
        <v>0.64</v>
      </c>
      <c r="AE23" s="14">
        <v>0.38</v>
      </c>
      <c r="AF23" s="14">
        <v>0.22</v>
      </c>
    </row>
    <row r="24" spans="1:32">
      <c r="A24" s="23"/>
      <c r="B24" s="11" t="s">
        <v>717</v>
      </c>
      <c r="C24" s="12">
        <v>7084</v>
      </c>
      <c r="D24" s="12">
        <v>359</v>
      </c>
      <c r="E24" s="12">
        <v>117</v>
      </c>
      <c r="F24" s="12">
        <v>157</v>
      </c>
      <c r="G24" s="12">
        <v>681</v>
      </c>
      <c r="H24" s="12">
        <v>433</v>
      </c>
      <c r="I24" s="12">
        <v>525</v>
      </c>
      <c r="J24" s="12">
        <v>92</v>
      </c>
      <c r="K24" s="12">
        <v>327</v>
      </c>
      <c r="L24" s="12">
        <v>302</v>
      </c>
      <c r="M24" s="12">
        <v>59</v>
      </c>
      <c r="N24" s="12">
        <v>199</v>
      </c>
      <c r="O24" s="12">
        <v>284</v>
      </c>
      <c r="P24" s="12">
        <v>91</v>
      </c>
      <c r="Q24" s="12">
        <v>166</v>
      </c>
      <c r="R24" s="12">
        <v>47</v>
      </c>
      <c r="S24" s="12">
        <v>163</v>
      </c>
      <c r="T24" s="12">
        <v>157</v>
      </c>
      <c r="U24" s="12">
        <v>118</v>
      </c>
      <c r="V24" s="12">
        <v>107</v>
      </c>
      <c r="W24" s="12">
        <v>90</v>
      </c>
      <c r="X24" s="12">
        <v>606</v>
      </c>
      <c r="Y24" s="12">
        <v>253</v>
      </c>
      <c r="Z24" s="12">
        <v>237</v>
      </c>
      <c r="AA24" s="12">
        <v>81</v>
      </c>
      <c r="AB24" s="12">
        <v>161</v>
      </c>
      <c r="AC24" s="12">
        <v>166</v>
      </c>
      <c r="AD24" s="12">
        <v>219</v>
      </c>
      <c r="AE24" s="12">
        <v>529</v>
      </c>
      <c r="AF24" s="12">
        <v>801</v>
      </c>
    </row>
    <row r="25" spans="1:32">
      <c r="A25" s="23"/>
      <c r="B25" s="13" t="s">
        <v>718</v>
      </c>
      <c r="C25" s="14">
        <v>0.27</v>
      </c>
      <c r="D25" s="14">
        <v>0.36</v>
      </c>
      <c r="E25" s="14">
        <v>0.11</v>
      </c>
      <c r="F25" s="14">
        <v>0.16</v>
      </c>
      <c r="G25" s="14">
        <v>0.68</v>
      </c>
      <c r="H25" s="14">
        <v>0.36</v>
      </c>
      <c r="I25" s="14">
        <v>0.35</v>
      </c>
      <c r="J25" s="14">
        <v>0.32</v>
      </c>
      <c r="K25" s="14">
        <v>0.33</v>
      </c>
      <c r="L25" s="14">
        <v>0.3</v>
      </c>
      <c r="M25" s="14">
        <v>0.06</v>
      </c>
      <c r="N25" s="14">
        <v>0.2</v>
      </c>
      <c r="O25" s="14">
        <v>0.28000000000000003</v>
      </c>
      <c r="P25" s="14">
        <v>0.09</v>
      </c>
      <c r="Q25" s="14">
        <v>0.17</v>
      </c>
      <c r="R25" s="14">
        <v>0.09</v>
      </c>
      <c r="S25" s="14">
        <v>0.16</v>
      </c>
      <c r="T25" s="14">
        <v>0.15</v>
      </c>
      <c r="U25" s="14">
        <v>0.23</v>
      </c>
      <c r="V25" s="14">
        <v>0.11</v>
      </c>
      <c r="W25" s="14">
        <v>0.18</v>
      </c>
      <c r="X25" s="14">
        <v>0.59</v>
      </c>
      <c r="Y25" s="14">
        <v>0.25</v>
      </c>
      <c r="Z25" s="14">
        <v>0.24</v>
      </c>
      <c r="AA25" s="14">
        <v>0.08</v>
      </c>
      <c r="AB25" s="14">
        <v>0.16</v>
      </c>
      <c r="AC25" s="14">
        <v>0.17</v>
      </c>
      <c r="AD25" s="14">
        <v>0.22</v>
      </c>
      <c r="AE25" s="14">
        <v>0.52</v>
      </c>
      <c r="AF25" s="14">
        <v>0.74</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2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1668</v>
      </c>
      <c r="C3" s="19"/>
      <c r="D3" s="19"/>
      <c r="E3" s="19"/>
      <c r="F3" s="19"/>
      <c r="H3" s="19" t="s">
        <v>1669</v>
      </c>
      <c r="I3" s="19"/>
      <c r="J3" s="19"/>
      <c r="K3" s="19"/>
      <c r="L3" s="19"/>
    </row>
    <row r="4" spans="1:32" ht="27" customHeight="1">
      <c r="B4" s="19" t="s">
        <v>1670</v>
      </c>
      <c r="C4" s="19"/>
      <c r="D4" s="19"/>
      <c r="E4" s="19"/>
      <c r="F4" s="19"/>
      <c r="H4" s="19" t="s">
        <v>1671</v>
      </c>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HYPERLINK("#Content!A199","&lt;&lt;Back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707</v>
      </c>
      <c r="C12" s="12">
        <v>4866</v>
      </c>
      <c r="D12" s="12">
        <v>122</v>
      </c>
      <c r="E12" s="12">
        <v>323</v>
      </c>
      <c r="F12" s="12">
        <v>222</v>
      </c>
      <c r="G12" s="12">
        <v>38</v>
      </c>
      <c r="H12" s="12">
        <v>152</v>
      </c>
      <c r="I12" s="12">
        <v>189</v>
      </c>
      <c r="J12" s="12">
        <v>38</v>
      </c>
      <c r="K12" s="12">
        <v>163</v>
      </c>
      <c r="L12" s="12">
        <v>161</v>
      </c>
      <c r="M12" s="12">
        <v>467</v>
      </c>
      <c r="N12" s="12">
        <v>214</v>
      </c>
      <c r="O12" s="12">
        <v>150</v>
      </c>
      <c r="P12" s="12">
        <v>391</v>
      </c>
      <c r="Q12" s="12">
        <v>240</v>
      </c>
      <c r="R12" s="12">
        <v>259</v>
      </c>
      <c r="S12" s="12">
        <v>246</v>
      </c>
      <c r="T12" s="12">
        <v>222</v>
      </c>
      <c r="U12" s="12">
        <v>81</v>
      </c>
      <c r="V12" s="12">
        <v>329</v>
      </c>
      <c r="W12" s="12">
        <v>164</v>
      </c>
      <c r="X12" s="12">
        <v>69</v>
      </c>
      <c r="Y12" s="12">
        <v>314</v>
      </c>
      <c r="Z12" s="12">
        <v>170</v>
      </c>
      <c r="AA12" s="12">
        <v>215</v>
      </c>
      <c r="AB12" s="12">
        <v>270</v>
      </c>
      <c r="AC12" s="12">
        <v>276</v>
      </c>
      <c r="AD12" s="12">
        <v>119</v>
      </c>
      <c r="AE12" s="12">
        <v>68</v>
      </c>
      <c r="AF12" s="12">
        <v>35</v>
      </c>
    </row>
    <row r="13" spans="1:32">
      <c r="A13" s="23"/>
      <c r="B13" s="13" t="s">
        <v>708</v>
      </c>
      <c r="C13" s="14">
        <v>0.19</v>
      </c>
      <c r="D13" s="14">
        <v>0.12</v>
      </c>
      <c r="E13" s="14">
        <v>0.31</v>
      </c>
      <c r="F13" s="14">
        <v>0.22</v>
      </c>
      <c r="G13" s="14">
        <v>0.04</v>
      </c>
      <c r="H13" s="14">
        <v>0.13</v>
      </c>
      <c r="I13" s="14">
        <v>0.12</v>
      </c>
      <c r="J13" s="14">
        <v>0.13</v>
      </c>
      <c r="K13" s="14">
        <v>0.16</v>
      </c>
      <c r="L13" s="14">
        <v>0.16</v>
      </c>
      <c r="M13" s="14">
        <v>0.46</v>
      </c>
      <c r="N13" s="14">
        <v>0.21</v>
      </c>
      <c r="O13" s="14">
        <v>0.15</v>
      </c>
      <c r="P13" s="14">
        <v>0.39</v>
      </c>
      <c r="Q13" s="14">
        <v>0.23</v>
      </c>
      <c r="R13" s="14">
        <v>0.52</v>
      </c>
      <c r="S13" s="14">
        <v>0.24</v>
      </c>
      <c r="T13" s="14">
        <v>0.22</v>
      </c>
      <c r="U13" s="14">
        <v>0.16</v>
      </c>
      <c r="V13" s="14">
        <v>0.33</v>
      </c>
      <c r="W13" s="14">
        <v>0.33</v>
      </c>
      <c r="X13" s="14">
        <v>7.0000000000000007E-2</v>
      </c>
      <c r="Y13" s="14">
        <v>0.31</v>
      </c>
      <c r="Z13" s="14">
        <v>0.17</v>
      </c>
      <c r="AA13" s="14">
        <v>0.21</v>
      </c>
      <c r="AB13" s="14">
        <v>0.26</v>
      </c>
      <c r="AC13" s="14">
        <v>0.27</v>
      </c>
      <c r="AD13" s="14">
        <v>0.12</v>
      </c>
      <c r="AE13" s="14">
        <v>7.0000000000000007E-2</v>
      </c>
      <c r="AF13" s="14">
        <v>0.03</v>
      </c>
    </row>
    <row r="14" spans="1:32">
      <c r="A14" s="23"/>
      <c r="B14" s="11" t="s">
        <v>709</v>
      </c>
      <c r="C14" s="12">
        <v>10705</v>
      </c>
      <c r="D14" s="12">
        <v>429</v>
      </c>
      <c r="E14" s="12">
        <v>450</v>
      </c>
      <c r="F14" s="12">
        <v>396</v>
      </c>
      <c r="G14" s="12">
        <v>128</v>
      </c>
      <c r="H14" s="12">
        <v>390</v>
      </c>
      <c r="I14" s="12">
        <v>506</v>
      </c>
      <c r="J14" s="12">
        <v>116</v>
      </c>
      <c r="K14" s="12">
        <v>373</v>
      </c>
      <c r="L14" s="12">
        <v>398</v>
      </c>
      <c r="M14" s="12">
        <v>426</v>
      </c>
      <c r="N14" s="12">
        <v>391</v>
      </c>
      <c r="O14" s="12">
        <v>388</v>
      </c>
      <c r="P14" s="12">
        <v>467</v>
      </c>
      <c r="Q14" s="12">
        <v>550</v>
      </c>
      <c r="R14" s="12">
        <v>174</v>
      </c>
      <c r="S14" s="12">
        <v>380</v>
      </c>
      <c r="T14" s="12">
        <v>471</v>
      </c>
      <c r="U14" s="12">
        <v>214</v>
      </c>
      <c r="V14" s="12">
        <v>467</v>
      </c>
      <c r="W14" s="12">
        <v>207</v>
      </c>
      <c r="X14" s="12">
        <v>292</v>
      </c>
      <c r="Y14" s="12">
        <v>368</v>
      </c>
      <c r="Z14" s="12">
        <v>483</v>
      </c>
      <c r="AA14" s="12">
        <v>650</v>
      </c>
      <c r="AB14" s="12">
        <v>479</v>
      </c>
      <c r="AC14" s="12">
        <v>428</v>
      </c>
      <c r="AD14" s="12">
        <v>497</v>
      </c>
      <c r="AE14" s="12">
        <v>291</v>
      </c>
      <c r="AF14" s="12">
        <v>155</v>
      </c>
    </row>
    <row r="15" spans="1:32">
      <c r="A15" s="23"/>
      <c r="B15" s="13" t="s">
        <v>710</v>
      </c>
      <c r="C15" s="14">
        <v>0.41</v>
      </c>
      <c r="D15" s="14">
        <v>0.43</v>
      </c>
      <c r="E15" s="14">
        <v>0.43</v>
      </c>
      <c r="F15" s="14">
        <v>0.39</v>
      </c>
      <c r="G15" s="14">
        <v>0.13</v>
      </c>
      <c r="H15" s="14">
        <v>0.32</v>
      </c>
      <c r="I15" s="14">
        <v>0.34</v>
      </c>
      <c r="J15" s="14">
        <v>0.39</v>
      </c>
      <c r="K15" s="14">
        <v>0.37</v>
      </c>
      <c r="L15" s="14">
        <v>0.39</v>
      </c>
      <c r="M15" s="14">
        <v>0.42</v>
      </c>
      <c r="N15" s="14">
        <v>0.39</v>
      </c>
      <c r="O15" s="14">
        <v>0.39</v>
      </c>
      <c r="P15" s="14">
        <v>0.46</v>
      </c>
      <c r="Q15" s="14">
        <v>0.54</v>
      </c>
      <c r="R15" s="14">
        <v>0.35</v>
      </c>
      <c r="S15" s="14">
        <v>0.38</v>
      </c>
      <c r="T15" s="14">
        <v>0.47</v>
      </c>
      <c r="U15" s="14">
        <v>0.43</v>
      </c>
      <c r="V15" s="14">
        <v>0.46</v>
      </c>
      <c r="W15" s="14">
        <v>0.41</v>
      </c>
      <c r="X15" s="14">
        <v>0.28999999999999998</v>
      </c>
      <c r="Y15" s="14">
        <v>0.37</v>
      </c>
      <c r="Z15" s="14">
        <v>0.47</v>
      </c>
      <c r="AA15" s="14">
        <v>0.62</v>
      </c>
      <c r="AB15" s="14">
        <v>0.47</v>
      </c>
      <c r="AC15" s="14">
        <v>0.43</v>
      </c>
      <c r="AD15" s="14">
        <v>0.5</v>
      </c>
      <c r="AE15" s="14">
        <v>0.28999999999999998</v>
      </c>
      <c r="AF15" s="14">
        <v>0.15</v>
      </c>
    </row>
    <row r="16" spans="1:32">
      <c r="A16" s="23"/>
      <c r="B16" s="11" t="s">
        <v>711</v>
      </c>
      <c r="C16" s="12">
        <v>6139</v>
      </c>
      <c r="D16" s="12">
        <v>317</v>
      </c>
      <c r="E16" s="12">
        <v>118</v>
      </c>
      <c r="F16" s="12">
        <v>208</v>
      </c>
      <c r="G16" s="12">
        <v>246</v>
      </c>
      <c r="H16" s="12">
        <v>392</v>
      </c>
      <c r="I16" s="12">
        <v>480</v>
      </c>
      <c r="J16" s="12">
        <v>88</v>
      </c>
      <c r="K16" s="12">
        <v>230</v>
      </c>
      <c r="L16" s="12">
        <v>220</v>
      </c>
      <c r="M16" s="12">
        <v>73</v>
      </c>
      <c r="N16" s="12">
        <v>203</v>
      </c>
      <c r="O16" s="12">
        <v>285</v>
      </c>
      <c r="P16" s="12">
        <v>103</v>
      </c>
      <c r="Q16" s="12">
        <v>159</v>
      </c>
      <c r="R16" s="12">
        <v>27</v>
      </c>
      <c r="S16" s="12">
        <v>151</v>
      </c>
      <c r="T16" s="12">
        <v>157</v>
      </c>
      <c r="U16" s="12">
        <v>96</v>
      </c>
      <c r="V16" s="12">
        <v>140</v>
      </c>
      <c r="W16" s="12">
        <v>55</v>
      </c>
      <c r="X16" s="12">
        <v>375</v>
      </c>
      <c r="Y16" s="12">
        <v>168</v>
      </c>
      <c r="Z16" s="12">
        <v>212</v>
      </c>
      <c r="AA16" s="12">
        <v>61</v>
      </c>
      <c r="AB16" s="12">
        <v>188</v>
      </c>
      <c r="AC16" s="12">
        <v>191</v>
      </c>
      <c r="AD16" s="12">
        <v>216</v>
      </c>
      <c r="AE16" s="12">
        <v>340</v>
      </c>
      <c r="AF16" s="12">
        <v>346</v>
      </c>
    </row>
    <row r="17" spans="1:32">
      <c r="A17" s="23"/>
      <c r="B17" s="13" t="s">
        <v>712</v>
      </c>
      <c r="C17" s="14">
        <v>0.23</v>
      </c>
      <c r="D17" s="14">
        <v>0.31</v>
      </c>
      <c r="E17" s="14">
        <v>0.11</v>
      </c>
      <c r="F17" s="14">
        <v>0.21</v>
      </c>
      <c r="G17" s="14">
        <v>0.24</v>
      </c>
      <c r="H17" s="14">
        <v>0.32</v>
      </c>
      <c r="I17" s="14">
        <v>0.32</v>
      </c>
      <c r="J17" s="14">
        <v>0.3</v>
      </c>
      <c r="K17" s="14">
        <v>0.23</v>
      </c>
      <c r="L17" s="14">
        <v>0.22</v>
      </c>
      <c r="M17" s="14">
        <v>7.0000000000000007E-2</v>
      </c>
      <c r="N17" s="14">
        <v>0.2</v>
      </c>
      <c r="O17" s="14">
        <v>0.28000000000000003</v>
      </c>
      <c r="P17" s="14">
        <v>0.1</v>
      </c>
      <c r="Q17" s="14">
        <v>0.15</v>
      </c>
      <c r="R17" s="14">
        <v>0.05</v>
      </c>
      <c r="S17" s="14">
        <v>0.15</v>
      </c>
      <c r="T17" s="14">
        <v>0.16</v>
      </c>
      <c r="U17" s="14">
        <v>0.19</v>
      </c>
      <c r="V17" s="14">
        <v>0.14000000000000001</v>
      </c>
      <c r="W17" s="14">
        <v>0.11</v>
      </c>
      <c r="X17" s="14">
        <v>0.37</v>
      </c>
      <c r="Y17" s="14">
        <v>0.17</v>
      </c>
      <c r="Z17" s="14">
        <v>0.21</v>
      </c>
      <c r="AA17" s="14">
        <v>0.06</v>
      </c>
      <c r="AB17" s="14">
        <v>0.18</v>
      </c>
      <c r="AC17" s="14">
        <v>0.19</v>
      </c>
      <c r="AD17" s="14">
        <v>0.21</v>
      </c>
      <c r="AE17" s="14">
        <v>0.33</v>
      </c>
      <c r="AF17" s="14">
        <v>0.32</v>
      </c>
    </row>
    <row r="18" spans="1:32">
      <c r="A18" s="23"/>
      <c r="B18" s="11" t="s">
        <v>713</v>
      </c>
      <c r="C18" s="12">
        <v>1958</v>
      </c>
      <c r="D18" s="12">
        <v>87</v>
      </c>
      <c r="E18" s="12">
        <v>21</v>
      </c>
      <c r="F18" s="12">
        <v>48</v>
      </c>
      <c r="G18" s="12">
        <v>517</v>
      </c>
      <c r="H18" s="12">
        <v>74</v>
      </c>
      <c r="I18" s="12">
        <v>94</v>
      </c>
      <c r="J18" s="12">
        <v>19</v>
      </c>
      <c r="K18" s="12">
        <v>56</v>
      </c>
      <c r="L18" s="12">
        <v>77</v>
      </c>
      <c r="M18" s="12">
        <v>7</v>
      </c>
      <c r="N18" s="12">
        <v>66</v>
      </c>
      <c r="O18" s="12">
        <v>55</v>
      </c>
      <c r="P18" s="12">
        <v>19</v>
      </c>
      <c r="Q18" s="12">
        <v>37</v>
      </c>
      <c r="R18" s="12">
        <v>16</v>
      </c>
      <c r="S18" s="12">
        <v>18</v>
      </c>
      <c r="T18" s="12">
        <v>25</v>
      </c>
      <c r="U18" s="12">
        <v>36</v>
      </c>
      <c r="V18" s="12">
        <v>29</v>
      </c>
      <c r="W18" s="12">
        <v>33</v>
      </c>
      <c r="X18" s="12">
        <v>221</v>
      </c>
      <c r="Y18" s="12">
        <v>83</v>
      </c>
      <c r="Z18" s="12">
        <v>61</v>
      </c>
      <c r="AA18" s="12">
        <v>9</v>
      </c>
      <c r="AB18" s="12">
        <v>20</v>
      </c>
      <c r="AC18" s="12">
        <v>25</v>
      </c>
      <c r="AD18" s="12">
        <v>10</v>
      </c>
      <c r="AE18" s="12">
        <v>219</v>
      </c>
      <c r="AF18" s="12">
        <v>495</v>
      </c>
    </row>
    <row r="19" spans="1:32">
      <c r="A19" s="23"/>
      <c r="B19" s="13" t="s">
        <v>714</v>
      </c>
      <c r="C19" s="14">
        <v>7.0000000000000007E-2</v>
      </c>
      <c r="D19" s="14">
        <v>0.09</v>
      </c>
      <c r="E19" s="14">
        <v>0.02</v>
      </c>
      <c r="F19" s="14">
        <v>0.05</v>
      </c>
      <c r="G19" s="14">
        <v>0.52</v>
      </c>
      <c r="H19" s="14">
        <v>0.06</v>
      </c>
      <c r="I19" s="14">
        <v>0.06</v>
      </c>
      <c r="J19" s="14">
        <v>7.0000000000000007E-2</v>
      </c>
      <c r="K19" s="14">
        <v>0.06</v>
      </c>
      <c r="L19" s="14">
        <v>0.08</v>
      </c>
      <c r="M19" s="14">
        <v>0.01</v>
      </c>
      <c r="N19" s="14">
        <v>7.0000000000000007E-2</v>
      </c>
      <c r="O19" s="14">
        <v>0.05</v>
      </c>
      <c r="P19" s="14">
        <v>0.02</v>
      </c>
      <c r="Q19" s="14">
        <v>0.04</v>
      </c>
      <c r="R19" s="14">
        <v>0.03</v>
      </c>
      <c r="S19" s="14">
        <v>0.02</v>
      </c>
      <c r="T19" s="14">
        <v>0.02</v>
      </c>
      <c r="U19" s="14">
        <v>7.0000000000000007E-2</v>
      </c>
      <c r="V19" s="14">
        <v>0.03</v>
      </c>
      <c r="W19" s="14">
        <v>7.0000000000000007E-2</v>
      </c>
      <c r="X19" s="14">
        <v>0.22</v>
      </c>
      <c r="Y19" s="14">
        <v>0.08</v>
      </c>
      <c r="Z19" s="14">
        <v>0.06</v>
      </c>
      <c r="AA19" s="14">
        <v>0.01</v>
      </c>
      <c r="AB19" s="14">
        <v>0.02</v>
      </c>
      <c r="AC19" s="14">
        <v>0.02</v>
      </c>
      <c r="AD19" s="14">
        <v>0.01</v>
      </c>
      <c r="AE19" s="14">
        <v>0.22</v>
      </c>
      <c r="AF19" s="14">
        <v>0.46</v>
      </c>
    </row>
    <row r="20" spans="1:32">
      <c r="A20" s="23"/>
      <c r="B20" s="11" t="s">
        <v>497</v>
      </c>
      <c r="C20" s="12">
        <v>2687</v>
      </c>
      <c r="D20" s="12">
        <v>51</v>
      </c>
      <c r="E20" s="12">
        <v>132</v>
      </c>
      <c r="F20" s="12">
        <v>133</v>
      </c>
      <c r="G20" s="12">
        <v>75</v>
      </c>
      <c r="H20" s="12">
        <v>204</v>
      </c>
      <c r="I20" s="12">
        <v>236</v>
      </c>
      <c r="J20" s="12">
        <v>32</v>
      </c>
      <c r="K20" s="12">
        <v>181</v>
      </c>
      <c r="L20" s="12">
        <v>152</v>
      </c>
      <c r="M20" s="12">
        <v>38</v>
      </c>
      <c r="N20" s="12">
        <v>126</v>
      </c>
      <c r="O20" s="12">
        <v>129</v>
      </c>
      <c r="P20" s="12">
        <v>31</v>
      </c>
      <c r="Q20" s="12">
        <v>39</v>
      </c>
      <c r="R20" s="12">
        <v>27</v>
      </c>
      <c r="S20" s="12">
        <v>210</v>
      </c>
      <c r="T20" s="12">
        <v>130</v>
      </c>
      <c r="U20" s="12">
        <v>77</v>
      </c>
      <c r="V20" s="12">
        <v>46</v>
      </c>
      <c r="W20" s="12">
        <v>43</v>
      </c>
      <c r="X20" s="12">
        <v>58</v>
      </c>
      <c r="Y20" s="12">
        <v>75</v>
      </c>
      <c r="Z20" s="12">
        <v>91</v>
      </c>
      <c r="AA20" s="12">
        <v>106</v>
      </c>
      <c r="AB20" s="12">
        <v>75</v>
      </c>
      <c r="AC20" s="12">
        <v>86</v>
      </c>
      <c r="AD20" s="12">
        <v>160</v>
      </c>
      <c r="AE20" s="12">
        <v>90</v>
      </c>
      <c r="AF20" s="12">
        <v>42</v>
      </c>
    </row>
    <row r="21" spans="1:32">
      <c r="A21" s="23"/>
      <c r="B21" s="13" t="s">
        <v>498</v>
      </c>
      <c r="C21" s="14">
        <v>0.1</v>
      </c>
      <c r="D21" s="14">
        <v>0.05</v>
      </c>
      <c r="E21" s="14">
        <v>0.13</v>
      </c>
      <c r="F21" s="14">
        <v>0.13</v>
      </c>
      <c r="G21" s="14">
        <v>7.0000000000000007E-2</v>
      </c>
      <c r="H21" s="14">
        <v>0.17</v>
      </c>
      <c r="I21" s="14">
        <v>0.16</v>
      </c>
      <c r="J21" s="14">
        <v>0.11</v>
      </c>
      <c r="K21" s="14">
        <v>0.18</v>
      </c>
      <c r="L21" s="14">
        <v>0.15</v>
      </c>
      <c r="M21" s="14">
        <v>0.04</v>
      </c>
      <c r="N21" s="14">
        <v>0.13</v>
      </c>
      <c r="O21" s="14">
        <v>0.13</v>
      </c>
      <c r="P21" s="14">
        <v>0.03</v>
      </c>
      <c r="Q21" s="14">
        <v>0.04</v>
      </c>
      <c r="R21" s="14">
        <v>0.05</v>
      </c>
      <c r="S21" s="14">
        <v>0.21</v>
      </c>
      <c r="T21" s="14">
        <v>0.13</v>
      </c>
      <c r="U21" s="14">
        <v>0.15</v>
      </c>
      <c r="V21" s="14">
        <v>0.04</v>
      </c>
      <c r="W21" s="14">
        <v>0.08</v>
      </c>
      <c r="X21" s="14">
        <v>0.05</v>
      </c>
      <c r="Y21" s="14">
        <v>7.0000000000000007E-2</v>
      </c>
      <c r="Z21" s="14">
        <v>0.09</v>
      </c>
      <c r="AA21" s="14">
        <v>0.1</v>
      </c>
      <c r="AB21" s="14">
        <v>7.0000000000000007E-2</v>
      </c>
      <c r="AC21" s="14">
        <v>0.09</v>
      </c>
      <c r="AD21" s="14">
        <v>0.16</v>
      </c>
      <c r="AE21" s="14">
        <v>0.09</v>
      </c>
      <c r="AF21" s="14">
        <v>0.04</v>
      </c>
    </row>
    <row r="22" spans="1:32">
      <c r="A22" s="23"/>
      <c r="B22" s="11" t="s">
        <v>715</v>
      </c>
      <c r="C22" s="12">
        <v>15571</v>
      </c>
      <c r="D22" s="12">
        <v>551</v>
      </c>
      <c r="E22" s="12">
        <v>773</v>
      </c>
      <c r="F22" s="12">
        <v>618</v>
      </c>
      <c r="G22" s="12">
        <v>166</v>
      </c>
      <c r="H22" s="12">
        <v>542</v>
      </c>
      <c r="I22" s="12">
        <v>695</v>
      </c>
      <c r="J22" s="12">
        <v>154</v>
      </c>
      <c r="K22" s="12">
        <v>536</v>
      </c>
      <c r="L22" s="12">
        <v>559</v>
      </c>
      <c r="M22" s="12">
        <v>893</v>
      </c>
      <c r="N22" s="12">
        <v>605</v>
      </c>
      <c r="O22" s="12">
        <v>538</v>
      </c>
      <c r="P22" s="12">
        <v>858</v>
      </c>
      <c r="Q22" s="12">
        <v>790</v>
      </c>
      <c r="R22" s="12">
        <v>433</v>
      </c>
      <c r="S22" s="12">
        <v>626</v>
      </c>
      <c r="T22" s="12">
        <v>693</v>
      </c>
      <c r="U22" s="12">
        <v>295</v>
      </c>
      <c r="V22" s="12">
        <v>796</v>
      </c>
      <c r="W22" s="12">
        <v>371</v>
      </c>
      <c r="X22" s="12">
        <v>361</v>
      </c>
      <c r="Y22" s="12">
        <v>682</v>
      </c>
      <c r="Z22" s="12">
        <v>653</v>
      </c>
      <c r="AA22" s="12">
        <v>865</v>
      </c>
      <c r="AB22" s="12">
        <v>749</v>
      </c>
      <c r="AC22" s="12">
        <v>704</v>
      </c>
      <c r="AD22" s="12">
        <v>616</v>
      </c>
      <c r="AE22" s="12">
        <v>359</v>
      </c>
      <c r="AF22" s="12">
        <v>190</v>
      </c>
    </row>
    <row r="23" spans="1:32">
      <c r="A23" s="23"/>
      <c r="B23" s="13" t="s">
        <v>716</v>
      </c>
      <c r="C23" s="14">
        <v>0.6</v>
      </c>
      <c r="D23" s="14">
        <v>0.55000000000000004</v>
      </c>
      <c r="E23" s="14">
        <v>0.74</v>
      </c>
      <c r="F23" s="14">
        <v>0.61</v>
      </c>
      <c r="G23" s="14">
        <v>0.17</v>
      </c>
      <c r="H23" s="14">
        <v>0.45</v>
      </c>
      <c r="I23" s="14">
        <v>0.46</v>
      </c>
      <c r="J23" s="14">
        <v>0.52</v>
      </c>
      <c r="K23" s="14">
        <v>0.53</v>
      </c>
      <c r="L23" s="14">
        <v>0.55000000000000004</v>
      </c>
      <c r="M23" s="14">
        <v>0.88</v>
      </c>
      <c r="N23" s="14">
        <v>0.6</v>
      </c>
      <c r="O23" s="14">
        <v>0.54</v>
      </c>
      <c r="P23" s="14">
        <v>0.85</v>
      </c>
      <c r="Q23" s="14">
        <v>0.77</v>
      </c>
      <c r="R23" s="14">
        <v>0.87</v>
      </c>
      <c r="S23" s="14">
        <v>0.62</v>
      </c>
      <c r="T23" s="14">
        <v>0.69000000000000006</v>
      </c>
      <c r="U23" s="14">
        <v>0.59</v>
      </c>
      <c r="V23" s="14">
        <v>0.79</v>
      </c>
      <c r="W23" s="14">
        <v>0.74</v>
      </c>
      <c r="X23" s="14">
        <v>0.36</v>
      </c>
      <c r="Y23" s="14">
        <v>0.68</v>
      </c>
      <c r="Z23" s="14">
        <v>0.64</v>
      </c>
      <c r="AA23" s="14">
        <v>0.83000000000000007</v>
      </c>
      <c r="AB23" s="14">
        <v>0.73</v>
      </c>
      <c r="AC23" s="14">
        <v>0.70000000000000007</v>
      </c>
      <c r="AD23" s="14">
        <v>0.62</v>
      </c>
      <c r="AE23" s="14">
        <v>0.36</v>
      </c>
      <c r="AF23" s="14">
        <v>0.18</v>
      </c>
    </row>
    <row r="24" spans="1:32">
      <c r="A24" s="23"/>
      <c r="B24" s="11" t="s">
        <v>717</v>
      </c>
      <c r="C24" s="12">
        <v>8097</v>
      </c>
      <c r="D24" s="12">
        <v>404</v>
      </c>
      <c r="E24" s="12">
        <v>139</v>
      </c>
      <c r="F24" s="12">
        <v>256</v>
      </c>
      <c r="G24" s="12">
        <v>763</v>
      </c>
      <c r="H24" s="12">
        <v>466</v>
      </c>
      <c r="I24" s="12">
        <v>574</v>
      </c>
      <c r="J24" s="12">
        <v>107</v>
      </c>
      <c r="K24" s="12">
        <v>286</v>
      </c>
      <c r="L24" s="12">
        <v>297</v>
      </c>
      <c r="M24" s="12">
        <v>80</v>
      </c>
      <c r="N24" s="12">
        <v>269</v>
      </c>
      <c r="O24" s="12">
        <v>340</v>
      </c>
      <c r="P24" s="12">
        <v>122</v>
      </c>
      <c r="Q24" s="12">
        <v>196</v>
      </c>
      <c r="R24" s="12">
        <v>43</v>
      </c>
      <c r="S24" s="12">
        <v>169</v>
      </c>
      <c r="T24" s="12">
        <v>182</v>
      </c>
      <c r="U24" s="12">
        <v>132</v>
      </c>
      <c r="V24" s="12">
        <v>169</v>
      </c>
      <c r="W24" s="12">
        <v>88</v>
      </c>
      <c r="X24" s="12">
        <v>596</v>
      </c>
      <c r="Y24" s="12">
        <v>251</v>
      </c>
      <c r="Z24" s="12">
        <v>273</v>
      </c>
      <c r="AA24" s="12">
        <v>70</v>
      </c>
      <c r="AB24" s="12">
        <v>208</v>
      </c>
      <c r="AC24" s="12">
        <v>216</v>
      </c>
      <c r="AD24" s="12">
        <v>226</v>
      </c>
      <c r="AE24" s="12">
        <v>559</v>
      </c>
      <c r="AF24" s="12">
        <v>841</v>
      </c>
    </row>
    <row r="25" spans="1:32">
      <c r="A25" s="23"/>
      <c r="B25" s="13" t="s">
        <v>718</v>
      </c>
      <c r="C25" s="14">
        <v>0.3</v>
      </c>
      <c r="D25" s="14">
        <v>0.4</v>
      </c>
      <c r="E25" s="14">
        <v>0.13</v>
      </c>
      <c r="F25" s="14">
        <v>0.26</v>
      </c>
      <c r="G25" s="14">
        <v>0.76</v>
      </c>
      <c r="H25" s="14">
        <v>0.38</v>
      </c>
      <c r="I25" s="14">
        <v>0.38</v>
      </c>
      <c r="J25" s="14">
        <v>0.37</v>
      </c>
      <c r="K25" s="14">
        <v>0.28999999999999998</v>
      </c>
      <c r="L25" s="14">
        <v>0.3</v>
      </c>
      <c r="M25" s="14">
        <v>0.08</v>
      </c>
      <c r="N25" s="14">
        <v>0.27</v>
      </c>
      <c r="O25" s="14">
        <v>0.33</v>
      </c>
      <c r="P25" s="14">
        <v>0.12</v>
      </c>
      <c r="Q25" s="14">
        <v>0.19</v>
      </c>
      <c r="R25" s="14">
        <v>0.08</v>
      </c>
      <c r="S25" s="14">
        <v>0.17</v>
      </c>
      <c r="T25" s="14">
        <v>0.18</v>
      </c>
      <c r="U25" s="14">
        <v>0.26</v>
      </c>
      <c r="V25" s="14">
        <v>0.17</v>
      </c>
      <c r="W25" s="14">
        <v>0.18</v>
      </c>
      <c r="X25" s="14">
        <v>0.59</v>
      </c>
      <c r="Y25" s="14">
        <v>0.25</v>
      </c>
      <c r="Z25" s="14">
        <v>0.27</v>
      </c>
      <c r="AA25" s="14">
        <v>7.0000000000000007E-2</v>
      </c>
      <c r="AB25" s="14">
        <v>0.2</v>
      </c>
      <c r="AC25" s="14">
        <v>0.21</v>
      </c>
      <c r="AD25" s="14">
        <v>0.22</v>
      </c>
      <c r="AE25" s="14">
        <v>0.55000000000000004</v>
      </c>
      <c r="AF25" s="14">
        <v>0.78</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3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1672</v>
      </c>
      <c r="C3" s="19"/>
      <c r="D3" s="19"/>
      <c r="E3" s="19"/>
      <c r="F3" s="19"/>
      <c r="H3" s="19" t="s">
        <v>1673</v>
      </c>
      <c r="I3" s="19"/>
      <c r="J3" s="19"/>
      <c r="K3" s="19"/>
      <c r="L3" s="19"/>
    </row>
    <row r="4" spans="1:32" ht="27" customHeight="1">
      <c r="B4" s="19" t="s">
        <v>1674</v>
      </c>
      <c r="C4" s="19"/>
      <c r="D4" s="19"/>
      <c r="E4" s="19"/>
      <c r="F4" s="19"/>
      <c r="H4" s="19" t="s">
        <v>1675</v>
      </c>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HYPERLINK("#Content!A200","&lt;&lt;Back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707</v>
      </c>
      <c r="C12" s="12">
        <v>7856</v>
      </c>
      <c r="D12" s="12">
        <v>272</v>
      </c>
      <c r="E12" s="12">
        <v>401</v>
      </c>
      <c r="F12" s="12">
        <v>300</v>
      </c>
      <c r="G12" s="12">
        <v>134</v>
      </c>
      <c r="H12" s="12">
        <v>227</v>
      </c>
      <c r="I12" s="12">
        <v>304</v>
      </c>
      <c r="J12" s="12">
        <v>77</v>
      </c>
      <c r="K12" s="12">
        <v>252</v>
      </c>
      <c r="L12" s="12">
        <v>205</v>
      </c>
      <c r="M12" s="12">
        <v>493</v>
      </c>
      <c r="N12" s="12">
        <v>466</v>
      </c>
      <c r="O12" s="12">
        <v>386</v>
      </c>
      <c r="P12" s="12">
        <v>394</v>
      </c>
      <c r="Q12" s="12">
        <v>306</v>
      </c>
      <c r="R12" s="12">
        <v>297</v>
      </c>
      <c r="S12" s="12">
        <v>301</v>
      </c>
      <c r="T12" s="12">
        <v>220</v>
      </c>
      <c r="U12" s="12">
        <v>137</v>
      </c>
      <c r="V12" s="12">
        <v>324</v>
      </c>
      <c r="W12" s="12">
        <v>219</v>
      </c>
      <c r="X12" s="12">
        <v>172</v>
      </c>
      <c r="Y12" s="12">
        <v>398</v>
      </c>
      <c r="Z12" s="12">
        <v>186</v>
      </c>
      <c r="AA12" s="12">
        <v>297</v>
      </c>
      <c r="AB12" s="12">
        <v>292</v>
      </c>
      <c r="AC12" s="12">
        <v>430</v>
      </c>
      <c r="AD12" s="12">
        <v>190</v>
      </c>
      <c r="AE12" s="12">
        <v>318</v>
      </c>
      <c r="AF12" s="12">
        <v>220</v>
      </c>
    </row>
    <row r="13" spans="1:32">
      <c r="A13" s="23"/>
      <c r="B13" s="13" t="s">
        <v>708</v>
      </c>
      <c r="C13" s="14">
        <v>0.3</v>
      </c>
      <c r="D13" s="14">
        <v>0.27</v>
      </c>
      <c r="E13" s="14">
        <v>0.39</v>
      </c>
      <c r="F13" s="14">
        <v>0.3</v>
      </c>
      <c r="G13" s="14">
        <v>0.13</v>
      </c>
      <c r="H13" s="14">
        <v>0.19</v>
      </c>
      <c r="I13" s="14">
        <v>0.2</v>
      </c>
      <c r="J13" s="14">
        <v>0.26</v>
      </c>
      <c r="K13" s="14">
        <v>0.25</v>
      </c>
      <c r="L13" s="14">
        <v>0.21</v>
      </c>
      <c r="M13" s="14">
        <v>0.49</v>
      </c>
      <c r="N13" s="14">
        <v>0.47</v>
      </c>
      <c r="O13" s="14">
        <v>0.38</v>
      </c>
      <c r="P13" s="14">
        <v>0.39</v>
      </c>
      <c r="Q13" s="14">
        <v>0.3</v>
      </c>
      <c r="R13" s="14">
        <v>0.59</v>
      </c>
      <c r="S13" s="14">
        <v>0.3</v>
      </c>
      <c r="T13" s="14">
        <v>0.22</v>
      </c>
      <c r="U13" s="14">
        <v>0.27</v>
      </c>
      <c r="V13" s="14">
        <v>0.32</v>
      </c>
      <c r="W13" s="14">
        <v>0.44</v>
      </c>
      <c r="X13" s="14">
        <v>0.17</v>
      </c>
      <c r="Y13" s="14">
        <v>0.4</v>
      </c>
      <c r="Z13" s="14">
        <v>0.18</v>
      </c>
      <c r="AA13" s="14">
        <v>0.28999999999999998</v>
      </c>
      <c r="AB13" s="14">
        <v>0.28000000000000003</v>
      </c>
      <c r="AC13" s="14">
        <v>0.43</v>
      </c>
      <c r="AD13" s="14">
        <v>0.19</v>
      </c>
      <c r="AE13" s="14">
        <v>0.31</v>
      </c>
      <c r="AF13" s="14">
        <v>0.2</v>
      </c>
    </row>
    <row r="14" spans="1:32">
      <c r="A14" s="23"/>
      <c r="B14" s="11" t="s">
        <v>709</v>
      </c>
      <c r="C14" s="12">
        <v>11614</v>
      </c>
      <c r="D14" s="12">
        <v>474</v>
      </c>
      <c r="E14" s="12">
        <v>380</v>
      </c>
      <c r="F14" s="12">
        <v>410</v>
      </c>
      <c r="G14" s="12">
        <v>379</v>
      </c>
      <c r="H14" s="12">
        <v>488</v>
      </c>
      <c r="I14" s="12">
        <v>627</v>
      </c>
      <c r="J14" s="12">
        <v>139</v>
      </c>
      <c r="K14" s="12">
        <v>396</v>
      </c>
      <c r="L14" s="12">
        <v>425</v>
      </c>
      <c r="M14" s="12">
        <v>417</v>
      </c>
      <c r="N14" s="12">
        <v>371</v>
      </c>
      <c r="O14" s="12">
        <v>436</v>
      </c>
      <c r="P14" s="12">
        <v>473</v>
      </c>
      <c r="Q14" s="12">
        <v>509</v>
      </c>
      <c r="R14" s="12">
        <v>145</v>
      </c>
      <c r="S14" s="12">
        <v>422</v>
      </c>
      <c r="T14" s="12">
        <v>448</v>
      </c>
      <c r="U14" s="12">
        <v>253</v>
      </c>
      <c r="V14" s="12">
        <v>461</v>
      </c>
      <c r="W14" s="12">
        <v>171</v>
      </c>
      <c r="X14" s="12">
        <v>456</v>
      </c>
      <c r="Y14" s="12">
        <v>379</v>
      </c>
      <c r="Z14" s="12">
        <v>533</v>
      </c>
      <c r="AA14" s="12">
        <v>553</v>
      </c>
      <c r="AB14" s="12">
        <v>426</v>
      </c>
      <c r="AC14" s="12">
        <v>420</v>
      </c>
      <c r="AD14" s="12">
        <v>548</v>
      </c>
      <c r="AE14" s="12">
        <v>448</v>
      </c>
      <c r="AF14" s="12">
        <v>489</v>
      </c>
    </row>
    <row r="15" spans="1:32">
      <c r="A15" s="23"/>
      <c r="B15" s="13" t="s">
        <v>710</v>
      </c>
      <c r="C15" s="14">
        <v>0.44</v>
      </c>
      <c r="D15" s="14">
        <v>0.47</v>
      </c>
      <c r="E15" s="14">
        <v>0.36</v>
      </c>
      <c r="F15" s="14">
        <v>0.41</v>
      </c>
      <c r="G15" s="14">
        <v>0.38</v>
      </c>
      <c r="H15" s="14">
        <v>0.4</v>
      </c>
      <c r="I15" s="14">
        <v>0.42</v>
      </c>
      <c r="J15" s="14">
        <v>0.47</v>
      </c>
      <c r="K15" s="14">
        <v>0.39</v>
      </c>
      <c r="L15" s="14">
        <v>0.42</v>
      </c>
      <c r="M15" s="14">
        <v>0.41</v>
      </c>
      <c r="N15" s="14">
        <v>0.37</v>
      </c>
      <c r="O15" s="14">
        <v>0.43</v>
      </c>
      <c r="P15" s="14">
        <v>0.47</v>
      </c>
      <c r="Q15" s="14">
        <v>0.5</v>
      </c>
      <c r="R15" s="14">
        <v>0.28999999999999998</v>
      </c>
      <c r="S15" s="14">
        <v>0.42</v>
      </c>
      <c r="T15" s="14">
        <v>0.44</v>
      </c>
      <c r="U15" s="14">
        <v>0.5</v>
      </c>
      <c r="V15" s="14">
        <v>0.46</v>
      </c>
      <c r="W15" s="14">
        <v>0.34</v>
      </c>
      <c r="X15" s="14">
        <v>0.45</v>
      </c>
      <c r="Y15" s="14">
        <v>0.38</v>
      </c>
      <c r="Z15" s="14">
        <v>0.52</v>
      </c>
      <c r="AA15" s="14">
        <v>0.53</v>
      </c>
      <c r="AB15" s="14">
        <v>0.42</v>
      </c>
      <c r="AC15" s="14">
        <v>0.42</v>
      </c>
      <c r="AD15" s="14">
        <v>0.55000000000000004</v>
      </c>
      <c r="AE15" s="14">
        <v>0.44</v>
      </c>
      <c r="AF15" s="14">
        <v>0.46</v>
      </c>
    </row>
    <row r="16" spans="1:32">
      <c r="A16" s="23"/>
      <c r="B16" s="11" t="s">
        <v>711</v>
      </c>
      <c r="C16" s="12">
        <v>3621</v>
      </c>
      <c r="D16" s="12">
        <v>162</v>
      </c>
      <c r="E16" s="12">
        <v>113</v>
      </c>
      <c r="F16" s="12">
        <v>175</v>
      </c>
      <c r="G16" s="12">
        <v>210</v>
      </c>
      <c r="H16" s="12">
        <v>259</v>
      </c>
      <c r="I16" s="12">
        <v>310</v>
      </c>
      <c r="J16" s="12">
        <v>51</v>
      </c>
      <c r="K16" s="12">
        <v>133</v>
      </c>
      <c r="L16" s="12">
        <v>164</v>
      </c>
      <c r="M16" s="12">
        <v>56</v>
      </c>
      <c r="N16" s="12">
        <v>56</v>
      </c>
      <c r="O16" s="12">
        <v>64</v>
      </c>
      <c r="P16" s="12">
        <v>95</v>
      </c>
      <c r="Q16" s="12">
        <v>149</v>
      </c>
      <c r="R16" s="12">
        <v>22</v>
      </c>
      <c r="S16" s="12">
        <v>83</v>
      </c>
      <c r="T16" s="12">
        <v>117</v>
      </c>
      <c r="U16" s="12">
        <v>38</v>
      </c>
      <c r="V16" s="12">
        <v>152</v>
      </c>
      <c r="W16" s="12">
        <v>45</v>
      </c>
      <c r="X16" s="12">
        <v>244</v>
      </c>
      <c r="Y16" s="12">
        <v>104</v>
      </c>
      <c r="Z16" s="12">
        <v>159</v>
      </c>
      <c r="AA16" s="12">
        <v>54</v>
      </c>
      <c r="AB16" s="12">
        <v>197</v>
      </c>
      <c r="AC16" s="12">
        <v>90</v>
      </c>
      <c r="AD16" s="12">
        <v>126</v>
      </c>
      <c r="AE16" s="12">
        <v>128</v>
      </c>
      <c r="AF16" s="12">
        <v>212</v>
      </c>
    </row>
    <row r="17" spans="1:32">
      <c r="A17" s="23"/>
      <c r="B17" s="13" t="s">
        <v>712</v>
      </c>
      <c r="C17" s="14">
        <v>0.14000000000000001</v>
      </c>
      <c r="D17" s="14">
        <v>0.16</v>
      </c>
      <c r="E17" s="14">
        <v>0.11</v>
      </c>
      <c r="F17" s="14">
        <v>0.17</v>
      </c>
      <c r="G17" s="14">
        <v>0.21</v>
      </c>
      <c r="H17" s="14">
        <v>0.21</v>
      </c>
      <c r="I17" s="14">
        <v>0.21</v>
      </c>
      <c r="J17" s="14">
        <v>0.17</v>
      </c>
      <c r="K17" s="14">
        <v>0.13</v>
      </c>
      <c r="L17" s="14">
        <v>0.16</v>
      </c>
      <c r="M17" s="14">
        <v>0.05</v>
      </c>
      <c r="N17" s="14">
        <v>0.06</v>
      </c>
      <c r="O17" s="14">
        <v>0.06</v>
      </c>
      <c r="P17" s="14">
        <v>0.09</v>
      </c>
      <c r="Q17" s="14">
        <v>0.14000000000000001</v>
      </c>
      <c r="R17" s="14">
        <v>0.04</v>
      </c>
      <c r="S17" s="14">
        <v>0.08</v>
      </c>
      <c r="T17" s="14">
        <v>0.12</v>
      </c>
      <c r="U17" s="14">
        <v>0.08</v>
      </c>
      <c r="V17" s="14">
        <v>0.15</v>
      </c>
      <c r="W17" s="14">
        <v>0.09</v>
      </c>
      <c r="X17" s="14">
        <v>0.24</v>
      </c>
      <c r="Y17" s="14">
        <v>0.1</v>
      </c>
      <c r="Z17" s="14">
        <v>0.16</v>
      </c>
      <c r="AA17" s="14">
        <v>0.05</v>
      </c>
      <c r="AB17" s="14">
        <v>0.19</v>
      </c>
      <c r="AC17" s="14">
        <v>0.09</v>
      </c>
      <c r="AD17" s="14">
        <v>0.13</v>
      </c>
      <c r="AE17" s="14">
        <v>0.13</v>
      </c>
      <c r="AF17" s="14">
        <v>0.2</v>
      </c>
    </row>
    <row r="18" spans="1:32">
      <c r="A18" s="23"/>
      <c r="B18" s="11" t="s">
        <v>713</v>
      </c>
      <c r="C18" s="12">
        <v>778</v>
      </c>
      <c r="D18" s="12">
        <v>42</v>
      </c>
      <c r="E18" s="12">
        <v>22</v>
      </c>
      <c r="F18" s="12">
        <v>19</v>
      </c>
      <c r="G18" s="12">
        <v>168</v>
      </c>
      <c r="H18" s="12">
        <v>25</v>
      </c>
      <c r="I18" s="12">
        <v>32</v>
      </c>
      <c r="J18" s="12">
        <v>7</v>
      </c>
      <c r="K18" s="12">
        <v>47</v>
      </c>
      <c r="L18" s="12">
        <v>42</v>
      </c>
      <c r="M18" s="12">
        <v>7</v>
      </c>
      <c r="N18" s="12">
        <v>13</v>
      </c>
      <c r="O18" s="12">
        <v>15</v>
      </c>
      <c r="P18" s="12">
        <v>20</v>
      </c>
      <c r="Q18" s="12">
        <v>21</v>
      </c>
      <c r="R18" s="12">
        <v>11</v>
      </c>
      <c r="S18" s="12">
        <v>12</v>
      </c>
      <c r="T18" s="12">
        <v>26</v>
      </c>
      <c r="U18" s="12">
        <v>12</v>
      </c>
      <c r="V18" s="12">
        <v>32</v>
      </c>
      <c r="W18" s="12">
        <v>32</v>
      </c>
      <c r="X18" s="12">
        <v>67</v>
      </c>
      <c r="Y18" s="12">
        <v>44</v>
      </c>
      <c r="Z18" s="12">
        <v>67</v>
      </c>
      <c r="AA18" s="12">
        <v>15</v>
      </c>
      <c r="AB18" s="12">
        <v>41</v>
      </c>
      <c r="AC18" s="12">
        <v>8</v>
      </c>
      <c r="AD18" s="12">
        <v>14</v>
      </c>
      <c r="AE18" s="12">
        <v>27</v>
      </c>
      <c r="AF18" s="12">
        <v>81</v>
      </c>
    </row>
    <row r="19" spans="1:32">
      <c r="A19" s="23"/>
      <c r="B19" s="13" t="s">
        <v>714</v>
      </c>
      <c r="C19" s="14">
        <v>0.03</v>
      </c>
      <c r="D19" s="14">
        <v>0.04</v>
      </c>
      <c r="E19" s="14">
        <v>0.02</v>
      </c>
      <c r="F19" s="14">
        <v>0.02</v>
      </c>
      <c r="G19" s="14">
        <v>0.17</v>
      </c>
      <c r="H19" s="14">
        <v>0.02</v>
      </c>
      <c r="I19" s="14">
        <v>0.02</v>
      </c>
      <c r="J19" s="14">
        <v>0.03</v>
      </c>
      <c r="K19" s="14">
        <v>0.05</v>
      </c>
      <c r="L19" s="14">
        <v>0.04</v>
      </c>
      <c r="M19" s="14">
        <v>0.01</v>
      </c>
      <c r="N19" s="14">
        <v>0.01</v>
      </c>
      <c r="O19" s="14">
        <v>0.02</v>
      </c>
      <c r="P19" s="14">
        <v>0.02</v>
      </c>
      <c r="Q19" s="14">
        <v>0.02</v>
      </c>
      <c r="R19" s="14">
        <v>0.02</v>
      </c>
      <c r="S19" s="14">
        <v>0.01</v>
      </c>
      <c r="T19" s="14">
        <v>0.03</v>
      </c>
      <c r="U19" s="14">
        <v>0.03</v>
      </c>
      <c r="V19" s="14">
        <v>0.03</v>
      </c>
      <c r="W19" s="14">
        <v>0.06</v>
      </c>
      <c r="X19" s="14">
        <v>7.0000000000000007E-2</v>
      </c>
      <c r="Y19" s="14">
        <v>0.04</v>
      </c>
      <c r="Z19" s="14">
        <v>7.0000000000000007E-2</v>
      </c>
      <c r="AA19" s="14">
        <v>0.01</v>
      </c>
      <c r="AB19" s="14">
        <v>0.04</v>
      </c>
      <c r="AC19" s="14">
        <v>0.01</v>
      </c>
      <c r="AD19" s="14">
        <v>0.01</v>
      </c>
      <c r="AE19" s="14">
        <v>0.03</v>
      </c>
      <c r="AF19" s="14">
        <v>7.0000000000000007E-2</v>
      </c>
    </row>
    <row r="20" spans="1:32">
      <c r="A20" s="23"/>
      <c r="B20" s="11" t="s">
        <v>497</v>
      </c>
      <c r="C20" s="12">
        <v>2485</v>
      </c>
      <c r="D20" s="12">
        <v>55</v>
      </c>
      <c r="E20" s="12">
        <v>128</v>
      </c>
      <c r="F20" s="12">
        <v>104</v>
      </c>
      <c r="G20" s="12">
        <v>111</v>
      </c>
      <c r="H20" s="12">
        <v>213</v>
      </c>
      <c r="I20" s="12">
        <v>232</v>
      </c>
      <c r="J20" s="12">
        <v>19</v>
      </c>
      <c r="K20" s="12">
        <v>177</v>
      </c>
      <c r="L20" s="12">
        <v>170</v>
      </c>
      <c r="M20" s="12">
        <v>40</v>
      </c>
      <c r="N20" s="12">
        <v>94</v>
      </c>
      <c r="O20" s="12">
        <v>105</v>
      </c>
      <c r="P20" s="12">
        <v>29</v>
      </c>
      <c r="Q20" s="12">
        <v>39</v>
      </c>
      <c r="R20" s="12">
        <v>28</v>
      </c>
      <c r="S20" s="12">
        <v>187</v>
      </c>
      <c r="T20" s="12">
        <v>193</v>
      </c>
      <c r="U20" s="12">
        <v>62</v>
      </c>
      <c r="V20" s="12">
        <v>42</v>
      </c>
      <c r="W20" s="12">
        <v>36</v>
      </c>
      <c r="X20" s="12">
        <v>77</v>
      </c>
      <c r="Y20" s="12">
        <v>82</v>
      </c>
      <c r="Z20" s="12">
        <v>72</v>
      </c>
      <c r="AA20" s="12">
        <v>121</v>
      </c>
      <c r="AB20" s="12">
        <v>74</v>
      </c>
      <c r="AC20" s="12">
        <v>58</v>
      </c>
      <c r="AD20" s="12">
        <v>124</v>
      </c>
      <c r="AE20" s="12">
        <v>88</v>
      </c>
      <c r="AF20" s="12">
        <v>71</v>
      </c>
    </row>
    <row r="21" spans="1:32">
      <c r="A21" s="23"/>
      <c r="B21" s="13" t="s">
        <v>498</v>
      </c>
      <c r="C21" s="14">
        <v>0.09</v>
      </c>
      <c r="D21" s="14">
        <v>0.06</v>
      </c>
      <c r="E21" s="14">
        <v>0.12</v>
      </c>
      <c r="F21" s="14">
        <v>0.1</v>
      </c>
      <c r="G21" s="14">
        <v>0.11</v>
      </c>
      <c r="H21" s="14">
        <v>0.18</v>
      </c>
      <c r="I21" s="14">
        <v>0.15</v>
      </c>
      <c r="J21" s="14">
        <v>7.0000000000000007E-2</v>
      </c>
      <c r="K21" s="14">
        <v>0.18</v>
      </c>
      <c r="L21" s="14">
        <v>0.17</v>
      </c>
      <c r="M21" s="14">
        <v>0.04</v>
      </c>
      <c r="N21" s="14">
        <v>0.09</v>
      </c>
      <c r="O21" s="14">
        <v>0.11</v>
      </c>
      <c r="P21" s="14">
        <v>0.03</v>
      </c>
      <c r="Q21" s="14">
        <v>0.04</v>
      </c>
      <c r="R21" s="14">
        <v>0.06</v>
      </c>
      <c r="S21" s="14">
        <v>0.19</v>
      </c>
      <c r="T21" s="14">
        <v>0.19</v>
      </c>
      <c r="U21" s="14">
        <v>0.12</v>
      </c>
      <c r="V21" s="14">
        <v>0.04</v>
      </c>
      <c r="W21" s="14">
        <v>7.0000000000000007E-2</v>
      </c>
      <c r="X21" s="14">
        <v>7.0000000000000007E-2</v>
      </c>
      <c r="Y21" s="14">
        <v>0.08</v>
      </c>
      <c r="Z21" s="14">
        <v>7.0000000000000007E-2</v>
      </c>
      <c r="AA21" s="14">
        <v>0.12</v>
      </c>
      <c r="AB21" s="14">
        <v>7.0000000000000007E-2</v>
      </c>
      <c r="AC21" s="14">
        <v>0.05</v>
      </c>
      <c r="AD21" s="14">
        <v>0.12</v>
      </c>
      <c r="AE21" s="14">
        <v>0.09</v>
      </c>
      <c r="AF21" s="14">
        <v>7.0000000000000007E-2</v>
      </c>
    </row>
    <row r="22" spans="1:32">
      <c r="A22" s="23"/>
      <c r="B22" s="11" t="s">
        <v>715</v>
      </c>
      <c r="C22" s="12">
        <v>19470</v>
      </c>
      <c r="D22" s="12">
        <v>746</v>
      </c>
      <c r="E22" s="12">
        <v>781</v>
      </c>
      <c r="F22" s="12">
        <v>710</v>
      </c>
      <c r="G22" s="12">
        <v>513</v>
      </c>
      <c r="H22" s="12">
        <v>715</v>
      </c>
      <c r="I22" s="12">
        <v>931</v>
      </c>
      <c r="J22" s="12">
        <v>216</v>
      </c>
      <c r="K22" s="12">
        <v>648</v>
      </c>
      <c r="L22" s="12">
        <v>630</v>
      </c>
      <c r="M22" s="12">
        <v>910</v>
      </c>
      <c r="N22" s="12">
        <v>837</v>
      </c>
      <c r="O22" s="12">
        <v>822</v>
      </c>
      <c r="P22" s="12">
        <v>867</v>
      </c>
      <c r="Q22" s="12">
        <v>815</v>
      </c>
      <c r="R22" s="12">
        <v>442</v>
      </c>
      <c r="S22" s="12">
        <v>723</v>
      </c>
      <c r="T22" s="12">
        <v>668</v>
      </c>
      <c r="U22" s="12">
        <v>390</v>
      </c>
      <c r="V22" s="12">
        <v>785</v>
      </c>
      <c r="W22" s="12">
        <v>390</v>
      </c>
      <c r="X22" s="12">
        <v>628</v>
      </c>
      <c r="Y22" s="12">
        <v>777</v>
      </c>
      <c r="Z22" s="12">
        <v>719</v>
      </c>
      <c r="AA22" s="12">
        <v>850</v>
      </c>
      <c r="AB22" s="12">
        <v>718</v>
      </c>
      <c r="AC22" s="12">
        <v>850</v>
      </c>
      <c r="AD22" s="12">
        <v>738</v>
      </c>
      <c r="AE22" s="12">
        <v>766</v>
      </c>
      <c r="AF22" s="12">
        <v>709</v>
      </c>
    </row>
    <row r="23" spans="1:32">
      <c r="A23" s="23"/>
      <c r="B23" s="13" t="s">
        <v>716</v>
      </c>
      <c r="C23" s="14">
        <v>0.74</v>
      </c>
      <c r="D23" s="14">
        <v>0.74</v>
      </c>
      <c r="E23" s="14">
        <v>0.75</v>
      </c>
      <c r="F23" s="14">
        <v>0.71</v>
      </c>
      <c r="G23" s="14">
        <v>0.51</v>
      </c>
      <c r="H23" s="14">
        <v>0.59</v>
      </c>
      <c r="I23" s="14">
        <v>0.62</v>
      </c>
      <c r="J23" s="14">
        <v>0.73</v>
      </c>
      <c r="K23" s="14">
        <v>0.64</v>
      </c>
      <c r="L23" s="14">
        <v>0.63</v>
      </c>
      <c r="M23" s="14">
        <v>0.9</v>
      </c>
      <c r="N23" s="14">
        <v>0.84</v>
      </c>
      <c r="O23" s="14">
        <v>0.81</v>
      </c>
      <c r="P23" s="14">
        <v>0.86</v>
      </c>
      <c r="Q23" s="14">
        <v>0.8</v>
      </c>
      <c r="R23" s="14">
        <v>0.88</v>
      </c>
      <c r="S23" s="14">
        <v>0.72</v>
      </c>
      <c r="T23" s="14">
        <v>0.66</v>
      </c>
      <c r="U23" s="14">
        <v>0.77</v>
      </c>
      <c r="V23" s="14">
        <v>0.78</v>
      </c>
      <c r="W23" s="14">
        <v>0.78</v>
      </c>
      <c r="X23" s="14">
        <v>0.62</v>
      </c>
      <c r="Y23" s="14">
        <v>0.78</v>
      </c>
      <c r="Z23" s="14">
        <v>0.70000000000000007</v>
      </c>
      <c r="AA23" s="14">
        <v>0.82000000000000006</v>
      </c>
      <c r="AB23" s="14">
        <v>0.70000000000000007</v>
      </c>
      <c r="AC23" s="14">
        <v>0.85</v>
      </c>
      <c r="AD23" s="14">
        <v>0.74</v>
      </c>
      <c r="AE23" s="14">
        <v>0.75</v>
      </c>
      <c r="AF23" s="14">
        <v>0.66</v>
      </c>
    </row>
    <row r="24" spans="1:32">
      <c r="A24" s="23"/>
      <c r="B24" s="11" t="s">
        <v>717</v>
      </c>
      <c r="C24" s="12">
        <v>4399</v>
      </c>
      <c r="D24" s="12">
        <v>204</v>
      </c>
      <c r="E24" s="12">
        <v>135</v>
      </c>
      <c r="F24" s="12">
        <v>194</v>
      </c>
      <c r="G24" s="12">
        <v>378</v>
      </c>
      <c r="H24" s="12">
        <v>284</v>
      </c>
      <c r="I24" s="12">
        <v>342</v>
      </c>
      <c r="J24" s="12">
        <v>58</v>
      </c>
      <c r="K24" s="12">
        <v>180</v>
      </c>
      <c r="L24" s="12">
        <v>206</v>
      </c>
      <c r="M24" s="12">
        <v>63</v>
      </c>
      <c r="N24" s="12">
        <v>69</v>
      </c>
      <c r="O24" s="12">
        <v>79</v>
      </c>
      <c r="P24" s="12">
        <v>115</v>
      </c>
      <c r="Q24" s="12">
        <v>170</v>
      </c>
      <c r="R24" s="12">
        <v>33</v>
      </c>
      <c r="S24" s="12">
        <v>95</v>
      </c>
      <c r="T24" s="12">
        <v>143</v>
      </c>
      <c r="U24" s="12">
        <v>50</v>
      </c>
      <c r="V24" s="12">
        <v>184</v>
      </c>
      <c r="W24" s="12">
        <v>77</v>
      </c>
      <c r="X24" s="12">
        <v>311</v>
      </c>
      <c r="Y24" s="12">
        <v>148</v>
      </c>
      <c r="Z24" s="12">
        <v>226</v>
      </c>
      <c r="AA24" s="12">
        <v>69</v>
      </c>
      <c r="AB24" s="12">
        <v>238</v>
      </c>
      <c r="AC24" s="12">
        <v>98</v>
      </c>
      <c r="AD24" s="12">
        <v>140</v>
      </c>
      <c r="AE24" s="12">
        <v>155</v>
      </c>
      <c r="AF24" s="12">
        <v>293</v>
      </c>
    </row>
    <row r="25" spans="1:32">
      <c r="A25" s="23"/>
      <c r="B25" s="13" t="s">
        <v>718</v>
      </c>
      <c r="C25" s="14">
        <v>0.17</v>
      </c>
      <c r="D25" s="14">
        <v>0.2</v>
      </c>
      <c r="E25" s="14">
        <v>0.13</v>
      </c>
      <c r="F25" s="14">
        <v>0.19</v>
      </c>
      <c r="G25" s="14">
        <v>0.38</v>
      </c>
      <c r="H25" s="14">
        <v>0.23</v>
      </c>
      <c r="I25" s="14">
        <v>0.23</v>
      </c>
      <c r="J25" s="14">
        <v>0.2</v>
      </c>
      <c r="K25" s="14">
        <v>0.18</v>
      </c>
      <c r="L25" s="14">
        <v>0.2</v>
      </c>
      <c r="M25" s="14">
        <v>0.06</v>
      </c>
      <c r="N25" s="14">
        <v>7.0000000000000007E-2</v>
      </c>
      <c r="O25" s="14">
        <v>0.08</v>
      </c>
      <c r="P25" s="14">
        <v>0.11</v>
      </c>
      <c r="Q25" s="14">
        <v>0.16</v>
      </c>
      <c r="R25" s="14">
        <v>0.06</v>
      </c>
      <c r="S25" s="14">
        <v>0.09</v>
      </c>
      <c r="T25" s="14">
        <v>0.15</v>
      </c>
      <c r="U25" s="14">
        <v>0.11</v>
      </c>
      <c r="V25" s="14">
        <v>0.18</v>
      </c>
      <c r="W25" s="14">
        <v>0.15</v>
      </c>
      <c r="X25" s="14">
        <v>0.31</v>
      </c>
      <c r="Y25" s="14">
        <v>0.14000000000000001</v>
      </c>
      <c r="Z25" s="14">
        <v>0.23</v>
      </c>
      <c r="AA25" s="14">
        <v>0.06</v>
      </c>
      <c r="AB25" s="14">
        <v>0.23</v>
      </c>
      <c r="AC25" s="14">
        <v>0.1</v>
      </c>
      <c r="AD25" s="14">
        <v>0.14000000000000001</v>
      </c>
      <c r="AE25" s="14">
        <v>0.16</v>
      </c>
      <c r="AF25" s="14">
        <v>0.27</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4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1676</v>
      </c>
      <c r="C3" s="19"/>
      <c r="D3" s="19"/>
      <c r="E3" s="19"/>
      <c r="F3" s="19"/>
      <c r="H3" s="19" t="s">
        <v>1677</v>
      </c>
      <c r="I3" s="19"/>
      <c r="J3" s="19"/>
      <c r="K3" s="19"/>
      <c r="L3" s="19"/>
    </row>
    <row r="4" spans="1:32" ht="27" customHeight="1">
      <c r="B4" s="19" t="s">
        <v>1678</v>
      </c>
      <c r="C4" s="19"/>
      <c r="D4" s="19"/>
      <c r="E4" s="19"/>
      <c r="F4" s="19"/>
      <c r="H4" s="19" t="s">
        <v>1679</v>
      </c>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HYPERLINK("#Content!A201","&lt;&lt;Back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707</v>
      </c>
      <c r="C12" s="12">
        <v>1951</v>
      </c>
      <c r="D12" s="12">
        <v>70</v>
      </c>
      <c r="E12" s="12">
        <v>49</v>
      </c>
      <c r="F12" s="12">
        <v>85</v>
      </c>
      <c r="G12" s="12">
        <v>166</v>
      </c>
      <c r="H12" s="12">
        <v>69</v>
      </c>
      <c r="I12" s="12">
        <v>79</v>
      </c>
      <c r="J12" s="12">
        <v>10</v>
      </c>
      <c r="K12" s="12">
        <v>58</v>
      </c>
      <c r="L12" s="12">
        <v>68</v>
      </c>
      <c r="M12" s="12">
        <v>82</v>
      </c>
      <c r="N12" s="12">
        <v>77</v>
      </c>
      <c r="O12" s="12">
        <v>38</v>
      </c>
      <c r="P12" s="12">
        <v>146</v>
      </c>
      <c r="Q12" s="12">
        <v>109</v>
      </c>
      <c r="R12" s="12">
        <v>21</v>
      </c>
      <c r="S12" s="12">
        <v>47</v>
      </c>
      <c r="T12" s="12">
        <v>52</v>
      </c>
      <c r="U12" s="12">
        <v>32</v>
      </c>
      <c r="V12" s="12">
        <v>108</v>
      </c>
      <c r="W12" s="12">
        <v>28</v>
      </c>
      <c r="X12" s="12">
        <v>69</v>
      </c>
      <c r="Y12" s="12">
        <v>166</v>
      </c>
      <c r="Z12" s="12">
        <v>86</v>
      </c>
      <c r="AA12" s="12">
        <v>81</v>
      </c>
      <c r="AB12" s="12">
        <v>112</v>
      </c>
      <c r="AC12" s="12">
        <v>49</v>
      </c>
      <c r="AD12" s="12">
        <v>30</v>
      </c>
      <c r="AE12" s="12">
        <v>87</v>
      </c>
      <c r="AF12" s="12">
        <v>49</v>
      </c>
    </row>
    <row r="13" spans="1:32">
      <c r="A13" s="23"/>
      <c r="B13" s="13" t="s">
        <v>708</v>
      </c>
      <c r="C13" s="14">
        <v>7.0000000000000007E-2</v>
      </c>
      <c r="D13" s="14">
        <v>7.0000000000000007E-2</v>
      </c>
      <c r="E13" s="14">
        <v>0.05</v>
      </c>
      <c r="F13" s="14">
        <v>0.09</v>
      </c>
      <c r="G13" s="14">
        <v>0.16</v>
      </c>
      <c r="H13" s="14">
        <v>0.06</v>
      </c>
      <c r="I13" s="14">
        <v>0.05</v>
      </c>
      <c r="J13" s="14">
        <v>0.03</v>
      </c>
      <c r="K13" s="14">
        <v>0.06</v>
      </c>
      <c r="L13" s="14">
        <v>7.0000000000000007E-2</v>
      </c>
      <c r="M13" s="14">
        <v>0.08</v>
      </c>
      <c r="N13" s="14">
        <v>0.08</v>
      </c>
      <c r="O13" s="14">
        <v>0.04</v>
      </c>
      <c r="P13" s="14">
        <v>0.14000000000000001</v>
      </c>
      <c r="Q13" s="14">
        <v>0.11</v>
      </c>
      <c r="R13" s="14">
        <v>0.04</v>
      </c>
      <c r="S13" s="14">
        <v>0.05</v>
      </c>
      <c r="T13" s="14">
        <v>0.05</v>
      </c>
      <c r="U13" s="14">
        <v>0.06</v>
      </c>
      <c r="V13" s="14">
        <v>0.11</v>
      </c>
      <c r="W13" s="14">
        <v>0.05</v>
      </c>
      <c r="X13" s="14">
        <v>7.0000000000000007E-2</v>
      </c>
      <c r="Y13" s="14">
        <v>0.16</v>
      </c>
      <c r="Z13" s="14">
        <v>0.08</v>
      </c>
      <c r="AA13" s="14">
        <v>0.08</v>
      </c>
      <c r="AB13" s="14">
        <v>0.11</v>
      </c>
      <c r="AC13" s="14">
        <v>0.05</v>
      </c>
      <c r="AD13" s="14">
        <v>0.03</v>
      </c>
      <c r="AE13" s="14">
        <v>0.09</v>
      </c>
      <c r="AF13" s="14">
        <v>0.05</v>
      </c>
    </row>
    <row r="14" spans="1:32">
      <c r="A14" s="23"/>
      <c r="B14" s="11" t="s">
        <v>709</v>
      </c>
      <c r="C14" s="12">
        <v>8153</v>
      </c>
      <c r="D14" s="12">
        <v>413</v>
      </c>
      <c r="E14" s="12">
        <v>146</v>
      </c>
      <c r="F14" s="12">
        <v>265</v>
      </c>
      <c r="G14" s="12">
        <v>339</v>
      </c>
      <c r="H14" s="12">
        <v>371</v>
      </c>
      <c r="I14" s="12">
        <v>455</v>
      </c>
      <c r="J14" s="12">
        <v>84</v>
      </c>
      <c r="K14" s="12">
        <v>285</v>
      </c>
      <c r="L14" s="12">
        <v>275</v>
      </c>
      <c r="M14" s="12">
        <v>193</v>
      </c>
      <c r="N14" s="12">
        <v>248</v>
      </c>
      <c r="O14" s="12">
        <v>281</v>
      </c>
      <c r="P14" s="12">
        <v>323</v>
      </c>
      <c r="Q14" s="12">
        <v>356</v>
      </c>
      <c r="R14" s="12">
        <v>69</v>
      </c>
      <c r="S14" s="12">
        <v>197</v>
      </c>
      <c r="T14" s="12">
        <v>299</v>
      </c>
      <c r="U14" s="12">
        <v>171</v>
      </c>
      <c r="V14" s="12">
        <v>273</v>
      </c>
      <c r="W14" s="12">
        <v>105</v>
      </c>
      <c r="X14" s="12">
        <v>406</v>
      </c>
      <c r="Y14" s="12">
        <v>316</v>
      </c>
      <c r="Z14" s="12">
        <v>396</v>
      </c>
      <c r="AA14" s="12">
        <v>279</v>
      </c>
      <c r="AB14" s="12">
        <v>343</v>
      </c>
      <c r="AC14" s="12">
        <v>216</v>
      </c>
      <c r="AD14" s="12">
        <v>302</v>
      </c>
      <c r="AE14" s="12">
        <v>392</v>
      </c>
      <c r="AF14" s="12">
        <v>429</v>
      </c>
    </row>
    <row r="15" spans="1:32">
      <c r="A15" s="23"/>
      <c r="B15" s="13" t="s">
        <v>710</v>
      </c>
      <c r="C15" s="14">
        <v>0.31</v>
      </c>
      <c r="D15" s="14">
        <v>0.41</v>
      </c>
      <c r="E15" s="14">
        <v>0.14000000000000001</v>
      </c>
      <c r="F15" s="14">
        <v>0.26</v>
      </c>
      <c r="G15" s="14">
        <v>0.34</v>
      </c>
      <c r="H15" s="14">
        <v>0.31</v>
      </c>
      <c r="I15" s="14">
        <v>0.3</v>
      </c>
      <c r="J15" s="14">
        <v>0.28999999999999998</v>
      </c>
      <c r="K15" s="14">
        <v>0.28000000000000003</v>
      </c>
      <c r="L15" s="14">
        <v>0.27</v>
      </c>
      <c r="M15" s="14">
        <v>0.19</v>
      </c>
      <c r="N15" s="14">
        <v>0.25</v>
      </c>
      <c r="O15" s="14">
        <v>0.28000000000000003</v>
      </c>
      <c r="P15" s="14">
        <v>0.32</v>
      </c>
      <c r="Q15" s="14">
        <v>0.35</v>
      </c>
      <c r="R15" s="14">
        <v>0.14000000000000001</v>
      </c>
      <c r="S15" s="14">
        <v>0.19</v>
      </c>
      <c r="T15" s="14">
        <v>0.3</v>
      </c>
      <c r="U15" s="14">
        <v>0.34</v>
      </c>
      <c r="V15" s="14">
        <v>0.27</v>
      </c>
      <c r="W15" s="14">
        <v>0.21</v>
      </c>
      <c r="X15" s="14">
        <v>0.4</v>
      </c>
      <c r="Y15" s="14">
        <v>0.31</v>
      </c>
      <c r="Z15" s="14">
        <v>0.39</v>
      </c>
      <c r="AA15" s="14">
        <v>0.27</v>
      </c>
      <c r="AB15" s="14">
        <v>0.33</v>
      </c>
      <c r="AC15" s="14">
        <v>0.21</v>
      </c>
      <c r="AD15" s="14">
        <v>0.3</v>
      </c>
      <c r="AE15" s="14">
        <v>0.39</v>
      </c>
      <c r="AF15" s="14">
        <v>0.4</v>
      </c>
    </row>
    <row r="16" spans="1:32">
      <c r="A16" s="23"/>
      <c r="B16" s="11" t="s">
        <v>711</v>
      </c>
      <c r="C16" s="12">
        <v>8875</v>
      </c>
      <c r="D16" s="12">
        <v>339</v>
      </c>
      <c r="E16" s="12">
        <v>349</v>
      </c>
      <c r="F16" s="12">
        <v>383</v>
      </c>
      <c r="G16" s="12">
        <v>197</v>
      </c>
      <c r="H16" s="12">
        <v>414</v>
      </c>
      <c r="I16" s="12">
        <v>539</v>
      </c>
      <c r="J16" s="12">
        <v>125</v>
      </c>
      <c r="K16" s="12">
        <v>251</v>
      </c>
      <c r="L16" s="12">
        <v>317</v>
      </c>
      <c r="M16" s="12">
        <v>340</v>
      </c>
      <c r="N16" s="12">
        <v>348</v>
      </c>
      <c r="O16" s="12">
        <v>352</v>
      </c>
      <c r="P16" s="12">
        <v>248</v>
      </c>
      <c r="Q16" s="12">
        <v>342</v>
      </c>
      <c r="R16" s="12">
        <v>185</v>
      </c>
      <c r="S16" s="12">
        <v>368</v>
      </c>
      <c r="T16" s="12">
        <v>384</v>
      </c>
      <c r="U16" s="12">
        <v>138</v>
      </c>
      <c r="V16" s="12">
        <v>342</v>
      </c>
      <c r="W16" s="12">
        <v>172</v>
      </c>
      <c r="X16" s="12">
        <v>293</v>
      </c>
      <c r="Y16" s="12">
        <v>236</v>
      </c>
      <c r="Z16" s="12">
        <v>314</v>
      </c>
      <c r="AA16" s="12">
        <v>461</v>
      </c>
      <c r="AB16" s="12">
        <v>357</v>
      </c>
      <c r="AC16" s="12">
        <v>398</v>
      </c>
      <c r="AD16" s="12">
        <v>418</v>
      </c>
      <c r="AE16" s="12">
        <v>246</v>
      </c>
      <c r="AF16" s="12">
        <v>269</v>
      </c>
    </row>
    <row r="17" spans="1:32">
      <c r="A17" s="23"/>
      <c r="B17" s="13" t="s">
        <v>712</v>
      </c>
      <c r="C17" s="14">
        <v>0.34</v>
      </c>
      <c r="D17" s="14">
        <v>0.34</v>
      </c>
      <c r="E17" s="14">
        <v>0.33</v>
      </c>
      <c r="F17" s="14">
        <v>0.38</v>
      </c>
      <c r="G17" s="14">
        <v>0.2</v>
      </c>
      <c r="H17" s="14">
        <v>0.34</v>
      </c>
      <c r="I17" s="14">
        <v>0.36</v>
      </c>
      <c r="J17" s="14">
        <v>0.42</v>
      </c>
      <c r="K17" s="14">
        <v>0.25</v>
      </c>
      <c r="L17" s="14">
        <v>0.32</v>
      </c>
      <c r="M17" s="14">
        <v>0.34</v>
      </c>
      <c r="N17" s="14">
        <v>0.35</v>
      </c>
      <c r="O17" s="14">
        <v>0.35</v>
      </c>
      <c r="P17" s="14">
        <v>0.25</v>
      </c>
      <c r="Q17" s="14">
        <v>0.33</v>
      </c>
      <c r="R17" s="14">
        <v>0.37</v>
      </c>
      <c r="S17" s="14">
        <v>0.37</v>
      </c>
      <c r="T17" s="14">
        <v>0.38</v>
      </c>
      <c r="U17" s="14">
        <v>0.28000000000000003</v>
      </c>
      <c r="V17" s="14">
        <v>0.34</v>
      </c>
      <c r="W17" s="14">
        <v>0.34</v>
      </c>
      <c r="X17" s="14">
        <v>0.28999999999999998</v>
      </c>
      <c r="Y17" s="14">
        <v>0.24</v>
      </c>
      <c r="Z17" s="14">
        <v>0.31</v>
      </c>
      <c r="AA17" s="14">
        <v>0.44</v>
      </c>
      <c r="AB17" s="14">
        <v>0.35</v>
      </c>
      <c r="AC17" s="14">
        <v>0.4</v>
      </c>
      <c r="AD17" s="14">
        <v>0.42</v>
      </c>
      <c r="AE17" s="14">
        <v>0.24</v>
      </c>
      <c r="AF17" s="14">
        <v>0.25</v>
      </c>
    </row>
    <row r="18" spans="1:32">
      <c r="A18" s="23"/>
      <c r="B18" s="11" t="s">
        <v>713</v>
      </c>
      <c r="C18" s="12">
        <v>3764</v>
      </c>
      <c r="D18" s="12">
        <v>87</v>
      </c>
      <c r="E18" s="12">
        <v>386</v>
      </c>
      <c r="F18" s="12">
        <v>121</v>
      </c>
      <c r="G18" s="12">
        <v>78</v>
      </c>
      <c r="H18" s="12">
        <v>76</v>
      </c>
      <c r="I18" s="12">
        <v>114</v>
      </c>
      <c r="J18" s="12">
        <v>39</v>
      </c>
      <c r="K18" s="12">
        <v>123</v>
      </c>
      <c r="L18" s="12">
        <v>135</v>
      </c>
      <c r="M18" s="12">
        <v>358</v>
      </c>
      <c r="N18" s="12">
        <v>247</v>
      </c>
      <c r="O18" s="12">
        <v>161</v>
      </c>
      <c r="P18" s="12">
        <v>259</v>
      </c>
      <c r="Q18" s="12">
        <v>165</v>
      </c>
      <c r="R18" s="12">
        <v>187</v>
      </c>
      <c r="S18" s="12">
        <v>158</v>
      </c>
      <c r="T18" s="12">
        <v>122</v>
      </c>
      <c r="U18" s="12">
        <v>39</v>
      </c>
      <c r="V18" s="12">
        <v>228</v>
      </c>
      <c r="W18" s="12">
        <v>159</v>
      </c>
      <c r="X18" s="12">
        <v>60</v>
      </c>
      <c r="Y18" s="12">
        <v>137</v>
      </c>
      <c r="Z18" s="12">
        <v>78</v>
      </c>
      <c r="AA18" s="12">
        <v>123</v>
      </c>
      <c r="AB18" s="12">
        <v>147</v>
      </c>
      <c r="AC18" s="12">
        <v>245</v>
      </c>
      <c r="AD18" s="12">
        <v>104</v>
      </c>
      <c r="AE18" s="12">
        <v>47</v>
      </c>
      <c r="AF18" s="12">
        <v>75</v>
      </c>
    </row>
    <row r="19" spans="1:32">
      <c r="A19" s="23"/>
      <c r="B19" s="13" t="s">
        <v>714</v>
      </c>
      <c r="C19" s="14">
        <v>0.14000000000000001</v>
      </c>
      <c r="D19" s="14">
        <v>0.08</v>
      </c>
      <c r="E19" s="14">
        <v>0.37</v>
      </c>
      <c r="F19" s="14">
        <v>0.12</v>
      </c>
      <c r="G19" s="14">
        <v>0.08</v>
      </c>
      <c r="H19" s="14">
        <v>0.06</v>
      </c>
      <c r="I19" s="14">
        <v>0.08</v>
      </c>
      <c r="J19" s="14">
        <v>0.13</v>
      </c>
      <c r="K19" s="14">
        <v>0.12</v>
      </c>
      <c r="L19" s="14">
        <v>0.13</v>
      </c>
      <c r="M19" s="14">
        <v>0.35</v>
      </c>
      <c r="N19" s="14">
        <v>0.24</v>
      </c>
      <c r="O19" s="14">
        <v>0.16</v>
      </c>
      <c r="P19" s="14">
        <v>0.26</v>
      </c>
      <c r="Q19" s="14">
        <v>0.16</v>
      </c>
      <c r="R19" s="14">
        <v>0.37</v>
      </c>
      <c r="S19" s="14">
        <v>0.16</v>
      </c>
      <c r="T19" s="14">
        <v>0.12</v>
      </c>
      <c r="U19" s="14">
        <v>0.08</v>
      </c>
      <c r="V19" s="14">
        <v>0.22</v>
      </c>
      <c r="W19" s="14">
        <v>0.32</v>
      </c>
      <c r="X19" s="14">
        <v>0.06</v>
      </c>
      <c r="Y19" s="14">
        <v>0.14000000000000001</v>
      </c>
      <c r="Z19" s="14">
        <v>0.08</v>
      </c>
      <c r="AA19" s="14">
        <v>0.12</v>
      </c>
      <c r="AB19" s="14">
        <v>0.14000000000000001</v>
      </c>
      <c r="AC19" s="14">
        <v>0.24</v>
      </c>
      <c r="AD19" s="14">
        <v>0.1</v>
      </c>
      <c r="AE19" s="14">
        <v>0.05</v>
      </c>
      <c r="AF19" s="14">
        <v>7.0000000000000007E-2</v>
      </c>
    </row>
    <row r="20" spans="1:32">
      <c r="A20" s="23"/>
      <c r="B20" s="11" t="s">
        <v>497</v>
      </c>
      <c r="C20" s="12">
        <v>3610</v>
      </c>
      <c r="D20" s="12">
        <v>98</v>
      </c>
      <c r="E20" s="12">
        <v>112</v>
      </c>
      <c r="F20" s="12">
        <v>154</v>
      </c>
      <c r="G20" s="12">
        <v>223</v>
      </c>
      <c r="H20" s="12">
        <v>280</v>
      </c>
      <c r="I20" s="12">
        <v>316</v>
      </c>
      <c r="J20" s="12">
        <v>37</v>
      </c>
      <c r="K20" s="12">
        <v>287</v>
      </c>
      <c r="L20" s="12">
        <v>212</v>
      </c>
      <c r="M20" s="12">
        <v>39</v>
      </c>
      <c r="N20" s="12">
        <v>80</v>
      </c>
      <c r="O20" s="12">
        <v>173</v>
      </c>
      <c r="P20" s="12">
        <v>34</v>
      </c>
      <c r="Q20" s="12">
        <v>52</v>
      </c>
      <c r="R20" s="12">
        <v>40</v>
      </c>
      <c r="S20" s="12">
        <v>234</v>
      </c>
      <c r="T20" s="12">
        <v>146</v>
      </c>
      <c r="U20" s="12">
        <v>123</v>
      </c>
      <c r="V20" s="12">
        <v>60</v>
      </c>
      <c r="W20" s="12">
        <v>40</v>
      </c>
      <c r="X20" s="12">
        <v>188</v>
      </c>
      <c r="Y20" s="12">
        <v>152</v>
      </c>
      <c r="Z20" s="12">
        <v>143</v>
      </c>
      <c r="AA20" s="12">
        <v>95</v>
      </c>
      <c r="AB20" s="12">
        <v>72</v>
      </c>
      <c r="AC20" s="12">
        <v>96</v>
      </c>
      <c r="AD20" s="12">
        <v>148</v>
      </c>
      <c r="AE20" s="12">
        <v>236</v>
      </c>
      <c r="AF20" s="12">
        <v>251</v>
      </c>
    </row>
    <row r="21" spans="1:32">
      <c r="A21" s="23"/>
      <c r="B21" s="13" t="s">
        <v>498</v>
      </c>
      <c r="C21" s="14">
        <v>0.14000000000000001</v>
      </c>
      <c r="D21" s="14">
        <v>0.1</v>
      </c>
      <c r="E21" s="14">
        <v>0.11</v>
      </c>
      <c r="F21" s="14">
        <v>0.15</v>
      </c>
      <c r="G21" s="14">
        <v>0.22</v>
      </c>
      <c r="H21" s="14">
        <v>0.23</v>
      </c>
      <c r="I21" s="14">
        <v>0.21</v>
      </c>
      <c r="J21" s="14">
        <v>0.13</v>
      </c>
      <c r="K21" s="14">
        <v>0.28999999999999998</v>
      </c>
      <c r="L21" s="14">
        <v>0.21</v>
      </c>
      <c r="M21" s="14">
        <v>0.04</v>
      </c>
      <c r="N21" s="14">
        <v>0.08</v>
      </c>
      <c r="O21" s="14">
        <v>0.17</v>
      </c>
      <c r="P21" s="14">
        <v>0.03</v>
      </c>
      <c r="Q21" s="14">
        <v>0.05</v>
      </c>
      <c r="R21" s="14">
        <v>0.08</v>
      </c>
      <c r="S21" s="14">
        <v>0.23</v>
      </c>
      <c r="T21" s="14">
        <v>0.15</v>
      </c>
      <c r="U21" s="14">
        <v>0.24</v>
      </c>
      <c r="V21" s="14">
        <v>0.06</v>
      </c>
      <c r="W21" s="14">
        <v>0.08</v>
      </c>
      <c r="X21" s="14">
        <v>0.18</v>
      </c>
      <c r="Y21" s="14">
        <v>0.15</v>
      </c>
      <c r="Z21" s="14">
        <v>0.14000000000000001</v>
      </c>
      <c r="AA21" s="14">
        <v>0.09</v>
      </c>
      <c r="AB21" s="14">
        <v>7.0000000000000007E-2</v>
      </c>
      <c r="AC21" s="14">
        <v>0.1</v>
      </c>
      <c r="AD21" s="14">
        <v>0.15</v>
      </c>
      <c r="AE21" s="14">
        <v>0.23</v>
      </c>
      <c r="AF21" s="14">
        <v>0.23</v>
      </c>
    </row>
    <row r="22" spans="1:32">
      <c r="A22" s="23"/>
      <c r="B22" s="11" t="s">
        <v>715</v>
      </c>
      <c r="C22" s="12">
        <v>10104</v>
      </c>
      <c r="D22" s="12">
        <v>483</v>
      </c>
      <c r="E22" s="12">
        <v>195</v>
      </c>
      <c r="F22" s="12">
        <v>350</v>
      </c>
      <c r="G22" s="12">
        <v>505</v>
      </c>
      <c r="H22" s="12">
        <v>440</v>
      </c>
      <c r="I22" s="12">
        <v>534</v>
      </c>
      <c r="J22" s="12">
        <v>94</v>
      </c>
      <c r="K22" s="12">
        <v>343</v>
      </c>
      <c r="L22" s="12">
        <v>343</v>
      </c>
      <c r="M22" s="12">
        <v>275</v>
      </c>
      <c r="N22" s="12">
        <v>325</v>
      </c>
      <c r="O22" s="12">
        <v>319</v>
      </c>
      <c r="P22" s="12">
        <v>469</v>
      </c>
      <c r="Q22" s="12">
        <v>465</v>
      </c>
      <c r="R22" s="12">
        <v>90</v>
      </c>
      <c r="S22" s="12">
        <v>244</v>
      </c>
      <c r="T22" s="12">
        <v>351</v>
      </c>
      <c r="U22" s="12">
        <v>203</v>
      </c>
      <c r="V22" s="12">
        <v>381</v>
      </c>
      <c r="W22" s="12">
        <v>133</v>
      </c>
      <c r="X22" s="12">
        <v>475</v>
      </c>
      <c r="Y22" s="12">
        <v>482</v>
      </c>
      <c r="Z22" s="12">
        <v>482</v>
      </c>
      <c r="AA22" s="12">
        <v>360</v>
      </c>
      <c r="AB22" s="12">
        <v>455</v>
      </c>
      <c r="AC22" s="12">
        <v>265</v>
      </c>
      <c r="AD22" s="12">
        <v>332</v>
      </c>
      <c r="AE22" s="12">
        <v>479</v>
      </c>
      <c r="AF22" s="12">
        <v>478</v>
      </c>
    </row>
    <row r="23" spans="1:32">
      <c r="A23" s="23"/>
      <c r="B23" s="13" t="s">
        <v>716</v>
      </c>
      <c r="C23" s="14">
        <v>0.38</v>
      </c>
      <c r="D23" s="14">
        <v>0.48</v>
      </c>
      <c r="E23" s="14">
        <v>0.19</v>
      </c>
      <c r="F23" s="14">
        <v>0.35</v>
      </c>
      <c r="G23" s="14">
        <v>0.5</v>
      </c>
      <c r="H23" s="14">
        <v>0.37</v>
      </c>
      <c r="I23" s="14">
        <v>0.35</v>
      </c>
      <c r="J23" s="14">
        <v>0.32</v>
      </c>
      <c r="K23" s="14">
        <v>0.34</v>
      </c>
      <c r="L23" s="14">
        <v>0.34</v>
      </c>
      <c r="M23" s="14">
        <v>0.27</v>
      </c>
      <c r="N23" s="14">
        <v>0.33</v>
      </c>
      <c r="O23" s="14">
        <v>0.32</v>
      </c>
      <c r="P23" s="14">
        <v>0.46</v>
      </c>
      <c r="Q23" s="14">
        <v>0.46</v>
      </c>
      <c r="R23" s="14">
        <v>0.18</v>
      </c>
      <c r="S23" s="14">
        <v>0.24</v>
      </c>
      <c r="T23" s="14">
        <v>0.35</v>
      </c>
      <c r="U23" s="14">
        <v>0.4</v>
      </c>
      <c r="V23" s="14">
        <v>0.38</v>
      </c>
      <c r="W23" s="14">
        <v>0.26</v>
      </c>
      <c r="X23" s="14">
        <v>0.47</v>
      </c>
      <c r="Y23" s="14">
        <v>0.47</v>
      </c>
      <c r="Z23" s="14">
        <v>0.47</v>
      </c>
      <c r="AA23" s="14">
        <v>0.35</v>
      </c>
      <c r="AB23" s="14">
        <v>0.44</v>
      </c>
      <c r="AC23" s="14">
        <v>0.26</v>
      </c>
      <c r="AD23" s="14">
        <v>0.33</v>
      </c>
      <c r="AE23" s="14">
        <v>0.48</v>
      </c>
      <c r="AF23" s="14">
        <v>0.45</v>
      </c>
    </row>
    <row r="24" spans="1:32">
      <c r="A24" s="23"/>
      <c r="B24" s="11" t="s">
        <v>717</v>
      </c>
      <c r="C24" s="12">
        <v>12639</v>
      </c>
      <c r="D24" s="12">
        <v>426</v>
      </c>
      <c r="E24" s="12">
        <v>735</v>
      </c>
      <c r="F24" s="12">
        <v>504</v>
      </c>
      <c r="G24" s="12">
        <v>275</v>
      </c>
      <c r="H24" s="12">
        <v>490</v>
      </c>
      <c r="I24" s="12">
        <v>653</v>
      </c>
      <c r="J24" s="12">
        <v>164</v>
      </c>
      <c r="K24" s="12">
        <v>374</v>
      </c>
      <c r="L24" s="12">
        <v>452</v>
      </c>
      <c r="M24" s="12">
        <v>698</v>
      </c>
      <c r="N24" s="12">
        <v>595</v>
      </c>
      <c r="O24" s="12">
        <v>513</v>
      </c>
      <c r="P24" s="12">
        <v>507</v>
      </c>
      <c r="Q24" s="12">
        <v>507</v>
      </c>
      <c r="R24" s="12">
        <v>372</v>
      </c>
      <c r="S24" s="12">
        <v>526</v>
      </c>
      <c r="T24" s="12">
        <v>506</v>
      </c>
      <c r="U24" s="12">
        <v>177</v>
      </c>
      <c r="V24" s="12">
        <v>570</v>
      </c>
      <c r="W24" s="12">
        <v>331</v>
      </c>
      <c r="X24" s="12">
        <v>353</v>
      </c>
      <c r="Y24" s="12">
        <v>373</v>
      </c>
      <c r="Z24" s="12">
        <v>392</v>
      </c>
      <c r="AA24" s="12">
        <v>584</v>
      </c>
      <c r="AB24" s="12">
        <v>504</v>
      </c>
      <c r="AC24" s="12">
        <v>643</v>
      </c>
      <c r="AD24" s="12">
        <v>522</v>
      </c>
      <c r="AE24" s="12">
        <v>293</v>
      </c>
      <c r="AF24" s="12">
        <v>344</v>
      </c>
    </row>
    <row r="25" spans="1:32">
      <c r="A25" s="23"/>
      <c r="B25" s="13" t="s">
        <v>718</v>
      </c>
      <c r="C25" s="14">
        <v>0.48</v>
      </c>
      <c r="D25" s="14">
        <v>0.42</v>
      </c>
      <c r="E25" s="14">
        <v>0.70000000000000007</v>
      </c>
      <c r="F25" s="14">
        <v>0.5</v>
      </c>
      <c r="G25" s="14">
        <v>0.28000000000000003</v>
      </c>
      <c r="H25" s="14">
        <v>0.4</v>
      </c>
      <c r="I25" s="14">
        <v>0.44</v>
      </c>
      <c r="J25" s="14">
        <v>0.55000000000000004</v>
      </c>
      <c r="K25" s="14">
        <v>0.37</v>
      </c>
      <c r="L25" s="14">
        <v>0.45</v>
      </c>
      <c r="M25" s="14">
        <v>0.69000000000000006</v>
      </c>
      <c r="N25" s="14">
        <v>0.59</v>
      </c>
      <c r="O25" s="14">
        <v>0.51</v>
      </c>
      <c r="P25" s="14">
        <v>0.51</v>
      </c>
      <c r="Q25" s="14">
        <v>0.49</v>
      </c>
      <c r="R25" s="14">
        <v>0.74</v>
      </c>
      <c r="S25" s="14">
        <v>0.53</v>
      </c>
      <c r="T25" s="14">
        <v>0.5</v>
      </c>
      <c r="U25" s="14">
        <v>0.36</v>
      </c>
      <c r="V25" s="14">
        <v>0.56000000000000005</v>
      </c>
      <c r="W25" s="14">
        <v>0.66</v>
      </c>
      <c r="X25" s="14">
        <v>0.35</v>
      </c>
      <c r="Y25" s="14">
        <v>0.38</v>
      </c>
      <c r="Z25" s="14">
        <v>0.39</v>
      </c>
      <c r="AA25" s="14">
        <v>0.56000000000000005</v>
      </c>
      <c r="AB25" s="14">
        <v>0.49</v>
      </c>
      <c r="AC25" s="14">
        <v>0.64</v>
      </c>
      <c r="AD25" s="14">
        <v>0.52</v>
      </c>
      <c r="AE25" s="14">
        <v>0.28999999999999998</v>
      </c>
      <c r="AF25" s="14">
        <v>0.32</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5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1680</v>
      </c>
      <c r="C3" s="19"/>
      <c r="D3" s="19"/>
      <c r="E3" s="19"/>
      <c r="F3" s="19"/>
      <c r="H3" s="19" t="s">
        <v>1681</v>
      </c>
      <c r="I3" s="19"/>
      <c r="J3" s="19"/>
      <c r="K3" s="19"/>
      <c r="L3" s="19"/>
    </row>
    <row r="4" spans="1:32" ht="27" customHeight="1">
      <c r="B4" s="19" t="s">
        <v>1682</v>
      </c>
      <c r="C4" s="19"/>
      <c r="D4" s="19"/>
      <c r="E4" s="19"/>
      <c r="F4" s="19"/>
      <c r="H4" s="19" t="s">
        <v>1683</v>
      </c>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HYPERLINK("#Content!A202","&lt;&lt;Back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707</v>
      </c>
      <c r="C12" s="12">
        <v>2859</v>
      </c>
      <c r="D12" s="12">
        <v>69</v>
      </c>
      <c r="E12" s="12">
        <v>45</v>
      </c>
      <c r="F12" s="12">
        <v>65</v>
      </c>
      <c r="G12" s="12">
        <v>419</v>
      </c>
      <c r="H12" s="12">
        <v>179</v>
      </c>
      <c r="I12" s="12">
        <v>216</v>
      </c>
      <c r="J12" s="12">
        <v>37</v>
      </c>
      <c r="K12" s="12">
        <v>99</v>
      </c>
      <c r="L12" s="12">
        <v>97</v>
      </c>
      <c r="M12" s="12">
        <v>68</v>
      </c>
      <c r="N12" s="12">
        <v>57</v>
      </c>
      <c r="O12" s="12">
        <v>69</v>
      </c>
      <c r="P12" s="12">
        <v>99</v>
      </c>
      <c r="Q12" s="12">
        <v>112</v>
      </c>
      <c r="R12" s="12">
        <v>13</v>
      </c>
      <c r="S12" s="12">
        <v>80</v>
      </c>
      <c r="T12" s="12">
        <v>77</v>
      </c>
      <c r="U12" s="12">
        <v>47</v>
      </c>
      <c r="V12" s="12">
        <v>101</v>
      </c>
      <c r="W12" s="12">
        <v>42</v>
      </c>
      <c r="X12" s="12">
        <v>225</v>
      </c>
      <c r="Y12" s="12">
        <v>225</v>
      </c>
      <c r="Z12" s="12">
        <v>79</v>
      </c>
      <c r="AA12" s="12">
        <v>55</v>
      </c>
      <c r="AB12" s="12">
        <v>83</v>
      </c>
      <c r="AC12" s="12">
        <v>38</v>
      </c>
      <c r="AD12" s="12">
        <v>59</v>
      </c>
      <c r="AE12" s="12">
        <v>209</v>
      </c>
      <c r="AF12" s="12">
        <v>292</v>
      </c>
    </row>
    <row r="13" spans="1:32">
      <c r="A13" s="23"/>
      <c r="B13" s="13" t="s">
        <v>708</v>
      </c>
      <c r="C13" s="14">
        <v>0.11</v>
      </c>
      <c r="D13" s="14">
        <v>7.0000000000000007E-2</v>
      </c>
      <c r="E13" s="14">
        <v>0.04</v>
      </c>
      <c r="F13" s="14">
        <v>0.06</v>
      </c>
      <c r="G13" s="14">
        <v>0.42</v>
      </c>
      <c r="H13" s="14">
        <v>0.15</v>
      </c>
      <c r="I13" s="14">
        <v>0.14000000000000001</v>
      </c>
      <c r="J13" s="14">
        <v>0.12</v>
      </c>
      <c r="K13" s="14">
        <v>0.1</v>
      </c>
      <c r="L13" s="14">
        <v>0.1</v>
      </c>
      <c r="M13" s="14">
        <v>7.0000000000000007E-2</v>
      </c>
      <c r="N13" s="14">
        <v>0.06</v>
      </c>
      <c r="O13" s="14">
        <v>7.0000000000000007E-2</v>
      </c>
      <c r="P13" s="14">
        <v>0.1</v>
      </c>
      <c r="Q13" s="14">
        <v>0.11</v>
      </c>
      <c r="R13" s="14">
        <v>0.03</v>
      </c>
      <c r="S13" s="14">
        <v>0.08</v>
      </c>
      <c r="T13" s="14">
        <v>0.08</v>
      </c>
      <c r="U13" s="14">
        <v>0.09</v>
      </c>
      <c r="V13" s="14">
        <v>0.1</v>
      </c>
      <c r="W13" s="14">
        <v>0.08</v>
      </c>
      <c r="X13" s="14">
        <v>0.22</v>
      </c>
      <c r="Y13" s="14">
        <v>0.22</v>
      </c>
      <c r="Z13" s="14">
        <v>0.08</v>
      </c>
      <c r="AA13" s="14">
        <v>0.05</v>
      </c>
      <c r="AB13" s="14">
        <v>0.08</v>
      </c>
      <c r="AC13" s="14">
        <v>0.04</v>
      </c>
      <c r="AD13" s="14">
        <v>0.06</v>
      </c>
      <c r="AE13" s="14">
        <v>0.21</v>
      </c>
      <c r="AF13" s="14">
        <v>0.27</v>
      </c>
    </row>
    <row r="14" spans="1:32">
      <c r="A14" s="23"/>
      <c r="B14" s="11" t="s">
        <v>709</v>
      </c>
      <c r="C14" s="12">
        <v>9750</v>
      </c>
      <c r="D14" s="12">
        <v>476</v>
      </c>
      <c r="E14" s="12">
        <v>141</v>
      </c>
      <c r="F14" s="12">
        <v>347</v>
      </c>
      <c r="G14" s="12">
        <v>304</v>
      </c>
      <c r="H14" s="12">
        <v>589</v>
      </c>
      <c r="I14" s="12">
        <v>729</v>
      </c>
      <c r="J14" s="12">
        <v>140</v>
      </c>
      <c r="K14" s="12">
        <v>412</v>
      </c>
      <c r="L14" s="12">
        <v>331</v>
      </c>
      <c r="M14" s="12">
        <v>238</v>
      </c>
      <c r="N14" s="12">
        <v>234</v>
      </c>
      <c r="O14" s="12">
        <v>308</v>
      </c>
      <c r="P14" s="12">
        <v>344</v>
      </c>
      <c r="Q14" s="12">
        <v>370</v>
      </c>
      <c r="R14" s="12">
        <v>112</v>
      </c>
      <c r="S14" s="12">
        <v>323</v>
      </c>
      <c r="T14" s="12">
        <v>373</v>
      </c>
      <c r="U14" s="12">
        <v>239</v>
      </c>
      <c r="V14" s="12">
        <v>311</v>
      </c>
      <c r="W14" s="12">
        <v>131</v>
      </c>
      <c r="X14" s="12">
        <v>506</v>
      </c>
      <c r="Y14" s="12">
        <v>410</v>
      </c>
      <c r="Z14" s="12">
        <v>464</v>
      </c>
      <c r="AA14" s="12">
        <v>283</v>
      </c>
      <c r="AB14" s="12">
        <v>359</v>
      </c>
      <c r="AC14" s="12">
        <v>273</v>
      </c>
      <c r="AD14" s="12">
        <v>317</v>
      </c>
      <c r="AE14" s="12">
        <v>463</v>
      </c>
      <c r="AF14" s="12">
        <v>485</v>
      </c>
    </row>
    <row r="15" spans="1:32">
      <c r="A15" s="23"/>
      <c r="B15" s="13" t="s">
        <v>710</v>
      </c>
      <c r="C15" s="14">
        <v>0.37</v>
      </c>
      <c r="D15" s="14">
        <v>0.47</v>
      </c>
      <c r="E15" s="14">
        <v>0.14000000000000001</v>
      </c>
      <c r="F15" s="14">
        <v>0.35</v>
      </c>
      <c r="G15" s="14">
        <v>0.3</v>
      </c>
      <c r="H15" s="14">
        <v>0.49</v>
      </c>
      <c r="I15" s="14">
        <v>0.49</v>
      </c>
      <c r="J15" s="14">
        <v>0.48</v>
      </c>
      <c r="K15" s="14">
        <v>0.41</v>
      </c>
      <c r="L15" s="14">
        <v>0.33</v>
      </c>
      <c r="M15" s="14">
        <v>0.23</v>
      </c>
      <c r="N15" s="14">
        <v>0.23</v>
      </c>
      <c r="O15" s="14">
        <v>0.31</v>
      </c>
      <c r="P15" s="14">
        <v>0.34</v>
      </c>
      <c r="Q15" s="14">
        <v>0.36</v>
      </c>
      <c r="R15" s="14">
        <v>0.22</v>
      </c>
      <c r="S15" s="14">
        <v>0.32</v>
      </c>
      <c r="T15" s="14">
        <v>0.37</v>
      </c>
      <c r="U15" s="14">
        <v>0.48</v>
      </c>
      <c r="V15" s="14">
        <v>0.31</v>
      </c>
      <c r="W15" s="14">
        <v>0.26</v>
      </c>
      <c r="X15" s="14">
        <v>0.5</v>
      </c>
      <c r="Y15" s="14">
        <v>0.41</v>
      </c>
      <c r="Z15" s="14">
        <v>0.46</v>
      </c>
      <c r="AA15" s="14">
        <v>0.27</v>
      </c>
      <c r="AB15" s="14">
        <v>0.35</v>
      </c>
      <c r="AC15" s="14">
        <v>0.27</v>
      </c>
      <c r="AD15" s="14">
        <v>0.32</v>
      </c>
      <c r="AE15" s="14">
        <v>0.46</v>
      </c>
      <c r="AF15" s="14">
        <v>0.45</v>
      </c>
    </row>
    <row r="16" spans="1:32">
      <c r="A16" s="23"/>
      <c r="B16" s="11" t="s">
        <v>711</v>
      </c>
      <c r="C16" s="12">
        <v>7298</v>
      </c>
      <c r="D16" s="12">
        <v>311</v>
      </c>
      <c r="E16" s="12">
        <v>355</v>
      </c>
      <c r="F16" s="12">
        <v>321</v>
      </c>
      <c r="G16" s="12">
        <v>134</v>
      </c>
      <c r="H16" s="12">
        <v>201</v>
      </c>
      <c r="I16" s="12">
        <v>282</v>
      </c>
      <c r="J16" s="12">
        <v>81</v>
      </c>
      <c r="K16" s="12">
        <v>183</v>
      </c>
      <c r="L16" s="12">
        <v>294</v>
      </c>
      <c r="M16" s="12">
        <v>303</v>
      </c>
      <c r="N16" s="12">
        <v>335</v>
      </c>
      <c r="O16" s="12">
        <v>328</v>
      </c>
      <c r="P16" s="12">
        <v>277</v>
      </c>
      <c r="Q16" s="12">
        <v>315</v>
      </c>
      <c r="R16" s="12">
        <v>156</v>
      </c>
      <c r="S16" s="12">
        <v>286</v>
      </c>
      <c r="T16" s="12">
        <v>268</v>
      </c>
      <c r="U16" s="12">
        <v>109</v>
      </c>
      <c r="V16" s="12">
        <v>322</v>
      </c>
      <c r="W16" s="12">
        <v>147</v>
      </c>
      <c r="X16" s="12">
        <v>189</v>
      </c>
      <c r="Y16" s="12">
        <v>182</v>
      </c>
      <c r="Z16" s="12">
        <v>260</v>
      </c>
      <c r="AA16" s="12">
        <v>463</v>
      </c>
      <c r="AB16" s="12">
        <v>341</v>
      </c>
      <c r="AC16" s="12">
        <v>359</v>
      </c>
      <c r="AD16" s="12">
        <v>363</v>
      </c>
      <c r="AE16" s="12">
        <v>185</v>
      </c>
      <c r="AF16" s="12">
        <v>199</v>
      </c>
    </row>
    <row r="17" spans="1:32">
      <c r="A17" s="23"/>
      <c r="B17" s="13" t="s">
        <v>712</v>
      </c>
      <c r="C17" s="14">
        <v>0.28000000000000003</v>
      </c>
      <c r="D17" s="14">
        <v>0.31</v>
      </c>
      <c r="E17" s="14">
        <v>0.34</v>
      </c>
      <c r="F17" s="14">
        <v>0.32</v>
      </c>
      <c r="G17" s="14">
        <v>0.14000000000000001</v>
      </c>
      <c r="H17" s="14">
        <v>0.16</v>
      </c>
      <c r="I17" s="14">
        <v>0.19</v>
      </c>
      <c r="J17" s="14">
        <v>0.27</v>
      </c>
      <c r="K17" s="14">
        <v>0.18</v>
      </c>
      <c r="L17" s="14">
        <v>0.28999999999999998</v>
      </c>
      <c r="M17" s="14">
        <v>0.3</v>
      </c>
      <c r="N17" s="14">
        <v>0.33</v>
      </c>
      <c r="O17" s="14">
        <v>0.32</v>
      </c>
      <c r="P17" s="14">
        <v>0.27</v>
      </c>
      <c r="Q17" s="14">
        <v>0.31</v>
      </c>
      <c r="R17" s="14">
        <v>0.31</v>
      </c>
      <c r="S17" s="14">
        <v>0.28999999999999998</v>
      </c>
      <c r="T17" s="14">
        <v>0.27</v>
      </c>
      <c r="U17" s="14">
        <v>0.22</v>
      </c>
      <c r="V17" s="14">
        <v>0.32</v>
      </c>
      <c r="W17" s="14">
        <v>0.28999999999999998</v>
      </c>
      <c r="X17" s="14">
        <v>0.19</v>
      </c>
      <c r="Y17" s="14">
        <v>0.18</v>
      </c>
      <c r="Z17" s="14">
        <v>0.25</v>
      </c>
      <c r="AA17" s="14">
        <v>0.45</v>
      </c>
      <c r="AB17" s="14">
        <v>0.33</v>
      </c>
      <c r="AC17" s="14">
        <v>0.36</v>
      </c>
      <c r="AD17" s="14">
        <v>0.36</v>
      </c>
      <c r="AE17" s="14">
        <v>0.18</v>
      </c>
      <c r="AF17" s="14">
        <v>0.19</v>
      </c>
    </row>
    <row r="18" spans="1:32">
      <c r="A18" s="23"/>
      <c r="B18" s="11" t="s">
        <v>713</v>
      </c>
      <c r="C18" s="12">
        <v>4000</v>
      </c>
      <c r="D18" s="12">
        <v>95</v>
      </c>
      <c r="E18" s="12">
        <v>395</v>
      </c>
      <c r="F18" s="12">
        <v>144</v>
      </c>
      <c r="G18" s="12">
        <v>63</v>
      </c>
      <c r="H18" s="12">
        <v>59</v>
      </c>
      <c r="I18" s="12">
        <v>79</v>
      </c>
      <c r="J18" s="12">
        <v>20</v>
      </c>
      <c r="K18" s="12">
        <v>126</v>
      </c>
      <c r="L18" s="12">
        <v>123</v>
      </c>
      <c r="M18" s="12">
        <v>351</v>
      </c>
      <c r="N18" s="12">
        <v>306</v>
      </c>
      <c r="O18" s="12">
        <v>174</v>
      </c>
      <c r="P18" s="12">
        <v>248</v>
      </c>
      <c r="Q18" s="12">
        <v>183</v>
      </c>
      <c r="R18" s="12">
        <v>191</v>
      </c>
      <c r="S18" s="12">
        <v>150</v>
      </c>
      <c r="T18" s="12">
        <v>116</v>
      </c>
      <c r="U18" s="12">
        <v>37</v>
      </c>
      <c r="V18" s="12">
        <v>220</v>
      </c>
      <c r="W18" s="12">
        <v>150</v>
      </c>
      <c r="X18" s="12">
        <v>44</v>
      </c>
      <c r="Y18" s="12">
        <v>114</v>
      </c>
      <c r="Z18" s="12">
        <v>92</v>
      </c>
      <c r="AA18" s="12">
        <v>141</v>
      </c>
      <c r="AB18" s="12">
        <v>175</v>
      </c>
      <c r="AC18" s="12">
        <v>277</v>
      </c>
      <c r="AD18" s="12">
        <v>184</v>
      </c>
      <c r="AE18" s="12">
        <v>52</v>
      </c>
      <c r="AF18" s="12">
        <v>65</v>
      </c>
    </row>
    <row r="19" spans="1:32">
      <c r="A19" s="23"/>
      <c r="B19" s="13" t="s">
        <v>714</v>
      </c>
      <c r="C19" s="14">
        <v>0.15</v>
      </c>
      <c r="D19" s="14">
        <v>0.09</v>
      </c>
      <c r="E19" s="14">
        <v>0.38</v>
      </c>
      <c r="F19" s="14">
        <v>0.14000000000000001</v>
      </c>
      <c r="G19" s="14">
        <v>0.06</v>
      </c>
      <c r="H19" s="14">
        <v>0.05</v>
      </c>
      <c r="I19" s="14">
        <v>0.05</v>
      </c>
      <c r="J19" s="14">
        <v>7.0000000000000007E-2</v>
      </c>
      <c r="K19" s="14">
        <v>0.13</v>
      </c>
      <c r="L19" s="14">
        <v>0.12</v>
      </c>
      <c r="M19" s="14">
        <v>0.35</v>
      </c>
      <c r="N19" s="14">
        <v>0.31</v>
      </c>
      <c r="O19" s="14">
        <v>0.17</v>
      </c>
      <c r="P19" s="14">
        <v>0.25</v>
      </c>
      <c r="Q19" s="14">
        <v>0.18</v>
      </c>
      <c r="R19" s="14">
        <v>0.38</v>
      </c>
      <c r="S19" s="14">
        <v>0.15</v>
      </c>
      <c r="T19" s="14">
        <v>0.11</v>
      </c>
      <c r="U19" s="14">
        <v>7.0000000000000007E-2</v>
      </c>
      <c r="V19" s="14">
        <v>0.22</v>
      </c>
      <c r="W19" s="14">
        <v>0.3</v>
      </c>
      <c r="X19" s="14">
        <v>0.04</v>
      </c>
      <c r="Y19" s="14">
        <v>0.11</v>
      </c>
      <c r="Z19" s="14">
        <v>0.09</v>
      </c>
      <c r="AA19" s="14">
        <v>0.14000000000000001</v>
      </c>
      <c r="AB19" s="14">
        <v>0.17</v>
      </c>
      <c r="AC19" s="14">
        <v>0.27</v>
      </c>
      <c r="AD19" s="14">
        <v>0.18</v>
      </c>
      <c r="AE19" s="14">
        <v>0.05</v>
      </c>
      <c r="AF19" s="14">
        <v>0.06</v>
      </c>
    </row>
    <row r="20" spans="1:32">
      <c r="A20" s="23"/>
      <c r="B20" s="11" t="s">
        <v>497</v>
      </c>
      <c r="C20" s="12">
        <v>2447</v>
      </c>
      <c r="D20" s="12">
        <v>55</v>
      </c>
      <c r="E20" s="12">
        <v>108</v>
      </c>
      <c r="F20" s="12">
        <v>129</v>
      </c>
      <c r="G20" s="12">
        <v>84</v>
      </c>
      <c r="H20" s="12">
        <v>181</v>
      </c>
      <c r="I20" s="12">
        <v>198</v>
      </c>
      <c r="J20" s="12">
        <v>16</v>
      </c>
      <c r="K20" s="12">
        <v>183</v>
      </c>
      <c r="L20" s="12">
        <v>163</v>
      </c>
      <c r="M20" s="12">
        <v>52</v>
      </c>
      <c r="N20" s="12">
        <v>68</v>
      </c>
      <c r="O20" s="12">
        <v>127</v>
      </c>
      <c r="P20" s="12">
        <v>42</v>
      </c>
      <c r="Q20" s="12">
        <v>45</v>
      </c>
      <c r="R20" s="12">
        <v>30</v>
      </c>
      <c r="S20" s="12">
        <v>165</v>
      </c>
      <c r="T20" s="12">
        <v>169</v>
      </c>
      <c r="U20" s="12">
        <v>71</v>
      </c>
      <c r="V20" s="12">
        <v>58</v>
      </c>
      <c r="W20" s="12">
        <v>32</v>
      </c>
      <c r="X20" s="12">
        <v>52</v>
      </c>
      <c r="Y20" s="12">
        <v>77</v>
      </c>
      <c r="Z20" s="12">
        <v>122</v>
      </c>
      <c r="AA20" s="12">
        <v>97</v>
      </c>
      <c r="AB20" s="12">
        <v>73</v>
      </c>
      <c r="AC20" s="12">
        <v>57</v>
      </c>
      <c r="AD20" s="12">
        <v>78</v>
      </c>
      <c r="AE20" s="12">
        <v>99</v>
      </c>
      <c r="AF20" s="12">
        <v>32</v>
      </c>
    </row>
    <row r="21" spans="1:32">
      <c r="A21" s="23"/>
      <c r="B21" s="13" t="s">
        <v>498</v>
      </c>
      <c r="C21" s="14">
        <v>0.09</v>
      </c>
      <c r="D21" s="14">
        <v>0.06</v>
      </c>
      <c r="E21" s="14">
        <v>0.1</v>
      </c>
      <c r="F21" s="14">
        <v>0.13</v>
      </c>
      <c r="G21" s="14">
        <v>0.08</v>
      </c>
      <c r="H21" s="14">
        <v>0.15</v>
      </c>
      <c r="I21" s="14">
        <v>0.13</v>
      </c>
      <c r="J21" s="14">
        <v>0.06</v>
      </c>
      <c r="K21" s="14">
        <v>0.18</v>
      </c>
      <c r="L21" s="14">
        <v>0.16</v>
      </c>
      <c r="M21" s="14">
        <v>0.05</v>
      </c>
      <c r="N21" s="14">
        <v>7.0000000000000007E-2</v>
      </c>
      <c r="O21" s="14">
        <v>0.13</v>
      </c>
      <c r="P21" s="14">
        <v>0.04</v>
      </c>
      <c r="Q21" s="14">
        <v>0.04</v>
      </c>
      <c r="R21" s="14">
        <v>0.06</v>
      </c>
      <c r="S21" s="14">
        <v>0.16</v>
      </c>
      <c r="T21" s="14">
        <v>0.17</v>
      </c>
      <c r="U21" s="14">
        <v>0.14000000000000001</v>
      </c>
      <c r="V21" s="14">
        <v>0.05</v>
      </c>
      <c r="W21" s="14">
        <v>7.0000000000000007E-2</v>
      </c>
      <c r="X21" s="14">
        <v>0.05</v>
      </c>
      <c r="Y21" s="14">
        <v>0.08</v>
      </c>
      <c r="Z21" s="14">
        <v>0.12</v>
      </c>
      <c r="AA21" s="14">
        <v>0.09</v>
      </c>
      <c r="AB21" s="14">
        <v>7.0000000000000007E-2</v>
      </c>
      <c r="AC21" s="14">
        <v>0.06</v>
      </c>
      <c r="AD21" s="14">
        <v>0.08</v>
      </c>
      <c r="AE21" s="14">
        <v>0.1</v>
      </c>
      <c r="AF21" s="14">
        <v>0.03</v>
      </c>
    </row>
    <row r="22" spans="1:32">
      <c r="A22" s="23"/>
      <c r="B22" s="11" t="s">
        <v>715</v>
      </c>
      <c r="C22" s="12">
        <v>12609</v>
      </c>
      <c r="D22" s="12">
        <v>545</v>
      </c>
      <c r="E22" s="12">
        <v>186</v>
      </c>
      <c r="F22" s="12">
        <v>412</v>
      </c>
      <c r="G22" s="12">
        <v>723</v>
      </c>
      <c r="H22" s="12">
        <v>768</v>
      </c>
      <c r="I22" s="12">
        <v>945</v>
      </c>
      <c r="J22" s="12">
        <v>177</v>
      </c>
      <c r="K22" s="12">
        <v>511</v>
      </c>
      <c r="L22" s="12">
        <v>428</v>
      </c>
      <c r="M22" s="12">
        <v>306</v>
      </c>
      <c r="N22" s="12">
        <v>291</v>
      </c>
      <c r="O22" s="12">
        <v>377</v>
      </c>
      <c r="P22" s="12">
        <v>443</v>
      </c>
      <c r="Q22" s="12">
        <v>482</v>
      </c>
      <c r="R22" s="12">
        <v>125</v>
      </c>
      <c r="S22" s="12">
        <v>403</v>
      </c>
      <c r="T22" s="12">
        <v>450</v>
      </c>
      <c r="U22" s="12">
        <v>286</v>
      </c>
      <c r="V22" s="12">
        <v>412</v>
      </c>
      <c r="W22" s="12">
        <v>173</v>
      </c>
      <c r="X22" s="12">
        <v>731</v>
      </c>
      <c r="Y22" s="12">
        <v>635</v>
      </c>
      <c r="Z22" s="12">
        <v>543</v>
      </c>
      <c r="AA22" s="12">
        <v>338</v>
      </c>
      <c r="AB22" s="12">
        <v>442</v>
      </c>
      <c r="AC22" s="12">
        <v>311</v>
      </c>
      <c r="AD22" s="12">
        <v>376</v>
      </c>
      <c r="AE22" s="12">
        <v>672</v>
      </c>
      <c r="AF22" s="12">
        <v>777</v>
      </c>
    </row>
    <row r="23" spans="1:32">
      <c r="A23" s="23"/>
      <c r="B23" s="13" t="s">
        <v>716</v>
      </c>
      <c r="C23" s="14">
        <v>0.48</v>
      </c>
      <c r="D23" s="14">
        <v>0.54</v>
      </c>
      <c r="E23" s="14">
        <v>0.18</v>
      </c>
      <c r="F23" s="14">
        <v>0.41</v>
      </c>
      <c r="G23" s="14">
        <v>0.72</v>
      </c>
      <c r="H23" s="14">
        <v>0.64</v>
      </c>
      <c r="I23" s="14">
        <v>0.63</v>
      </c>
      <c r="J23" s="14">
        <v>0.6</v>
      </c>
      <c r="K23" s="14">
        <v>0.51</v>
      </c>
      <c r="L23" s="14">
        <v>0.43</v>
      </c>
      <c r="M23" s="14">
        <v>0.3</v>
      </c>
      <c r="N23" s="14">
        <v>0.28999999999999998</v>
      </c>
      <c r="O23" s="14">
        <v>0.38</v>
      </c>
      <c r="P23" s="14">
        <v>0.44</v>
      </c>
      <c r="Q23" s="14">
        <v>0.47</v>
      </c>
      <c r="R23" s="14">
        <v>0.25</v>
      </c>
      <c r="S23" s="14">
        <v>0.4</v>
      </c>
      <c r="T23" s="14">
        <v>0.45</v>
      </c>
      <c r="U23" s="14">
        <v>0.57000000000000006</v>
      </c>
      <c r="V23" s="14">
        <v>0.41</v>
      </c>
      <c r="W23" s="14">
        <v>0.34</v>
      </c>
      <c r="X23" s="14">
        <v>0.72</v>
      </c>
      <c r="Y23" s="14">
        <v>0.63</v>
      </c>
      <c r="Z23" s="14">
        <v>0.54</v>
      </c>
      <c r="AA23" s="14">
        <v>0.32</v>
      </c>
      <c r="AB23" s="14">
        <v>0.43</v>
      </c>
      <c r="AC23" s="14">
        <v>0.31</v>
      </c>
      <c r="AD23" s="14">
        <v>0.38</v>
      </c>
      <c r="AE23" s="14">
        <v>0.67</v>
      </c>
      <c r="AF23" s="14">
        <v>0.72</v>
      </c>
    </row>
    <row r="24" spans="1:32">
      <c r="A24" s="23"/>
      <c r="B24" s="11" t="s">
        <v>717</v>
      </c>
      <c r="C24" s="12">
        <v>11298</v>
      </c>
      <c r="D24" s="12">
        <v>406</v>
      </c>
      <c r="E24" s="12">
        <v>750</v>
      </c>
      <c r="F24" s="12">
        <v>465</v>
      </c>
      <c r="G24" s="12">
        <v>197</v>
      </c>
      <c r="H24" s="12">
        <v>260</v>
      </c>
      <c r="I24" s="12">
        <v>361</v>
      </c>
      <c r="J24" s="12">
        <v>101</v>
      </c>
      <c r="K24" s="12">
        <v>309</v>
      </c>
      <c r="L24" s="12">
        <v>417</v>
      </c>
      <c r="M24" s="12">
        <v>654</v>
      </c>
      <c r="N24" s="12">
        <v>641</v>
      </c>
      <c r="O24" s="12">
        <v>502</v>
      </c>
      <c r="P24" s="12">
        <v>525</v>
      </c>
      <c r="Q24" s="12">
        <v>498</v>
      </c>
      <c r="R24" s="12">
        <v>347</v>
      </c>
      <c r="S24" s="12">
        <v>436</v>
      </c>
      <c r="T24" s="12">
        <v>384</v>
      </c>
      <c r="U24" s="12">
        <v>146</v>
      </c>
      <c r="V24" s="12">
        <v>542</v>
      </c>
      <c r="W24" s="12">
        <v>297</v>
      </c>
      <c r="X24" s="12">
        <v>233</v>
      </c>
      <c r="Y24" s="12">
        <v>296</v>
      </c>
      <c r="Z24" s="12">
        <v>352</v>
      </c>
      <c r="AA24" s="12">
        <v>604</v>
      </c>
      <c r="AB24" s="12">
        <v>516</v>
      </c>
      <c r="AC24" s="12">
        <v>636</v>
      </c>
      <c r="AD24" s="12">
        <v>547</v>
      </c>
      <c r="AE24" s="12">
        <v>237</v>
      </c>
      <c r="AF24" s="12">
        <v>264</v>
      </c>
    </row>
    <row r="25" spans="1:32">
      <c r="A25" s="23"/>
      <c r="B25" s="13" t="s">
        <v>718</v>
      </c>
      <c r="C25" s="14">
        <v>0.43</v>
      </c>
      <c r="D25" s="14">
        <v>0.4</v>
      </c>
      <c r="E25" s="14">
        <v>0.72</v>
      </c>
      <c r="F25" s="14">
        <v>0.46</v>
      </c>
      <c r="G25" s="14">
        <v>0.2</v>
      </c>
      <c r="H25" s="14">
        <v>0.21</v>
      </c>
      <c r="I25" s="14">
        <v>0.24</v>
      </c>
      <c r="J25" s="14">
        <v>0.34</v>
      </c>
      <c r="K25" s="14">
        <v>0.31</v>
      </c>
      <c r="L25" s="14">
        <v>0.41</v>
      </c>
      <c r="M25" s="14">
        <v>0.65</v>
      </c>
      <c r="N25" s="14">
        <v>0.64</v>
      </c>
      <c r="O25" s="14">
        <v>0.49</v>
      </c>
      <c r="P25" s="14">
        <v>0.52</v>
      </c>
      <c r="Q25" s="14">
        <v>0.49</v>
      </c>
      <c r="R25" s="14">
        <v>0.69000000000000006</v>
      </c>
      <c r="S25" s="14">
        <v>0.44</v>
      </c>
      <c r="T25" s="14">
        <v>0.38</v>
      </c>
      <c r="U25" s="14">
        <v>0.28999999999999998</v>
      </c>
      <c r="V25" s="14">
        <v>0.54</v>
      </c>
      <c r="W25" s="14">
        <v>0.59</v>
      </c>
      <c r="X25" s="14">
        <v>0.23</v>
      </c>
      <c r="Y25" s="14">
        <v>0.28999999999999998</v>
      </c>
      <c r="Z25" s="14">
        <v>0.34</v>
      </c>
      <c r="AA25" s="14">
        <v>0.59</v>
      </c>
      <c r="AB25" s="14">
        <v>0.5</v>
      </c>
      <c r="AC25" s="14">
        <v>0.63</v>
      </c>
      <c r="AD25" s="14">
        <v>0.54</v>
      </c>
      <c r="AE25" s="14">
        <v>0.23</v>
      </c>
      <c r="AF25" s="14">
        <v>0.25</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600-000000000000}">
  <dimension ref="A1:AF21"/>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12" customHeight="1">
      <c r="B3" s="19" t="s">
        <v>403</v>
      </c>
      <c r="C3" s="19"/>
      <c r="D3" s="19"/>
      <c r="E3" s="19"/>
      <c r="F3" s="19"/>
      <c r="H3" s="19" t="s">
        <v>404</v>
      </c>
      <c r="I3" s="19"/>
      <c r="J3" s="19"/>
      <c r="K3" s="19"/>
      <c r="L3" s="19"/>
    </row>
    <row r="4" spans="1:32" ht="27" customHeight="1">
      <c r="B4" s="19"/>
      <c r="C4" s="19"/>
      <c r="D4" s="19"/>
      <c r="E4" s="19"/>
      <c r="F4" s="19"/>
      <c r="H4" s="19"/>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HYPERLINK("#Content!A203","&lt;&lt;Back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1684</v>
      </c>
      <c r="C12" s="12">
        <v>3207</v>
      </c>
      <c r="D12" s="12">
        <v>139</v>
      </c>
      <c r="E12" s="12">
        <v>108</v>
      </c>
      <c r="F12" s="12">
        <v>118</v>
      </c>
      <c r="G12" s="12">
        <v>100</v>
      </c>
      <c r="H12" s="12">
        <v>146</v>
      </c>
      <c r="I12" s="12">
        <v>176</v>
      </c>
      <c r="J12" s="12">
        <v>30</v>
      </c>
      <c r="K12" s="12">
        <v>120</v>
      </c>
      <c r="L12" s="12">
        <v>156</v>
      </c>
      <c r="M12" s="12">
        <v>118</v>
      </c>
      <c r="N12" s="12">
        <v>122</v>
      </c>
      <c r="O12" s="12">
        <v>146</v>
      </c>
      <c r="P12" s="12">
        <v>120</v>
      </c>
      <c r="Q12" s="12">
        <v>116</v>
      </c>
      <c r="R12" s="12">
        <v>70</v>
      </c>
      <c r="S12" s="12">
        <v>116</v>
      </c>
      <c r="T12" s="12">
        <v>112</v>
      </c>
      <c r="U12" s="12">
        <v>66</v>
      </c>
      <c r="V12" s="12">
        <v>124</v>
      </c>
      <c r="W12" s="12">
        <v>57</v>
      </c>
      <c r="X12" s="12">
        <v>140</v>
      </c>
      <c r="Y12" s="12">
        <v>123</v>
      </c>
      <c r="Z12" s="12">
        <v>117</v>
      </c>
      <c r="AA12" s="12">
        <v>124</v>
      </c>
      <c r="AB12" s="12">
        <v>132</v>
      </c>
      <c r="AC12" s="12">
        <v>112</v>
      </c>
      <c r="AD12" s="12">
        <v>117</v>
      </c>
      <c r="AE12" s="12">
        <v>131</v>
      </c>
      <c r="AF12" s="12">
        <v>54</v>
      </c>
    </row>
    <row r="13" spans="1:32">
      <c r="A13" s="23"/>
      <c r="B13" s="13" t="s">
        <v>1684</v>
      </c>
      <c r="C13" s="14">
        <v>0.12</v>
      </c>
      <c r="D13" s="14">
        <v>0.14000000000000001</v>
      </c>
      <c r="E13" s="14">
        <v>0.1</v>
      </c>
      <c r="F13" s="14">
        <v>0.12</v>
      </c>
      <c r="G13" s="14">
        <v>0.1</v>
      </c>
      <c r="H13" s="14">
        <v>0.12</v>
      </c>
      <c r="I13" s="14">
        <v>0.12</v>
      </c>
      <c r="J13" s="14">
        <v>0.1</v>
      </c>
      <c r="K13" s="14">
        <v>0.12</v>
      </c>
      <c r="L13" s="14">
        <v>0.16</v>
      </c>
      <c r="M13" s="14">
        <v>0.12</v>
      </c>
      <c r="N13" s="14">
        <v>0.12</v>
      </c>
      <c r="O13" s="14">
        <v>0.15</v>
      </c>
      <c r="P13" s="14">
        <v>0.12</v>
      </c>
      <c r="Q13" s="14">
        <v>0.11</v>
      </c>
      <c r="R13" s="14">
        <v>0.14000000000000001</v>
      </c>
      <c r="S13" s="14">
        <v>0.12</v>
      </c>
      <c r="T13" s="14">
        <v>0.11</v>
      </c>
      <c r="U13" s="14">
        <v>0.13</v>
      </c>
      <c r="V13" s="14">
        <v>0.12</v>
      </c>
      <c r="W13" s="14">
        <v>0.11</v>
      </c>
      <c r="X13" s="14">
        <v>0.14000000000000001</v>
      </c>
      <c r="Y13" s="14">
        <v>0.12</v>
      </c>
      <c r="Z13" s="14">
        <v>0.11</v>
      </c>
      <c r="AA13" s="14">
        <v>0.12</v>
      </c>
      <c r="AB13" s="14">
        <v>0.13</v>
      </c>
      <c r="AC13" s="14">
        <v>0.11</v>
      </c>
      <c r="AD13" s="14">
        <v>0.12</v>
      </c>
      <c r="AE13" s="14">
        <v>0.13</v>
      </c>
      <c r="AF13" s="14">
        <v>0.05</v>
      </c>
    </row>
    <row r="14" spans="1:32">
      <c r="A14" s="23"/>
      <c r="B14" s="11" t="s">
        <v>1685</v>
      </c>
      <c r="C14" s="12">
        <v>5678</v>
      </c>
      <c r="D14" s="12">
        <v>234</v>
      </c>
      <c r="E14" s="12">
        <v>206</v>
      </c>
      <c r="F14" s="12">
        <v>224</v>
      </c>
      <c r="G14" s="12">
        <v>238</v>
      </c>
      <c r="H14" s="12">
        <v>273</v>
      </c>
      <c r="I14" s="12">
        <v>335</v>
      </c>
      <c r="J14" s="12">
        <v>62</v>
      </c>
      <c r="K14" s="12">
        <v>244</v>
      </c>
      <c r="L14" s="12">
        <v>245</v>
      </c>
      <c r="M14" s="12">
        <v>195</v>
      </c>
      <c r="N14" s="12">
        <v>204</v>
      </c>
      <c r="O14" s="12">
        <v>215</v>
      </c>
      <c r="P14" s="12">
        <v>213</v>
      </c>
      <c r="Q14" s="12">
        <v>190</v>
      </c>
      <c r="R14" s="12">
        <v>149</v>
      </c>
      <c r="S14" s="12">
        <v>229</v>
      </c>
      <c r="T14" s="12">
        <v>237</v>
      </c>
      <c r="U14" s="12">
        <v>141</v>
      </c>
      <c r="V14" s="12">
        <v>223</v>
      </c>
      <c r="W14" s="12">
        <v>157</v>
      </c>
      <c r="X14" s="12">
        <v>211</v>
      </c>
      <c r="Y14" s="12">
        <v>239</v>
      </c>
      <c r="Z14" s="12">
        <v>249</v>
      </c>
      <c r="AA14" s="12">
        <v>199</v>
      </c>
      <c r="AB14" s="12">
        <v>221</v>
      </c>
      <c r="AC14" s="12">
        <v>214</v>
      </c>
      <c r="AD14" s="12">
        <v>247</v>
      </c>
      <c r="AE14" s="12">
        <v>231</v>
      </c>
      <c r="AF14" s="12">
        <v>262</v>
      </c>
    </row>
    <row r="15" spans="1:32">
      <c r="A15" s="23"/>
      <c r="B15" s="13" t="s">
        <v>1685</v>
      </c>
      <c r="C15" s="14">
        <v>0.22</v>
      </c>
      <c r="D15" s="14">
        <v>0.23</v>
      </c>
      <c r="E15" s="14">
        <v>0.2</v>
      </c>
      <c r="F15" s="14">
        <v>0.22</v>
      </c>
      <c r="G15" s="14">
        <v>0.24</v>
      </c>
      <c r="H15" s="14">
        <v>0.23</v>
      </c>
      <c r="I15" s="14">
        <v>0.22</v>
      </c>
      <c r="J15" s="14">
        <v>0.21</v>
      </c>
      <c r="K15" s="14">
        <v>0.24</v>
      </c>
      <c r="L15" s="14">
        <v>0.24</v>
      </c>
      <c r="M15" s="14">
        <v>0.19</v>
      </c>
      <c r="N15" s="14">
        <v>0.2</v>
      </c>
      <c r="O15" s="14">
        <v>0.21</v>
      </c>
      <c r="P15" s="14">
        <v>0.21</v>
      </c>
      <c r="Q15" s="14">
        <v>0.19</v>
      </c>
      <c r="R15" s="14">
        <v>0.28999999999999998</v>
      </c>
      <c r="S15" s="14">
        <v>0.23</v>
      </c>
      <c r="T15" s="14">
        <v>0.24</v>
      </c>
      <c r="U15" s="14">
        <v>0.28000000000000003</v>
      </c>
      <c r="V15" s="14">
        <v>0.22</v>
      </c>
      <c r="W15" s="14">
        <v>0.31</v>
      </c>
      <c r="X15" s="14">
        <v>0.21</v>
      </c>
      <c r="Y15" s="14">
        <v>0.24</v>
      </c>
      <c r="Z15" s="14">
        <v>0.25</v>
      </c>
      <c r="AA15" s="14">
        <v>0.19</v>
      </c>
      <c r="AB15" s="14">
        <v>0.21</v>
      </c>
      <c r="AC15" s="14">
        <v>0.21</v>
      </c>
      <c r="AD15" s="14">
        <v>0.25</v>
      </c>
      <c r="AE15" s="14">
        <v>0.23</v>
      </c>
      <c r="AF15" s="14">
        <v>0.24</v>
      </c>
    </row>
    <row r="16" spans="1:32">
      <c r="A16" s="23"/>
      <c r="B16" s="11" t="s">
        <v>1686</v>
      </c>
      <c r="C16" s="12">
        <v>6538</v>
      </c>
      <c r="D16" s="12">
        <v>236</v>
      </c>
      <c r="E16" s="12">
        <v>274</v>
      </c>
      <c r="F16" s="12">
        <v>278</v>
      </c>
      <c r="G16" s="12">
        <v>239</v>
      </c>
      <c r="H16" s="12">
        <v>271</v>
      </c>
      <c r="I16" s="12">
        <v>335</v>
      </c>
      <c r="J16" s="12">
        <v>64</v>
      </c>
      <c r="K16" s="12">
        <v>247</v>
      </c>
      <c r="L16" s="12">
        <v>275</v>
      </c>
      <c r="M16" s="12">
        <v>267</v>
      </c>
      <c r="N16" s="12">
        <v>279</v>
      </c>
      <c r="O16" s="12">
        <v>233</v>
      </c>
      <c r="P16" s="12">
        <v>240</v>
      </c>
      <c r="Q16" s="12">
        <v>259</v>
      </c>
      <c r="R16" s="12">
        <v>114</v>
      </c>
      <c r="S16" s="12">
        <v>243</v>
      </c>
      <c r="T16" s="12">
        <v>241</v>
      </c>
      <c r="U16" s="12">
        <v>131</v>
      </c>
      <c r="V16" s="12">
        <v>280</v>
      </c>
      <c r="W16" s="12">
        <v>119</v>
      </c>
      <c r="X16" s="12">
        <v>238</v>
      </c>
      <c r="Y16" s="12">
        <v>241</v>
      </c>
      <c r="Z16" s="12">
        <v>263</v>
      </c>
      <c r="AA16" s="12">
        <v>264</v>
      </c>
      <c r="AB16" s="12">
        <v>288</v>
      </c>
      <c r="AC16" s="12">
        <v>260</v>
      </c>
      <c r="AD16" s="12">
        <v>273</v>
      </c>
      <c r="AE16" s="12">
        <v>217</v>
      </c>
      <c r="AF16" s="12">
        <v>275</v>
      </c>
    </row>
    <row r="17" spans="1:32">
      <c r="A17" s="23"/>
      <c r="B17" s="13" t="s">
        <v>1686</v>
      </c>
      <c r="C17" s="14">
        <v>0.25</v>
      </c>
      <c r="D17" s="14">
        <v>0.24</v>
      </c>
      <c r="E17" s="14">
        <v>0.26</v>
      </c>
      <c r="F17" s="14">
        <v>0.28000000000000003</v>
      </c>
      <c r="G17" s="14">
        <v>0.24</v>
      </c>
      <c r="H17" s="14">
        <v>0.22</v>
      </c>
      <c r="I17" s="14">
        <v>0.22</v>
      </c>
      <c r="J17" s="14">
        <v>0.22</v>
      </c>
      <c r="K17" s="14">
        <v>0.25</v>
      </c>
      <c r="L17" s="14">
        <v>0.27</v>
      </c>
      <c r="M17" s="14">
        <v>0.26</v>
      </c>
      <c r="N17" s="14">
        <v>0.28000000000000003</v>
      </c>
      <c r="O17" s="14">
        <v>0.23</v>
      </c>
      <c r="P17" s="14">
        <v>0.24</v>
      </c>
      <c r="Q17" s="14">
        <v>0.25</v>
      </c>
      <c r="R17" s="14">
        <v>0.23</v>
      </c>
      <c r="S17" s="14">
        <v>0.24</v>
      </c>
      <c r="T17" s="14">
        <v>0.24</v>
      </c>
      <c r="U17" s="14">
        <v>0.26</v>
      </c>
      <c r="V17" s="14">
        <v>0.28000000000000003</v>
      </c>
      <c r="W17" s="14">
        <v>0.24</v>
      </c>
      <c r="X17" s="14">
        <v>0.23</v>
      </c>
      <c r="Y17" s="14">
        <v>0.24</v>
      </c>
      <c r="Z17" s="14">
        <v>0.26</v>
      </c>
      <c r="AA17" s="14">
        <v>0.25</v>
      </c>
      <c r="AB17" s="14">
        <v>0.28000000000000003</v>
      </c>
      <c r="AC17" s="14">
        <v>0.26</v>
      </c>
      <c r="AD17" s="14">
        <v>0.27</v>
      </c>
      <c r="AE17" s="14">
        <v>0.21</v>
      </c>
      <c r="AF17" s="14">
        <v>0.26</v>
      </c>
    </row>
    <row r="18" spans="1:32">
      <c r="A18" s="23"/>
      <c r="B18" s="11" t="s">
        <v>1687</v>
      </c>
      <c r="C18" s="12">
        <v>10931</v>
      </c>
      <c r="D18" s="12">
        <v>397</v>
      </c>
      <c r="E18" s="12">
        <v>455</v>
      </c>
      <c r="F18" s="12">
        <v>387</v>
      </c>
      <c r="G18" s="12">
        <v>427</v>
      </c>
      <c r="H18" s="12">
        <v>521</v>
      </c>
      <c r="I18" s="12">
        <v>658</v>
      </c>
      <c r="J18" s="12">
        <v>138</v>
      </c>
      <c r="K18" s="12">
        <v>393</v>
      </c>
      <c r="L18" s="12">
        <v>331</v>
      </c>
      <c r="M18" s="12">
        <v>431</v>
      </c>
      <c r="N18" s="12">
        <v>395</v>
      </c>
      <c r="O18" s="12">
        <v>412</v>
      </c>
      <c r="P18" s="12">
        <v>439</v>
      </c>
      <c r="Q18" s="12">
        <v>459</v>
      </c>
      <c r="R18" s="12">
        <v>170</v>
      </c>
      <c r="S18" s="12">
        <v>417</v>
      </c>
      <c r="T18" s="12">
        <v>414</v>
      </c>
      <c r="U18" s="12">
        <v>165</v>
      </c>
      <c r="V18" s="12">
        <v>384</v>
      </c>
      <c r="W18" s="12">
        <v>171</v>
      </c>
      <c r="X18" s="12">
        <v>426</v>
      </c>
      <c r="Y18" s="12">
        <v>404</v>
      </c>
      <c r="Z18" s="12">
        <v>388</v>
      </c>
      <c r="AA18" s="12">
        <v>454</v>
      </c>
      <c r="AB18" s="12">
        <v>390</v>
      </c>
      <c r="AC18" s="12">
        <v>419</v>
      </c>
      <c r="AD18" s="12">
        <v>365</v>
      </c>
      <c r="AE18" s="12">
        <v>429</v>
      </c>
      <c r="AF18" s="12">
        <v>482</v>
      </c>
    </row>
    <row r="19" spans="1:32">
      <c r="A19" s="23"/>
      <c r="B19" s="13" t="s">
        <v>1687</v>
      </c>
      <c r="C19" s="14">
        <v>0.41</v>
      </c>
      <c r="D19" s="14">
        <v>0.39</v>
      </c>
      <c r="E19" s="14">
        <v>0.44</v>
      </c>
      <c r="F19" s="14">
        <v>0.38</v>
      </c>
      <c r="G19" s="14">
        <v>0.42</v>
      </c>
      <c r="H19" s="14">
        <v>0.43</v>
      </c>
      <c r="I19" s="14">
        <v>0.44</v>
      </c>
      <c r="J19" s="14">
        <v>0.47</v>
      </c>
      <c r="K19" s="14">
        <v>0.39</v>
      </c>
      <c r="L19" s="14">
        <v>0.33</v>
      </c>
      <c r="M19" s="14">
        <v>0.43</v>
      </c>
      <c r="N19" s="14">
        <v>0.4</v>
      </c>
      <c r="O19" s="14">
        <v>0.41</v>
      </c>
      <c r="P19" s="14">
        <v>0.43</v>
      </c>
      <c r="Q19" s="14">
        <v>0.45</v>
      </c>
      <c r="R19" s="14">
        <v>0.34</v>
      </c>
      <c r="S19" s="14">
        <v>0.41</v>
      </c>
      <c r="T19" s="14">
        <v>0.41</v>
      </c>
      <c r="U19" s="14">
        <v>0.33</v>
      </c>
      <c r="V19" s="14">
        <v>0.38</v>
      </c>
      <c r="W19" s="14">
        <v>0.34</v>
      </c>
      <c r="X19" s="14">
        <v>0.42</v>
      </c>
      <c r="Y19" s="14">
        <v>0.4</v>
      </c>
      <c r="Z19" s="14">
        <v>0.38</v>
      </c>
      <c r="AA19" s="14">
        <v>0.44</v>
      </c>
      <c r="AB19" s="14">
        <v>0.38</v>
      </c>
      <c r="AC19" s="14">
        <v>0.42</v>
      </c>
      <c r="AD19" s="14">
        <v>0.36</v>
      </c>
      <c r="AE19" s="14">
        <v>0.43</v>
      </c>
      <c r="AF19" s="14">
        <v>0.45</v>
      </c>
    </row>
    <row r="20" spans="1:32">
      <c r="A20" s="23"/>
      <c r="B20" s="11" t="s">
        <v>1532</v>
      </c>
      <c r="C20" s="12">
        <v>49.27</v>
      </c>
      <c r="D20" s="12">
        <v>47.73</v>
      </c>
      <c r="E20" s="12">
        <v>50.17</v>
      </c>
      <c r="F20" s="12">
        <v>48.63</v>
      </c>
      <c r="G20" s="12">
        <v>50.39</v>
      </c>
      <c r="H20" s="12">
        <v>49.52</v>
      </c>
      <c r="I20" s="12">
        <v>49.89</v>
      </c>
      <c r="J20" s="12">
        <v>51.43</v>
      </c>
      <c r="K20" s="12">
        <v>48.28</v>
      </c>
      <c r="L20" s="12">
        <v>46.09</v>
      </c>
      <c r="M20" s="12">
        <v>49.5</v>
      </c>
      <c r="N20" s="12">
        <v>48.88</v>
      </c>
      <c r="O20" s="12">
        <v>48.85</v>
      </c>
      <c r="P20" s="12">
        <v>49.12</v>
      </c>
      <c r="Q20" s="12">
        <v>50.47</v>
      </c>
      <c r="R20" s="12">
        <v>46.03</v>
      </c>
      <c r="S20" s="12">
        <v>49.7</v>
      </c>
      <c r="T20" s="12">
        <v>49.2</v>
      </c>
      <c r="U20" s="12">
        <v>45.86</v>
      </c>
      <c r="V20" s="12">
        <v>48.39</v>
      </c>
      <c r="W20" s="12">
        <v>46.79</v>
      </c>
      <c r="X20" s="12">
        <v>48.88</v>
      </c>
      <c r="Y20" s="12">
        <v>48.56</v>
      </c>
      <c r="Z20" s="12">
        <v>48.29</v>
      </c>
      <c r="AA20" s="12">
        <v>50.21</v>
      </c>
      <c r="AB20" s="12">
        <v>47.75</v>
      </c>
      <c r="AC20" s="12">
        <v>50.13</v>
      </c>
      <c r="AD20" s="12">
        <v>47.41</v>
      </c>
      <c r="AE20" s="12">
        <v>49.76</v>
      </c>
      <c r="AF20" s="12">
        <v>52.67</v>
      </c>
    </row>
    <row r="21" spans="1:32">
      <c r="A21" s="23"/>
      <c r="B21" s="13" t="s">
        <v>1533</v>
      </c>
      <c r="C21" s="15" t="s">
        <v>485</v>
      </c>
      <c r="D21" s="15" t="s">
        <v>485</v>
      </c>
      <c r="E21" s="15" t="s">
        <v>485</v>
      </c>
      <c r="F21" s="15" t="s">
        <v>485</v>
      </c>
      <c r="G21" s="15" t="s">
        <v>485</v>
      </c>
      <c r="H21" s="15" t="s">
        <v>485</v>
      </c>
      <c r="I21" s="15" t="s">
        <v>485</v>
      </c>
      <c r="J21" s="15" t="s">
        <v>485</v>
      </c>
      <c r="K21" s="15" t="s">
        <v>485</v>
      </c>
      <c r="L21" s="15" t="s">
        <v>485</v>
      </c>
      <c r="M21" s="15" t="s">
        <v>485</v>
      </c>
      <c r="N21" s="15" t="s">
        <v>485</v>
      </c>
      <c r="O21" s="15" t="s">
        <v>485</v>
      </c>
      <c r="P21" s="15" t="s">
        <v>485</v>
      </c>
      <c r="Q21" s="15" t="s">
        <v>485</v>
      </c>
      <c r="R21" s="15" t="s">
        <v>485</v>
      </c>
      <c r="S21" s="15" t="s">
        <v>485</v>
      </c>
      <c r="T21" s="15" t="s">
        <v>485</v>
      </c>
      <c r="U21" s="15" t="s">
        <v>485</v>
      </c>
      <c r="V21" s="15" t="s">
        <v>485</v>
      </c>
      <c r="W21" s="15" t="s">
        <v>485</v>
      </c>
      <c r="X21" s="15" t="s">
        <v>485</v>
      </c>
      <c r="Y21" s="15" t="s">
        <v>485</v>
      </c>
      <c r="Z21" s="15" t="s">
        <v>485</v>
      </c>
      <c r="AA21" s="15" t="s">
        <v>485</v>
      </c>
      <c r="AB21" s="15" t="s">
        <v>485</v>
      </c>
      <c r="AC21" s="15" t="s">
        <v>485</v>
      </c>
      <c r="AD21" s="15" t="s">
        <v>485</v>
      </c>
      <c r="AE21" s="15" t="s">
        <v>485</v>
      </c>
      <c r="AF21" s="15" t="s">
        <v>485</v>
      </c>
    </row>
  </sheetData>
  <mergeCells count="9">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2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700-000000000000}">
  <dimension ref="A1:AF27"/>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12" customHeight="1">
      <c r="B3" s="19" t="s">
        <v>405</v>
      </c>
      <c r="C3" s="19"/>
      <c r="D3" s="19"/>
      <c r="E3" s="19"/>
      <c r="F3" s="19"/>
      <c r="H3" s="19" t="s">
        <v>406</v>
      </c>
      <c r="I3" s="19"/>
      <c r="J3" s="19"/>
      <c r="K3" s="19"/>
      <c r="L3" s="19"/>
    </row>
    <row r="4" spans="1:32" ht="27" customHeight="1">
      <c r="B4" s="19"/>
      <c r="C4" s="19"/>
      <c r="D4" s="19"/>
      <c r="E4" s="19"/>
      <c r="F4" s="19"/>
      <c r="H4" s="19"/>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HYPERLINK("#Content!A204","&lt;&lt;Back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1684</v>
      </c>
      <c r="C12" s="12">
        <v>3207</v>
      </c>
      <c r="D12" s="12">
        <v>139</v>
      </c>
      <c r="E12" s="12">
        <v>108</v>
      </c>
      <c r="F12" s="12">
        <v>118</v>
      </c>
      <c r="G12" s="12">
        <v>100</v>
      </c>
      <c r="H12" s="12">
        <v>146</v>
      </c>
      <c r="I12" s="12">
        <v>176</v>
      </c>
      <c r="J12" s="12">
        <v>30</v>
      </c>
      <c r="K12" s="12">
        <v>120</v>
      </c>
      <c r="L12" s="12">
        <v>156</v>
      </c>
      <c r="M12" s="12">
        <v>118</v>
      </c>
      <c r="N12" s="12">
        <v>122</v>
      </c>
      <c r="O12" s="12">
        <v>146</v>
      </c>
      <c r="P12" s="12">
        <v>120</v>
      </c>
      <c r="Q12" s="12">
        <v>116</v>
      </c>
      <c r="R12" s="12">
        <v>70</v>
      </c>
      <c r="S12" s="12">
        <v>116</v>
      </c>
      <c r="T12" s="12">
        <v>112</v>
      </c>
      <c r="U12" s="12">
        <v>66</v>
      </c>
      <c r="V12" s="12">
        <v>124</v>
      </c>
      <c r="W12" s="12">
        <v>57</v>
      </c>
      <c r="X12" s="12">
        <v>140</v>
      </c>
      <c r="Y12" s="12">
        <v>123</v>
      </c>
      <c r="Z12" s="12">
        <v>117</v>
      </c>
      <c r="AA12" s="12">
        <v>124</v>
      </c>
      <c r="AB12" s="12">
        <v>132</v>
      </c>
      <c r="AC12" s="12">
        <v>112</v>
      </c>
      <c r="AD12" s="12">
        <v>117</v>
      </c>
      <c r="AE12" s="12">
        <v>131</v>
      </c>
      <c r="AF12" s="12">
        <v>54</v>
      </c>
    </row>
    <row r="13" spans="1:32">
      <c r="A13" s="23"/>
      <c r="B13" s="13" t="s">
        <v>1684</v>
      </c>
      <c r="C13" s="14">
        <v>0.12</v>
      </c>
      <c r="D13" s="14">
        <v>0.14000000000000001</v>
      </c>
      <c r="E13" s="14">
        <v>0.1</v>
      </c>
      <c r="F13" s="14">
        <v>0.12</v>
      </c>
      <c r="G13" s="14">
        <v>0.1</v>
      </c>
      <c r="H13" s="14">
        <v>0.12</v>
      </c>
      <c r="I13" s="14">
        <v>0.12</v>
      </c>
      <c r="J13" s="14">
        <v>0.1</v>
      </c>
      <c r="K13" s="14">
        <v>0.12</v>
      </c>
      <c r="L13" s="14">
        <v>0.16</v>
      </c>
      <c r="M13" s="14">
        <v>0.12</v>
      </c>
      <c r="N13" s="14">
        <v>0.12</v>
      </c>
      <c r="O13" s="14">
        <v>0.15</v>
      </c>
      <c r="P13" s="14">
        <v>0.12</v>
      </c>
      <c r="Q13" s="14">
        <v>0.11</v>
      </c>
      <c r="R13" s="14">
        <v>0.14000000000000001</v>
      </c>
      <c r="S13" s="14">
        <v>0.12</v>
      </c>
      <c r="T13" s="14">
        <v>0.11</v>
      </c>
      <c r="U13" s="14">
        <v>0.13</v>
      </c>
      <c r="V13" s="14">
        <v>0.12</v>
      </c>
      <c r="W13" s="14">
        <v>0.11</v>
      </c>
      <c r="X13" s="14">
        <v>0.14000000000000001</v>
      </c>
      <c r="Y13" s="14">
        <v>0.12</v>
      </c>
      <c r="Z13" s="14">
        <v>0.11</v>
      </c>
      <c r="AA13" s="14">
        <v>0.12</v>
      </c>
      <c r="AB13" s="14">
        <v>0.13</v>
      </c>
      <c r="AC13" s="14">
        <v>0.11</v>
      </c>
      <c r="AD13" s="14">
        <v>0.12</v>
      </c>
      <c r="AE13" s="14">
        <v>0.13</v>
      </c>
      <c r="AF13" s="14">
        <v>0.05</v>
      </c>
    </row>
    <row r="14" spans="1:32">
      <c r="A14" s="23"/>
      <c r="B14" s="11" t="s">
        <v>1688</v>
      </c>
      <c r="C14" s="12">
        <v>3454</v>
      </c>
      <c r="D14" s="12">
        <v>138</v>
      </c>
      <c r="E14" s="12">
        <v>129</v>
      </c>
      <c r="F14" s="12">
        <v>142</v>
      </c>
      <c r="G14" s="12">
        <v>129</v>
      </c>
      <c r="H14" s="12">
        <v>183</v>
      </c>
      <c r="I14" s="12">
        <v>214</v>
      </c>
      <c r="J14" s="12">
        <v>31</v>
      </c>
      <c r="K14" s="12">
        <v>140</v>
      </c>
      <c r="L14" s="12">
        <v>153</v>
      </c>
      <c r="M14" s="12">
        <v>124</v>
      </c>
      <c r="N14" s="12">
        <v>140</v>
      </c>
      <c r="O14" s="12">
        <v>125</v>
      </c>
      <c r="P14" s="12">
        <v>139</v>
      </c>
      <c r="Q14" s="12">
        <v>107</v>
      </c>
      <c r="R14" s="12">
        <v>92</v>
      </c>
      <c r="S14" s="12">
        <v>134</v>
      </c>
      <c r="T14" s="12">
        <v>160</v>
      </c>
      <c r="U14" s="12">
        <v>85</v>
      </c>
      <c r="V14" s="12">
        <v>143</v>
      </c>
      <c r="W14" s="12">
        <v>94</v>
      </c>
      <c r="X14" s="12">
        <v>147</v>
      </c>
      <c r="Y14" s="12">
        <v>142</v>
      </c>
      <c r="Z14" s="12">
        <v>132</v>
      </c>
      <c r="AA14" s="12">
        <v>122</v>
      </c>
      <c r="AB14" s="12">
        <v>130</v>
      </c>
      <c r="AC14" s="12">
        <v>113</v>
      </c>
      <c r="AD14" s="12">
        <v>150</v>
      </c>
      <c r="AE14" s="12">
        <v>149</v>
      </c>
      <c r="AF14" s="12">
        <v>144</v>
      </c>
    </row>
    <row r="15" spans="1:32">
      <c r="A15" s="23"/>
      <c r="B15" s="13" t="s">
        <v>1688</v>
      </c>
      <c r="C15" s="14">
        <v>0.13</v>
      </c>
      <c r="D15" s="14">
        <v>0.14000000000000001</v>
      </c>
      <c r="E15" s="14">
        <v>0.12</v>
      </c>
      <c r="F15" s="14">
        <v>0.14000000000000001</v>
      </c>
      <c r="G15" s="14">
        <v>0.13</v>
      </c>
      <c r="H15" s="14">
        <v>0.15</v>
      </c>
      <c r="I15" s="14">
        <v>0.14000000000000001</v>
      </c>
      <c r="J15" s="14">
        <v>0.11</v>
      </c>
      <c r="K15" s="14">
        <v>0.14000000000000001</v>
      </c>
      <c r="L15" s="14">
        <v>0.15</v>
      </c>
      <c r="M15" s="14">
        <v>0.12</v>
      </c>
      <c r="N15" s="14">
        <v>0.14000000000000001</v>
      </c>
      <c r="O15" s="14">
        <v>0.12</v>
      </c>
      <c r="P15" s="14">
        <v>0.14000000000000001</v>
      </c>
      <c r="Q15" s="14">
        <v>0.11</v>
      </c>
      <c r="R15" s="14">
        <v>0.18</v>
      </c>
      <c r="S15" s="14">
        <v>0.13</v>
      </c>
      <c r="T15" s="14">
        <v>0.16</v>
      </c>
      <c r="U15" s="14">
        <v>0.17</v>
      </c>
      <c r="V15" s="14">
        <v>0.14000000000000001</v>
      </c>
      <c r="W15" s="14">
        <v>0.19</v>
      </c>
      <c r="X15" s="14">
        <v>0.14000000000000001</v>
      </c>
      <c r="Y15" s="14">
        <v>0.14000000000000001</v>
      </c>
      <c r="Z15" s="14">
        <v>0.13</v>
      </c>
      <c r="AA15" s="14">
        <v>0.12</v>
      </c>
      <c r="AB15" s="14">
        <v>0.12</v>
      </c>
      <c r="AC15" s="14">
        <v>0.11</v>
      </c>
      <c r="AD15" s="14">
        <v>0.15</v>
      </c>
      <c r="AE15" s="14">
        <v>0.15</v>
      </c>
      <c r="AF15" s="14">
        <v>0.13</v>
      </c>
    </row>
    <row r="16" spans="1:32">
      <c r="A16" s="23"/>
      <c r="B16" s="11" t="s">
        <v>1689</v>
      </c>
      <c r="C16" s="12">
        <v>4268</v>
      </c>
      <c r="D16" s="12">
        <v>160</v>
      </c>
      <c r="E16" s="12">
        <v>161</v>
      </c>
      <c r="F16" s="12">
        <v>160</v>
      </c>
      <c r="G16" s="12">
        <v>182</v>
      </c>
      <c r="H16" s="12">
        <v>169</v>
      </c>
      <c r="I16" s="12">
        <v>228</v>
      </c>
      <c r="J16" s="12">
        <v>59</v>
      </c>
      <c r="K16" s="12">
        <v>187</v>
      </c>
      <c r="L16" s="12">
        <v>186</v>
      </c>
      <c r="M16" s="12">
        <v>151</v>
      </c>
      <c r="N16" s="12">
        <v>151</v>
      </c>
      <c r="O16" s="12">
        <v>173</v>
      </c>
      <c r="P16" s="12">
        <v>157</v>
      </c>
      <c r="Q16" s="12">
        <v>150</v>
      </c>
      <c r="R16" s="12">
        <v>89</v>
      </c>
      <c r="S16" s="12">
        <v>166</v>
      </c>
      <c r="T16" s="12">
        <v>148</v>
      </c>
      <c r="U16" s="12">
        <v>109</v>
      </c>
      <c r="V16" s="12">
        <v>157</v>
      </c>
      <c r="W16" s="12">
        <v>100</v>
      </c>
      <c r="X16" s="12">
        <v>126</v>
      </c>
      <c r="Y16" s="12">
        <v>178</v>
      </c>
      <c r="Z16" s="12">
        <v>217</v>
      </c>
      <c r="AA16" s="12">
        <v>157</v>
      </c>
      <c r="AB16" s="12">
        <v>184</v>
      </c>
      <c r="AC16" s="12">
        <v>155</v>
      </c>
      <c r="AD16" s="12">
        <v>183</v>
      </c>
      <c r="AE16" s="12">
        <v>144</v>
      </c>
      <c r="AF16" s="12">
        <v>199</v>
      </c>
    </row>
    <row r="17" spans="1:32">
      <c r="A17" s="23"/>
      <c r="B17" s="13" t="s">
        <v>1689</v>
      </c>
      <c r="C17" s="14">
        <v>0.16</v>
      </c>
      <c r="D17" s="14">
        <v>0.16</v>
      </c>
      <c r="E17" s="14">
        <v>0.16</v>
      </c>
      <c r="F17" s="14">
        <v>0.16</v>
      </c>
      <c r="G17" s="14">
        <v>0.18</v>
      </c>
      <c r="H17" s="14">
        <v>0.14000000000000001</v>
      </c>
      <c r="I17" s="14">
        <v>0.15</v>
      </c>
      <c r="J17" s="14">
        <v>0.2</v>
      </c>
      <c r="K17" s="14">
        <v>0.19</v>
      </c>
      <c r="L17" s="14">
        <v>0.18</v>
      </c>
      <c r="M17" s="14">
        <v>0.15</v>
      </c>
      <c r="N17" s="14">
        <v>0.15</v>
      </c>
      <c r="O17" s="14">
        <v>0.17</v>
      </c>
      <c r="P17" s="14">
        <v>0.15</v>
      </c>
      <c r="Q17" s="14">
        <v>0.15</v>
      </c>
      <c r="R17" s="14">
        <v>0.18</v>
      </c>
      <c r="S17" s="14">
        <v>0.16</v>
      </c>
      <c r="T17" s="14">
        <v>0.15</v>
      </c>
      <c r="U17" s="14">
        <v>0.22</v>
      </c>
      <c r="V17" s="14">
        <v>0.16</v>
      </c>
      <c r="W17" s="14">
        <v>0.2</v>
      </c>
      <c r="X17" s="14">
        <v>0.12</v>
      </c>
      <c r="Y17" s="14">
        <v>0.18</v>
      </c>
      <c r="Z17" s="14">
        <v>0.21</v>
      </c>
      <c r="AA17" s="14">
        <v>0.15</v>
      </c>
      <c r="AB17" s="14">
        <v>0.18</v>
      </c>
      <c r="AC17" s="14">
        <v>0.16</v>
      </c>
      <c r="AD17" s="14">
        <v>0.18</v>
      </c>
      <c r="AE17" s="14">
        <v>0.14000000000000001</v>
      </c>
      <c r="AF17" s="14">
        <v>0.19</v>
      </c>
    </row>
    <row r="18" spans="1:32">
      <c r="A18" s="23"/>
      <c r="B18" s="11" t="s">
        <v>1690</v>
      </c>
      <c r="C18" s="12">
        <v>4495</v>
      </c>
      <c r="D18" s="12">
        <v>173</v>
      </c>
      <c r="E18" s="12">
        <v>191</v>
      </c>
      <c r="F18" s="12">
        <v>200</v>
      </c>
      <c r="G18" s="12">
        <v>166</v>
      </c>
      <c r="H18" s="12">
        <v>192</v>
      </c>
      <c r="I18" s="12">
        <v>228</v>
      </c>
      <c r="J18" s="12">
        <v>36</v>
      </c>
      <c r="K18" s="12">
        <v>164</v>
      </c>
      <c r="L18" s="12">
        <v>182</v>
      </c>
      <c r="M18" s="12">
        <v>186</v>
      </c>
      <c r="N18" s="12">
        <v>192</v>
      </c>
      <c r="O18" s="12">
        <v>150</v>
      </c>
      <c r="P18" s="12">
        <v>157</v>
      </c>
      <c r="Q18" s="12">
        <v>193</v>
      </c>
      <c r="R18" s="12">
        <v>81</v>
      </c>
      <c r="S18" s="12">
        <v>172</v>
      </c>
      <c r="T18" s="12">
        <v>170</v>
      </c>
      <c r="U18" s="12">
        <v>78</v>
      </c>
      <c r="V18" s="12">
        <v>203</v>
      </c>
      <c r="W18" s="12">
        <v>82</v>
      </c>
      <c r="X18" s="12">
        <v>177</v>
      </c>
      <c r="Y18" s="12">
        <v>161</v>
      </c>
      <c r="Z18" s="12">
        <v>163</v>
      </c>
      <c r="AA18" s="12">
        <v>183</v>
      </c>
      <c r="AB18" s="12">
        <v>196</v>
      </c>
      <c r="AC18" s="12">
        <v>205</v>
      </c>
      <c r="AD18" s="12">
        <v>187</v>
      </c>
      <c r="AE18" s="12">
        <v>155</v>
      </c>
      <c r="AF18" s="12">
        <v>193</v>
      </c>
    </row>
    <row r="19" spans="1:32">
      <c r="A19" s="23"/>
      <c r="B19" s="13" t="s">
        <v>1690</v>
      </c>
      <c r="C19" s="14">
        <v>0.17</v>
      </c>
      <c r="D19" s="14">
        <v>0.17</v>
      </c>
      <c r="E19" s="14">
        <v>0.18</v>
      </c>
      <c r="F19" s="14">
        <v>0.2</v>
      </c>
      <c r="G19" s="14">
        <v>0.17</v>
      </c>
      <c r="H19" s="14">
        <v>0.16</v>
      </c>
      <c r="I19" s="14">
        <v>0.15</v>
      </c>
      <c r="J19" s="14">
        <v>0.12</v>
      </c>
      <c r="K19" s="14">
        <v>0.16</v>
      </c>
      <c r="L19" s="14">
        <v>0.18</v>
      </c>
      <c r="M19" s="14">
        <v>0.18</v>
      </c>
      <c r="N19" s="14">
        <v>0.19</v>
      </c>
      <c r="O19" s="14">
        <v>0.15</v>
      </c>
      <c r="P19" s="14">
        <v>0.15</v>
      </c>
      <c r="Q19" s="14">
        <v>0.19</v>
      </c>
      <c r="R19" s="14">
        <v>0.16</v>
      </c>
      <c r="S19" s="14">
        <v>0.17</v>
      </c>
      <c r="T19" s="14">
        <v>0.17</v>
      </c>
      <c r="U19" s="14">
        <v>0.15</v>
      </c>
      <c r="V19" s="14">
        <v>0.2</v>
      </c>
      <c r="W19" s="14">
        <v>0.16</v>
      </c>
      <c r="X19" s="14">
        <v>0.17</v>
      </c>
      <c r="Y19" s="14">
        <v>0.16</v>
      </c>
      <c r="Z19" s="14">
        <v>0.16</v>
      </c>
      <c r="AA19" s="14">
        <v>0.17</v>
      </c>
      <c r="AB19" s="14">
        <v>0.19</v>
      </c>
      <c r="AC19" s="14">
        <v>0.2</v>
      </c>
      <c r="AD19" s="14">
        <v>0.19</v>
      </c>
      <c r="AE19" s="14">
        <v>0.16</v>
      </c>
      <c r="AF19" s="14">
        <v>0.18</v>
      </c>
    </row>
    <row r="20" spans="1:32">
      <c r="A20" s="23"/>
      <c r="B20" s="11" t="s">
        <v>1691</v>
      </c>
      <c r="C20" s="12">
        <v>4294</v>
      </c>
      <c r="D20" s="12">
        <v>160</v>
      </c>
      <c r="E20" s="12">
        <v>170</v>
      </c>
      <c r="F20" s="12">
        <v>142</v>
      </c>
      <c r="G20" s="12">
        <v>165</v>
      </c>
      <c r="H20" s="12">
        <v>218</v>
      </c>
      <c r="I20" s="12">
        <v>271</v>
      </c>
      <c r="J20" s="12">
        <v>53</v>
      </c>
      <c r="K20" s="12">
        <v>150</v>
      </c>
      <c r="L20" s="12">
        <v>142</v>
      </c>
      <c r="M20" s="12">
        <v>163</v>
      </c>
      <c r="N20" s="12">
        <v>162</v>
      </c>
      <c r="O20" s="12">
        <v>155</v>
      </c>
      <c r="P20" s="12">
        <v>171</v>
      </c>
      <c r="Q20" s="12">
        <v>178</v>
      </c>
      <c r="R20" s="12">
        <v>70</v>
      </c>
      <c r="S20" s="12">
        <v>167</v>
      </c>
      <c r="T20" s="12">
        <v>178</v>
      </c>
      <c r="U20" s="12">
        <v>76</v>
      </c>
      <c r="V20" s="12">
        <v>142</v>
      </c>
      <c r="W20" s="12">
        <v>64</v>
      </c>
      <c r="X20" s="12">
        <v>171</v>
      </c>
      <c r="Y20" s="12">
        <v>174</v>
      </c>
      <c r="Z20" s="12">
        <v>149</v>
      </c>
      <c r="AA20" s="12">
        <v>168</v>
      </c>
      <c r="AB20" s="12">
        <v>148</v>
      </c>
      <c r="AC20" s="12">
        <v>166</v>
      </c>
      <c r="AD20" s="12">
        <v>152</v>
      </c>
      <c r="AE20" s="12">
        <v>153</v>
      </c>
      <c r="AF20" s="12">
        <v>176</v>
      </c>
    </row>
    <row r="21" spans="1:32">
      <c r="A21" s="23"/>
      <c r="B21" s="13" t="s">
        <v>1691</v>
      </c>
      <c r="C21" s="14">
        <v>0.16</v>
      </c>
      <c r="D21" s="14">
        <v>0.16</v>
      </c>
      <c r="E21" s="14">
        <v>0.16</v>
      </c>
      <c r="F21" s="14">
        <v>0.14000000000000001</v>
      </c>
      <c r="G21" s="14">
        <v>0.16</v>
      </c>
      <c r="H21" s="14">
        <v>0.18</v>
      </c>
      <c r="I21" s="14">
        <v>0.18</v>
      </c>
      <c r="J21" s="14">
        <v>0.18</v>
      </c>
      <c r="K21" s="14">
        <v>0.15</v>
      </c>
      <c r="L21" s="14">
        <v>0.14000000000000001</v>
      </c>
      <c r="M21" s="14">
        <v>0.16</v>
      </c>
      <c r="N21" s="14">
        <v>0.16</v>
      </c>
      <c r="O21" s="14">
        <v>0.15</v>
      </c>
      <c r="P21" s="14">
        <v>0.17</v>
      </c>
      <c r="Q21" s="14">
        <v>0.17</v>
      </c>
      <c r="R21" s="14">
        <v>0.14000000000000001</v>
      </c>
      <c r="S21" s="14">
        <v>0.17</v>
      </c>
      <c r="T21" s="14">
        <v>0.18</v>
      </c>
      <c r="U21" s="14">
        <v>0.15</v>
      </c>
      <c r="V21" s="14">
        <v>0.14000000000000001</v>
      </c>
      <c r="W21" s="14">
        <v>0.13</v>
      </c>
      <c r="X21" s="14">
        <v>0.17</v>
      </c>
      <c r="Y21" s="14">
        <v>0.17</v>
      </c>
      <c r="Z21" s="14">
        <v>0.15</v>
      </c>
      <c r="AA21" s="14">
        <v>0.16</v>
      </c>
      <c r="AB21" s="14">
        <v>0.14000000000000001</v>
      </c>
      <c r="AC21" s="14">
        <v>0.17</v>
      </c>
      <c r="AD21" s="14">
        <v>0.15</v>
      </c>
      <c r="AE21" s="14">
        <v>0.15</v>
      </c>
      <c r="AF21" s="14">
        <v>0.16</v>
      </c>
    </row>
    <row r="22" spans="1:32">
      <c r="A22" s="23"/>
      <c r="B22" s="11" t="s">
        <v>1692</v>
      </c>
      <c r="C22" s="12">
        <v>4084</v>
      </c>
      <c r="D22" s="12">
        <v>170</v>
      </c>
      <c r="E22" s="12">
        <v>206</v>
      </c>
      <c r="F22" s="12">
        <v>164</v>
      </c>
      <c r="G22" s="12">
        <v>146</v>
      </c>
      <c r="H22" s="12">
        <v>176</v>
      </c>
      <c r="I22" s="12">
        <v>222</v>
      </c>
      <c r="J22" s="12">
        <v>46</v>
      </c>
      <c r="K22" s="12">
        <v>160</v>
      </c>
      <c r="L22" s="12">
        <v>109</v>
      </c>
      <c r="M22" s="12">
        <v>188</v>
      </c>
      <c r="N22" s="12">
        <v>133</v>
      </c>
      <c r="O22" s="12">
        <v>140</v>
      </c>
      <c r="P22" s="12">
        <v>211</v>
      </c>
      <c r="Q22" s="12">
        <v>188</v>
      </c>
      <c r="R22" s="12">
        <v>54</v>
      </c>
      <c r="S22" s="12">
        <v>141</v>
      </c>
      <c r="T22" s="12">
        <v>114</v>
      </c>
      <c r="U22" s="12">
        <v>59</v>
      </c>
      <c r="V22" s="12">
        <v>172</v>
      </c>
      <c r="W22" s="12">
        <v>63</v>
      </c>
      <c r="X22" s="12">
        <v>167</v>
      </c>
      <c r="Y22" s="12">
        <v>142</v>
      </c>
      <c r="Z22" s="12">
        <v>148</v>
      </c>
      <c r="AA22" s="12">
        <v>163</v>
      </c>
      <c r="AB22" s="12">
        <v>203</v>
      </c>
      <c r="AC22" s="12">
        <v>141</v>
      </c>
      <c r="AD22" s="12">
        <v>154</v>
      </c>
      <c r="AE22" s="12">
        <v>152</v>
      </c>
      <c r="AF22" s="12">
        <v>151</v>
      </c>
    </row>
    <row r="23" spans="1:32">
      <c r="A23" s="23"/>
      <c r="B23" s="13" t="s">
        <v>1692</v>
      </c>
      <c r="C23" s="14">
        <v>0.16</v>
      </c>
      <c r="D23" s="14">
        <v>0.17</v>
      </c>
      <c r="E23" s="14">
        <v>0.2</v>
      </c>
      <c r="F23" s="14">
        <v>0.16</v>
      </c>
      <c r="G23" s="14">
        <v>0.14000000000000001</v>
      </c>
      <c r="H23" s="14">
        <v>0.15</v>
      </c>
      <c r="I23" s="14">
        <v>0.15</v>
      </c>
      <c r="J23" s="14">
        <v>0.16</v>
      </c>
      <c r="K23" s="14">
        <v>0.16</v>
      </c>
      <c r="L23" s="14">
        <v>0.11</v>
      </c>
      <c r="M23" s="14">
        <v>0.19</v>
      </c>
      <c r="N23" s="14">
        <v>0.14000000000000001</v>
      </c>
      <c r="O23" s="14">
        <v>0.14000000000000001</v>
      </c>
      <c r="P23" s="14">
        <v>0.21</v>
      </c>
      <c r="Q23" s="14">
        <v>0.18</v>
      </c>
      <c r="R23" s="14">
        <v>0.11</v>
      </c>
      <c r="S23" s="14">
        <v>0.14000000000000001</v>
      </c>
      <c r="T23" s="14">
        <v>0.11</v>
      </c>
      <c r="U23" s="14">
        <v>0.12</v>
      </c>
      <c r="V23" s="14">
        <v>0.17</v>
      </c>
      <c r="W23" s="14">
        <v>0.12</v>
      </c>
      <c r="X23" s="14">
        <v>0.17</v>
      </c>
      <c r="Y23" s="14">
        <v>0.14000000000000001</v>
      </c>
      <c r="Z23" s="14">
        <v>0.15</v>
      </c>
      <c r="AA23" s="14">
        <v>0.16</v>
      </c>
      <c r="AB23" s="14">
        <v>0.2</v>
      </c>
      <c r="AC23" s="14">
        <v>0.14000000000000001</v>
      </c>
      <c r="AD23" s="14">
        <v>0.15</v>
      </c>
      <c r="AE23" s="14">
        <v>0.15</v>
      </c>
      <c r="AF23" s="14">
        <v>0.14000000000000001</v>
      </c>
    </row>
    <row r="24" spans="1:32">
      <c r="A24" s="23"/>
      <c r="B24" s="11" t="s">
        <v>1693</v>
      </c>
      <c r="C24" s="12">
        <v>2553</v>
      </c>
      <c r="D24" s="12">
        <v>67</v>
      </c>
      <c r="E24" s="12">
        <v>80</v>
      </c>
      <c r="F24" s="12">
        <v>81</v>
      </c>
      <c r="G24" s="12">
        <v>116</v>
      </c>
      <c r="H24" s="12">
        <v>127</v>
      </c>
      <c r="I24" s="12">
        <v>165</v>
      </c>
      <c r="J24" s="12">
        <v>39</v>
      </c>
      <c r="K24" s="12">
        <v>83</v>
      </c>
      <c r="L24" s="12">
        <v>80</v>
      </c>
      <c r="M24" s="12">
        <v>79</v>
      </c>
      <c r="N24" s="12">
        <v>100</v>
      </c>
      <c r="O24" s="12">
        <v>117</v>
      </c>
      <c r="P24" s="12">
        <v>57</v>
      </c>
      <c r="Q24" s="12">
        <v>92</v>
      </c>
      <c r="R24" s="12">
        <v>45</v>
      </c>
      <c r="S24" s="12">
        <v>110</v>
      </c>
      <c r="T24" s="12">
        <v>123</v>
      </c>
      <c r="U24" s="12">
        <v>29</v>
      </c>
      <c r="V24" s="12">
        <v>71</v>
      </c>
      <c r="W24" s="12">
        <v>44</v>
      </c>
      <c r="X24" s="12">
        <v>88</v>
      </c>
      <c r="Y24" s="12">
        <v>88</v>
      </c>
      <c r="Z24" s="12">
        <v>91</v>
      </c>
      <c r="AA24" s="12">
        <v>123</v>
      </c>
      <c r="AB24" s="12">
        <v>39</v>
      </c>
      <c r="AC24" s="12">
        <v>112</v>
      </c>
      <c r="AD24" s="12">
        <v>59</v>
      </c>
      <c r="AE24" s="12">
        <v>124</v>
      </c>
      <c r="AF24" s="12">
        <v>155</v>
      </c>
    </row>
    <row r="25" spans="1:32">
      <c r="A25" s="23"/>
      <c r="B25" s="13" t="s">
        <v>1693</v>
      </c>
      <c r="C25" s="14">
        <v>0.1</v>
      </c>
      <c r="D25" s="14">
        <v>0.06</v>
      </c>
      <c r="E25" s="14">
        <v>0.08</v>
      </c>
      <c r="F25" s="14">
        <v>0.08</v>
      </c>
      <c r="G25" s="14">
        <v>0.12</v>
      </c>
      <c r="H25" s="14">
        <v>0.1</v>
      </c>
      <c r="I25" s="14">
        <v>0.11</v>
      </c>
      <c r="J25" s="14">
        <v>0.13</v>
      </c>
      <c r="K25" s="14">
        <v>0.08</v>
      </c>
      <c r="L25" s="14">
        <v>0.08</v>
      </c>
      <c r="M25" s="14">
        <v>0.08</v>
      </c>
      <c r="N25" s="14">
        <v>0.1</v>
      </c>
      <c r="O25" s="14">
        <v>0.12</v>
      </c>
      <c r="P25" s="14">
        <v>0.06</v>
      </c>
      <c r="Q25" s="14">
        <v>0.09</v>
      </c>
      <c r="R25" s="14">
        <v>0.09</v>
      </c>
      <c r="S25" s="14">
        <v>0.11</v>
      </c>
      <c r="T25" s="14">
        <v>0.12</v>
      </c>
      <c r="U25" s="14">
        <v>0.06</v>
      </c>
      <c r="V25" s="14">
        <v>7.0000000000000007E-2</v>
      </c>
      <c r="W25" s="14">
        <v>0.09</v>
      </c>
      <c r="X25" s="14">
        <v>0.09</v>
      </c>
      <c r="Y25" s="14">
        <v>0.09</v>
      </c>
      <c r="Z25" s="14">
        <v>0.09</v>
      </c>
      <c r="AA25" s="14">
        <v>0.12</v>
      </c>
      <c r="AB25" s="14">
        <v>0.04</v>
      </c>
      <c r="AC25" s="14">
        <v>0.11</v>
      </c>
      <c r="AD25" s="14">
        <v>0.06</v>
      </c>
      <c r="AE25" s="14">
        <v>0.12</v>
      </c>
      <c r="AF25" s="14">
        <v>0.15</v>
      </c>
    </row>
    <row r="26" spans="1:32">
      <c r="A26" s="23"/>
      <c r="B26" s="11" t="s">
        <v>1532</v>
      </c>
      <c r="C26" s="12">
        <v>49.27</v>
      </c>
      <c r="D26" s="12">
        <v>47.73</v>
      </c>
      <c r="E26" s="12">
        <v>50.17</v>
      </c>
      <c r="F26" s="12">
        <v>48.63</v>
      </c>
      <c r="G26" s="12">
        <v>50.39</v>
      </c>
      <c r="H26" s="12">
        <v>49.52</v>
      </c>
      <c r="I26" s="12">
        <v>49.89</v>
      </c>
      <c r="J26" s="12">
        <v>51.43</v>
      </c>
      <c r="K26" s="12">
        <v>48.28</v>
      </c>
      <c r="L26" s="12">
        <v>46.09</v>
      </c>
      <c r="M26" s="12">
        <v>49.5</v>
      </c>
      <c r="N26" s="12">
        <v>48.88</v>
      </c>
      <c r="O26" s="12">
        <v>48.85</v>
      </c>
      <c r="P26" s="12">
        <v>49.12</v>
      </c>
      <c r="Q26" s="12">
        <v>50.47</v>
      </c>
      <c r="R26" s="12">
        <v>46.03</v>
      </c>
      <c r="S26" s="12">
        <v>49.7</v>
      </c>
      <c r="T26" s="12">
        <v>49.2</v>
      </c>
      <c r="U26" s="12">
        <v>45.86</v>
      </c>
      <c r="V26" s="12">
        <v>48.39</v>
      </c>
      <c r="W26" s="12">
        <v>46.79</v>
      </c>
      <c r="X26" s="12">
        <v>48.88</v>
      </c>
      <c r="Y26" s="12">
        <v>48.56</v>
      </c>
      <c r="Z26" s="12">
        <v>48.29</v>
      </c>
      <c r="AA26" s="12">
        <v>50.21</v>
      </c>
      <c r="AB26" s="12">
        <v>47.75</v>
      </c>
      <c r="AC26" s="12">
        <v>50.13</v>
      </c>
      <c r="AD26" s="12">
        <v>47.41</v>
      </c>
      <c r="AE26" s="12">
        <v>49.76</v>
      </c>
      <c r="AF26" s="12">
        <v>52.67</v>
      </c>
    </row>
    <row r="27" spans="1:32">
      <c r="A27" s="23"/>
      <c r="B27" s="13" t="s">
        <v>1533</v>
      </c>
      <c r="C27" s="15" t="s">
        <v>485</v>
      </c>
      <c r="D27" s="15" t="s">
        <v>485</v>
      </c>
      <c r="E27" s="15" t="s">
        <v>485</v>
      </c>
      <c r="F27" s="15" t="s">
        <v>485</v>
      </c>
      <c r="G27" s="15" t="s">
        <v>485</v>
      </c>
      <c r="H27" s="15" t="s">
        <v>485</v>
      </c>
      <c r="I27" s="15" t="s">
        <v>485</v>
      </c>
      <c r="J27" s="15" t="s">
        <v>485</v>
      </c>
      <c r="K27" s="15" t="s">
        <v>485</v>
      </c>
      <c r="L27" s="15" t="s">
        <v>485</v>
      </c>
      <c r="M27" s="15" t="s">
        <v>485</v>
      </c>
      <c r="N27" s="15" t="s">
        <v>485</v>
      </c>
      <c r="O27" s="15" t="s">
        <v>485</v>
      </c>
      <c r="P27" s="15" t="s">
        <v>485</v>
      </c>
      <c r="Q27" s="15" t="s">
        <v>485</v>
      </c>
      <c r="R27" s="15" t="s">
        <v>485</v>
      </c>
      <c r="S27" s="15" t="s">
        <v>485</v>
      </c>
      <c r="T27" s="15" t="s">
        <v>485</v>
      </c>
      <c r="U27" s="15" t="s">
        <v>485</v>
      </c>
      <c r="V27" s="15" t="s">
        <v>485</v>
      </c>
      <c r="W27" s="15" t="s">
        <v>485</v>
      </c>
      <c r="X27" s="15" t="s">
        <v>485</v>
      </c>
      <c r="Y27" s="15" t="s">
        <v>485</v>
      </c>
      <c r="Z27" s="15" t="s">
        <v>485</v>
      </c>
      <c r="AA27" s="15" t="s">
        <v>485</v>
      </c>
      <c r="AB27" s="15" t="s">
        <v>485</v>
      </c>
      <c r="AC27" s="15" t="s">
        <v>485</v>
      </c>
      <c r="AD27" s="15" t="s">
        <v>485</v>
      </c>
      <c r="AE27" s="15" t="s">
        <v>485</v>
      </c>
      <c r="AF27" s="15" t="s">
        <v>485</v>
      </c>
    </row>
  </sheetData>
  <mergeCells count="9">
    <mergeCell ref="H3:L3"/>
    <mergeCell ref="C8:AF8"/>
    <mergeCell ref="B3:F3"/>
    <mergeCell ref="B5:F5"/>
    <mergeCell ref="A10:A27"/>
    <mergeCell ref="B10:B11"/>
    <mergeCell ref="H4:L4"/>
    <mergeCell ref="B4:F4"/>
    <mergeCell ref="H5:L5"/>
  </mergeCells>
  <pageMargins left="0.75" right="0.75" top="1" bottom="1" header="0.5" footer="0.5"/>
</worksheet>
</file>

<file path=xl/worksheets/sheet2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800-000000000000}">
  <dimension ref="A1:AF1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12" customHeight="1">
      <c r="B3" s="19" t="s">
        <v>407</v>
      </c>
      <c r="C3" s="19"/>
      <c r="D3" s="19"/>
      <c r="E3" s="19"/>
      <c r="F3" s="19"/>
      <c r="H3" s="19" t="s">
        <v>408</v>
      </c>
      <c r="I3" s="19"/>
      <c r="J3" s="19"/>
      <c r="K3" s="19"/>
      <c r="L3" s="19"/>
    </row>
    <row r="4" spans="1:32" ht="27" customHeight="1">
      <c r="B4" s="19"/>
      <c r="C4" s="19"/>
      <c r="D4" s="19"/>
      <c r="E4" s="19"/>
      <c r="F4" s="19"/>
      <c r="H4" s="19"/>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HYPERLINK("#Content!A205","&lt;&lt;Back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1694</v>
      </c>
      <c r="C12" s="12">
        <v>5212</v>
      </c>
      <c r="D12" s="12">
        <v>220</v>
      </c>
      <c r="E12" s="12">
        <v>168</v>
      </c>
      <c r="F12" s="12">
        <v>196</v>
      </c>
      <c r="G12" s="12">
        <v>161</v>
      </c>
      <c r="H12" s="12">
        <v>262</v>
      </c>
      <c r="I12" s="12">
        <v>305</v>
      </c>
      <c r="J12" s="12">
        <v>43</v>
      </c>
      <c r="K12" s="12">
        <v>200</v>
      </c>
      <c r="L12" s="12">
        <v>234</v>
      </c>
      <c r="M12" s="12">
        <v>199</v>
      </c>
      <c r="N12" s="12">
        <v>205</v>
      </c>
      <c r="O12" s="12">
        <v>223</v>
      </c>
      <c r="P12" s="12">
        <v>195</v>
      </c>
      <c r="Q12" s="12">
        <v>176</v>
      </c>
      <c r="R12" s="12">
        <v>113</v>
      </c>
      <c r="S12" s="12">
        <v>175</v>
      </c>
      <c r="T12" s="12">
        <v>211</v>
      </c>
      <c r="U12" s="12">
        <v>119</v>
      </c>
      <c r="V12" s="12">
        <v>202</v>
      </c>
      <c r="W12" s="12">
        <v>106</v>
      </c>
      <c r="X12" s="12">
        <v>243</v>
      </c>
      <c r="Y12" s="12">
        <v>199</v>
      </c>
      <c r="Z12" s="12">
        <v>189</v>
      </c>
      <c r="AA12" s="12">
        <v>198</v>
      </c>
      <c r="AB12" s="12">
        <v>205</v>
      </c>
      <c r="AC12" s="12">
        <v>194</v>
      </c>
      <c r="AD12" s="12">
        <v>190</v>
      </c>
      <c r="AE12" s="12">
        <v>210</v>
      </c>
      <c r="AF12" s="12">
        <v>108</v>
      </c>
    </row>
    <row r="13" spans="1:32">
      <c r="A13" s="23"/>
      <c r="B13" s="13" t="s">
        <v>1694</v>
      </c>
      <c r="C13" s="14">
        <v>0.2</v>
      </c>
      <c r="D13" s="14">
        <v>0.22</v>
      </c>
      <c r="E13" s="14">
        <v>0.16</v>
      </c>
      <c r="F13" s="14">
        <v>0.2</v>
      </c>
      <c r="G13" s="14">
        <v>0.16</v>
      </c>
      <c r="H13" s="14">
        <v>0.22</v>
      </c>
      <c r="I13" s="14">
        <v>0.2</v>
      </c>
      <c r="J13" s="14">
        <v>0.15</v>
      </c>
      <c r="K13" s="14">
        <v>0.2</v>
      </c>
      <c r="L13" s="14">
        <v>0.23</v>
      </c>
      <c r="M13" s="14">
        <v>0.2</v>
      </c>
      <c r="N13" s="14">
        <v>0.21</v>
      </c>
      <c r="O13" s="14">
        <v>0.22</v>
      </c>
      <c r="P13" s="14">
        <v>0.19</v>
      </c>
      <c r="Q13" s="14">
        <v>0.17</v>
      </c>
      <c r="R13" s="14">
        <v>0.22</v>
      </c>
      <c r="S13" s="14">
        <v>0.17</v>
      </c>
      <c r="T13" s="14">
        <v>0.21</v>
      </c>
      <c r="U13" s="14">
        <v>0.24</v>
      </c>
      <c r="V13" s="14">
        <v>0.2</v>
      </c>
      <c r="W13" s="14">
        <v>0.21</v>
      </c>
      <c r="X13" s="14">
        <v>0.24</v>
      </c>
      <c r="Y13" s="14">
        <v>0.2</v>
      </c>
      <c r="Z13" s="14">
        <v>0.19</v>
      </c>
      <c r="AA13" s="14">
        <v>0.19</v>
      </c>
      <c r="AB13" s="14">
        <v>0.2</v>
      </c>
      <c r="AC13" s="14">
        <v>0.19</v>
      </c>
      <c r="AD13" s="14">
        <v>0.19</v>
      </c>
      <c r="AE13" s="14">
        <v>0.21</v>
      </c>
      <c r="AF13" s="14">
        <v>0.1</v>
      </c>
    </row>
    <row r="14" spans="1:32">
      <c r="A14" s="23"/>
      <c r="B14" s="11" t="s">
        <v>1695</v>
      </c>
      <c r="C14" s="12">
        <v>14505</v>
      </c>
      <c r="D14" s="12">
        <v>549</v>
      </c>
      <c r="E14" s="12">
        <v>590</v>
      </c>
      <c r="F14" s="12">
        <v>566</v>
      </c>
      <c r="G14" s="12">
        <v>580</v>
      </c>
      <c r="H14" s="12">
        <v>646</v>
      </c>
      <c r="I14" s="12">
        <v>812</v>
      </c>
      <c r="J14" s="12">
        <v>166</v>
      </c>
      <c r="K14" s="12">
        <v>561</v>
      </c>
      <c r="L14" s="12">
        <v>583</v>
      </c>
      <c r="M14" s="12">
        <v>545</v>
      </c>
      <c r="N14" s="12">
        <v>563</v>
      </c>
      <c r="O14" s="12">
        <v>526</v>
      </c>
      <c r="P14" s="12">
        <v>548</v>
      </c>
      <c r="Q14" s="12">
        <v>567</v>
      </c>
      <c r="R14" s="12">
        <v>289</v>
      </c>
      <c r="S14" s="12">
        <v>579</v>
      </c>
      <c r="T14" s="12">
        <v>557</v>
      </c>
      <c r="U14" s="12">
        <v>295</v>
      </c>
      <c r="V14" s="12">
        <v>566</v>
      </c>
      <c r="W14" s="12">
        <v>289</v>
      </c>
      <c r="X14" s="12">
        <v>518</v>
      </c>
      <c r="Y14" s="12">
        <v>578</v>
      </c>
      <c r="Z14" s="12">
        <v>589</v>
      </c>
      <c r="AA14" s="12">
        <v>556</v>
      </c>
      <c r="AB14" s="12">
        <v>584</v>
      </c>
      <c r="AC14" s="12">
        <v>558</v>
      </c>
      <c r="AD14" s="12">
        <v>599</v>
      </c>
      <c r="AE14" s="12">
        <v>522</v>
      </c>
      <c r="AF14" s="12">
        <v>659</v>
      </c>
    </row>
    <row r="15" spans="1:32">
      <c r="A15" s="23"/>
      <c r="B15" s="13" t="s">
        <v>1695</v>
      </c>
      <c r="C15" s="14">
        <v>0.55000000000000004</v>
      </c>
      <c r="D15" s="14">
        <v>0.55000000000000004</v>
      </c>
      <c r="E15" s="14">
        <v>0.57000000000000006</v>
      </c>
      <c r="F15" s="14">
        <v>0.56000000000000005</v>
      </c>
      <c r="G15" s="14">
        <v>0.57999999999999996</v>
      </c>
      <c r="H15" s="14">
        <v>0.53</v>
      </c>
      <c r="I15" s="14">
        <v>0.54</v>
      </c>
      <c r="J15" s="14">
        <v>0.56000000000000005</v>
      </c>
      <c r="K15" s="14">
        <v>0.56000000000000005</v>
      </c>
      <c r="L15" s="14">
        <v>0.57999999999999996</v>
      </c>
      <c r="M15" s="14">
        <v>0.54</v>
      </c>
      <c r="N15" s="14">
        <v>0.56000000000000005</v>
      </c>
      <c r="O15" s="14">
        <v>0.52</v>
      </c>
      <c r="P15" s="14">
        <v>0.54</v>
      </c>
      <c r="Q15" s="14">
        <v>0.55000000000000004</v>
      </c>
      <c r="R15" s="14">
        <v>0.57999999999999996</v>
      </c>
      <c r="S15" s="14">
        <v>0.57999999999999996</v>
      </c>
      <c r="T15" s="14">
        <v>0.55000000000000004</v>
      </c>
      <c r="U15" s="14">
        <v>0.57999999999999996</v>
      </c>
      <c r="V15" s="14">
        <v>0.56000000000000005</v>
      </c>
      <c r="W15" s="14">
        <v>0.57999999999999996</v>
      </c>
      <c r="X15" s="14">
        <v>0.51</v>
      </c>
      <c r="Y15" s="14">
        <v>0.57000000000000006</v>
      </c>
      <c r="Z15" s="14">
        <v>0.57999999999999996</v>
      </c>
      <c r="AA15" s="14">
        <v>0.53</v>
      </c>
      <c r="AB15" s="14">
        <v>0.57000000000000006</v>
      </c>
      <c r="AC15" s="14">
        <v>0.56000000000000005</v>
      </c>
      <c r="AD15" s="14">
        <v>0.6</v>
      </c>
      <c r="AE15" s="14">
        <v>0.52</v>
      </c>
      <c r="AF15" s="14">
        <v>0.61</v>
      </c>
    </row>
    <row r="16" spans="1:32">
      <c r="A16" s="23"/>
      <c r="B16" s="11" t="s">
        <v>1696</v>
      </c>
      <c r="C16" s="12">
        <v>6637</v>
      </c>
      <c r="D16" s="12">
        <v>237</v>
      </c>
      <c r="E16" s="12">
        <v>286</v>
      </c>
      <c r="F16" s="12">
        <v>245</v>
      </c>
      <c r="G16" s="12">
        <v>261</v>
      </c>
      <c r="H16" s="12">
        <v>303</v>
      </c>
      <c r="I16" s="12">
        <v>387</v>
      </c>
      <c r="J16" s="12">
        <v>84</v>
      </c>
      <c r="K16" s="12">
        <v>243</v>
      </c>
      <c r="L16" s="12">
        <v>189</v>
      </c>
      <c r="M16" s="12">
        <v>268</v>
      </c>
      <c r="N16" s="12">
        <v>233</v>
      </c>
      <c r="O16" s="12">
        <v>257</v>
      </c>
      <c r="P16" s="12">
        <v>268</v>
      </c>
      <c r="Q16" s="12">
        <v>281</v>
      </c>
      <c r="R16" s="12">
        <v>99</v>
      </c>
      <c r="S16" s="12">
        <v>251</v>
      </c>
      <c r="T16" s="12">
        <v>236</v>
      </c>
      <c r="U16" s="12">
        <v>89</v>
      </c>
      <c r="V16" s="12">
        <v>243</v>
      </c>
      <c r="W16" s="12">
        <v>107</v>
      </c>
      <c r="X16" s="12">
        <v>255</v>
      </c>
      <c r="Y16" s="12">
        <v>230</v>
      </c>
      <c r="Z16" s="12">
        <v>239</v>
      </c>
      <c r="AA16" s="12">
        <v>286</v>
      </c>
      <c r="AB16" s="12">
        <v>242</v>
      </c>
      <c r="AC16" s="12">
        <v>253</v>
      </c>
      <c r="AD16" s="12">
        <v>213</v>
      </c>
      <c r="AE16" s="12">
        <v>276</v>
      </c>
      <c r="AF16" s="12">
        <v>306</v>
      </c>
    </row>
    <row r="17" spans="1:32">
      <c r="A17" s="23"/>
      <c r="B17" s="13" t="s">
        <v>1696</v>
      </c>
      <c r="C17" s="14">
        <v>0.25</v>
      </c>
      <c r="D17" s="14">
        <v>0.23</v>
      </c>
      <c r="E17" s="14">
        <v>0.27</v>
      </c>
      <c r="F17" s="14">
        <v>0.24</v>
      </c>
      <c r="G17" s="14">
        <v>0.26</v>
      </c>
      <c r="H17" s="14">
        <v>0.25</v>
      </c>
      <c r="I17" s="14">
        <v>0.26</v>
      </c>
      <c r="J17" s="14">
        <v>0.28999999999999998</v>
      </c>
      <c r="K17" s="14">
        <v>0.24</v>
      </c>
      <c r="L17" s="14">
        <v>0.19</v>
      </c>
      <c r="M17" s="14">
        <v>0.26</v>
      </c>
      <c r="N17" s="14">
        <v>0.23</v>
      </c>
      <c r="O17" s="14">
        <v>0.26</v>
      </c>
      <c r="P17" s="14">
        <v>0.27</v>
      </c>
      <c r="Q17" s="14">
        <v>0.28000000000000003</v>
      </c>
      <c r="R17" s="14">
        <v>0.2</v>
      </c>
      <c r="S17" s="14">
        <v>0.25</v>
      </c>
      <c r="T17" s="14">
        <v>0.24</v>
      </c>
      <c r="U17" s="14">
        <v>0.18</v>
      </c>
      <c r="V17" s="14">
        <v>0.24</v>
      </c>
      <c r="W17" s="14">
        <v>0.21</v>
      </c>
      <c r="X17" s="14">
        <v>0.25</v>
      </c>
      <c r="Y17" s="14">
        <v>0.23</v>
      </c>
      <c r="Z17" s="14">
        <v>0.23</v>
      </c>
      <c r="AA17" s="14">
        <v>0.28000000000000003</v>
      </c>
      <c r="AB17" s="14">
        <v>0.23</v>
      </c>
      <c r="AC17" s="14">
        <v>0.25</v>
      </c>
      <c r="AD17" s="14">
        <v>0.21</v>
      </c>
      <c r="AE17" s="14">
        <v>0.27</v>
      </c>
      <c r="AF17" s="14">
        <v>0.28999999999999998</v>
      </c>
    </row>
    <row r="18" spans="1:32">
      <c r="A18" s="23"/>
      <c r="B18" s="11" t="s">
        <v>1532</v>
      </c>
      <c r="C18" s="12">
        <v>49.27</v>
      </c>
      <c r="D18" s="12">
        <v>47.73</v>
      </c>
      <c r="E18" s="12">
        <v>50.17</v>
      </c>
      <c r="F18" s="12">
        <v>48.63</v>
      </c>
      <c r="G18" s="12">
        <v>50.39</v>
      </c>
      <c r="H18" s="12">
        <v>49.52</v>
      </c>
      <c r="I18" s="12">
        <v>49.89</v>
      </c>
      <c r="J18" s="12">
        <v>51.43</v>
      </c>
      <c r="K18" s="12">
        <v>48.28</v>
      </c>
      <c r="L18" s="12">
        <v>46.09</v>
      </c>
      <c r="M18" s="12">
        <v>49.5</v>
      </c>
      <c r="N18" s="12">
        <v>48.88</v>
      </c>
      <c r="O18" s="12">
        <v>48.85</v>
      </c>
      <c r="P18" s="12">
        <v>49.12</v>
      </c>
      <c r="Q18" s="12">
        <v>50.47</v>
      </c>
      <c r="R18" s="12">
        <v>46.03</v>
      </c>
      <c r="S18" s="12">
        <v>49.7</v>
      </c>
      <c r="T18" s="12">
        <v>49.2</v>
      </c>
      <c r="U18" s="12">
        <v>45.86</v>
      </c>
      <c r="V18" s="12">
        <v>48.39</v>
      </c>
      <c r="W18" s="12">
        <v>46.79</v>
      </c>
      <c r="X18" s="12">
        <v>48.88</v>
      </c>
      <c r="Y18" s="12">
        <v>48.56</v>
      </c>
      <c r="Z18" s="12">
        <v>48.29</v>
      </c>
      <c r="AA18" s="12">
        <v>50.21</v>
      </c>
      <c r="AB18" s="12">
        <v>47.75</v>
      </c>
      <c r="AC18" s="12">
        <v>50.13</v>
      </c>
      <c r="AD18" s="12">
        <v>47.41</v>
      </c>
      <c r="AE18" s="12">
        <v>49.76</v>
      </c>
      <c r="AF18" s="12">
        <v>52.67</v>
      </c>
    </row>
    <row r="19" spans="1:32">
      <c r="A19" s="23"/>
      <c r="B19" s="13" t="s">
        <v>1533</v>
      </c>
      <c r="C19" s="15" t="s">
        <v>485</v>
      </c>
      <c r="D19" s="15" t="s">
        <v>485</v>
      </c>
      <c r="E19" s="15" t="s">
        <v>485</v>
      </c>
      <c r="F19" s="15" t="s">
        <v>485</v>
      </c>
      <c r="G19" s="15" t="s">
        <v>485</v>
      </c>
      <c r="H19" s="15" t="s">
        <v>485</v>
      </c>
      <c r="I19" s="15" t="s">
        <v>485</v>
      </c>
      <c r="J19" s="15" t="s">
        <v>485</v>
      </c>
      <c r="K19" s="15" t="s">
        <v>485</v>
      </c>
      <c r="L19" s="15" t="s">
        <v>485</v>
      </c>
      <c r="M19" s="15" t="s">
        <v>485</v>
      </c>
      <c r="N19" s="15" t="s">
        <v>485</v>
      </c>
      <c r="O19" s="15" t="s">
        <v>485</v>
      </c>
      <c r="P19" s="15" t="s">
        <v>485</v>
      </c>
      <c r="Q19" s="15" t="s">
        <v>485</v>
      </c>
      <c r="R19" s="15" t="s">
        <v>485</v>
      </c>
      <c r="S19" s="15" t="s">
        <v>485</v>
      </c>
      <c r="T19" s="15" t="s">
        <v>485</v>
      </c>
      <c r="U19" s="15" t="s">
        <v>485</v>
      </c>
      <c r="V19" s="15" t="s">
        <v>485</v>
      </c>
      <c r="W19" s="15" t="s">
        <v>485</v>
      </c>
      <c r="X19" s="15" t="s">
        <v>485</v>
      </c>
      <c r="Y19" s="15" t="s">
        <v>485</v>
      </c>
      <c r="Z19" s="15" t="s">
        <v>485</v>
      </c>
      <c r="AA19" s="15" t="s">
        <v>485</v>
      </c>
      <c r="AB19" s="15" t="s">
        <v>485</v>
      </c>
      <c r="AC19" s="15" t="s">
        <v>485</v>
      </c>
      <c r="AD19" s="15" t="s">
        <v>485</v>
      </c>
      <c r="AE19" s="15" t="s">
        <v>485</v>
      </c>
      <c r="AF19" s="15" t="s">
        <v>485</v>
      </c>
    </row>
  </sheetData>
  <mergeCells count="9">
    <mergeCell ref="H3:L3"/>
    <mergeCell ref="C8:AF8"/>
    <mergeCell ref="B3:F3"/>
    <mergeCell ref="B5:F5"/>
    <mergeCell ref="A10:A19"/>
    <mergeCell ref="H5:L5"/>
    <mergeCell ref="B10:B11"/>
    <mergeCell ref="H4:L4"/>
    <mergeCell ref="B4:F4"/>
  </mergeCells>
  <pageMargins left="0.75" right="0.75" top="1" bottom="1" header="0.5" footer="0.5"/>
</worksheet>
</file>

<file path=xl/worksheets/sheet2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900-000000000000}">
  <dimension ref="A1:AF23"/>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12" customHeight="1">
      <c r="B3" s="19" t="s">
        <v>409</v>
      </c>
      <c r="C3" s="19"/>
      <c r="D3" s="19"/>
      <c r="E3" s="19"/>
      <c r="F3" s="19"/>
      <c r="H3" s="19" t="s">
        <v>410</v>
      </c>
      <c r="I3" s="19"/>
      <c r="J3" s="19"/>
      <c r="K3" s="19"/>
      <c r="L3" s="19"/>
    </row>
    <row r="4" spans="1:32" ht="27" customHeight="1">
      <c r="B4" s="19"/>
      <c r="C4" s="19"/>
      <c r="D4" s="19"/>
      <c r="E4" s="19"/>
      <c r="F4" s="19"/>
      <c r="H4" s="19"/>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HYPERLINK("#Content!A206","&lt;&lt;Back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1697</v>
      </c>
      <c r="C12" s="12">
        <v>1152</v>
      </c>
      <c r="D12" s="12">
        <v>32</v>
      </c>
      <c r="E12" s="12">
        <v>33</v>
      </c>
      <c r="F12" s="12">
        <v>29</v>
      </c>
      <c r="G12" s="12">
        <v>54</v>
      </c>
      <c r="H12" s="12">
        <v>77</v>
      </c>
      <c r="I12" s="12">
        <v>97</v>
      </c>
      <c r="J12" s="12">
        <v>20</v>
      </c>
      <c r="K12" s="12">
        <v>38</v>
      </c>
      <c r="L12" s="12">
        <v>43</v>
      </c>
      <c r="M12" s="12">
        <v>28</v>
      </c>
      <c r="N12" s="12">
        <v>57</v>
      </c>
      <c r="O12" s="12">
        <v>49</v>
      </c>
      <c r="P12" s="12">
        <v>23</v>
      </c>
      <c r="Q12" s="12">
        <v>26</v>
      </c>
      <c r="R12" s="12">
        <v>19</v>
      </c>
      <c r="S12" s="12">
        <v>49</v>
      </c>
      <c r="T12" s="12">
        <v>68</v>
      </c>
      <c r="U12" s="12">
        <v>11</v>
      </c>
      <c r="V12" s="12">
        <v>25</v>
      </c>
      <c r="W12" s="12">
        <v>20</v>
      </c>
      <c r="X12" s="12">
        <v>22</v>
      </c>
      <c r="Y12" s="12">
        <v>37</v>
      </c>
      <c r="Z12" s="12">
        <v>38</v>
      </c>
      <c r="AA12" s="12">
        <v>59</v>
      </c>
      <c r="AB12" s="12">
        <v>11</v>
      </c>
      <c r="AC12" s="12">
        <v>63</v>
      </c>
      <c r="AD12" s="12">
        <v>12</v>
      </c>
      <c r="AE12" s="12">
        <v>49</v>
      </c>
      <c r="AF12" s="12">
        <v>82</v>
      </c>
    </row>
    <row r="13" spans="1:32">
      <c r="A13" s="23"/>
      <c r="B13" s="13" t="s">
        <v>1698</v>
      </c>
      <c r="C13" s="14">
        <v>0.05</v>
      </c>
      <c r="D13" s="14">
        <v>0.03</v>
      </c>
      <c r="E13" s="14">
        <v>0.03</v>
      </c>
      <c r="F13" s="14">
        <v>0.03</v>
      </c>
      <c r="G13" s="14">
        <v>0.05</v>
      </c>
      <c r="H13" s="14">
        <v>7.0000000000000007E-2</v>
      </c>
      <c r="I13" s="14">
        <v>0.06</v>
      </c>
      <c r="J13" s="14">
        <v>7.0000000000000007E-2</v>
      </c>
      <c r="K13" s="14">
        <v>0.04</v>
      </c>
      <c r="L13" s="14">
        <v>0.04</v>
      </c>
      <c r="M13" s="14">
        <v>0.03</v>
      </c>
      <c r="N13" s="14">
        <v>0.06</v>
      </c>
      <c r="O13" s="14">
        <v>0.05</v>
      </c>
      <c r="P13" s="14">
        <v>0.02</v>
      </c>
      <c r="Q13" s="14">
        <v>0.03</v>
      </c>
      <c r="R13" s="14">
        <v>0.04</v>
      </c>
      <c r="S13" s="14">
        <v>0.05</v>
      </c>
      <c r="T13" s="14">
        <v>7.0000000000000007E-2</v>
      </c>
      <c r="U13" s="14">
        <v>0.02</v>
      </c>
      <c r="V13" s="14">
        <v>0.02</v>
      </c>
      <c r="W13" s="14">
        <v>0.04</v>
      </c>
      <c r="X13" s="14">
        <v>0.02</v>
      </c>
      <c r="Y13" s="14">
        <v>0.04</v>
      </c>
      <c r="Z13" s="14">
        <v>0.04</v>
      </c>
      <c r="AA13" s="14">
        <v>0.06</v>
      </c>
      <c r="AB13" s="14">
        <v>0.01</v>
      </c>
      <c r="AC13" s="14">
        <v>0.06</v>
      </c>
      <c r="AD13" s="14">
        <v>0.01</v>
      </c>
      <c r="AE13" s="14">
        <v>0.05</v>
      </c>
      <c r="AF13" s="14">
        <v>0.08</v>
      </c>
    </row>
    <row r="14" spans="1:32">
      <c r="A14" s="23"/>
      <c r="B14" s="11" t="s">
        <v>1699</v>
      </c>
      <c r="C14" s="12">
        <v>7139</v>
      </c>
      <c r="D14" s="12">
        <v>265</v>
      </c>
      <c r="E14" s="12">
        <v>319</v>
      </c>
      <c r="F14" s="12">
        <v>261</v>
      </c>
      <c r="G14" s="12">
        <v>268</v>
      </c>
      <c r="H14" s="12">
        <v>317</v>
      </c>
      <c r="I14" s="12">
        <v>407</v>
      </c>
      <c r="J14" s="12">
        <v>90</v>
      </c>
      <c r="K14" s="12">
        <v>260</v>
      </c>
      <c r="L14" s="12">
        <v>190</v>
      </c>
      <c r="M14" s="12">
        <v>299</v>
      </c>
      <c r="N14" s="12">
        <v>233</v>
      </c>
      <c r="O14" s="12">
        <v>275</v>
      </c>
      <c r="P14" s="12">
        <v>312</v>
      </c>
      <c r="Q14" s="12">
        <v>316</v>
      </c>
      <c r="R14" s="12">
        <v>108</v>
      </c>
      <c r="S14" s="12">
        <v>274</v>
      </c>
      <c r="T14" s="12">
        <v>241</v>
      </c>
      <c r="U14" s="12">
        <v>116</v>
      </c>
      <c r="V14" s="12">
        <v>262</v>
      </c>
      <c r="W14" s="12">
        <v>117</v>
      </c>
      <c r="X14" s="12">
        <v>310</v>
      </c>
      <c r="Y14" s="12">
        <v>253</v>
      </c>
      <c r="Z14" s="12">
        <v>253</v>
      </c>
      <c r="AA14" s="12">
        <v>284</v>
      </c>
      <c r="AB14" s="12">
        <v>279</v>
      </c>
      <c r="AC14" s="12">
        <v>256</v>
      </c>
      <c r="AD14" s="12">
        <v>265</v>
      </c>
      <c r="AE14" s="12">
        <v>295</v>
      </c>
      <c r="AF14" s="12">
        <v>299</v>
      </c>
    </row>
    <row r="15" spans="1:32">
      <c r="A15" s="23"/>
      <c r="B15" s="13" t="s">
        <v>1699</v>
      </c>
      <c r="C15" s="14">
        <v>0.27</v>
      </c>
      <c r="D15" s="14">
        <v>0.26</v>
      </c>
      <c r="E15" s="14">
        <v>0.31</v>
      </c>
      <c r="F15" s="14">
        <v>0.26</v>
      </c>
      <c r="G15" s="14">
        <v>0.27</v>
      </c>
      <c r="H15" s="14">
        <v>0.26</v>
      </c>
      <c r="I15" s="14">
        <v>0.27</v>
      </c>
      <c r="J15" s="14">
        <v>0.31</v>
      </c>
      <c r="K15" s="14">
        <v>0.26</v>
      </c>
      <c r="L15" s="14">
        <v>0.19</v>
      </c>
      <c r="M15" s="14">
        <v>0.28999999999999998</v>
      </c>
      <c r="N15" s="14">
        <v>0.23</v>
      </c>
      <c r="O15" s="14">
        <v>0.27</v>
      </c>
      <c r="P15" s="14">
        <v>0.31</v>
      </c>
      <c r="Q15" s="14">
        <v>0.31</v>
      </c>
      <c r="R15" s="14">
        <v>0.21</v>
      </c>
      <c r="S15" s="14">
        <v>0.27</v>
      </c>
      <c r="T15" s="14">
        <v>0.24</v>
      </c>
      <c r="U15" s="14">
        <v>0.23</v>
      </c>
      <c r="V15" s="14">
        <v>0.26</v>
      </c>
      <c r="W15" s="14">
        <v>0.23</v>
      </c>
      <c r="X15" s="14">
        <v>0.3</v>
      </c>
      <c r="Y15" s="14">
        <v>0.25</v>
      </c>
      <c r="Z15" s="14">
        <v>0.25</v>
      </c>
      <c r="AA15" s="14">
        <v>0.27</v>
      </c>
      <c r="AB15" s="14">
        <v>0.27</v>
      </c>
      <c r="AC15" s="14">
        <v>0.26</v>
      </c>
      <c r="AD15" s="14">
        <v>0.26</v>
      </c>
      <c r="AE15" s="14">
        <v>0.28999999999999998</v>
      </c>
      <c r="AF15" s="14">
        <v>0.28000000000000003</v>
      </c>
    </row>
    <row r="16" spans="1:32">
      <c r="A16" s="23"/>
      <c r="B16" s="11" t="s">
        <v>1700</v>
      </c>
      <c r="C16" s="12">
        <v>7135</v>
      </c>
      <c r="D16" s="12">
        <v>272</v>
      </c>
      <c r="E16" s="12">
        <v>295</v>
      </c>
      <c r="F16" s="12">
        <v>297</v>
      </c>
      <c r="G16" s="12">
        <v>270</v>
      </c>
      <c r="H16" s="12">
        <v>319</v>
      </c>
      <c r="I16" s="12">
        <v>383</v>
      </c>
      <c r="J16" s="12">
        <v>64</v>
      </c>
      <c r="K16" s="12">
        <v>260</v>
      </c>
      <c r="L16" s="12">
        <v>280</v>
      </c>
      <c r="M16" s="12">
        <v>290</v>
      </c>
      <c r="N16" s="12">
        <v>297</v>
      </c>
      <c r="O16" s="12">
        <v>237</v>
      </c>
      <c r="P16" s="12">
        <v>261</v>
      </c>
      <c r="Q16" s="12">
        <v>310</v>
      </c>
      <c r="R16" s="12">
        <v>124</v>
      </c>
      <c r="S16" s="12">
        <v>266</v>
      </c>
      <c r="T16" s="12">
        <v>275</v>
      </c>
      <c r="U16" s="12">
        <v>115</v>
      </c>
      <c r="V16" s="12">
        <v>300</v>
      </c>
      <c r="W16" s="12">
        <v>116</v>
      </c>
      <c r="X16" s="12">
        <v>271</v>
      </c>
      <c r="Y16" s="12">
        <v>275</v>
      </c>
      <c r="Z16" s="12">
        <v>261</v>
      </c>
      <c r="AA16" s="12">
        <v>294</v>
      </c>
      <c r="AB16" s="12">
        <v>296</v>
      </c>
      <c r="AC16" s="12">
        <v>305</v>
      </c>
      <c r="AD16" s="12">
        <v>276</v>
      </c>
      <c r="AE16" s="12">
        <v>240</v>
      </c>
      <c r="AF16" s="12">
        <v>295</v>
      </c>
    </row>
    <row r="17" spans="1:32">
      <c r="A17" s="23"/>
      <c r="B17" s="13" t="s">
        <v>1700</v>
      </c>
      <c r="C17" s="14">
        <v>0.27</v>
      </c>
      <c r="D17" s="14">
        <v>0.27</v>
      </c>
      <c r="E17" s="14">
        <v>0.28000000000000003</v>
      </c>
      <c r="F17" s="14">
        <v>0.3</v>
      </c>
      <c r="G17" s="14">
        <v>0.27</v>
      </c>
      <c r="H17" s="14">
        <v>0.26</v>
      </c>
      <c r="I17" s="14">
        <v>0.26</v>
      </c>
      <c r="J17" s="14">
        <v>0.22</v>
      </c>
      <c r="K17" s="14">
        <v>0.26</v>
      </c>
      <c r="L17" s="14">
        <v>0.28000000000000003</v>
      </c>
      <c r="M17" s="14">
        <v>0.28999999999999998</v>
      </c>
      <c r="N17" s="14">
        <v>0.3</v>
      </c>
      <c r="O17" s="14">
        <v>0.24</v>
      </c>
      <c r="P17" s="14">
        <v>0.26</v>
      </c>
      <c r="Q17" s="14">
        <v>0.3</v>
      </c>
      <c r="R17" s="14">
        <v>0.25</v>
      </c>
      <c r="S17" s="14">
        <v>0.27</v>
      </c>
      <c r="T17" s="14">
        <v>0.27</v>
      </c>
      <c r="U17" s="14">
        <v>0.23</v>
      </c>
      <c r="V17" s="14">
        <v>0.3</v>
      </c>
      <c r="W17" s="14">
        <v>0.23</v>
      </c>
      <c r="X17" s="14">
        <v>0.27</v>
      </c>
      <c r="Y17" s="14">
        <v>0.27</v>
      </c>
      <c r="Z17" s="14">
        <v>0.26</v>
      </c>
      <c r="AA17" s="14">
        <v>0.28000000000000003</v>
      </c>
      <c r="AB17" s="14">
        <v>0.28999999999999998</v>
      </c>
      <c r="AC17" s="14">
        <v>0.3</v>
      </c>
      <c r="AD17" s="14">
        <v>0.28000000000000003</v>
      </c>
      <c r="AE17" s="14">
        <v>0.24</v>
      </c>
      <c r="AF17" s="14">
        <v>0.27</v>
      </c>
    </row>
    <row r="18" spans="1:32">
      <c r="A18" s="23"/>
      <c r="B18" s="11" t="s">
        <v>1701</v>
      </c>
      <c r="C18" s="12">
        <v>6380</v>
      </c>
      <c r="D18" s="12">
        <v>249</v>
      </c>
      <c r="E18" s="12">
        <v>249</v>
      </c>
      <c r="F18" s="12">
        <v>256</v>
      </c>
      <c r="G18" s="12">
        <v>277</v>
      </c>
      <c r="H18" s="12">
        <v>270</v>
      </c>
      <c r="I18" s="12">
        <v>351</v>
      </c>
      <c r="J18" s="12">
        <v>81</v>
      </c>
      <c r="K18" s="12">
        <v>266</v>
      </c>
      <c r="L18" s="12">
        <v>290</v>
      </c>
      <c r="M18" s="12">
        <v>218</v>
      </c>
      <c r="N18" s="12">
        <v>235</v>
      </c>
      <c r="O18" s="12">
        <v>246</v>
      </c>
      <c r="P18" s="12">
        <v>244</v>
      </c>
      <c r="Q18" s="12">
        <v>217</v>
      </c>
      <c r="R18" s="12">
        <v>154</v>
      </c>
      <c r="S18" s="12">
        <v>263</v>
      </c>
      <c r="T18" s="12">
        <v>247</v>
      </c>
      <c r="U18" s="12">
        <v>164</v>
      </c>
      <c r="V18" s="12">
        <v>252</v>
      </c>
      <c r="W18" s="12">
        <v>160</v>
      </c>
      <c r="X18" s="12">
        <v>202</v>
      </c>
      <c r="Y18" s="12">
        <v>269</v>
      </c>
      <c r="Z18" s="12">
        <v>301</v>
      </c>
      <c r="AA18" s="12">
        <v>228</v>
      </c>
      <c r="AB18" s="12">
        <v>270</v>
      </c>
      <c r="AC18" s="12">
        <v>211</v>
      </c>
      <c r="AD18" s="12">
        <v>287</v>
      </c>
      <c r="AE18" s="12">
        <v>239</v>
      </c>
      <c r="AF18" s="12">
        <v>308</v>
      </c>
    </row>
    <row r="19" spans="1:32">
      <c r="A19" s="23"/>
      <c r="B19" s="13" t="s">
        <v>1701</v>
      </c>
      <c r="C19" s="14">
        <v>0.24</v>
      </c>
      <c r="D19" s="14">
        <v>0.25</v>
      </c>
      <c r="E19" s="14">
        <v>0.24</v>
      </c>
      <c r="F19" s="14">
        <v>0.25</v>
      </c>
      <c r="G19" s="14">
        <v>0.28000000000000003</v>
      </c>
      <c r="H19" s="14">
        <v>0.22</v>
      </c>
      <c r="I19" s="14">
        <v>0.23</v>
      </c>
      <c r="J19" s="14">
        <v>0.27</v>
      </c>
      <c r="K19" s="14">
        <v>0.26</v>
      </c>
      <c r="L19" s="14">
        <v>0.28999999999999998</v>
      </c>
      <c r="M19" s="14">
        <v>0.22</v>
      </c>
      <c r="N19" s="14">
        <v>0.23</v>
      </c>
      <c r="O19" s="14">
        <v>0.24</v>
      </c>
      <c r="P19" s="14">
        <v>0.24</v>
      </c>
      <c r="Q19" s="14">
        <v>0.21</v>
      </c>
      <c r="R19" s="14">
        <v>0.31</v>
      </c>
      <c r="S19" s="14">
        <v>0.26</v>
      </c>
      <c r="T19" s="14">
        <v>0.25</v>
      </c>
      <c r="U19" s="14">
        <v>0.33</v>
      </c>
      <c r="V19" s="14">
        <v>0.25</v>
      </c>
      <c r="W19" s="14">
        <v>0.32</v>
      </c>
      <c r="X19" s="14">
        <v>0.2</v>
      </c>
      <c r="Y19" s="14">
        <v>0.27</v>
      </c>
      <c r="Z19" s="14">
        <v>0.28999999999999998</v>
      </c>
      <c r="AA19" s="14">
        <v>0.22</v>
      </c>
      <c r="AB19" s="14">
        <v>0.26</v>
      </c>
      <c r="AC19" s="14">
        <v>0.21</v>
      </c>
      <c r="AD19" s="14">
        <v>0.28999999999999998</v>
      </c>
      <c r="AE19" s="14">
        <v>0.24</v>
      </c>
      <c r="AF19" s="14">
        <v>0.28999999999999998</v>
      </c>
    </row>
    <row r="20" spans="1:32" ht="23.25">
      <c r="A20" s="23"/>
      <c r="B20" s="11" t="s">
        <v>1702</v>
      </c>
      <c r="C20" s="12">
        <v>4548</v>
      </c>
      <c r="D20" s="12">
        <v>188</v>
      </c>
      <c r="E20" s="12">
        <v>149</v>
      </c>
      <c r="F20" s="12">
        <v>164</v>
      </c>
      <c r="G20" s="12">
        <v>133</v>
      </c>
      <c r="H20" s="12">
        <v>228</v>
      </c>
      <c r="I20" s="12">
        <v>267</v>
      </c>
      <c r="J20" s="12">
        <v>39</v>
      </c>
      <c r="K20" s="12">
        <v>180</v>
      </c>
      <c r="L20" s="12">
        <v>205</v>
      </c>
      <c r="M20" s="12">
        <v>175</v>
      </c>
      <c r="N20" s="12">
        <v>178</v>
      </c>
      <c r="O20" s="12">
        <v>199</v>
      </c>
      <c r="P20" s="12">
        <v>171</v>
      </c>
      <c r="Q20" s="12">
        <v>155</v>
      </c>
      <c r="R20" s="12">
        <v>97</v>
      </c>
      <c r="S20" s="12">
        <v>153</v>
      </c>
      <c r="T20" s="12">
        <v>173</v>
      </c>
      <c r="U20" s="12">
        <v>96</v>
      </c>
      <c r="V20" s="12">
        <v>171</v>
      </c>
      <c r="W20" s="12">
        <v>90</v>
      </c>
      <c r="X20" s="12">
        <v>211</v>
      </c>
      <c r="Y20" s="12">
        <v>173</v>
      </c>
      <c r="Z20" s="12">
        <v>165</v>
      </c>
      <c r="AA20" s="12">
        <v>175</v>
      </c>
      <c r="AB20" s="12">
        <v>176</v>
      </c>
      <c r="AC20" s="12">
        <v>170</v>
      </c>
      <c r="AD20" s="12">
        <v>163</v>
      </c>
      <c r="AE20" s="12">
        <v>184</v>
      </c>
      <c r="AF20" s="12">
        <v>89</v>
      </c>
    </row>
    <row r="21" spans="1:32" ht="23.25">
      <c r="A21" s="23"/>
      <c r="B21" s="13" t="s">
        <v>1703</v>
      </c>
      <c r="C21" s="14">
        <v>0.17</v>
      </c>
      <c r="D21" s="14">
        <v>0.19</v>
      </c>
      <c r="E21" s="14">
        <v>0.14000000000000001</v>
      </c>
      <c r="F21" s="14">
        <v>0.16</v>
      </c>
      <c r="G21" s="14">
        <v>0.13</v>
      </c>
      <c r="H21" s="14">
        <v>0.19</v>
      </c>
      <c r="I21" s="14">
        <v>0.18</v>
      </c>
      <c r="J21" s="14">
        <v>0.13</v>
      </c>
      <c r="K21" s="14">
        <v>0.18</v>
      </c>
      <c r="L21" s="14">
        <v>0.2</v>
      </c>
      <c r="M21" s="14">
        <v>0.17</v>
      </c>
      <c r="N21" s="14">
        <v>0.18</v>
      </c>
      <c r="O21" s="14">
        <v>0.2</v>
      </c>
      <c r="P21" s="14">
        <v>0.17</v>
      </c>
      <c r="Q21" s="14">
        <v>0.15</v>
      </c>
      <c r="R21" s="14">
        <v>0.19</v>
      </c>
      <c r="S21" s="14">
        <v>0.15</v>
      </c>
      <c r="T21" s="14">
        <v>0.17</v>
      </c>
      <c r="U21" s="14">
        <v>0.19</v>
      </c>
      <c r="V21" s="14">
        <v>0.17</v>
      </c>
      <c r="W21" s="14">
        <v>0.18</v>
      </c>
      <c r="X21" s="14">
        <v>0.21</v>
      </c>
      <c r="Y21" s="14">
        <v>0.17</v>
      </c>
      <c r="Z21" s="14">
        <v>0.16</v>
      </c>
      <c r="AA21" s="14">
        <v>0.17</v>
      </c>
      <c r="AB21" s="14">
        <v>0.17</v>
      </c>
      <c r="AC21" s="14">
        <v>0.17</v>
      </c>
      <c r="AD21" s="14">
        <v>0.16</v>
      </c>
      <c r="AE21" s="14">
        <v>0.18</v>
      </c>
      <c r="AF21" s="14">
        <v>0.08</v>
      </c>
    </row>
    <row r="22" spans="1:32">
      <c r="A22" s="23"/>
      <c r="B22" s="11" t="s">
        <v>1532</v>
      </c>
      <c r="C22" s="12">
        <v>49.27</v>
      </c>
      <c r="D22" s="12">
        <v>47.73</v>
      </c>
      <c r="E22" s="12">
        <v>50.17</v>
      </c>
      <c r="F22" s="12">
        <v>48.63</v>
      </c>
      <c r="G22" s="12">
        <v>50.39</v>
      </c>
      <c r="H22" s="12">
        <v>49.52</v>
      </c>
      <c r="I22" s="12">
        <v>49.89</v>
      </c>
      <c r="J22" s="12">
        <v>51.43</v>
      </c>
      <c r="K22" s="12">
        <v>48.28</v>
      </c>
      <c r="L22" s="12">
        <v>46.09</v>
      </c>
      <c r="M22" s="12">
        <v>49.5</v>
      </c>
      <c r="N22" s="12">
        <v>48.88</v>
      </c>
      <c r="O22" s="12">
        <v>48.85</v>
      </c>
      <c r="P22" s="12">
        <v>49.12</v>
      </c>
      <c r="Q22" s="12">
        <v>50.47</v>
      </c>
      <c r="R22" s="12">
        <v>46.03</v>
      </c>
      <c r="S22" s="12">
        <v>49.7</v>
      </c>
      <c r="T22" s="12">
        <v>49.2</v>
      </c>
      <c r="U22" s="12">
        <v>45.86</v>
      </c>
      <c r="V22" s="12">
        <v>48.39</v>
      </c>
      <c r="W22" s="12">
        <v>46.79</v>
      </c>
      <c r="X22" s="12">
        <v>48.88</v>
      </c>
      <c r="Y22" s="12">
        <v>48.56</v>
      </c>
      <c r="Z22" s="12">
        <v>48.29</v>
      </c>
      <c r="AA22" s="12">
        <v>50.21</v>
      </c>
      <c r="AB22" s="12">
        <v>47.75</v>
      </c>
      <c r="AC22" s="12">
        <v>50.13</v>
      </c>
      <c r="AD22" s="12">
        <v>47.41</v>
      </c>
      <c r="AE22" s="12">
        <v>49.76</v>
      </c>
      <c r="AF22" s="12">
        <v>52.67</v>
      </c>
    </row>
    <row r="23" spans="1:32">
      <c r="A23" s="23"/>
      <c r="B23" s="13" t="s">
        <v>1533</v>
      </c>
      <c r="C23" s="15" t="s">
        <v>485</v>
      </c>
      <c r="D23" s="15" t="s">
        <v>485</v>
      </c>
      <c r="E23" s="15" t="s">
        <v>485</v>
      </c>
      <c r="F23" s="15" t="s">
        <v>485</v>
      </c>
      <c r="G23" s="15" t="s">
        <v>485</v>
      </c>
      <c r="H23" s="15" t="s">
        <v>485</v>
      </c>
      <c r="I23" s="15" t="s">
        <v>485</v>
      </c>
      <c r="J23" s="15" t="s">
        <v>485</v>
      </c>
      <c r="K23" s="15" t="s">
        <v>485</v>
      </c>
      <c r="L23" s="15" t="s">
        <v>485</v>
      </c>
      <c r="M23" s="15" t="s">
        <v>485</v>
      </c>
      <c r="N23" s="15" t="s">
        <v>485</v>
      </c>
      <c r="O23" s="15" t="s">
        <v>485</v>
      </c>
      <c r="P23" s="15" t="s">
        <v>485</v>
      </c>
      <c r="Q23" s="15" t="s">
        <v>485</v>
      </c>
      <c r="R23" s="15" t="s">
        <v>485</v>
      </c>
      <c r="S23" s="15" t="s">
        <v>485</v>
      </c>
      <c r="T23" s="15" t="s">
        <v>485</v>
      </c>
      <c r="U23" s="15" t="s">
        <v>485</v>
      </c>
      <c r="V23" s="15" t="s">
        <v>485</v>
      </c>
      <c r="W23" s="15" t="s">
        <v>485</v>
      </c>
      <c r="X23" s="15" t="s">
        <v>485</v>
      </c>
      <c r="Y23" s="15" t="s">
        <v>485</v>
      </c>
      <c r="Z23" s="15" t="s">
        <v>485</v>
      </c>
      <c r="AA23" s="15" t="s">
        <v>485</v>
      </c>
      <c r="AB23" s="15" t="s">
        <v>485</v>
      </c>
      <c r="AC23" s="15" t="s">
        <v>485</v>
      </c>
      <c r="AD23" s="15" t="s">
        <v>485</v>
      </c>
      <c r="AE23" s="15" t="s">
        <v>485</v>
      </c>
      <c r="AF23" s="15" t="s">
        <v>485</v>
      </c>
    </row>
  </sheetData>
  <mergeCells count="9">
    <mergeCell ref="B10:B11"/>
    <mergeCell ref="H4:L4"/>
    <mergeCell ref="A10:A23"/>
    <mergeCell ref="B4:F4"/>
    <mergeCell ref="H3:L3"/>
    <mergeCell ref="C8:AF8"/>
    <mergeCell ref="B3:F3"/>
    <mergeCell ref="B5:F5"/>
    <mergeCell ref="H5:L5"/>
  </mergeCells>
  <pageMargins left="0.75" right="0.75" top="1" bottom="1" header="0.5" footer="0.5"/>
</worksheet>
</file>

<file path=xl/worksheets/sheet2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A00-000000000000}">
  <dimension ref="A1:AF23"/>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411</v>
      </c>
      <c r="C3" s="19"/>
      <c r="D3" s="19"/>
      <c r="E3" s="19"/>
      <c r="F3" s="19"/>
      <c r="H3" s="19" t="s">
        <v>412</v>
      </c>
      <c r="I3" s="19"/>
      <c r="J3" s="19"/>
      <c r="K3" s="19"/>
      <c r="L3" s="19"/>
    </row>
    <row r="4" spans="1:32" ht="27" customHeight="1">
      <c r="B4" s="19"/>
      <c r="C4" s="19"/>
      <c r="D4" s="19"/>
      <c r="E4" s="19"/>
      <c r="F4" s="19"/>
      <c r="H4" s="19"/>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HYPERLINK("#Content!A207","&lt;&lt;Back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1704</v>
      </c>
      <c r="C12" s="12">
        <v>5315</v>
      </c>
      <c r="D12" s="12">
        <v>159</v>
      </c>
      <c r="E12" s="12">
        <v>210</v>
      </c>
      <c r="F12" s="12">
        <v>102</v>
      </c>
      <c r="G12" s="12">
        <v>543</v>
      </c>
      <c r="H12" s="12">
        <v>452</v>
      </c>
      <c r="I12" s="12">
        <v>538</v>
      </c>
      <c r="J12" s="12">
        <v>86</v>
      </c>
      <c r="K12" s="12">
        <v>154</v>
      </c>
      <c r="L12" s="12">
        <v>204</v>
      </c>
      <c r="M12" s="12">
        <v>214</v>
      </c>
      <c r="N12" s="12">
        <v>159</v>
      </c>
      <c r="O12" s="12">
        <v>175</v>
      </c>
      <c r="P12" s="12">
        <v>225</v>
      </c>
      <c r="Q12" s="12">
        <v>112</v>
      </c>
      <c r="R12" s="12">
        <v>153</v>
      </c>
      <c r="S12" s="12">
        <v>190</v>
      </c>
      <c r="T12" s="12">
        <v>249</v>
      </c>
      <c r="U12" s="12">
        <v>101</v>
      </c>
      <c r="V12" s="12">
        <v>205</v>
      </c>
      <c r="W12" s="12">
        <v>83</v>
      </c>
      <c r="X12" s="12">
        <v>235</v>
      </c>
      <c r="Y12" s="12">
        <v>277</v>
      </c>
      <c r="Z12" s="12">
        <v>97</v>
      </c>
      <c r="AA12" s="12">
        <v>143</v>
      </c>
      <c r="AB12" s="12">
        <v>145</v>
      </c>
      <c r="AC12" s="12">
        <v>129</v>
      </c>
      <c r="AD12" s="12">
        <v>266</v>
      </c>
      <c r="AE12" s="12">
        <v>226</v>
      </c>
      <c r="AF12" s="12">
        <v>192</v>
      </c>
    </row>
    <row r="13" spans="1:32">
      <c r="A13" s="23"/>
      <c r="B13" s="13" t="s">
        <v>1705</v>
      </c>
      <c r="C13" s="14">
        <v>0.2</v>
      </c>
      <c r="D13" s="14">
        <v>0.16</v>
      </c>
      <c r="E13" s="14">
        <v>0.2</v>
      </c>
      <c r="F13" s="14">
        <v>0.1</v>
      </c>
      <c r="G13" s="14">
        <v>0.54</v>
      </c>
      <c r="H13" s="14">
        <v>0.37</v>
      </c>
      <c r="I13" s="14">
        <v>0.36</v>
      </c>
      <c r="J13" s="14">
        <v>0.28999999999999998</v>
      </c>
      <c r="K13" s="14">
        <v>0.15</v>
      </c>
      <c r="L13" s="14">
        <v>0.2</v>
      </c>
      <c r="M13" s="14">
        <v>0.21</v>
      </c>
      <c r="N13" s="14">
        <v>0.16</v>
      </c>
      <c r="O13" s="14">
        <v>0.17</v>
      </c>
      <c r="P13" s="14">
        <v>0.22</v>
      </c>
      <c r="Q13" s="14">
        <v>0.11</v>
      </c>
      <c r="R13" s="14">
        <v>0.3</v>
      </c>
      <c r="S13" s="14">
        <v>0.19</v>
      </c>
      <c r="T13" s="14">
        <v>0.25</v>
      </c>
      <c r="U13" s="14">
        <v>0.2</v>
      </c>
      <c r="V13" s="14">
        <v>0.2</v>
      </c>
      <c r="W13" s="14">
        <v>0.17</v>
      </c>
      <c r="X13" s="14">
        <v>0.23</v>
      </c>
      <c r="Y13" s="14">
        <v>0.28000000000000003</v>
      </c>
      <c r="Z13" s="14">
        <v>0.09</v>
      </c>
      <c r="AA13" s="14">
        <v>0.14000000000000001</v>
      </c>
      <c r="AB13" s="14">
        <v>0.14000000000000001</v>
      </c>
      <c r="AC13" s="14">
        <v>0.13</v>
      </c>
      <c r="AD13" s="14">
        <v>0.27</v>
      </c>
      <c r="AE13" s="14">
        <v>0.22</v>
      </c>
      <c r="AF13" s="14">
        <v>0.18</v>
      </c>
    </row>
    <row r="14" spans="1:32">
      <c r="A14" s="23"/>
      <c r="B14" s="11" t="s">
        <v>1706</v>
      </c>
      <c r="C14" s="12">
        <v>7090</v>
      </c>
      <c r="D14" s="12">
        <v>242</v>
      </c>
      <c r="E14" s="12">
        <v>324</v>
      </c>
      <c r="F14" s="12">
        <v>224</v>
      </c>
      <c r="G14" s="12">
        <v>220</v>
      </c>
      <c r="H14" s="12">
        <v>437</v>
      </c>
      <c r="I14" s="12">
        <v>513</v>
      </c>
      <c r="J14" s="12">
        <v>76</v>
      </c>
      <c r="K14" s="12">
        <v>251</v>
      </c>
      <c r="L14" s="12">
        <v>278</v>
      </c>
      <c r="M14" s="12">
        <v>242</v>
      </c>
      <c r="N14" s="12">
        <v>232</v>
      </c>
      <c r="O14" s="12">
        <v>277</v>
      </c>
      <c r="P14" s="12">
        <v>308</v>
      </c>
      <c r="Q14" s="12">
        <v>255</v>
      </c>
      <c r="R14" s="12">
        <v>137</v>
      </c>
      <c r="S14" s="12">
        <v>307</v>
      </c>
      <c r="T14" s="12">
        <v>362</v>
      </c>
      <c r="U14" s="12">
        <v>154</v>
      </c>
      <c r="V14" s="12">
        <v>240</v>
      </c>
      <c r="W14" s="12">
        <v>127</v>
      </c>
      <c r="X14" s="12">
        <v>256</v>
      </c>
      <c r="Y14" s="12">
        <v>335</v>
      </c>
      <c r="Z14" s="12">
        <v>265</v>
      </c>
      <c r="AA14" s="12">
        <v>235</v>
      </c>
      <c r="AB14" s="12">
        <v>203</v>
      </c>
      <c r="AC14" s="12">
        <v>262</v>
      </c>
      <c r="AD14" s="12">
        <v>304</v>
      </c>
      <c r="AE14" s="12">
        <v>237</v>
      </c>
      <c r="AF14" s="12">
        <v>218</v>
      </c>
    </row>
    <row r="15" spans="1:32">
      <c r="A15" s="23"/>
      <c r="B15" s="13" t="s">
        <v>1707</v>
      </c>
      <c r="C15" s="14">
        <v>0.27</v>
      </c>
      <c r="D15" s="14">
        <v>0.24</v>
      </c>
      <c r="E15" s="14">
        <v>0.31</v>
      </c>
      <c r="F15" s="14">
        <v>0.22</v>
      </c>
      <c r="G15" s="14">
        <v>0.22</v>
      </c>
      <c r="H15" s="14">
        <v>0.36</v>
      </c>
      <c r="I15" s="14">
        <v>0.34</v>
      </c>
      <c r="J15" s="14">
        <v>0.26</v>
      </c>
      <c r="K15" s="14">
        <v>0.25</v>
      </c>
      <c r="L15" s="14">
        <v>0.28000000000000003</v>
      </c>
      <c r="M15" s="14">
        <v>0.24</v>
      </c>
      <c r="N15" s="14">
        <v>0.23</v>
      </c>
      <c r="O15" s="14">
        <v>0.28000000000000003</v>
      </c>
      <c r="P15" s="14">
        <v>0.3</v>
      </c>
      <c r="Q15" s="14">
        <v>0.25</v>
      </c>
      <c r="R15" s="14">
        <v>0.27</v>
      </c>
      <c r="S15" s="14">
        <v>0.3</v>
      </c>
      <c r="T15" s="14">
        <v>0.36</v>
      </c>
      <c r="U15" s="14">
        <v>0.31</v>
      </c>
      <c r="V15" s="14">
        <v>0.24</v>
      </c>
      <c r="W15" s="14">
        <v>0.25</v>
      </c>
      <c r="X15" s="14">
        <v>0.25</v>
      </c>
      <c r="Y15" s="14">
        <v>0.33</v>
      </c>
      <c r="Z15" s="14">
        <v>0.26</v>
      </c>
      <c r="AA15" s="14">
        <v>0.22</v>
      </c>
      <c r="AB15" s="14">
        <v>0.2</v>
      </c>
      <c r="AC15" s="14">
        <v>0.26</v>
      </c>
      <c r="AD15" s="14">
        <v>0.3</v>
      </c>
      <c r="AE15" s="14">
        <v>0.24</v>
      </c>
      <c r="AF15" s="14">
        <v>0.2</v>
      </c>
    </row>
    <row r="16" spans="1:32" ht="23.25">
      <c r="A16" s="23"/>
      <c r="B16" s="11" t="s">
        <v>1708</v>
      </c>
      <c r="C16" s="12">
        <v>5428</v>
      </c>
      <c r="D16" s="12">
        <v>223</v>
      </c>
      <c r="E16" s="12">
        <v>181</v>
      </c>
      <c r="F16" s="12">
        <v>183</v>
      </c>
      <c r="G16" s="12">
        <v>123</v>
      </c>
      <c r="H16" s="12">
        <v>199</v>
      </c>
      <c r="I16" s="12">
        <v>275</v>
      </c>
      <c r="J16" s="12">
        <v>76</v>
      </c>
      <c r="K16" s="12">
        <v>143</v>
      </c>
      <c r="L16" s="12">
        <v>182</v>
      </c>
      <c r="M16" s="12">
        <v>231</v>
      </c>
      <c r="N16" s="12">
        <v>186</v>
      </c>
      <c r="O16" s="12">
        <v>204</v>
      </c>
      <c r="P16" s="12">
        <v>193</v>
      </c>
      <c r="Q16" s="12">
        <v>239</v>
      </c>
      <c r="R16" s="12">
        <v>69</v>
      </c>
      <c r="S16" s="12">
        <v>129</v>
      </c>
      <c r="T16" s="12">
        <v>212</v>
      </c>
      <c r="U16" s="12">
        <v>70</v>
      </c>
      <c r="V16" s="12">
        <v>258</v>
      </c>
      <c r="W16" s="12">
        <v>79</v>
      </c>
      <c r="X16" s="12">
        <v>209</v>
      </c>
      <c r="Y16" s="12">
        <v>186</v>
      </c>
      <c r="Z16" s="12">
        <v>284</v>
      </c>
      <c r="AA16" s="12">
        <v>146</v>
      </c>
      <c r="AB16" s="12">
        <v>227</v>
      </c>
      <c r="AC16" s="12">
        <v>150</v>
      </c>
      <c r="AD16" s="12">
        <v>239</v>
      </c>
      <c r="AE16" s="12">
        <v>171</v>
      </c>
      <c r="AF16" s="12">
        <v>240</v>
      </c>
    </row>
    <row r="17" spans="1:32">
      <c r="A17" s="23"/>
      <c r="B17" s="13" t="s">
        <v>1709</v>
      </c>
      <c r="C17" s="14">
        <v>0.21</v>
      </c>
      <c r="D17" s="14">
        <v>0.22</v>
      </c>
      <c r="E17" s="14">
        <v>0.17</v>
      </c>
      <c r="F17" s="14">
        <v>0.18</v>
      </c>
      <c r="G17" s="14">
        <v>0.12</v>
      </c>
      <c r="H17" s="14">
        <v>0.17</v>
      </c>
      <c r="I17" s="14">
        <v>0.18</v>
      </c>
      <c r="J17" s="14">
        <v>0.26</v>
      </c>
      <c r="K17" s="14">
        <v>0.14000000000000001</v>
      </c>
      <c r="L17" s="14">
        <v>0.18</v>
      </c>
      <c r="M17" s="14">
        <v>0.23</v>
      </c>
      <c r="N17" s="14">
        <v>0.19</v>
      </c>
      <c r="O17" s="14">
        <v>0.2</v>
      </c>
      <c r="P17" s="14">
        <v>0.19</v>
      </c>
      <c r="Q17" s="14">
        <v>0.23</v>
      </c>
      <c r="R17" s="14">
        <v>0.14000000000000001</v>
      </c>
      <c r="S17" s="14">
        <v>0.13</v>
      </c>
      <c r="T17" s="14">
        <v>0.21</v>
      </c>
      <c r="U17" s="14">
        <v>0.14000000000000001</v>
      </c>
      <c r="V17" s="14">
        <v>0.25</v>
      </c>
      <c r="W17" s="14">
        <v>0.16</v>
      </c>
      <c r="X17" s="14">
        <v>0.21</v>
      </c>
      <c r="Y17" s="14">
        <v>0.18</v>
      </c>
      <c r="Z17" s="14">
        <v>0.28000000000000003</v>
      </c>
      <c r="AA17" s="14">
        <v>0.14000000000000001</v>
      </c>
      <c r="AB17" s="14">
        <v>0.22</v>
      </c>
      <c r="AC17" s="14">
        <v>0.15</v>
      </c>
      <c r="AD17" s="14">
        <v>0.24</v>
      </c>
      <c r="AE17" s="14">
        <v>0.17</v>
      </c>
      <c r="AF17" s="14">
        <v>0.23</v>
      </c>
    </row>
    <row r="18" spans="1:32">
      <c r="A18" s="23"/>
      <c r="B18" s="11" t="s">
        <v>1710</v>
      </c>
      <c r="C18" s="12">
        <v>2095</v>
      </c>
      <c r="D18" s="12">
        <v>111</v>
      </c>
      <c r="E18" s="12">
        <v>85</v>
      </c>
      <c r="F18" s="12">
        <v>119</v>
      </c>
      <c r="G18" s="12">
        <v>62</v>
      </c>
      <c r="H18" s="12">
        <v>51</v>
      </c>
      <c r="I18" s="12">
        <v>71</v>
      </c>
      <c r="J18" s="12">
        <v>21</v>
      </c>
      <c r="K18" s="12">
        <v>128</v>
      </c>
      <c r="L18" s="12">
        <v>116</v>
      </c>
      <c r="M18" s="12">
        <v>69</v>
      </c>
      <c r="N18" s="12">
        <v>61</v>
      </c>
      <c r="O18" s="12">
        <v>101</v>
      </c>
      <c r="P18" s="12">
        <v>67</v>
      </c>
      <c r="Q18" s="12">
        <v>88</v>
      </c>
      <c r="R18" s="12">
        <v>34</v>
      </c>
      <c r="S18" s="12">
        <v>108</v>
      </c>
      <c r="T18" s="12">
        <v>65</v>
      </c>
      <c r="U18" s="12">
        <v>54</v>
      </c>
      <c r="V18" s="12">
        <v>51</v>
      </c>
      <c r="W18" s="12">
        <v>80</v>
      </c>
      <c r="X18" s="12">
        <v>86</v>
      </c>
      <c r="Y18" s="12">
        <v>47</v>
      </c>
      <c r="Z18" s="12">
        <v>91</v>
      </c>
      <c r="AA18" s="12">
        <v>39</v>
      </c>
      <c r="AB18" s="12">
        <v>134</v>
      </c>
      <c r="AC18" s="12">
        <v>146</v>
      </c>
      <c r="AD18" s="12">
        <v>52</v>
      </c>
      <c r="AE18" s="12">
        <v>127</v>
      </c>
      <c r="AF18" s="12">
        <v>130</v>
      </c>
    </row>
    <row r="19" spans="1:32">
      <c r="A19" s="23"/>
      <c r="B19" s="13" t="s">
        <v>1711</v>
      </c>
      <c r="C19" s="14">
        <v>0.08</v>
      </c>
      <c r="D19" s="14">
        <v>0.11</v>
      </c>
      <c r="E19" s="14">
        <v>0.08</v>
      </c>
      <c r="F19" s="14">
        <v>0.12</v>
      </c>
      <c r="G19" s="14">
        <v>0.06</v>
      </c>
      <c r="H19" s="14">
        <v>0.04</v>
      </c>
      <c r="I19" s="14">
        <v>0.05</v>
      </c>
      <c r="J19" s="14">
        <v>7.0000000000000007E-2</v>
      </c>
      <c r="K19" s="14">
        <v>0.13</v>
      </c>
      <c r="L19" s="14">
        <v>0.11</v>
      </c>
      <c r="M19" s="14">
        <v>7.0000000000000007E-2</v>
      </c>
      <c r="N19" s="14">
        <v>0.06</v>
      </c>
      <c r="O19" s="14">
        <v>0.1</v>
      </c>
      <c r="P19" s="14">
        <v>7.0000000000000007E-2</v>
      </c>
      <c r="Q19" s="14">
        <v>0.09</v>
      </c>
      <c r="R19" s="14">
        <v>7.0000000000000007E-2</v>
      </c>
      <c r="S19" s="14">
        <v>0.11</v>
      </c>
      <c r="T19" s="14">
        <v>7.0000000000000007E-2</v>
      </c>
      <c r="U19" s="14">
        <v>0.11</v>
      </c>
      <c r="V19" s="14">
        <v>0.05</v>
      </c>
      <c r="W19" s="14">
        <v>0.16</v>
      </c>
      <c r="X19" s="14">
        <v>0.09</v>
      </c>
      <c r="Y19" s="14">
        <v>0.05</v>
      </c>
      <c r="Z19" s="14">
        <v>0.09</v>
      </c>
      <c r="AA19" s="14">
        <v>0.04</v>
      </c>
      <c r="AB19" s="14">
        <v>0.13</v>
      </c>
      <c r="AC19" s="14">
        <v>0.15</v>
      </c>
      <c r="AD19" s="14">
        <v>0.05</v>
      </c>
      <c r="AE19" s="14">
        <v>0.13</v>
      </c>
      <c r="AF19" s="14">
        <v>0.12</v>
      </c>
    </row>
    <row r="20" spans="1:32" ht="23.25">
      <c r="A20" s="23"/>
      <c r="B20" s="11" t="s">
        <v>1712</v>
      </c>
      <c r="C20" s="12">
        <v>5346</v>
      </c>
      <c r="D20" s="12">
        <v>264</v>
      </c>
      <c r="E20" s="12">
        <v>156</v>
      </c>
      <c r="F20" s="12">
        <v>307</v>
      </c>
      <c r="G20" s="12">
        <v>48</v>
      </c>
      <c r="H20" s="12">
        <v>64</v>
      </c>
      <c r="I20" s="12">
        <v>97</v>
      </c>
      <c r="J20" s="12">
        <v>32</v>
      </c>
      <c r="K20" s="12">
        <v>263</v>
      </c>
      <c r="L20" s="12">
        <v>176</v>
      </c>
      <c r="M20" s="12">
        <v>240</v>
      </c>
      <c r="N20" s="12">
        <v>304</v>
      </c>
      <c r="O20" s="12">
        <v>220</v>
      </c>
      <c r="P20" s="12">
        <v>179</v>
      </c>
      <c r="Q20" s="12">
        <v>250</v>
      </c>
      <c r="R20" s="12">
        <v>86</v>
      </c>
      <c r="S20" s="12">
        <v>205</v>
      </c>
      <c r="T20" s="12">
        <v>92</v>
      </c>
      <c r="U20" s="12">
        <v>114</v>
      </c>
      <c r="V20" s="12">
        <v>188</v>
      </c>
      <c r="W20" s="12">
        <v>116</v>
      </c>
      <c r="X20" s="12">
        <v>218</v>
      </c>
      <c r="Y20" s="12">
        <v>117</v>
      </c>
      <c r="Z20" s="12">
        <v>220</v>
      </c>
      <c r="AA20" s="12">
        <v>374</v>
      </c>
      <c r="AB20" s="12">
        <v>280</v>
      </c>
      <c r="AC20" s="12">
        <v>283</v>
      </c>
      <c r="AD20" s="12">
        <v>101</v>
      </c>
      <c r="AE20" s="12">
        <v>197</v>
      </c>
      <c r="AF20" s="12">
        <v>280</v>
      </c>
    </row>
    <row r="21" spans="1:32" ht="23.25">
      <c r="A21" s="23"/>
      <c r="B21" s="13" t="s">
        <v>1713</v>
      </c>
      <c r="C21" s="14">
        <v>0.2</v>
      </c>
      <c r="D21" s="14">
        <v>0.26</v>
      </c>
      <c r="E21" s="14">
        <v>0.15</v>
      </c>
      <c r="F21" s="14">
        <v>0.31</v>
      </c>
      <c r="G21" s="14">
        <v>0.05</v>
      </c>
      <c r="H21" s="14">
        <v>0.05</v>
      </c>
      <c r="I21" s="14">
        <v>0.06</v>
      </c>
      <c r="J21" s="14">
        <v>0.11</v>
      </c>
      <c r="K21" s="14">
        <v>0.26</v>
      </c>
      <c r="L21" s="14">
        <v>0.18</v>
      </c>
      <c r="M21" s="14">
        <v>0.24</v>
      </c>
      <c r="N21" s="14">
        <v>0.3</v>
      </c>
      <c r="O21" s="14">
        <v>0.22</v>
      </c>
      <c r="P21" s="14">
        <v>0.18</v>
      </c>
      <c r="Q21" s="14">
        <v>0.24</v>
      </c>
      <c r="R21" s="14">
        <v>0.17</v>
      </c>
      <c r="S21" s="14">
        <v>0.2</v>
      </c>
      <c r="T21" s="14">
        <v>0.09</v>
      </c>
      <c r="U21" s="14">
        <v>0.22</v>
      </c>
      <c r="V21" s="14">
        <v>0.19</v>
      </c>
      <c r="W21" s="14">
        <v>0.23</v>
      </c>
      <c r="X21" s="14">
        <v>0.21</v>
      </c>
      <c r="Y21" s="14">
        <v>0.12</v>
      </c>
      <c r="Z21" s="14">
        <v>0.22</v>
      </c>
      <c r="AA21" s="14">
        <v>0.36</v>
      </c>
      <c r="AB21" s="14">
        <v>0.27</v>
      </c>
      <c r="AC21" s="14">
        <v>0.28000000000000003</v>
      </c>
      <c r="AD21" s="14">
        <v>0.1</v>
      </c>
      <c r="AE21" s="14">
        <v>0.19</v>
      </c>
      <c r="AF21" s="14">
        <v>0.26</v>
      </c>
    </row>
    <row r="22" spans="1:32">
      <c r="A22" s="23"/>
      <c r="B22" s="11" t="s">
        <v>497</v>
      </c>
      <c r="C22" s="12">
        <v>1081</v>
      </c>
      <c r="D22" s="12">
        <v>7</v>
      </c>
      <c r="E22" s="12">
        <v>87</v>
      </c>
      <c r="F22" s="12">
        <v>72</v>
      </c>
      <c r="G22" s="12">
        <v>7</v>
      </c>
      <c r="H22" s="12">
        <v>7</v>
      </c>
      <c r="I22" s="12">
        <v>10</v>
      </c>
      <c r="J22" s="12">
        <v>2</v>
      </c>
      <c r="K22" s="12">
        <v>65</v>
      </c>
      <c r="L22" s="12">
        <v>51</v>
      </c>
      <c r="M22" s="12">
        <v>16</v>
      </c>
      <c r="N22" s="12">
        <v>59</v>
      </c>
      <c r="O22" s="12">
        <v>29</v>
      </c>
      <c r="P22" s="12">
        <v>39</v>
      </c>
      <c r="Q22" s="12">
        <v>81</v>
      </c>
      <c r="R22" s="12">
        <v>23</v>
      </c>
      <c r="S22" s="12">
        <v>66</v>
      </c>
      <c r="T22" s="12">
        <v>24</v>
      </c>
      <c r="U22" s="12">
        <v>10</v>
      </c>
      <c r="V22" s="12">
        <v>69</v>
      </c>
      <c r="W22" s="12">
        <v>18</v>
      </c>
      <c r="X22" s="12">
        <v>12</v>
      </c>
      <c r="Y22" s="12">
        <v>45</v>
      </c>
      <c r="Z22" s="12">
        <v>60</v>
      </c>
      <c r="AA22" s="12">
        <v>103</v>
      </c>
      <c r="AB22" s="12">
        <v>43</v>
      </c>
      <c r="AC22" s="12">
        <v>35</v>
      </c>
      <c r="AD22" s="12">
        <v>40</v>
      </c>
      <c r="AE22" s="12">
        <v>49</v>
      </c>
      <c r="AF22" s="12">
        <v>13</v>
      </c>
    </row>
    <row r="23" spans="1:32">
      <c r="A23" s="23"/>
      <c r="B23" s="13" t="s">
        <v>498</v>
      </c>
      <c r="C23" s="14">
        <v>0.04</v>
      </c>
      <c r="D23" s="14">
        <v>0.01</v>
      </c>
      <c r="E23" s="14">
        <v>0.09</v>
      </c>
      <c r="F23" s="14">
        <v>7.0000000000000007E-2</v>
      </c>
      <c r="G23" s="14">
        <v>0.01</v>
      </c>
      <c r="H23" s="14">
        <v>0.01</v>
      </c>
      <c r="I23" s="14">
        <v>0.01</v>
      </c>
      <c r="J23" s="14">
        <v>0.01</v>
      </c>
      <c r="K23" s="14">
        <v>7.0000000000000007E-2</v>
      </c>
      <c r="L23" s="14">
        <v>0.05</v>
      </c>
      <c r="M23" s="14">
        <v>0.01</v>
      </c>
      <c r="N23" s="14">
        <v>0.06</v>
      </c>
      <c r="O23" s="14">
        <v>0.03</v>
      </c>
      <c r="P23" s="14">
        <v>0.04</v>
      </c>
      <c r="Q23" s="14">
        <v>0.08</v>
      </c>
      <c r="R23" s="14">
        <v>0.05</v>
      </c>
      <c r="S23" s="14">
        <v>7.0000000000000007E-2</v>
      </c>
      <c r="T23" s="14">
        <v>0.02</v>
      </c>
      <c r="U23" s="14">
        <v>0.02</v>
      </c>
      <c r="V23" s="14">
        <v>7.0000000000000007E-2</v>
      </c>
      <c r="W23" s="14">
        <v>0.03</v>
      </c>
      <c r="X23" s="14">
        <v>0.01</v>
      </c>
      <c r="Y23" s="14">
        <v>0.04</v>
      </c>
      <c r="Z23" s="14">
        <v>0.06</v>
      </c>
      <c r="AA23" s="14">
        <v>0.1</v>
      </c>
      <c r="AB23" s="14">
        <v>0.04</v>
      </c>
      <c r="AC23" s="14">
        <v>0.03</v>
      </c>
      <c r="AD23" s="14">
        <v>0.04</v>
      </c>
      <c r="AE23" s="14">
        <v>0.05</v>
      </c>
      <c r="AF23" s="14">
        <v>0.01</v>
      </c>
    </row>
  </sheetData>
  <mergeCells count="9">
    <mergeCell ref="B10:B11"/>
    <mergeCell ref="H4:L4"/>
    <mergeCell ref="A10:A23"/>
    <mergeCell ref="B4:F4"/>
    <mergeCell ref="H3:L3"/>
    <mergeCell ref="C8:AF8"/>
    <mergeCell ref="B3:F3"/>
    <mergeCell ref="B5:F5"/>
    <mergeCell ref="H5:L5"/>
  </mergeCells>
  <pageMargins left="0.75" right="0.75" top="1" bottom="1" header="0.5" footer="0.5"/>
</worksheet>
</file>

<file path=xl/worksheets/sheet2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B00-000000000000}">
  <dimension ref="A1:AF1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1714</v>
      </c>
      <c r="C3" s="19"/>
      <c r="D3" s="19"/>
      <c r="E3" s="19"/>
      <c r="F3" s="19"/>
      <c r="H3" s="19" t="s">
        <v>1715</v>
      </c>
      <c r="I3" s="19"/>
      <c r="J3" s="19"/>
      <c r="K3" s="19"/>
      <c r="L3" s="19"/>
    </row>
    <row r="4" spans="1:32" ht="27" customHeight="1">
      <c r="B4" s="19" t="s">
        <v>1279</v>
      </c>
      <c r="C4" s="19"/>
      <c r="D4" s="19"/>
      <c r="E4" s="19"/>
      <c r="F4" s="19"/>
      <c r="H4" s="19" t="s">
        <v>1716</v>
      </c>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HYPERLINK("#Content!A208","&lt;&lt;Back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23.25">
      <c r="A12" s="23"/>
      <c r="B12" s="11" t="s">
        <v>1717</v>
      </c>
      <c r="C12" s="12">
        <v>8065</v>
      </c>
      <c r="D12" s="12">
        <v>334</v>
      </c>
      <c r="E12" s="12">
        <v>293</v>
      </c>
      <c r="F12" s="12">
        <v>356</v>
      </c>
      <c r="G12" s="12">
        <v>427</v>
      </c>
      <c r="H12" s="12">
        <v>333</v>
      </c>
      <c r="I12" s="12">
        <v>380</v>
      </c>
      <c r="J12" s="12">
        <v>47</v>
      </c>
      <c r="K12" s="12">
        <v>310</v>
      </c>
      <c r="L12" s="12">
        <v>601</v>
      </c>
      <c r="M12" s="12">
        <v>191</v>
      </c>
      <c r="N12" s="12">
        <v>305</v>
      </c>
      <c r="O12" s="12">
        <v>110</v>
      </c>
      <c r="P12" s="12">
        <v>347</v>
      </c>
      <c r="Q12" s="12">
        <v>392</v>
      </c>
      <c r="R12" s="12">
        <v>76</v>
      </c>
      <c r="S12" s="12">
        <v>317</v>
      </c>
      <c r="T12" s="12">
        <v>459</v>
      </c>
      <c r="U12" s="12">
        <v>305</v>
      </c>
      <c r="V12" s="12">
        <v>291</v>
      </c>
      <c r="W12" s="12">
        <v>209</v>
      </c>
      <c r="X12" s="12">
        <v>226</v>
      </c>
      <c r="Y12" s="12">
        <v>438</v>
      </c>
      <c r="Z12" s="12">
        <v>594</v>
      </c>
      <c r="AA12" s="12">
        <v>356</v>
      </c>
      <c r="AB12" s="12">
        <v>387</v>
      </c>
      <c r="AC12" s="12">
        <v>276</v>
      </c>
      <c r="AD12" s="12">
        <v>245</v>
      </c>
      <c r="AE12" s="12">
        <v>264</v>
      </c>
      <c r="AF12" s="12">
        <v>326</v>
      </c>
    </row>
    <row r="13" spans="1:32" ht="23.25">
      <c r="A13" s="23"/>
      <c r="B13" s="13" t="s">
        <v>1718</v>
      </c>
      <c r="C13" s="14">
        <v>0.31</v>
      </c>
      <c r="D13" s="14">
        <v>0.33</v>
      </c>
      <c r="E13" s="14">
        <v>0.28000000000000003</v>
      </c>
      <c r="F13" s="14">
        <v>0.35</v>
      </c>
      <c r="G13" s="14">
        <v>0.42</v>
      </c>
      <c r="H13" s="14">
        <v>0.28000000000000003</v>
      </c>
      <c r="I13" s="14">
        <v>0.25</v>
      </c>
      <c r="J13" s="14">
        <v>0.16</v>
      </c>
      <c r="K13" s="14">
        <v>0.31</v>
      </c>
      <c r="L13" s="14">
        <v>0.6</v>
      </c>
      <c r="M13" s="14">
        <v>0.19</v>
      </c>
      <c r="N13" s="14">
        <v>0.3</v>
      </c>
      <c r="O13" s="14">
        <v>0.11</v>
      </c>
      <c r="P13" s="14">
        <v>0.34</v>
      </c>
      <c r="Q13" s="14">
        <v>0.38</v>
      </c>
      <c r="R13" s="14">
        <v>0.15</v>
      </c>
      <c r="S13" s="14">
        <v>0.31</v>
      </c>
      <c r="T13" s="14">
        <v>0.46</v>
      </c>
      <c r="U13" s="14">
        <v>0.61</v>
      </c>
      <c r="V13" s="14">
        <v>0.28999999999999998</v>
      </c>
      <c r="W13" s="14">
        <v>0.42</v>
      </c>
      <c r="X13" s="14">
        <v>0.22</v>
      </c>
      <c r="Y13" s="14">
        <v>0.43</v>
      </c>
      <c r="Z13" s="14">
        <v>0.57999999999999996</v>
      </c>
      <c r="AA13" s="14">
        <v>0.34</v>
      </c>
      <c r="AB13" s="14">
        <v>0.38</v>
      </c>
      <c r="AC13" s="14">
        <v>0.27</v>
      </c>
      <c r="AD13" s="14">
        <v>0.24</v>
      </c>
      <c r="AE13" s="14">
        <v>0.26</v>
      </c>
      <c r="AF13" s="14">
        <v>0.3</v>
      </c>
    </row>
    <row r="14" spans="1:32" ht="23.25">
      <c r="A14" s="23"/>
      <c r="B14" s="11" t="s">
        <v>1719</v>
      </c>
      <c r="C14" s="12">
        <v>16010</v>
      </c>
      <c r="D14" s="12">
        <v>617</v>
      </c>
      <c r="E14" s="12">
        <v>591</v>
      </c>
      <c r="F14" s="12">
        <v>594</v>
      </c>
      <c r="G14" s="12">
        <v>389</v>
      </c>
      <c r="H14" s="12">
        <v>792</v>
      </c>
      <c r="I14" s="12">
        <v>1017</v>
      </c>
      <c r="J14" s="12">
        <v>225</v>
      </c>
      <c r="K14" s="12">
        <v>496</v>
      </c>
      <c r="L14" s="12">
        <v>322</v>
      </c>
      <c r="M14" s="12">
        <v>703</v>
      </c>
      <c r="N14" s="12">
        <v>614</v>
      </c>
      <c r="O14" s="12">
        <v>809</v>
      </c>
      <c r="P14" s="12">
        <v>607</v>
      </c>
      <c r="Q14" s="12">
        <v>558</v>
      </c>
      <c r="R14" s="12">
        <v>363</v>
      </c>
      <c r="S14" s="12">
        <v>500</v>
      </c>
      <c r="T14" s="12">
        <v>343</v>
      </c>
      <c r="U14" s="12">
        <v>108</v>
      </c>
      <c r="V14" s="12">
        <v>617</v>
      </c>
      <c r="W14" s="12">
        <v>221</v>
      </c>
      <c r="X14" s="12">
        <v>741</v>
      </c>
      <c r="Y14" s="12">
        <v>422</v>
      </c>
      <c r="Z14" s="12">
        <v>354</v>
      </c>
      <c r="AA14" s="12">
        <v>391</v>
      </c>
      <c r="AB14" s="12">
        <v>589</v>
      </c>
      <c r="AC14" s="12">
        <v>551</v>
      </c>
      <c r="AD14" s="12">
        <v>618</v>
      </c>
      <c r="AE14" s="12">
        <v>653</v>
      </c>
      <c r="AF14" s="12">
        <v>673</v>
      </c>
    </row>
    <row r="15" spans="1:32" ht="23.25">
      <c r="A15" s="23"/>
      <c r="B15" s="13" t="s">
        <v>1720</v>
      </c>
      <c r="C15" s="14">
        <v>0.61</v>
      </c>
      <c r="D15" s="14">
        <v>0.61</v>
      </c>
      <c r="E15" s="14">
        <v>0.57000000000000006</v>
      </c>
      <c r="F15" s="14">
        <v>0.59</v>
      </c>
      <c r="G15" s="14">
        <v>0.39</v>
      </c>
      <c r="H15" s="14">
        <v>0.65</v>
      </c>
      <c r="I15" s="14">
        <v>0.68</v>
      </c>
      <c r="J15" s="14">
        <v>0.77</v>
      </c>
      <c r="K15" s="14">
        <v>0.49</v>
      </c>
      <c r="L15" s="14">
        <v>0.32</v>
      </c>
      <c r="M15" s="14">
        <v>0.69000000000000006</v>
      </c>
      <c r="N15" s="14">
        <v>0.61</v>
      </c>
      <c r="O15" s="14">
        <v>0.8</v>
      </c>
      <c r="P15" s="14">
        <v>0.6</v>
      </c>
      <c r="Q15" s="14">
        <v>0.55000000000000004</v>
      </c>
      <c r="R15" s="14">
        <v>0.73</v>
      </c>
      <c r="S15" s="14">
        <v>0.5</v>
      </c>
      <c r="T15" s="14">
        <v>0.34</v>
      </c>
      <c r="U15" s="14">
        <v>0.21</v>
      </c>
      <c r="V15" s="14">
        <v>0.61</v>
      </c>
      <c r="W15" s="14">
        <v>0.44</v>
      </c>
      <c r="X15" s="14">
        <v>0.73</v>
      </c>
      <c r="Y15" s="14">
        <v>0.42</v>
      </c>
      <c r="Z15" s="14">
        <v>0.35</v>
      </c>
      <c r="AA15" s="14">
        <v>0.38</v>
      </c>
      <c r="AB15" s="14">
        <v>0.57000000000000006</v>
      </c>
      <c r="AC15" s="14">
        <v>0.55000000000000004</v>
      </c>
      <c r="AD15" s="14">
        <v>0.62</v>
      </c>
      <c r="AE15" s="14">
        <v>0.65</v>
      </c>
      <c r="AF15" s="14">
        <v>0.63</v>
      </c>
    </row>
    <row r="16" spans="1:32" ht="23.25">
      <c r="A16" s="23"/>
      <c r="B16" s="11" t="s">
        <v>1721</v>
      </c>
      <c r="C16" s="12">
        <v>1631</v>
      </c>
      <c r="D16" s="12">
        <v>47</v>
      </c>
      <c r="E16" s="12">
        <v>109</v>
      </c>
      <c r="F16" s="12">
        <v>40</v>
      </c>
      <c r="G16" s="12">
        <v>158</v>
      </c>
      <c r="H16" s="12">
        <v>59</v>
      </c>
      <c r="I16" s="12">
        <v>77</v>
      </c>
      <c r="J16" s="12">
        <v>17</v>
      </c>
      <c r="K16" s="12">
        <v>160</v>
      </c>
      <c r="L16" s="12">
        <v>54</v>
      </c>
      <c r="M16" s="12">
        <v>97</v>
      </c>
      <c r="N16" s="12">
        <v>65</v>
      </c>
      <c r="O16" s="12">
        <v>52</v>
      </c>
      <c r="P16" s="12">
        <v>49</v>
      </c>
      <c r="Q16" s="12">
        <v>60</v>
      </c>
      <c r="R16" s="12">
        <v>55</v>
      </c>
      <c r="S16" s="12">
        <v>130</v>
      </c>
      <c r="T16" s="12">
        <v>162</v>
      </c>
      <c r="U16" s="12">
        <v>57</v>
      </c>
      <c r="V16" s="12">
        <v>81</v>
      </c>
      <c r="W16" s="12">
        <v>67</v>
      </c>
      <c r="X16" s="12">
        <v>42</v>
      </c>
      <c r="Y16" s="12">
        <v>97</v>
      </c>
      <c r="Z16" s="12">
        <v>39</v>
      </c>
      <c r="AA16" s="12">
        <v>196</v>
      </c>
      <c r="AB16" s="12">
        <v>30</v>
      </c>
      <c r="AC16" s="12">
        <v>141</v>
      </c>
      <c r="AD16" s="12">
        <v>110</v>
      </c>
      <c r="AE16" s="12">
        <v>60</v>
      </c>
      <c r="AF16" s="12">
        <v>56</v>
      </c>
    </row>
    <row r="17" spans="1:32" ht="23.25">
      <c r="A17" s="23"/>
      <c r="B17" s="13" t="s">
        <v>1722</v>
      </c>
      <c r="C17" s="14">
        <v>0.06</v>
      </c>
      <c r="D17" s="14">
        <v>0.05</v>
      </c>
      <c r="E17" s="14">
        <v>0.1</v>
      </c>
      <c r="F17" s="14">
        <v>0.04</v>
      </c>
      <c r="G17" s="14">
        <v>0.16</v>
      </c>
      <c r="H17" s="14">
        <v>0.05</v>
      </c>
      <c r="I17" s="14">
        <v>0.05</v>
      </c>
      <c r="J17" s="14">
        <v>0.06</v>
      </c>
      <c r="K17" s="14">
        <v>0.16</v>
      </c>
      <c r="L17" s="14">
        <v>0.05</v>
      </c>
      <c r="M17" s="14">
        <v>0.1</v>
      </c>
      <c r="N17" s="14">
        <v>7.0000000000000007E-2</v>
      </c>
      <c r="O17" s="14">
        <v>0.05</v>
      </c>
      <c r="P17" s="14">
        <v>0.05</v>
      </c>
      <c r="Q17" s="14">
        <v>0.06</v>
      </c>
      <c r="R17" s="14">
        <v>0.11</v>
      </c>
      <c r="S17" s="14">
        <v>0.13</v>
      </c>
      <c r="T17" s="14">
        <v>0.16</v>
      </c>
      <c r="U17" s="14">
        <v>0.11</v>
      </c>
      <c r="V17" s="14">
        <v>0.08</v>
      </c>
      <c r="W17" s="14">
        <v>0.13</v>
      </c>
      <c r="X17" s="14">
        <v>0.04</v>
      </c>
      <c r="Y17" s="14">
        <v>0.1</v>
      </c>
      <c r="Z17" s="14">
        <v>0.04</v>
      </c>
      <c r="AA17" s="14">
        <v>0.19</v>
      </c>
      <c r="AB17" s="14">
        <v>0.03</v>
      </c>
      <c r="AC17" s="14">
        <v>0.14000000000000001</v>
      </c>
      <c r="AD17" s="14">
        <v>0.11</v>
      </c>
      <c r="AE17" s="14">
        <v>0.06</v>
      </c>
      <c r="AF17" s="14">
        <v>0.05</v>
      </c>
    </row>
    <row r="18" spans="1:32">
      <c r="A18" s="23"/>
      <c r="B18" s="11" t="s">
        <v>497</v>
      </c>
      <c r="C18" s="12">
        <v>647</v>
      </c>
      <c r="D18" s="12">
        <v>8</v>
      </c>
      <c r="E18" s="12">
        <v>51</v>
      </c>
      <c r="F18" s="12">
        <v>17</v>
      </c>
      <c r="G18" s="12">
        <v>30</v>
      </c>
      <c r="H18" s="12">
        <v>26</v>
      </c>
      <c r="I18" s="12">
        <v>31</v>
      </c>
      <c r="J18" s="12">
        <v>4</v>
      </c>
      <c r="K18" s="12">
        <v>37</v>
      </c>
      <c r="L18" s="12">
        <v>30</v>
      </c>
      <c r="M18" s="12">
        <v>19</v>
      </c>
      <c r="N18" s="12">
        <v>16</v>
      </c>
      <c r="O18" s="12">
        <v>35</v>
      </c>
      <c r="P18" s="12">
        <v>7</v>
      </c>
      <c r="Q18" s="12">
        <v>14</v>
      </c>
      <c r="R18" s="12">
        <v>7</v>
      </c>
      <c r="S18" s="12">
        <v>58</v>
      </c>
      <c r="T18" s="12">
        <v>41</v>
      </c>
      <c r="U18" s="12">
        <v>33</v>
      </c>
      <c r="V18" s="12">
        <v>22</v>
      </c>
      <c r="W18" s="12">
        <v>6</v>
      </c>
      <c r="X18" s="12">
        <v>6</v>
      </c>
      <c r="Y18" s="12">
        <v>50</v>
      </c>
      <c r="Z18" s="12">
        <v>30</v>
      </c>
      <c r="AA18" s="12">
        <v>98</v>
      </c>
      <c r="AB18" s="12">
        <v>25</v>
      </c>
      <c r="AC18" s="12">
        <v>37</v>
      </c>
      <c r="AD18" s="12">
        <v>30</v>
      </c>
      <c r="AE18" s="12">
        <v>32</v>
      </c>
      <c r="AF18" s="12">
        <v>18</v>
      </c>
    </row>
    <row r="19" spans="1:32">
      <c r="A19" s="23"/>
      <c r="B19" s="13" t="s">
        <v>498</v>
      </c>
      <c r="C19" s="14">
        <v>0.02</v>
      </c>
      <c r="D19" s="14">
        <v>0.01</v>
      </c>
      <c r="E19" s="14">
        <v>0.05</v>
      </c>
      <c r="F19" s="14">
        <v>0.02</v>
      </c>
      <c r="G19" s="14">
        <v>0.03</v>
      </c>
      <c r="H19" s="14">
        <v>0.02</v>
      </c>
      <c r="I19" s="14">
        <v>0.02</v>
      </c>
      <c r="J19" s="14">
        <v>0.01</v>
      </c>
      <c r="K19" s="14">
        <v>0.04</v>
      </c>
      <c r="L19" s="14">
        <v>0.03</v>
      </c>
      <c r="M19" s="14">
        <v>0.02</v>
      </c>
      <c r="N19" s="14">
        <v>0.02</v>
      </c>
      <c r="O19" s="14">
        <v>0.04</v>
      </c>
      <c r="P19" s="14">
        <v>0.01</v>
      </c>
      <c r="Q19" s="14">
        <v>0.01</v>
      </c>
      <c r="R19" s="14">
        <v>0.01</v>
      </c>
      <c r="S19" s="14">
        <v>0.06</v>
      </c>
      <c r="T19" s="14">
        <v>0.04</v>
      </c>
      <c r="U19" s="14">
        <v>7.0000000000000007E-2</v>
      </c>
      <c r="V19" s="14">
        <v>0.02</v>
      </c>
      <c r="W19" s="14">
        <v>0.01</v>
      </c>
      <c r="X19" s="14">
        <v>0.01</v>
      </c>
      <c r="Y19" s="14">
        <v>0.05</v>
      </c>
      <c r="Z19" s="14">
        <v>0.03</v>
      </c>
      <c r="AA19" s="14">
        <v>0.09</v>
      </c>
      <c r="AB19" s="14">
        <v>0.02</v>
      </c>
      <c r="AC19" s="14">
        <v>0.04</v>
      </c>
      <c r="AD19" s="14">
        <v>0.03</v>
      </c>
      <c r="AE19" s="14">
        <v>0.03</v>
      </c>
      <c r="AF19" s="14">
        <v>0.02</v>
      </c>
    </row>
  </sheetData>
  <mergeCells count="9">
    <mergeCell ref="H3:L3"/>
    <mergeCell ref="C8:AF8"/>
    <mergeCell ref="B3:F3"/>
    <mergeCell ref="B5:F5"/>
    <mergeCell ref="A10:A19"/>
    <mergeCell ref="H5:L5"/>
    <mergeCell ref="B10:B11"/>
    <mergeCell ref="H4:L4"/>
    <mergeCell ref="B4:F4"/>
  </mergeCells>
  <pageMargins left="0.75" right="0.75" top="1" bottom="1" header="0.5" footer="0.5"/>
</worksheet>
</file>

<file path=xl/worksheets/sheet2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C00-000000000000}">
  <dimension ref="A1:AF1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1723</v>
      </c>
      <c r="C3" s="19"/>
      <c r="D3" s="19"/>
      <c r="E3" s="19"/>
      <c r="F3" s="19"/>
      <c r="H3" s="19" t="s">
        <v>1724</v>
      </c>
      <c r="I3" s="19"/>
      <c r="J3" s="19"/>
      <c r="K3" s="19"/>
      <c r="L3" s="19"/>
    </row>
    <row r="4" spans="1:32" ht="27" customHeight="1">
      <c r="B4" s="19" t="s">
        <v>1725</v>
      </c>
      <c r="C4" s="19"/>
      <c r="D4" s="19"/>
      <c r="E4" s="19"/>
      <c r="F4" s="19"/>
      <c r="H4" s="19" t="s">
        <v>1726</v>
      </c>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HYPERLINK("#Content!A209","&lt;&lt;Back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23.25">
      <c r="A12" s="23"/>
      <c r="B12" s="11" t="s">
        <v>1717</v>
      </c>
      <c r="C12" s="12">
        <v>9248</v>
      </c>
      <c r="D12" s="12">
        <v>372</v>
      </c>
      <c r="E12" s="12">
        <v>474</v>
      </c>
      <c r="F12" s="12">
        <v>349</v>
      </c>
      <c r="G12" s="12">
        <v>421</v>
      </c>
      <c r="H12" s="12">
        <v>348</v>
      </c>
      <c r="I12" s="12">
        <v>414</v>
      </c>
      <c r="J12" s="12">
        <v>65</v>
      </c>
      <c r="K12" s="12">
        <v>334</v>
      </c>
      <c r="L12" s="12">
        <v>588</v>
      </c>
      <c r="M12" s="12">
        <v>259</v>
      </c>
      <c r="N12" s="12">
        <v>347</v>
      </c>
      <c r="O12" s="12">
        <v>161</v>
      </c>
      <c r="P12" s="12">
        <v>492</v>
      </c>
      <c r="Q12" s="12">
        <v>486</v>
      </c>
      <c r="R12" s="12">
        <v>138</v>
      </c>
      <c r="S12" s="12">
        <v>382</v>
      </c>
      <c r="T12" s="12">
        <v>465</v>
      </c>
      <c r="U12" s="12">
        <v>148</v>
      </c>
      <c r="V12" s="12">
        <v>403</v>
      </c>
      <c r="W12" s="12">
        <v>217</v>
      </c>
      <c r="X12" s="12">
        <v>364</v>
      </c>
      <c r="Y12" s="12">
        <v>332</v>
      </c>
      <c r="Z12" s="12">
        <v>556</v>
      </c>
      <c r="AA12" s="12">
        <v>370</v>
      </c>
      <c r="AB12" s="12">
        <v>483</v>
      </c>
      <c r="AC12" s="12">
        <v>320</v>
      </c>
      <c r="AD12" s="12">
        <v>375</v>
      </c>
      <c r="AE12" s="12">
        <v>306</v>
      </c>
      <c r="AF12" s="12">
        <v>376</v>
      </c>
    </row>
    <row r="13" spans="1:32" ht="23.25">
      <c r="A13" s="23"/>
      <c r="B13" s="13" t="s">
        <v>1718</v>
      </c>
      <c r="C13" s="14">
        <v>0.35</v>
      </c>
      <c r="D13" s="14">
        <v>0.37</v>
      </c>
      <c r="E13" s="14">
        <v>0.45</v>
      </c>
      <c r="F13" s="14">
        <v>0.35</v>
      </c>
      <c r="G13" s="14">
        <v>0.42</v>
      </c>
      <c r="H13" s="14">
        <v>0.28999999999999998</v>
      </c>
      <c r="I13" s="14">
        <v>0.28000000000000003</v>
      </c>
      <c r="J13" s="14">
        <v>0.22</v>
      </c>
      <c r="K13" s="14">
        <v>0.33</v>
      </c>
      <c r="L13" s="14">
        <v>0.57999999999999996</v>
      </c>
      <c r="M13" s="14">
        <v>0.26</v>
      </c>
      <c r="N13" s="14">
        <v>0.35</v>
      </c>
      <c r="O13" s="14">
        <v>0.16</v>
      </c>
      <c r="P13" s="14">
        <v>0.49</v>
      </c>
      <c r="Q13" s="14">
        <v>0.47</v>
      </c>
      <c r="R13" s="14">
        <v>0.28000000000000003</v>
      </c>
      <c r="S13" s="14">
        <v>0.38</v>
      </c>
      <c r="T13" s="14">
        <v>0.46</v>
      </c>
      <c r="U13" s="14">
        <v>0.3</v>
      </c>
      <c r="V13" s="14">
        <v>0.4</v>
      </c>
      <c r="W13" s="14">
        <v>0.43</v>
      </c>
      <c r="X13" s="14">
        <v>0.36</v>
      </c>
      <c r="Y13" s="14">
        <v>0.33</v>
      </c>
      <c r="Z13" s="14">
        <v>0.55000000000000004</v>
      </c>
      <c r="AA13" s="14">
        <v>0.36</v>
      </c>
      <c r="AB13" s="14">
        <v>0.47</v>
      </c>
      <c r="AC13" s="14">
        <v>0.32</v>
      </c>
      <c r="AD13" s="14">
        <v>0.37</v>
      </c>
      <c r="AE13" s="14">
        <v>0.3</v>
      </c>
      <c r="AF13" s="14">
        <v>0.35</v>
      </c>
    </row>
    <row r="14" spans="1:32" ht="23.25">
      <c r="A14" s="23"/>
      <c r="B14" s="11" t="s">
        <v>1719</v>
      </c>
      <c r="C14" s="12">
        <v>13531</v>
      </c>
      <c r="D14" s="12">
        <v>559</v>
      </c>
      <c r="E14" s="12">
        <v>355</v>
      </c>
      <c r="F14" s="12">
        <v>574</v>
      </c>
      <c r="G14" s="12">
        <v>353</v>
      </c>
      <c r="H14" s="12">
        <v>731</v>
      </c>
      <c r="I14" s="12">
        <v>923</v>
      </c>
      <c r="J14" s="12">
        <v>192</v>
      </c>
      <c r="K14" s="12">
        <v>397</v>
      </c>
      <c r="L14" s="12">
        <v>302</v>
      </c>
      <c r="M14" s="12">
        <v>586</v>
      </c>
      <c r="N14" s="12">
        <v>504</v>
      </c>
      <c r="O14" s="12">
        <v>672</v>
      </c>
      <c r="P14" s="12">
        <v>421</v>
      </c>
      <c r="Q14" s="12">
        <v>450</v>
      </c>
      <c r="R14" s="12">
        <v>252</v>
      </c>
      <c r="S14" s="12">
        <v>332</v>
      </c>
      <c r="T14" s="12">
        <v>279</v>
      </c>
      <c r="U14" s="12">
        <v>257</v>
      </c>
      <c r="V14" s="12">
        <v>485</v>
      </c>
      <c r="W14" s="12">
        <v>130</v>
      </c>
      <c r="X14" s="12">
        <v>564</v>
      </c>
      <c r="Y14" s="12">
        <v>482</v>
      </c>
      <c r="Z14" s="12">
        <v>354</v>
      </c>
      <c r="AA14" s="12">
        <v>300</v>
      </c>
      <c r="AB14" s="12">
        <v>423</v>
      </c>
      <c r="AC14" s="12">
        <v>482</v>
      </c>
      <c r="AD14" s="12">
        <v>441</v>
      </c>
      <c r="AE14" s="12">
        <v>500</v>
      </c>
      <c r="AF14" s="12">
        <v>556</v>
      </c>
    </row>
    <row r="15" spans="1:32" ht="23.25">
      <c r="A15" s="23"/>
      <c r="B15" s="13" t="s">
        <v>1720</v>
      </c>
      <c r="C15" s="14">
        <v>0.51</v>
      </c>
      <c r="D15" s="14">
        <v>0.55000000000000004</v>
      </c>
      <c r="E15" s="14">
        <v>0.34</v>
      </c>
      <c r="F15" s="14">
        <v>0.57000000000000006</v>
      </c>
      <c r="G15" s="14">
        <v>0.35</v>
      </c>
      <c r="H15" s="14">
        <v>0.6</v>
      </c>
      <c r="I15" s="14">
        <v>0.61</v>
      </c>
      <c r="J15" s="14">
        <v>0.66</v>
      </c>
      <c r="K15" s="14">
        <v>0.4</v>
      </c>
      <c r="L15" s="14">
        <v>0.3</v>
      </c>
      <c r="M15" s="14">
        <v>0.57999999999999996</v>
      </c>
      <c r="N15" s="14">
        <v>0.5</v>
      </c>
      <c r="O15" s="14">
        <v>0.67</v>
      </c>
      <c r="P15" s="14">
        <v>0.42</v>
      </c>
      <c r="Q15" s="14">
        <v>0.44</v>
      </c>
      <c r="R15" s="14">
        <v>0.5</v>
      </c>
      <c r="S15" s="14">
        <v>0.33</v>
      </c>
      <c r="T15" s="14">
        <v>0.28000000000000003</v>
      </c>
      <c r="U15" s="14">
        <v>0.51</v>
      </c>
      <c r="V15" s="14">
        <v>0.48</v>
      </c>
      <c r="W15" s="14">
        <v>0.26</v>
      </c>
      <c r="X15" s="14">
        <v>0.55000000000000004</v>
      </c>
      <c r="Y15" s="14">
        <v>0.48</v>
      </c>
      <c r="Z15" s="14">
        <v>0.35</v>
      </c>
      <c r="AA15" s="14">
        <v>0.28999999999999998</v>
      </c>
      <c r="AB15" s="14">
        <v>0.41</v>
      </c>
      <c r="AC15" s="14">
        <v>0.48</v>
      </c>
      <c r="AD15" s="14">
        <v>0.44</v>
      </c>
      <c r="AE15" s="14">
        <v>0.5</v>
      </c>
      <c r="AF15" s="14">
        <v>0.52</v>
      </c>
    </row>
    <row r="16" spans="1:32" ht="23.25">
      <c r="A16" s="23"/>
      <c r="B16" s="11" t="s">
        <v>1721</v>
      </c>
      <c r="C16" s="12">
        <v>1961</v>
      </c>
      <c r="D16" s="12">
        <v>58</v>
      </c>
      <c r="E16" s="12">
        <v>104</v>
      </c>
      <c r="F16" s="12">
        <v>43</v>
      </c>
      <c r="G16" s="12">
        <v>167</v>
      </c>
      <c r="H16" s="12">
        <v>79</v>
      </c>
      <c r="I16" s="12">
        <v>110</v>
      </c>
      <c r="J16" s="12">
        <v>30</v>
      </c>
      <c r="K16" s="12">
        <v>160</v>
      </c>
      <c r="L16" s="12">
        <v>51</v>
      </c>
      <c r="M16" s="12">
        <v>115</v>
      </c>
      <c r="N16" s="12">
        <v>75</v>
      </c>
      <c r="O16" s="12">
        <v>74</v>
      </c>
      <c r="P16" s="12">
        <v>66</v>
      </c>
      <c r="Q16" s="12">
        <v>42</v>
      </c>
      <c r="R16" s="12">
        <v>72</v>
      </c>
      <c r="S16" s="12">
        <v>140</v>
      </c>
      <c r="T16" s="12">
        <v>172</v>
      </c>
      <c r="U16" s="12">
        <v>62</v>
      </c>
      <c r="V16" s="12">
        <v>90</v>
      </c>
      <c r="W16" s="12">
        <v>92</v>
      </c>
      <c r="X16" s="12">
        <v>61</v>
      </c>
      <c r="Y16" s="12">
        <v>154</v>
      </c>
      <c r="Z16" s="12">
        <v>55</v>
      </c>
      <c r="AA16" s="12">
        <v>210</v>
      </c>
      <c r="AB16" s="12">
        <v>59</v>
      </c>
      <c r="AC16" s="12">
        <v>146</v>
      </c>
      <c r="AD16" s="12">
        <v>108</v>
      </c>
      <c r="AE16" s="12">
        <v>65</v>
      </c>
      <c r="AF16" s="12">
        <v>67</v>
      </c>
    </row>
    <row r="17" spans="1:32" ht="23.25">
      <c r="A17" s="23"/>
      <c r="B17" s="13" t="s">
        <v>1722</v>
      </c>
      <c r="C17" s="14">
        <v>0.08</v>
      </c>
      <c r="D17" s="14">
        <v>0.06</v>
      </c>
      <c r="E17" s="14">
        <v>0.1</v>
      </c>
      <c r="F17" s="14">
        <v>0.04</v>
      </c>
      <c r="G17" s="14">
        <v>0.17</v>
      </c>
      <c r="H17" s="14">
        <v>7.0000000000000007E-2</v>
      </c>
      <c r="I17" s="14">
        <v>7.0000000000000007E-2</v>
      </c>
      <c r="J17" s="14">
        <v>0.1</v>
      </c>
      <c r="K17" s="14">
        <v>0.16</v>
      </c>
      <c r="L17" s="14">
        <v>0.05</v>
      </c>
      <c r="M17" s="14">
        <v>0.11</v>
      </c>
      <c r="N17" s="14">
        <v>0.08</v>
      </c>
      <c r="O17" s="14">
        <v>7.0000000000000007E-2</v>
      </c>
      <c r="P17" s="14">
        <v>0.06</v>
      </c>
      <c r="Q17" s="14">
        <v>0.04</v>
      </c>
      <c r="R17" s="14">
        <v>0.14000000000000001</v>
      </c>
      <c r="S17" s="14">
        <v>0.14000000000000001</v>
      </c>
      <c r="T17" s="14">
        <v>0.17</v>
      </c>
      <c r="U17" s="14">
        <v>0.12</v>
      </c>
      <c r="V17" s="14">
        <v>0.09</v>
      </c>
      <c r="W17" s="14">
        <v>0.18</v>
      </c>
      <c r="X17" s="14">
        <v>0.06</v>
      </c>
      <c r="Y17" s="14">
        <v>0.15</v>
      </c>
      <c r="Z17" s="14">
        <v>0.05</v>
      </c>
      <c r="AA17" s="14">
        <v>0.2</v>
      </c>
      <c r="AB17" s="14">
        <v>0.06</v>
      </c>
      <c r="AC17" s="14">
        <v>0.14000000000000001</v>
      </c>
      <c r="AD17" s="14">
        <v>0.11</v>
      </c>
      <c r="AE17" s="14">
        <v>0.06</v>
      </c>
      <c r="AF17" s="14">
        <v>0.06</v>
      </c>
    </row>
    <row r="18" spans="1:32">
      <c r="A18" s="23"/>
      <c r="B18" s="11" t="s">
        <v>497</v>
      </c>
      <c r="C18" s="12">
        <v>1614</v>
      </c>
      <c r="D18" s="12">
        <v>17</v>
      </c>
      <c r="E18" s="12">
        <v>111</v>
      </c>
      <c r="F18" s="12">
        <v>41</v>
      </c>
      <c r="G18" s="12">
        <v>62</v>
      </c>
      <c r="H18" s="12">
        <v>52</v>
      </c>
      <c r="I18" s="12">
        <v>58</v>
      </c>
      <c r="J18" s="12">
        <v>6</v>
      </c>
      <c r="K18" s="12">
        <v>113</v>
      </c>
      <c r="L18" s="12">
        <v>66</v>
      </c>
      <c r="M18" s="12">
        <v>51</v>
      </c>
      <c r="N18" s="12">
        <v>73</v>
      </c>
      <c r="O18" s="12">
        <v>99</v>
      </c>
      <c r="P18" s="12">
        <v>32</v>
      </c>
      <c r="Q18" s="12">
        <v>47</v>
      </c>
      <c r="R18" s="12">
        <v>40</v>
      </c>
      <c r="S18" s="12">
        <v>151</v>
      </c>
      <c r="T18" s="12">
        <v>88</v>
      </c>
      <c r="U18" s="12">
        <v>36</v>
      </c>
      <c r="V18" s="12">
        <v>33</v>
      </c>
      <c r="W18" s="12">
        <v>64</v>
      </c>
      <c r="X18" s="12">
        <v>26</v>
      </c>
      <c r="Y18" s="12">
        <v>40</v>
      </c>
      <c r="Z18" s="12">
        <v>52</v>
      </c>
      <c r="AA18" s="12">
        <v>160</v>
      </c>
      <c r="AB18" s="12">
        <v>67</v>
      </c>
      <c r="AC18" s="12">
        <v>57</v>
      </c>
      <c r="AD18" s="12">
        <v>78</v>
      </c>
      <c r="AE18" s="12">
        <v>137</v>
      </c>
      <c r="AF18" s="12">
        <v>74</v>
      </c>
    </row>
    <row r="19" spans="1:32">
      <c r="A19" s="23"/>
      <c r="B19" s="13" t="s">
        <v>498</v>
      </c>
      <c r="C19" s="14">
        <v>0.06</v>
      </c>
      <c r="D19" s="14">
        <v>0.02</v>
      </c>
      <c r="E19" s="14">
        <v>0.11</v>
      </c>
      <c r="F19" s="14">
        <v>0.04</v>
      </c>
      <c r="G19" s="14">
        <v>0.06</v>
      </c>
      <c r="H19" s="14">
        <v>0.04</v>
      </c>
      <c r="I19" s="14">
        <v>0.04</v>
      </c>
      <c r="J19" s="14">
        <v>0.02</v>
      </c>
      <c r="K19" s="14">
        <v>0.11</v>
      </c>
      <c r="L19" s="14">
        <v>7.0000000000000007E-2</v>
      </c>
      <c r="M19" s="14">
        <v>0.05</v>
      </c>
      <c r="N19" s="14">
        <v>7.0000000000000007E-2</v>
      </c>
      <c r="O19" s="14">
        <v>0.1</v>
      </c>
      <c r="P19" s="14">
        <v>0.03</v>
      </c>
      <c r="Q19" s="14">
        <v>0.05</v>
      </c>
      <c r="R19" s="14">
        <v>0.08</v>
      </c>
      <c r="S19" s="14">
        <v>0.15</v>
      </c>
      <c r="T19" s="14">
        <v>0.09</v>
      </c>
      <c r="U19" s="14">
        <v>7.0000000000000007E-2</v>
      </c>
      <c r="V19" s="14">
        <v>0.03</v>
      </c>
      <c r="W19" s="14">
        <v>0.13</v>
      </c>
      <c r="X19" s="14">
        <v>0.03</v>
      </c>
      <c r="Y19" s="14">
        <v>0.04</v>
      </c>
      <c r="Z19" s="14">
        <v>0.05</v>
      </c>
      <c r="AA19" s="14">
        <v>0.15</v>
      </c>
      <c r="AB19" s="14">
        <v>0.06</v>
      </c>
      <c r="AC19" s="14">
        <v>0.06</v>
      </c>
      <c r="AD19" s="14">
        <v>0.08</v>
      </c>
      <c r="AE19" s="14">
        <v>0.14000000000000001</v>
      </c>
      <c r="AF19" s="14">
        <v>7.0000000000000007E-2</v>
      </c>
    </row>
  </sheetData>
  <mergeCells count="9">
    <mergeCell ref="H3:L3"/>
    <mergeCell ref="C8:AF8"/>
    <mergeCell ref="B3:F3"/>
    <mergeCell ref="B5:F5"/>
    <mergeCell ref="A10:A19"/>
    <mergeCell ref="H5:L5"/>
    <mergeCell ref="B10:B11"/>
    <mergeCell ref="H4:L4"/>
    <mergeCell ref="B4:F4"/>
  </mergeCells>
  <pageMargins left="0.75" right="0.75" top="1" bottom="1" header="0.5" footer="0.5"/>
</worksheet>
</file>

<file path=xl/worksheets/sheet2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D00-000000000000}">
  <dimension ref="A1:AF1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1727</v>
      </c>
      <c r="C3" s="19"/>
      <c r="D3" s="19"/>
      <c r="E3" s="19"/>
      <c r="F3" s="19"/>
      <c r="H3" s="19" t="s">
        <v>1728</v>
      </c>
      <c r="I3" s="19"/>
      <c r="J3" s="19"/>
      <c r="K3" s="19"/>
      <c r="L3" s="19"/>
    </row>
    <row r="4" spans="1:32" ht="27" customHeight="1">
      <c r="B4" s="19" t="s">
        <v>1729</v>
      </c>
      <c r="C4" s="19"/>
      <c r="D4" s="19"/>
      <c r="E4" s="19"/>
      <c r="F4" s="19"/>
      <c r="H4" s="19" t="s">
        <v>1730</v>
      </c>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HYPERLINK("#Content!A210","&lt;&lt;Back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23.25">
      <c r="A12" s="23"/>
      <c r="B12" s="11" t="s">
        <v>1717</v>
      </c>
      <c r="C12" s="12">
        <v>6374</v>
      </c>
      <c r="D12" s="12">
        <v>253</v>
      </c>
      <c r="E12" s="12">
        <v>364</v>
      </c>
      <c r="F12" s="12">
        <v>349</v>
      </c>
      <c r="G12" s="12">
        <v>49</v>
      </c>
      <c r="H12" s="12">
        <v>140</v>
      </c>
      <c r="I12" s="12">
        <v>184</v>
      </c>
      <c r="J12" s="12">
        <v>44</v>
      </c>
      <c r="K12" s="12">
        <v>273</v>
      </c>
      <c r="L12" s="12">
        <v>201</v>
      </c>
      <c r="M12" s="12">
        <v>175</v>
      </c>
      <c r="N12" s="12">
        <v>230</v>
      </c>
      <c r="O12" s="12">
        <v>186</v>
      </c>
      <c r="P12" s="12">
        <v>401</v>
      </c>
      <c r="Q12" s="12">
        <v>376</v>
      </c>
      <c r="R12" s="12">
        <v>102</v>
      </c>
      <c r="S12" s="12">
        <v>236</v>
      </c>
      <c r="T12" s="12">
        <v>315</v>
      </c>
      <c r="U12" s="12">
        <v>65</v>
      </c>
      <c r="V12" s="12">
        <v>382</v>
      </c>
      <c r="W12" s="12">
        <v>100</v>
      </c>
      <c r="X12" s="12">
        <v>120</v>
      </c>
      <c r="Y12" s="12">
        <v>196</v>
      </c>
      <c r="Z12" s="12">
        <v>421</v>
      </c>
      <c r="AA12" s="12">
        <v>176</v>
      </c>
      <c r="AB12" s="12">
        <v>508</v>
      </c>
      <c r="AC12" s="12">
        <v>185</v>
      </c>
      <c r="AD12" s="12">
        <v>246</v>
      </c>
      <c r="AE12" s="12">
        <v>92</v>
      </c>
      <c r="AF12" s="12">
        <v>87</v>
      </c>
    </row>
    <row r="13" spans="1:32" ht="23.25">
      <c r="A13" s="23"/>
      <c r="B13" s="13" t="s">
        <v>1718</v>
      </c>
      <c r="C13" s="14">
        <v>0.24</v>
      </c>
      <c r="D13" s="14">
        <v>0.25</v>
      </c>
      <c r="E13" s="14">
        <v>0.35</v>
      </c>
      <c r="F13" s="14">
        <v>0.35</v>
      </c>
      <c r="G13" s="14">
        <v>0.05</v>
      </c>
      <c r="H13" s="14">
        <v>0.12</v>
      </c>
      <c r="I13" s="14">
        <v>0.12</v>
      </c>
      <c r="J13" s="14">
        <v>0.15</v>
      </c>
      <c r="K13" s="14">
        <v>0.27</v>
      </c>
      <c r="L13" s="14">
        <v>0.2</v>
      </c>
      <c r="M13" s="14">
        <v>0.17</v>
      </c>
      <c r="N13" s="14">
        <v>0.23</v>
      </c>
      <c r="O13" s="14">
        <v>0.18</v>
      </c>
      <c r="P13" s="14">
        <v>0.4</v>
      </c>
      <c r="Q13" s="14">
        <v>0.37</v>
      </c>
      <c r="R13" s="14">
        <v>0.2</v>
      </c>
      <c r="S13" s="14">
        <v>0.23</v>
      </c>
      <c r="T13" s="14">
        <v>0.31</v>
      </c>
      <c r="U13" s="14">
        <v>0.13</v>
      </c>
      <c r="V13" s="14">
        <v>0.38</v>
      </c>
      <c r="W13" s="14">
        <v>0.2</v>
      </c>
      <c r="X13" s="14">
        <v>0.12</v>
      </c>
      <c r="Y13" s="14">
        <v>0.19</v>
      </c>
      <c r="Z13" s="14">
        <v>0.41</v>
      </c>
      <c r="AA13" s="14">
        <v>0.17</v>
      </c>
      <c r="AB13" s="14">
        <v>0.49</v>
      </c>
      <c r="AC13" s="14">
        <v>0.19</v>
      </c>
      <c r="AD13" s="14">
        <v>0.25</v>
      </c>
      <c r="AE13" s="14">
        <v>0.09</v>
      </c>
      <c r="AF13" s="14">
        <v>0.08</v>
      </c>
    </row>
    <row r="14" spans="1:32" ht="23.25">
      <c r="A14" s="23"/>
      <c r="B14" s="11" t="s">
        <v>1719</v>
      </c>
      <c r="C14" s="12">
        <v>15909</v>
      </c>
      <c r="D14" s="12">
        <v>681</v>
      </c>
      <c r="E14" s="12">
        <v>328</v>
      </c>
      <c r="F14" s="12">
        <v>505</v>
      </c>
      <c r="G14" s="12">
        <v>892</v>
      </c>
      <c r="H14" s="12">
        <v>966</v>
      </c>
      <c r="I14" s="12">
        <v>1186</v>
      </c>
      <c r="J14" s="12">
        <v>221</v>
      </c>
      <c r="K14" s="12">
        <v>351</v>
      </c>
      <c r="L14" s="12">
        <v>687</v>
      </c>
      <c r="M14" s="12">
        <v>601</v>
      </c>
      <c r="N14" s="12">
        <v>580</v>
      </c>
      <c r="O14" s="12">
        <v>642</v>
      </c>
      <c r="P14" s="12">
        <v>452</v>
      </c>
      <c r="Q14" s="12">
        <v>511</v>
      </c>
      <c r="R14" s="12">
        <v>246</v>
      </c>
      <c r="S14" s="12">
        <v>308</v>
      </c>
      <c r="T14" s="12">
        <v>336</v>
      </c>
      <c r="U14" s="12">
        <v>351</v>
      </c>
      <c r="V14" s="12">
        <v>448</v>
      </c>
      <c r="W14" s="12">
        <v>191</v>
      </c>
      <c r="X14" s="12">
        <v>842</v>
      </c>
      <c r="Y14" s="12">
        <v>638</v>
      </c>
      <c r="Z14" s="12">
        <v>411</v>
      </c>
      <c r="AA14" s="12">
        <v>491</v>
      </c>
      <c r="AB14" s="12">
        <v>344</v>
      </c>
      <c r="AC14" s="12">
        <v>605</v>
      </c>
      <c r="AD14" s="12">
        <v>515</v>
      </c>
      <c r="AE14" s="12">
        <v>785</v>
      </c>
      <c r="AF14" s="12">
        <v>924</v>
      </c>
    </row>
    <row r="15" spans="1:32" ht="23.25">
      <c r="A15" s="23"/>
      <c r="B15" s="13" t="s">
        <v>1720</v>
      </c>
      <c r="C15" s="14">
        <v>0.6</v>
      </c>
      <c r="D15" s="14">
        <v>0.68</v>
      </c>
      <c r="E15" s="14">
        <v>0.31</v>
      </c>
      <c r="F15" s="14">
        <v>0.5</v>
      </c>
      <c r="G15" s="14">
        <v>0.89</v>
      </c>
      <c r="H15" s="14">
        <v>0.8</v>
      </c>
      <c r="I15" s="14">
        <v>0.79</v>
      </c>
      <c r="J15" s="14">
        <v>0.75</v>
      </c>
      <c r="K15" s="14">
        <v>0.35</v>
      </c>
      <c r="L15" s="14">
        <v>0.68</v>
      </c>
      <c r="M15" s="14">
        <v>0.6</v>
      </c>
      <c r="N15" s="14">
        <v>0.57999999999999996</v>
      </c>
      <c r="O15" s="14">
        <v>0.64</v>
      </c>
      <c r="P15" s="14">
        <v>0.45</v>
      </c>
      <c r="Q15" s="14">
        <v>0.5</v>
      </c>
      <c r="R15" s="14">
        <v>0.49</v>
      </c>
      <c r="S15" s="14">
        <v>0.31</v>
      </c>
      <c r="T15" s="14">
        <v>0.34</v>
      </c>
      <c r="U15" s="14">
        <v>0.70000000000000007</v>
      </c>
      <c r="V15" s="14">
        <v>0.44</v>
      </c>
      <c r="W15" s="14">
        <v>0.38</v>
      </c>
      <c r="X15" s="14">
        <v>0.83000000000000007</v>
      </c>
      <c r="Y15" s="14">
        <v>0.63</v>
      </c>
      <c r="Z15" s="14">
        <v>0.41</v>
      </c>
      <c r="AA15" s="14">
        <v>0.47</v>
      </c>
      <c r="AB15" s="14">
        <v>0.34</v>
      </c>
      <c r="AC15" s="14">
        <v>0.6</v>
      </c>
      <c r="AD15" s="14">
        <v>0.51</v>
      </c>
      <c r="AE15" s="14">
        <v>0.78</v>
      </c>
      <c r="AF15" s="14">
        <v>0.86</v>
      </c>
    </row>
    <row r="16" spans="1:32" ht="23.25">
      <c r="A16" s="23"/>
      <c r="B16" s="11" t="s">
        <v>1721</v>
      </c>
      <c r="C16" s="12">
        <v>1328</v>
      </c>
      <c r="D16" s="12">
        <v>40</v>
      </c>
      <c r="E16" s="12">
        <v>96</v>
      </c>
      <c r="F16" s="12">
        <v>50</v>
      </c>
      <c r="G16" s="12">
        <v>14</v>
      </c>
      <c r="H16" s="12">
        <v>41</v>
      </c>
      <c r="I16" s="12">
        <v>55</v>
      </c>
      <c r="J16" s="12">
        <v>14</v>
      </c>
      <c r="K16" s="12">
        <v>123</v>
      </c>
      <c r="L16" s="12">
        <v>40</v>
      </c>
      <c r="M16" s="12">
        <v>89</v>
      </c>
      <c r="N16" s="12">
        <v>43</v>
      </c>
      <c r="O16" s="12">
        <v>61</v>
      </c>
      <c r="P16" s="12">
        <v>74</v>
      </c>
      <c r="Q16" s="12">
        <v>37</v>
      </c>
      <c r="R16" s="12">
        <v>36</v>
      </c>
      <c r="S16" s="12">
        <v>107</v>
      </c>
      <c r="T16" s="12">
        <v>140</v>
      </c>
      <c r="U16" s="12">
        <v>32</v>
      </c>
      <c r="V16" s="12">
        <v>80</v>
      </c>
      <c r="W16" s="12">
        <v>57</v>
      </c>
      <c r="X16" s="12">
        <v>22</v>
      </c>
      <c r="Y16" s="12">
        <v>67</v>
      </c>
      <c r="Z16" s="12">
        <v>71</v>
      </c>
      <c r="AA16" s="12">
        <v>77</v>
      </c>
      <c r="AB16" s="12">
        <v>66</v>
      </c>
      <c r="AC16" s="12">
        <v>84</v>
      </c>
      <c r="AD16" s="12">
        <v>74</v>
      </c>
      <c r="AE16" s="12">
        <v>21</v>
      </c>
      <c r="AF16" s="12">
        <v>21</v>
      </c>
    </row>
    <row r="17" spans="1:32" ht="23.25">
      <c r="A17" s="23"/>
      <c r="B17" s="13" t="s">
        <v>1722</v>
      </c>
      <c r="C17" s="14">
        <v>0.05</v>
      </c>
      <c r="D17" s="14">
        <v>0.04</v>
      </c>
      <c r="E17" s="14">
        <v>0.09</v>
      </c>
      <c r="F17" s="14">
        <v>0.05</v>
      </c>
      <c r="G17" s="14">
        <v>0.01</v>
      </c>
      <c r="H17" s="14">
        <v>0.03</v>
      </c>
      <c r="I17" s="14">
        <v>0.04</v>
      </c>
      <c r="J17" s="14">
        <v>0.05</v>
      </c>
      <c r="K17" s="14">
        <v>0.12</v>
      </c>
      <c r="L17" s="14">
        <v>0.04</v>
      </c>
      <c r="M17" s="14">
        <v>0.09</v>
      </c>
      <c r="N17" s="14">
        <v>0.04</v>
      </c>
      <c r="O17" s="14">
        <v>0.06</v>
      </c>
      <c r="P17" s="14">
        <v>7.0000000000000007E-2</v>
      </c>
      <c r="Q17" s="14">
        <v>0.03</v>
      </c>
      <c r="R17" s="14">
        <v>7.0000000000000007E-2</v>
      </c>
      <c r="S17" s="14">
        <v>0.11</v>
      </c>
      <c r="T17" s="14">
        <v>0.14000000000000001</v>
      </c>
      <c r="U17" s="14">
        <v>0.06</v>
      </c>
      <c r="V17" s="14">
        <v>0.08</v>
      </c>
      <c r="W17" s="14">
        <v>0.11</v>
      </c>
      <c r="X17" s="14">
        <v>0.02</v>
      </c>
      <c r="Y17" s="14">
        <v>7.0000000000000007E-2</v>
      </c>
      <c r="Z17" s="14">
        <v>7.0000000000000007E-2</v>
      </c>
      <c r="AA17" s="14">
        <v>7.0000000000000007E-2</v>
      </c>
      <c r="AB17" s="14">
        <v>0.06</v>
      </c>
      <c r="AC17" s="14">
        <v>0.08</v>
      </c>
      <c r="AD17" s="14">
        <v>7.0000000000000007E-2</v>
      </c>
      <c r="AE17" s="14">
        <v>0.02</v>
      </c>
      <c r="AF17" s="14">
        <v>0.02</v>
      </c>
    </row>
    <row r="18" spans="1:32">
      <c r="A18" s="23"/>
      <c r="B18" s="11" t="s">
        <v>497</v>
      </c>
      <c r="C18" s="12">
        <v>2743</v>
      </c>
      <c r="D18" s="12">
        <v>32</v>
      </c>
      <c r="E18" s="12">
        <v>256</v>
      </c>
      <c r="F18" s="12">
        <v>102</v>
      </c>
      <c r="G18" s="12">
        <v>48</v>
      </c>
      <c r="H18" s="12">
        <v>64</v>
      </c>
      <c r="I18" s="12">
        <v>78</v>
      </c>
      <c r="J18" s="12">
        <v>14</v>
      </c>
      <c r="K18" s="12">
        <v>257</v>
      </c>
      <c r="L18" s="12">
        <v>79</v>
      </c>
      <c r="M18" s="12">
        <v>145</v>
      </c>
      <c r="N18" s="12">
        <v>147</v>
      </c>
      <c r="O18" s="12">
        <v>117</v>
      </c>
      <c r="P18" s="12">
        <v>84</v>
      </c>
      <c r="Q18" s="12">
        <v>99</v>
      </c>
      <c r="R18" s="12">
        <v>118</v>
      </c>
      <c r="S18" s="12">
        <v>355</v>
      </c>
      <c r="T18" s="12">
        <v>213</v>
      </c>
      <c r="U18" s="12">
        <v>55</v>
      </c>
      <c r="V18" s="12">
        <v>101</v>
      </c>
      <c r="W18" s="12">
        <v>156</v>
      </c>
      <c r="X18" s="12">
        <v>32</v>
      </c>
      <c r="Y18" s="12">
        <v>107</v>
      </c>
      <c r="Z18" s="12">
        <v>115</v>
      </c>
      <c r="AA18" s="12">
        <v>296</v>
      </c>
      <c r="AB18" s="12">
        <v>113</v>
      </c>
      <c r="AC18" s="12">
        <v>131</v>
      </c>
      <c r="AD18" s="12">
        <v>168</v>
      </c>
      <c r="AE18" s="12">
        <v>109</v>
      </c>
      <c r="AF18" s="12">
        <v>40</v>
      </c>
    </row>
    <row r="19" spans="1:32">
      <c r="A19" s="23"/>
      <c r="B19" s="13" t="s">
        <v>498</v>
      </c>
      <c r="C19" s="14">
        <v>0.11</v>
      </c>
      <c r="D19" s="14">
        <v>0.03</v>
      </c>
      <c r="E19" s="14">
        <v>0.25</v>
      </c>
      <c r="F19" s="14">
        <v>0.1</v>
      </c>
      <c r="G19" s="14">
        <v>0.05</v>
      </c>
      <c r="H19" s="14">
        <v>0.05</v>
      </c>
      <c r="I19" s="14">
        <v>0.05</v>
      </c>
      <c r="J19" s="14">
        <v>0.05</v>
      </c>
      <c r="K19" s="14">
        <v>0.26</v>
      </c>
      <c r="L19" s="14">
        <v>0.08</v>
      </c>
      <c r="M19" s="14">
        <v>0.14000000000000001</v>
      </c>
      <c r="N19" s="14">
        <v>0.15</v>
      </c>
      <c r="O19" s="14">
        <v>0.12</v>
      </c>
      <c r="P19" s="14">
        <v>0.08</v>
      </c>
      <c r="Q19" s="14">
        <v>0.1</v>
      </c>
      <c r="R19" s="14">
        <v>0.24</v>
      </c>
      <c r="S19" s="14">
        <v>0.35</v>
      </c>
      <c r="T19" s="14">
        <v>0.21</v>
      </c>
      <c r="U19" s="14">
        <v>0.11</v>
      </c>
      <c r="V19" s="14">
        <v>0.1</v>
      </c>
      <c r="W19" s="14">
        <v>0.31</v>
      </c>
      <c r="X19" s="14">
        <v>0.03</v>
      </c>
      <c r="Y19" s="14">
        <v>0.11</v>
      </c>
      <c r="Z19" s="14">
        <v>0.11</v>
      </c>
      <c r="AA19" s="14">
        <v>0.28999999999999998</v>
      </c>
      <c r="AB19" s="14">
        <v>0.11</v>
      </c>
      <c r="AC19" s="14">
        <v>0.13</v>
      </c>
      <c r="AD19" s="14">
        <v>0.17</v>
      </c>
      <c r="AE19" s="14">
        <v>0.11</v>
      </c>
      <c r="AF19" s="14">
        <v>0.04</v>
      </c>
    </row>
  </sheetData>
  <mergeCells count="9">
    <mergeCell ref="H3:L3"/>
    <mergeCell ref="C8:AF8"/>
    <mergeCell ref="B3:F3"/>
    <mergeCell ref="B5:F5"/>
    <mergeCell ref="A10:A19"/>
    <mergeCell ref="H5:L5"/>
    <mergeCell ref="B10:B11"/>
    <mergeCell ref="H4:L4"/>
    <mergeCell ref="B4:F4"/>
  </mergeCells>
  <pageMargins left="0.75" right="0.75" top="1" bottom="1" header="0.5" footer="0.5"/>
</worksheet>
</file>

<file path=xl/worksheets/sheet2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E00-000000000000}">
  <dimension ref="A1:AF1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1731</v>
      </c>
      <c r="C3" s="19"/>
      <c r="D3" s="19"/>
      <c r="E3" s="19"/>
      <c r="F3" s="19"/>
      <c r="H3" s="19" t="s">
        <v>1732</v>
      </c>
      <c r="I3" s="19"/>
      <c r="J3" s="19"/>
      <c r="K3" s="19"/>
      <c r="L3" s="19"/>
    </row>
    <row r="4" spans="1:32" ht="27" customHeight="1">
      <c r="B4" s="19" t="s">
        <v>1733</v>
      </c>
      <c r="C4" s="19"/>
      <c r="D4" s="19"/>
      <c r="E4" s="19"/>
      <c r="F4" s="19"/>
      <c r="H4" s="19" t="s">
        <v>1734</v>
      </c>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HYPERLINK("#Content!A211","&lt;&lt;Back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23.25">
      <c r="A12" s="23"/>
      <c r="B12" s="11" t="s">
        <v>1717</v>
      </c>
      <c r="C12" s="12">
        <v>19383</v>
      </c>
      <c r="D12" s="12">
        <v>751</v>
      </c>
      <c r="E12" s="12">
        <v>685</v>
      </c>
      <c r="F12" s="12">
        <v>770</v>
      </c>
      <c r="G12" s="12">
        <v>852</v>
      </c>
      <c r="H12" s="12">
        <v>942</v>
      </c>
      <c r="I12" s="12">
        <v>1156</v>
      </c>
      <c r="J12" s="12">
        <v>214</v>
      </c>
      <c r="K12" s="12">
        <v>722</v>
      </c>
      <c r="L12" s="12">
        <v>883</v>
      </c>
      <c r="M12" s="12">
        <v>776</v>
      </c>
      <c r="N12" s="12">
        <v>812</v>
      </c>
      <c r="O12" s="12">
        <v>684</v>
      </c>
      <c r="P12" s="12">
        <v>705</v>
      </c>
      <c r="Q12" s="12">
        <v>729</v>
      </c>
      <c r="R12" s="12">
        <v>404</v>
      </c>
      <c r="S12" s="12">
        <v>744</v>
      </c>
      <c r="T12" s="12">
        <v>812</v>
      </c>
      <c r="U12" s="12">
        <v>418</v>
      </c>
      <c r="V12" s="12">
        <v>639</v>
      </c>
      <c r="W12" s="12">
        <v>427</v>
      </c>
      <c r="X12" s="12">
        <v>847</v>
      </c>
      <c r="Y12" s="12">
        <v>740</v>
      </c>
      <c r="Z12" s="12">
        <v>685</v>
      </c>
      <c r="AA12" s="12">
        <v>598</v>
      </c>
      <c r="AB12" s="12">
        <v>673</v>
      </c>
      <c r="AC12" s="12">
        <v>880</v>
      </c>
      <c r="AD12" s="12">
        <v>795</v>
      </c>
      <c r="AE12" s="12">
        <v>696</v>
      </c>
      <c r="AF12" s="12">
        <v>911</v>
      </c>
    </row>
    <row r="13" spans="1:32" ht="23.25">
      <c r="A13" s="23"/>
      <c r="B13" s="13" t="s">
        <v>1718</v>
      </c>
      <c r="C13" s="14">
        <v>0.73</v>
      </c>
      <c r="D13" s="14">
        <v>0.75</v>
      </c>
      <c r="E13" s="14">
        <v>0.65</v>
      </c>
      <c r="F13" s="14">
        <v>0.77</v>
      </c>
      <c r="G13" s="14">
        <v>0.85</v>
      </c>
      <c r="H13" s="14">
        <v>0.78</v>
      </c>
      <c r="I13" s="14">
        <v>0.77</v>
      </c>
      <c r="J13" s="14">
        <v>0.73</v>
      </c>
      <c r="K13" s="14">
        <v>0.72</v>
      </c>
      <c r="L13" s="14">
        <v>0.88</v>
      </c>
      <c r="M13" s="14">
        <v>0.77</v>
      </c>
      <c r="N13" s="14">
        <v>0.81</v>
      </c>
      <c r="O13" s="14">
        <v>0.68</v>
      </c>
      <c r="P13" s="14">
        <v>0.70000000000000007</v>
      </c>
      <c r="Q13" s="14">
        <v>0.71</v>
      </c>
      <c r="R13" s="14">
        <v>0.8</v>
      </c>
      <c r="S13" s="14">
        <v>0.74</v>
      </c>
      <c r="T13" s="14">
        <v>0.81</v>
      </c>
      <c r="U13" s="14">
        <v>0.83000000000000007</v>
      </c>
      <c r="V13" s="14">
        <v>0.63</v>
      </c>
      <c r="W13" s="14">
        <v>0.85</v>
      </c>
      <c r="X13" s="14">
        <v>0.83000000000000007</v>
      </c>
      <c r="Y13" s="14">
        <v>0.73</v>
      </c>
      <c r="Z13" s="14">
        <v>0.67</v>
      </c>
      <c r="AA13" s="14">
        <v>0.57999999999999996</v>
      </c>
      <c r="AB13" s="14">
        <v>0.65</v>
      </c>
      <c r="AC13" s="14">
        <v>0.88</v>
      </c>
      <c r="AD13" s="14">
        <v>0.79</v>
      </c>
      <c r="AE13" s="14">
        <v>0.69000000000000006</v>
      </c>
      <c r="AF13" s="14">
        <v>0.85</v>
      </c>
    </row>
    <row r="14" spans="1:32" ht="23.25">
      <c r="A14" s="23"/>
      <c r="B14" s="11" t="s">
        <v>1719</v>
      </c>
      <c r="C14" s="12">
        <v>3881</v>
      </c>
      <c r="D14" s="12">
        <v>194</v>
      </c>
      <c r="E14" s="12">
        <v>142</v>
      </c>
      <c r="F14" s="12">
        <v>168</v>
      </c>
      <c r="G14" s="12">
        <v>82</v>
      </c>
      <c r="H14" s="12">
        <v>163</v>
      </c>
      <c r="I14" s="12">
        <v>202</v>
      </c>
      <c r="J14" s="12">
        <v>39</v>
      </c>
      <c r="K14" s="12">
        <v>88</v>
      </c>
      <c r="L14" s="12">
        <v>50</v>
      </c>
      <c r="M14" s="12">
        <v>126</v>
      </c>
      <c r="N14" s="12">
        <v>104</v>
      </c>
      <c r="O14" s="12">
        <v>170</v>
      </c>
      <c r="P14" s="12">
        <v>179</v>
      </c>
      <c r="Q14" s="12">
        <v>191</v>
      </c>
      <c r="R14" s="12">
        <v>38</v>
      </c>
      <c r="S14" s="12">
        <v>88</v>
      </c>
      <c r="T14" s="12">
        <v>59</v>
      </c>
      <c r="U14" s="12">
        <v>28</v>
      </c>
      <c r="V14" s="12">
        <v>185</v>
      </c>
      <c r="W14" s="12">
        <v>43</v>
      </c>
      <c r="X14" s="12">
        <v>89</v>
      </c>
      <c r="Y14" s="12">
        <v>99</v>
      </c>
      <c r="Z14" s="12">
        <v>189</v>
      </c>
      <c r="AA14" s="12">
        <v>121</v>
      </c>
      <c r="AB14" s="12">
        <v>262</v>
      </c>
      <c r="AC14" s="12">
        <v>43</v>
      </c>
      <c r="AD14" s="12">
        <v>95</v>
      </c>
      <c r="AE14" s="12">
        <v>89</v>
      </c>
      <c r="AF14" s="12">
        <v>74</v>
      </c>
    </row>
    <row r="15" spans="1:32" ht="23.25">
      <c r="A15" s="23"/>
      <c r="B15" s="13" t="s">
        <v>1720</v>
      </c>
      <c r="C15" s="14">
        <v>0.15</v>
      </c>
      <c r="D15" s="14">
        <v>0.19</v>
      </c>
      <c r="E15" s="14">
        <v>0.14000000000000001</v>
      </c>
      <c r="F15" s="14">
        <v>0.17</v>
      </c>
      <c r="G15" s="14">
        <v>0.08</v>
      </c>
      <c r="H15" s="14">
        <v>0.13</v>
      </c>
      <c r="I15" s="14">
        <v>0.13</v>
      </c>
      <c r="J15" s="14">
        <v>0.13</v>
      </c>
      <c r="K15" s="14">
        <v>0.09</v>
      </c>
      <c r="L15" s="14">
        <v>0.05</v>
      </c>
      <c r="M15" s="14">
        <v>0.12</v>
      </c>
      <c r="N15" s="14">
        <v>0.1</v>
      </c>
      <c r="O15" s="14">
        <v>0.17</v>
      </c>
      <c r="P15" s="14">
        <v>0.18</v>
      </c>
      <c r="Q15" s="14">
        <v>0.19</v>
      </c>
      <c r="R15" s="14">
        <v>0.08</v>
      </c>
      <c r="S15" s="14">
        <v>0.09</v>
      </c>
      <c r="T15" s="14">
        <v>0.06</v>
      </c>
      <c r="U15" s="14">
        <v>0.06</v>
      </c>
      <c r="V15" s="14">
        <v>0.18</v>
      </c>
      <c r="W15" s="14">
        <v>0.08</v>
      </c>
      <c r="X15" s="14">
        <v>0.09</v>
      </c>
      <c r="Y15" s="14">
        <v>0.1</v>
      </c>
      <c r="Z15" s="14">
        <v>0.19</v>
      </c>
      <c r="AA15" s="14">
        <v>0.12</v>
      </c>
      <c r="AB15" s="14">
        <v>0.26</v>
      </c>
      <c r="AC15" s="14">
        <v>0.04</v>
      </c>
      <c r="AD15" s="14">
        <v>0.1</v>
      </c>
      <c r="AE15" s="14">
        <v>0.09</v>
      </c>
      <c r="AF15" s="14">
        <v>7.0000000000000007E-2</v>
      </c>
    </row>
    <row r="16" spans="1:32" ht="23.25">
      <c r="A16" s="23"/>
      <c r="B16" s="11" t="s">
        <v>1721</v>
      </c>
      <c r="C16" s="12">
        <v>2605</v>
      </c>
      <c r="D16" s="12">
        <v>55</v>
      </c>
      <c r="E16" s="12">
        <v>175</v>
      </c>
      <c r="F16" s="12">
        <v>45</v>
      </c>
      <c r="G16" s="12">
        <v>60</v>
      </c>
      <c r="H16" s="12">
        <v>75</v>
      </c>
      <c r="I16" s="12">
        <v>114</v>
      </c>
      <c r="J16" s="12">
        <v>39</v>
      </c>
      <c r="K16" s="12">
        <v>130</v>
      </c>
      <c r="L16" s="12">
        <v>62</v>
      </c>
      <c r="M16" s="12">
        <v>98</v>
      </c>
      <c r="N16" s="12">
        <v>78</v>
      </c>
      <c r="O16" s="12">
        <v>128</v>
      </c>
      <c r="P16" s="12">
        <v>107</v>
      </c>
      <c r="Q16" s="12">
        <v>91</v>
      </c>
      <c r="R16" s="12">
        <v>50</v>
      </c>
      <c r="S16" s="12">
        <v>136</v>
      </c>
      <c r="T16" s="12">
        <v>127</v>
      </c>
      <c r="U16" s="12">
        <v>52</v>
      </c>
      <c r="V16" s="12">
        <v>171</v>
      </c>
      <c r="W16" s="12">
        <v>30</v>
      </c>
      <c r="X16" s="12">
        <v>71</v>
      </c>
      <c r="Y16" s="12">
        <v>151</v>
      </c>
      <c r="Z16" s="12">
        <v>120</v>
      </c>
      <c r="AA16" s="12">
        <v>254</v>
      </c>
      <c r="AB16" s="12">
        <v>75</v>
      </c>
      <c r="AC16" s="12">
        <v>72</v>
      </c>
      <c r="AD16" s="12">
        <v>92</v>
      </c>
      <c r="AE16" s="12">
        <v>200</v>
      </c>
      <c r="AF16" s="12">
        <v>80</v>
      </c>
    </row>
    <row r="17" spans="1:32" ht="23.25">
      <c r="A17" s="23"/>
      <c r="B17" s="13" t="s">
        <v>1722</v>
      </c>
      <c r="C17" s="14">
        <v>0.1</v>
      </c>
      <c r="D17" s="14">
        <v>0.05</v>
      </c>
      <c r="E17" s="14">
        <v>0.17</v>
      </c>
      <c r="F17" s="14">
        <v>0.04</v>
      </c>
      <c r="G17" s="14">
        <v>0.06</v>
      </c>
      <c r="H17" s="14">
        <v>0.06</v>
      </c>
      <c r="I17" s="14">
        <v>0.08</v>
      </c>
      <c r="J17" s="14">
        <v>0.13</v>
      </c>
      <c r="K17" s="14">
        <v>0.13</v>
      </c>
      <c r="L17" s="14">
        <v>0.06</v>
      </c>
      <c r="M17" s="14">
        <v>0.1</v>
      </c>
      <c r="N17" s="14">
        <v>0.08</v>
      </c>
      <c r="O17" s="14">
        <v>0.13</v>
      </c>
      <c r="P17" s="14">
        <v>0.1</v>
      </c>
      <c r="Q17" s="14">
        <v>0.09</v>
      </c>
      <c r="R17" s="14">
        <v>0.1</v>
      </c>
      <c r="S17" s="14">
        <v>0.13</v>
      </c>
      <c r="T17" s="14">
        <v>0.13</v>
      </c>
      <c r="U17" s="14">
        <v>0.1</v>
      </c>
      <c r="V17" s="14">
        <v>0.17</v>
      </c>
      <c r="W17" s="14">
        <v>0.06</v>
      </c>
      <c r="X17" s="14">
        <v>7.0000000000000007E-2</v>
      </c>
      <c r="Y17" s="14">
        <v>0.15</v>
      </c>
      <c r="Z17" s="14">
        <v>0.12</v>
      </c>
      <c r="AA17" s="14">
        <v>0.24</v>
      </c>
      <c r="AB17" s="14">
        <v>7.0000000000000007E-2</v>
      </c>
      <c r="AC17" s="14">
        <v>7.0000000000000007E-2</v>
      </c>
      <c r="AD17" s="14">
        <v>0.09</v>
      </c>
      <c r="AE17" s="14">
        <v>0.2</v>
      </c>
      <c r="AF17" s="14">
        <v>7.0000000000000007E-2</v>
      </c>
    </row>
    <row r="18" spans="1:32">
      <c r="A18" s="23"/>
      <c r="B18" s="11" t="s">
        <v>497</v>
      </c>
      <c r="C18" s="12">
        <v>485</v>
      </c>
      <c r="D18" s="12">
        <v>6</v>
      </c>
      <c r="E18" s="12">
        <v>42</v>
      </c>
      <c r="F18" s="12">
        <v>24</v>
      </c>
      <c r="G18" s="12">
        <v>9</v>
      </c>
      <c r="H18" s="12">
        <v>31</v>
      </c>
      <c r="I18" s="12">
        <v>32</v>
      </c>
      <c r="J18" s="12">
        <v>1</v>
      </c>
      <c r="K18" s="12">
        <v>64</v>
      </c>
      <c r="L18" s="12">
        <v>13</v>
      </c>
      <c r="M18" s="12">
        <v>11</v>
      </c>
      <c r="N18" s="12">
        <v>6</v>
      </c>
      <c r="O18" s="12">
        <v>24</v>
      </c>
      <c r="P18" s="12">
        <v>20</v>
      </c>
      <c r="Q18" s="12">
        <v>13</v>
      </c>
      <c r="R18" s="12">
        <v>10</v>
      </c>
      <c r="S18" s="12">
        <v>37</v>
      </c>
      <c r="T18" s="12">
        <v>5</v>
      </c>
      <c r="U18" s="12">
        <v>6</v>
      </c>
      <c r="V18" s="12">
        <v>16</v>
      </c>
      <c r="W18" s="12">
        <v>4</v>
      </c>
      <c r="X18" s="12">
        <v>10</v>
      </c>
      <c r="Y18" s="12">
        <v>17</v>
      </c>
      <c r="Z18" s="12">
        <v>24</v>
      </c>
      <c r="AA18" s="12">
        <v>66</v>
      </c>
      <c r="AB18" s="12">
        <v>20</v>
      </c>
      <c r="AC18" s="12">
        <v>10</v>
      </c>
      <c r="AD18" s="12">
        <v>20</v>
      </c>
      <c r="AE18" s="12">
        <v>23</v>
      </c>
      <c r="AF18" s="12">
        <v>8</v>
      </c>
    </row>
    <row r="19" spans="1:32">
      <c r="A19" s="23"/>
      <c r="B19" s="13" t="s">
        <v>498</v>
      </c>
      <c r="C19" s="14">
        <v>0.02</v>
      </c>
      <c r="D19" s="14">
        <v>0.01</v>
      </c>
      <c r="E19" s="14">
        <v>0.04</v>
      </c>
      <c r="F19" s="14">
        <v>0.02</v>
      </c>
      <c r="G19" s="14">
        <v>0.01</v>
      </c>
      <c r="H19" s="14">
        <v>0.03</v>
      </c>
      <c r="I19" s="14">
        <v>0.02</v>
      </c>
      <c r="J19" s="14">
        <v>0.01</v>
      </c>
      <c r="K19" s="14">
        <v>0.06</v>
      </c>
      <c r="L19" s="14">
        <v>0.01</v>
      </c>
      <c r="M19" s="14">
        <v>0.01</v>
      </c>
      <c r="N19" s="14">
        <v>0.01</v>
      </c>
      <c r="O19" s="14">
        <v>0.02</v>
      </c>
      <c r="P19" s="14">
        <v>0.02</v>
      </c>
      <c r="Q19" s="14">
        <v>0.01</v>
      </c>
      <c r="R19" s="14">
        <v>0.02</v>
      </c>
      <c r="S19" s="14">
        <v>0.04</v>
      </c>
      <c r="T19" s="15" t="s">
        <v>485</v>
      </c>
      <c r="U19" s="14">
        <v>0.01</v>
      </c>
      <c r="V19" s="14">
        <v>0.02</v>
      </c>
      <c r="W19" s="14">
        <v>0.01</v>
      </c>
      <c r="X19" s="14">
        <v>0.01</v>
      </c>
      <c r="Y19" s="14">
        <v>0.02</v>
      </c>
      <c r="Z19" s="14">
        <v>0.02</v>
      </c>
      <c r="AA19" s="14">
        <v>0.06</v>
      </c>
      <c r="AB19" s="14">
        <v>0.02</v>
      </c>
      <c r="AC19" s="14">
        <v>0.01</v>
      </c>
      <c r="AD19" s="14">
        <v>0.02</v>
      </c>
      <c r="AE19" s="14">
        <v>0.02</v>
      </c>
      <c r="AF19" s="14">
        <v>0.01</v>
      </c>
    </row>
  </sheetData>
  <mergeCells count="9">
    <mergeCell ref="H3:L3"/>
    <mergeCell ref="C8:AF8"/>
    <mergeCell ref="B3:F3"/>
    <mergeCell ref="B5:F5"/>
    <mergeCell ref="A10:A19"/>
    <mergeCell ref="H5:L5"/>
    <mergeCell ref="B10:B11"/>
    <mergeCell ref="H4:L4"/>
    <mergeCell ref="B4:F4"/>
  </mergeCells>
  <pageMargins left="0.75" right="0.75" top="1" bottom="1" header="0.5" footer="0.5"/>
</worksheet>
</file>

<file path=xl/worksheets/sheet2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F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36" customHeight="1">
      <c r="B3" s="19" t="s">
        <v>421</v>
      </c>
      <c r="C3" s="19"/>
      <c r="D3" s="19"/>
      <c r="E3" s="19"/>
      <c r="F3" s="19"/>
      <c r="H3" s="19" t="s">
        <v>422</v>
      </c>
      <c r="I3" s="19"/>
      <c r="J3" s="19"/>
      <c r="K3" s="19"/>
      <c r="L3" s="19"/>
    </row>
    <row r="4" spans="1:32" ht="27" customHeight="1">
      <c r="B4" s="19"/>
      <c r="C4" s="19"/>
      <c r="D4" s="19"/>
      <c r="E4" s="19"/>
      <c r="F4" s="19"/>
      <c r="H4" s="19"/>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HYPERLINK("#Content!A212","&lt;&lt;Back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921</v>
      </c>
      <c r="C12" s="12">
        <v>1854</v>
      </c>
      <c r="D12" s="12">
        <v>60</v>
      </c>
      <c r="E12" s="12">
        <v>60</v>
      </c>
      <c r="F12" s="12">
        <v>37</v>
      </c>
      <c r="G12" s="12">
        <v>490</v>
      </c>
      <c r="H12" s="12">
        <v>100</v>
      </c>
      <c r="I12" s="12">
        <v>116</v>
      </c>
      <c r="J12" s="12">
        <v>16</v>
      </c>
      <c r="K12" s="12">
        <v>43</v>
      </c>
      <c r="L12" s="12">
        <v>224</v>
      </c>
      <c r="M12" s="12">
        <v>18</v>
      </c>
      <c r="N12" s="12">
        <v>70</v>
      </c>
      <c r="O12" s="12">
        <v>27</v>
      </c>
      <c r="P12" s="12">
        <v>49</v>
      </c>
      <c r="Q12" s="12">
        <v>49</v>
      </c>
      <c r="R12" s="12">
        <v>19</v>
      </c>
      <c r="S12" s="12">
        <v>73</v>
      </c>
      <c r="T12" s="12">
        <v>59</v>
      </c>
      <c r="U12" s="12">
        <v>153</v>
      </c>
      <c r="V12" s="12">
        <v>26</v>
      </c>
      <c r="W12" s="12">
        <v>48</v>
      </c>
      <c r="X12" s="12">
        <v>111</v>
      </c>
      <c r="Y12" s="12">
        <v>170</v>
      </c>
      <c r="Z12" s="12">
        <v>38</v>
      </c>
      <c r="AA12" s="12">
        <v>54</v>
      </c>
      <c r="AB12" s="12">
        <v>30</v>
      </c>
      <c r="AC12" s="12">
        <v>44</v>
      </c>
      <c r="AD12" s="12">
        <v>31</v>
      </c>
      <c r="AE12" s="12">
        <v>231</v>
      </c>
      <c r="AF12" s="12">
        <v>284</v>
      </c>
    </row>
    <row r="13" spans="1:32">
      <c r="A13" s="23"/>
      <c r="B13" s="13" t="s">
        <v>922</v>
      </c>
      <c r="C13" s="14">
        <v>7.0000000000000007E-2</v>
      </c>
      <c r="D13" s="14">
        <v>0.06</v>
      </c>
      <c r="E13" s="14">
        <v>0.06</v>
      </c>
      <c r="F13" s="14">
        <v>0.04</v>
      </c>
      <c r="G13" s="14">
        <v>0.49</v>
      </c>
      <c r="H13" s="14">
        <v>0.08</v>
      </c>
      <c r="I13" s="14">
        <v>7.0000000000000007E-2</v>
      </c>
      <c r="J13" s="14">
        <v>0.05</v>
      </c>
      <c r="K13" s="14">
        <v>0.04</v>
      </c>
      <c r="L13" s="14">
        <v>0.22</v>
      </c>
      <c r="M13" s="14">
        <v>0.02</v>
      </c>
      <c r="N13" s="14">
        <v>7.0000000000000007E-2</v>
      </c>
      <c r="O13" s="14">
        <v>0.03</v>
      </c>
      <c r="P13" s="14">
        <v>0.05</v>
      </c>
      <c r="Q13" s="14">
        <v>0.05</v>
      </c>
      <c r="R13" s="14">
        <v>0.04</v>
      </c>
      <c r="S13" s="14">
        <v>7.0000000000000007E-2</v>
      </c>
      <c r="T13" s="14">
        <v>0.06</v>
      </c>
      <c r="U13" s="14">
        <v>0.31</v>
      </c>
      <c r="V13" s="14">
        <v>0.03</v>
      </c>
      <c r="W13" s="14">
        <v>0.1</v>
      </c>
      <c r="X13" s="14">
        <v>0.11</v>
      </c>
      <c r="Y13" s="14">
        <v>0.17</v>
      </c>
      <c r="Z13" s="14">
        <v>0.04</v>
      </c>
      <c r="AA13" s="14">
        <v>0.05</v>
      </c>
      <c r="AB13" s="14">
        <v>0.03</v>
      </c>
      <c r="AC13" s="14">
        <v>0.04</v>
      </c>
      <c r="AD13" s="14">
        <v>0.03</v>
      </c>
      <c r="AE13" s="14">
        <v>0.23</v>
      </c>
      <c r="AF13" s="14">
        <v>0.27</v>
      </c>
    </row>
    <row r="14" spans="1:32">
      <c r="A14" s="23"/>
      <c r="B14" s="11" t="s">
        <v>1259</v>
      </c>
      <c r="C14" s="12">
        <v>13351</v>
      </c>
      <c r="D14" s="12">
        <v>588</v>
      </c>
      <c r="E14" s="12">
        <v>413</v>
      </c>
      <c r="F14" s="12">
        <v>521</v>
      </c>
      <c r="G14" s="12">
        <v>407</v>
      </c>
      <c r="H14" s="12">
        <v>696</v>
      </c>
      <c r="I14" s="12">
        <v>809</v>
      </c>
      <c r="J14" s="12">
        <v>114</v>
      </c>
      <c r="K14" s="12">
        <v>480</v>
      </c>
      <c r="L14" s="12">
        <v>548</v>
      </c>
      <c r="M14" s="12">
        <v>341</v>
      </c>
      <c r="N14" s="12">
        <v>438</v>
      </c>
      <c r="O14" s="12">
        <v>459</v>
      </c>
      <c r="P14" s="12">
        <v>374</v>
      </c>
      <c r="Q14" s="12">
        <v>494</v>
      </c>
      <c r="R14" s="12">
        <v>144</v>
      </c>
      <c r="S14" s="12">
        <v>528</v>
      </c>
      <c r="T14" s="12">
        <v>537</v>
      </c>
      <c r="U14" s="12">
        <v>299</v>
      </c>
      <c r="V14" s="12">
        <v>364</v>
      </c>
      <c r="W14" s="12">
        <v>237</v>
      </c>
      <c r="X14" s="12">
        <v>579</v>
      </c>
      <c r="Y14" s="12">
        <v>475</v>
      </c>
      <c r="Z14" s="12">
        <v>737</v>
      </c>
      <c r="AA14" s="12">
        <v>675</v>
      </c>
      <c r="AB14" s="12">
        <v>440</v>
      </c>
      <c r="AC14" s="12">
        <v>479</v>
      </c>
      <c r="AD14" s="12">
        <v>373</v>
      </c>
      <c r="AE14" s="12">
        <v>631</v>
      </c>
      <c r="AF14" s="12">
        <v>625</v>
      </c>
    </row>
    <row r="15" spans="1:32">
      <c r="A15" s="23"/>
      <c r="B15" s="13" t="s">
        <v>924</v>
      </c>
      <c r="C15" s="14">
        <v>0.51</v>
      </c>
      <c r="D15" s="14">
        <v>0.59</v>
      </c>
      <c r="E15" s="14">
        <v>0.39</v>
      </c>
      <c r="F15" s="14">
        <v>0.52</v>
      </c>
      <c r="G15" s="14">
        <v>0.4</v>
      </c>
      <c r="H15" s="14">
        <v>0.57000000000000006</v>
      </c>
      <c r="I15" s="14">
        <v>0.54</v>
      </c>
      <c r="J15" s="14">
        <v>0.39</v>
      </c>
      <c r="K15" s="14">
        <v>0.48</v>
      </c>
      <c r="L15" s="14">
        <v>0.54</v>
      </c>
      <c r="M15" s="14">
        <v>0.34</v>
      </c>
      <c r="N15" s="14">
        <v>0.44</v>
      </c>
      <c r="O15" s="14">
        <v>0.45</v>
      </c>
      <c r="P15" s="14">
        <v>0.37</v>
      </c>
      <c r="Q15" s="14">
        <v>0.48</v>
      </c>
      <c r="R15" s="14">
        <v>0.28999999999999998</v>
      </c>
      <c r="S15" s="14">
        <v>0.52</v>
      </c>
      <c r="T15" s="14">
        <v>0.53</v>
      </c>
      <c r="U15" s="14">
        <v>0.59</v>
      </c>
      <c r="V15" s="14">
        <v>0.36</v>
      </c>
      <c r="W15" s="14">
        <v>0.47</v>
      </c>
      <c r="X15" s="14">
        <v>0.57000000000000006</v>
      </c>
      <c r="Y15" s="14">
        <v>0.47</v>
      </c>
      <c r="Z15" s="14">
        <v>0.72</v>
      </c>
      <c r="AA15" s="14">
        <v>0.65</v>
      </c>
      <c r="AB15" s="14">
        <v>0.42</v>
      </c>
      <c r="AC15" s="14">
        <v>0.48</v>
      </c>
      <c r="AD15" s="14">
        <v>0.37</v>
      </c>
      <c r="AE15" s="14">
        <v>0.63</v>
      </c>
      <c r="AF15" s="14">
        <v>0.57999999999999996</v>
      </c>
    </row>
    <row r="16" spans="1:32">
      <c r="A16" s="23"/>
      <c r="B16" s="11" t="s">
        <v>1260</v>
      </c>
      <c r="C16" s="12">
        <v>8209</v>
      </c>
      <c r="D16" s="12">
        <v>283</v>
      </c>
      <c r="E16" s="12">
        <v>335</v>
      </c>
      <c r="F16" s="12">
        <v>336</v>
      </c>
      <c r="G16" s="12">
        <v>65</v>
      </c>
      <c r="H16" s="12">
        <v>363</v>
      </c>
      <c r="I16" s="12">
        <v>494</v>
      </c>
      <c r="J16" s="12">
        <v>131</v>
      </c>
      <c r="K16" s="12">
        <v>324</v>
      </c>
      <c r="L16" s="12">
        <v>155</v>
      </c>
      <c r="M16" s="12">
        <v>385</v>
      </c>
      <c r="N16" s="12">
        <v>343</v>
      </c>
      <c r="O16" s="12">
        <v>359</v>
      </c>
      <c r="P16" s="12">
        <v>448</v>
      </c>
      <c r="Q16" s="12">
        <v>367</v>
      </c>
      <c r="R16" s="12">
        <v>219</v>
      </c>
      <c r="S16" s="12">
        <v>259</v>
      </c>
      <c r="T16" s="12">
        <v>308</v>
      </c>
      <c r="U16" s="12">
        <v>41</v>
      </c>
      <c r="V16" s="12">
        <v>376</v>
      </c>
      <c r="W16" s="12">
        <v>118</v>
      </c>
      <c r="X16" s="12">
        <v>247</v>
      </c>
      <c r="Y16" s="12">
        <v>249</v>
      </c>
      <c r="Z16" s="12">
        <v>181</v>
      </c>
      <c r="AA16" s="12">
        <v>259</v>
      </c>
      <c r="AB16" s="12">
        <v>379</v>
      </c>
      <c r="AC16" s="12">
        <v>360</v>
      </c>
      <c r="AD16" s="12">
        <v>495</v>
      </c>
      <c r="AE16" s="12">
        <v>106</v>
      </c>
      <c r="AF16" s="12">
        <v>138</v>
      </c>
    </row>
    <row r="17" spans="1:32">
      <c r="A17" s="23"/>
      <c r="B17" s="13" t="s">
        <v>926</v>
      </c>
      <c r="C17" s="14">
        <v>0.31</v>
      </c>
      <c r="D17" s="14">
        <v>0.28000000000000003</v>
      </c>
      <c r="E17" s="14">
        <v>0.32</v>
      </c>
      <c r="F17" s="14">
        <v>0.33</v>
      </c>
      <c r="G17" s="14">
        <v>0.06</v>
      </c>
      <c r="H17" s="14">
        <v>0.3</v>
      </c>
      <c r="I17" s="14">
        <v>0.33</v>
      </c>
      <c r="J17" s="14">
        <v>0.45</v>
      </c>
      <c r="K17" s="14">
        <v>0.32</v>
      </c>
      <c r="L17" s="14">
        <v>0.16</v>
      </c>
      <c r="M17" s="14">
        <v>0.38</v>
      </c>
      <c r="N17" s="14">
        <v>0.34</v>
      </c>
      <c r="O17" s="14">
        <v>0.36</v>
      </c>
      <c r="P17" s="14">
        <v>0.44</v>
      </c>
      <c r="Q17" s="14">
        <v>0.36</v>
      </c>
      <c r="R17" s="14">
        <v>0.43</v>
      </c>
      <c r="S17" s="14">
        <v>0.26</v>
      </c>
      <c r="T17" s="14">
        <v>0.31</v>
      </c>
      <c r="U17" s="14">
        <v>0.08</v>
      </c>
      <c r="V17" s="14">
        <v>0.37</v>
      </c>
      <c r="W17" s="14">
        <v>0.24</v>
      </c>
      <c r="X17" s="14">
        <v>0.24</v>
      </c>
      <c r="Y17" s="14">
        <v>0.25</v>
      </c>
      <c r="Z17" s="14">
        <v>0.18</v>
      </c>
      <c r="AA17" s="14">
        <v>0.25</v>
      </c>
      <c r="AB17" s="14">
        <v>0.37</v>
      </c>
      <c r="AC17" s="14">
        <v>0.36</v>
      </c>
      <c r="AD17" s="14">
        <v>0.5</v>
      </c>
      <c r="AE17" s="14">
        <v>0.1</v>
      </c>
      <c r="AF17" s="14">
        <v>0.13</v>
      </c>
    </row>
    <row r="18" spans="1:32">
      <c r="A18" s="23"/>
      <c r="B18" s="11" t="s">
        <v>927</v>
      </c>
      <c r="C18" s="12">
        <v>2592</v>
      </c>
      <c r="D18" s="12">
        <v>73</v>
      </c>
      <c r="E18" s="12">
        <v>215</v>
      </c>
      <c r="F18" s="12">
        <v>92</v>
      </c>
      <c r="G18" s="12">
        <v>36</v>
      </c>
      <c r="H18" s="12">
        <v>42</v>
      </c>
      <c r="I18" s="12">
        <v>74</v>
      </c>
      <c r="J18" s="12">
        <v>32</v>
      </c>
      <c r="K18" s="12">
        <v>112</v>
      </c>
      <c r="L18" s="12">
        <v>50</v>
      </c>
      <c r="M18" s="12">
        <v>261</v>
      </c>
      <c r="N18" s="12">
        <v>130</v>
      </c>
      <c r="O18" s="12">
        <v>140</v>
      </c>
      <c r="P18" s="12">
        <v>138</v>
      </c>
      <c r="Q18" s="12">
        <v>109</v>
      </c>
      <c r="R18" s="12">
        <v>114</v>
      </c>
      <c r="S18" s="12">
        <v>98</v>
      </c>
      <c r="T18" s="12">
        <v>48</v>
      </c>
      <c r="U18" s="12">
        <v>6</v>
      </c>
      <c r="V18" s="12">
        <v>224</v>
      </c>
      <c r="W18" s="12">
        <v>92</v>
      </c>
      <c r="X18" s="12">
        <v>77</v>
      </c>
      <c r="Y18" s="12">
        <v>98</v>
      </c>
      <c r="Z18" s="12">
        <v>41</v>
      </c>
      <c r="AA18" s="12">
        <v>32</v>
      </c>
      <c r="AB18" s="12">
        <v>165</v>
      </c>
      <c r="AC18" s="12">
        <v>108</v>
      </c>
      <c r="AD18" s="12">
        <v>93</v>
      </c>
      <c r="AE18" s="12">
        <v>17</v>
      </c>
      <c r="AF18" s="12">
        <v>25</v>
      </c>
    </row>
    <row r="19" spans="1:32">
      <c r="A19" s="23"/>
      <c r="B19" s="13" t="s">
        <v>928</v>
      </c>
      <c r="C19" s="14">
        <v>0.1</v>
      </c>
      <c r="D19" s="14">
        <v>7.0000000000000007E-2</v>
      </c>
      <c r="E19" s="14">
        <v>0.21</v>
      </c>
      <c r="F19" s="14">
        <v>0.09</v>
      </c>
      <c r="G19" s="14">
        <v>0.04</v>
      </c>
      <c r="H19" s="14">
        <v>0.04</v>
      </c>
      <c r="I19" s="14">
        <v>0.05</v>
      </c>
      <c r="J19" s="14">
        <v>0.11</v>
      </c>
      <c r="K19" s="14">
        <v>0.11</v>
      </c>
      <c r="L19" s="14">
        <v>0.05</v>
      </c>
      <c r="M19" s="14">
        <v>0.26</v>
      </c>
      <c r="N19" s="14">
        <v>0.13</v>
      </c>
      <c r="O19" s="14">
        <v>0.14000000000000001</v>
      </c>
      <c r="P19" s="14">
        <v>0.14000000000000001</v>
      </c>
      <c r="Q19" s="14">
        <v>0.11</v>
      </c>
      <c r="R19" s="14">
        <v>0.23</v>
      </c>
      <c r="S19" s="14">
        <v>0.1</v>
      </c>
      <c r="T19" s="14">
        <v>0.05</v>
      </c>
      <c r="U19" s="14">
        <v>0.01</v>
      </c>
      <c r="V19" s="14">
        <v>0.22</v>
      </c>
      <c r="W19" s="14">
        <v>0.18</v>
      </c>
      <c r="X19" s="14">
        <v>0.08</v>
      </c>
      <c r="Y19" s="14">
        <v>0.1</v>
      </c>
      <c r="Z19" s="14">
        <v>0.04</v>
      </c>
      <c r="AA19" s="14">
        <v>0.03</v>
      </c>
      <c r="AB19" s="14">
        <v>0.16</v>
      </c>
      <c r="AC19" s="14">
        <v>0.11</v>
      </c>
      <c r="AD19" s="14">
        <v>0.09</v>
      </c>
      <c r="AE19" s="14">
        <v>0.02</v>
      </c>
      <c r="AF19" s="14">
        <v>0.02</v>
      </c>
    </row>
    <row r="20" spans="1:32">
      <c r="A20" s="23"/>
      <c r="B20" s="11" t="s">
        <v>497</v>
      </c>
      <c r="C20" s="12">
        <v>347</v>
      </c>
      <c r="D20" s="12">
        <v>2</v>
      </c>
      <c r="E20" s="12">
        <v>21</v>
      </c>
      <c r="F20" s="12">
        <v>20</v>
      </c>
      <c r="G20" s="12">
        <v>6</v>
      </c>
      <c r="H20" s="12">
        <v>10</v>
      </c>
      <c r="I20" s="12">
        <v>11</v>
      </c>
      <c r="J20" s="12">
        <v>1</v>
      </c>
      <c r="K20" s="12">
        <v>45</v>
      </c>
      <c r="L20" s="12">
        <v>30</v>
      </c>
      <c r="M20" s="12">
        <v>5</v>
      </c>
      <c r="N20" s="12">
        <v>19</v>
      </c>
      <c r="O20" s="12">
        <v>21</v>
      </c>
      <c r="P20" s="12">
        <v>2</v>
      </c>
      <c r="Q20" s="12">
        <v>5</v>
      </c>
      <c r="R20" s="12">
        <v>5</v>
      </c>
      <c r="S20" s="12">
        <v>48</v>
      </c>
      <c r="T20" s="12">
        <v>53</v>
      </c>
      <c r="U20" s="12">
        <v>3</v>
      </c>
      <c r="V20" s="12">
        <v>21</v>
      </c>
      <c r="W20" s="12">
        <v>7</v>
      </c>
      <c r="X20" s="12">
        <v>2</v>
      </c>
      <c r="Y20" s="12">
        <v>14</v>
      </c>
      <c r="Z20" s="12">
        <v>20</v>
      </c>
      <c r="AA20" s="12">
        <v>19</v>
      </c>
      <c r="AB20" s="12">
        <v>17</v>
      </c>
      <c r="AC20" s="12">
        <v>14</v>
      </c>
      <c r="AD20" s="12">
        <v>9</v>
      </c>
      <c r="AE20" s="12">
        <v>23</v>
      </c>
      <c r="AF20" s="12">
        <v>2</v>
      </c>
    </row>
    <row r="21" spans="1:32">
      <c r="A21" s="23"/>
      <c r="B21" s="13" t="s">
        <v>498</v>
      </c>
      <c r="C21" s="14">
        <v>0.01</v>
      </c>
      <c r="D21" s="15" t="s">
        <v>485</v>
      </c>
      <c r="E21" s="14">
        <v>0.02</v>
      </c>
      <c r="F21" s="14">
        <v>0.02</v>
      </c>
      <c r="G21" s="14">
        <v>0.01</v>
      </c>
      <c r="H21" s="14">
        <v>0.01</v>
      </c>
      <c r="I21" s="14">
        <v>0.01</v>
      </c>
      <c r="J21" s="15" t="s">
        <v>485</v>
      </c>
      <c r="K21" s="14">
        <v>0.05</v>
      </c>
      <c r="L21" s="14">
        <v>0.03</v>
      </c>
      <c r="M21" s="15" t="s">
        <v>485</v>
      </c>
      <c r="N21" s="14">
        <v>0.02</v>
      </c>
      <c r="O21" s="14">
        <v>0.02</v>
      </c>
      <c r="P21" s="15" t="s">
        <v>485</v>
      </c>
      <c r="Q21" s="15" t="s">
        <v>485</v>
      </c>
      <c r="R21" s="14">
        <v>0.01</v>
      </c>
      <c r="S21" s="14">
        <v>0.05</v>
      </c>
      <c r="T21" s="14">
        <v>0.05</v>
      </c>
      <c r="U21" s="14">
        <v>0.01</v>
      </c>
      <c r="V21" s="14">
        <v>0.02</v>
      </c>
      <c r="W21" s="14">
        <v>0.01</v>
      </c>
      <c r="X21" s="15" t="s">
        <v>485</v>
      </c>
      <c r="Y21" s="14">
        <v>0.01</v>
      </c>
      <c r="Z21" s="14">
        <v>0.02</v>
      </c>
      <c r="AA21" s="14">
        <v>0.02</v>
      </c>
      <c r="AB21" s="14">
        <v>0.02</v>
      </c>
      <c r="AC21" s="14">
        <v>0.01</v>
      </c>
      <c r="AD21" s="14">
        <v>0.01</v>
      </c>
      <c r="AE21" s="14">
        <v>0.02</v>
      </c>
      <c r="AF21" s="15" t="s">
        <v>485</v>
      </c>
    </row>
    <row r="22" spans="1:32">
      <c r="A22" s="23"/>
      <c r="B22" s="11" t="s">
        <v>929</v>
      </c>
      <c r="C22" s="12">
        <v>15205</v>
      </c>
      <c r="D22" s="12">
        <v>648</v>
      </c>
      <c r="E22" s="12">
        <v>473</v>
      </c>
      <c r="F22" s="12">
        <v>558</v>
      </c>
      <c r="G22" s="12">
        <v>897</v>
      </c>
      <c r="H22" s="12">
        <v>796</v>
      </c>
      <c r="I22" s="12">
        <v>925</v>
      </c>
      <c r="J22" s="12">
        <v>130</v>
      </c>
      <c r="K22" s="12">
        <v>523</v>
      </c>
      <c r="L22" s="12">
        <v>772</v>
      </c>
      <c r="M22" s="12">
        <v>359</v>
      </c>
      <c r="N22" s="12">
        <v>508</v>
      </c>
      <c r="O22" s="12">
        <v>486</v>
      </c>
      <c r="P22" s="12">
        <v>423</v>
      </c>
      <c r="Q22" s="12">
        <v>543</v>
      </c>
      <c r="R22" s="12">
        <v>163</v>
      </c>
      <c r="S22" s="12">
        <v>601</v>
      </c>
      <c r="T22" s="12">
        <v>596</v>
      </c>
      <c r="U22" s="12">
        <v>452</v>
      </c>
      <c r="V22" s="12">
        <v>390</v>
      </c>
      <c r="W22" s="12">
        <v>285</v>
      </c>
      <c r="X22" s="12">
        <v>690</v>
      </c>
      <c r="Y22" s="12">
        <v>645</v>
      </c>
      <c r="Z22" s="12">
        <v>775</v>
      </c>
      <c r="AA22" s="12">
        <v>729</v>
      </c>
      <c r="AB22" s="12">
        <v>470</v>
      </c>
      <c r="AC22" s="12">
        <v>523</v>
      </c>
      <c r="AD22" s="12">
        <v>404</v>
      </c>
      <c r="AE22" s="12">
        <v>862</v>
      </c>
      <c r="AF22" s="12">
        <v>909</v>
      </c>
    </row>
    <row r="23" spans="1:32">
      <c r="A23" s="23"/>
      <c r="B23" s="13" t="s">
        <v>930</v>
      </c>
      <c r="C23" s="14">
        <v>0.57999999999999996</v>
      </c>
      <c r="D23" s="14">
        <v>0.65</v>
      </c>
      <c r="E23" s="14">
        <v>0.45</v>
      </c>
      <c r="F23" s="14">
        <v>0.56000000000000005</v>
      </c>
      <c r="G23" s="14">
        <v>0.89</v>
      </c>
      <c r="H23" s="14">
        <v>0.65</v>
      </c>
      <c r="I23" s="14">
        <v>0.61</v>
      </c>
      <c r="J23" s="14">
        <v>0.44</v>
      </c>
      <c r="K23" s="14">
        <v>0.52</v>
      </c>
      <c r="L23" s="14">
        <v>0.76</v>
      </c>
      <c r="M23" s="14">
        <v>0.36</v>
      </c>
      <c r="N23" s="14">
        <v>0.51</v>
      </c>
      <c r="O23" s="14">
        <v>0.48</v>
      </c>
      <c r="P23" s="14">
        <v>0.42</v>
      </c>
      <c r="Q23" s="14">
        <v>0.53</v>
      </c>
      <c r="R23" s="14">
        <v>0.33</v>
      </c>
      <c r="S23" s="14">
        <v>0.59</v>
      </c>
      <c r="T23" s="14">
        <v>0.59</v>
      </c>
      <c r="U23" s="14">
        <v>0.9</v>
      </c>
      <c r="V23" s="14">
        <v>0.39</v>
      </c>
      <c r="W23" s="14">
        <v>0.57000000000000006</v>
      </c>
      <c r="X23" s="14">
        <v>0.68</v>
      </c>
      <c r="Y23" s="14">
        <v>0.64</v>
      </c>
      <c r="Z23" s="14">
        <v>0.76</v>
      </c>
      <c r="AA23" s="14">
        <v>0.70000000000000007</v>
      </c>
      <c r="AB23" s="14">
        <v>0.45</v>
      </c>
      <c r="AC23" s="14">
        <v>0.52</v>
      </c>
      <c r="AD23" s="14">
        <v>0.4</v>
      </c>
      <c r="AE23" s="14">
        <v>0.86</v>
      </c>
      <c r="AF23" s="14">
        <v>0.85</v>
      </c>
    </row>
    <row r="24" spans="1:32">
      <c r="A24" s="23"/>
      <c r="B24" s="11" t="s">
        <v>931</v>
      </c>
      <c r="C24" s="12">
        <v>10801</v>
      </c>
      <c r="D24" s="12">
        <v>356</v>
      </c>
      <c r="E24" s="12">
        <v>550</v>
      </c>
      <c r="F24" s="12">
        <v>428</v>
      </c>
      <c r="G24" s="12">
        <v>101</v>
      </c>
      <c r="H24" s="12">
        <v>405</v>
      </c>
      <c r="I24" s="12">
        <v>568</v>
      </c>
      <c r="J24" s="12">
        <v>163</v>
      </c>
      <c r="K24" s="12">
        <v>436</v>
      </c>
      <c r="L24" s="12">
        <v>205</v>
      </c>
      <c r="M24" s="12">
        <v>646</v>
      </c>
      <c r="N24" s="12">
        <v>473</v>
      </c>
      <c r="O24" s="12">
        <v>499</v>
      </c>
      <c r="P24" s="12">
        <v>586</v>
      </c>
      <c r="Q24" s="12">
        <v>476</v>
      </c>
      <c r="R24" s="12">
        <v>333</v>
      </c>
      <c r="S24" s="12">
        <v>357</v>
      </c>
      <c r="T24" s="12">
        <v>356</v>
      </c>
      <c r="U24" s="12">
        <v>47</v>
      </c>
      <c r="V24" s="12">
        <v>600</v>
      </c>
      <c r="W24" s="12">
        <v>210</v>
      </c>
      <c r="X24" s="12">
        <v>324</v>
      </c>
      <c r="Y24" s="12">
        <v>347</v>
      </c>
      <c r="Z24" s="12">
        <v>222</v>
      </c>
      <c r="AA24" s="12">
        <v>291</v>
      </c>
      <c r="AB24" s="12">
        <v>544</v>
      </c>
      <c r="AC24" s="12">
        <v>468</v>
      </c>
      <c r="AD24" s="12">
        <v>588</v>
      </c>
      <c r="AE24" s="12">
        <v>123</v>
      </c>
      <c r="AF24" s="12">
        <v>163</v>
      </c>
    </row>
    <row r="25" spans="1:32">
      <c r="A25" s="23"/>
      <c r="B25" s="13" t="s">
        <v>1735</v>
      </c>
      <c r="C25" s="14">
        <v>0.41</v>
      </c>
      <c r="D25" s="14">
        <v>0.35</v>
      </c>
      <c r="E25" s="14">
        <v>0.53</v>
      </c>
      <c r="F25" s="14">
        <v>0.42</v>
      </c>
      <c r="G25" s="14">
        <v>0.1</v>
      </c>
      <c r="H25" s="14">
        <v>0.34</v>
      </c>
      <c r="I25" s="14">
        <v>0.38</v>
      </c>
      <c r="J25" s="14">
        <v>0.56000000000000005</v>
      </c>
      <c r="K25" s="14">
        <v>0.43</v>
      </c>
      <c r="L25" s="14">
        <v>0.21</v>
      </c>
      <c r="M25" s="14">
        <v>0.64</v>
      </c>
      <c r="N25" s="14">
        <v>0.47</v>
      </c>
      <c r="O25" s="14">
        <v>0.5</v>
      </c>
      <c r="P25" s="14">
        <v>0.57999999999999996</v>
      </c>
      <c r="Q25" s="14">
        <v>0.47</v>
      </c>
      <c r="R25" s="14">
        <v>0.66</v>
      </c>
      <c r="S25" s="14">
        <v>0.36</v>
      </c>
      <c r="T25" s="14">
        <v>0.36</v>
      </c>
      <c r="U25" s="14">
        <v>0.09</v>
      </c>
      <c r="V25" s="14">
        <v>0.59</v>
      </c>
      <c r="W25" s="14">
        <v>0.42</v>
      </c>
      <c r="X25" s="14">
        <v>0.32</v>
      </c>
      <c r="Y25" s="14">
        <v>0.35</v>
      </c>
      <c r="Z25" s="14">
        <v>0.22</v>
      </c>
      <c r="AA25" s="14">
        <v>0.28000000000000003</v>
      </c>
      <c r="AB25" s="14">
        <v>0.53</v>
      </c>
      <c r="AC25" s="14">
        <v>0.47</v>
      </c>
      <c r="AD25" s="14">
        <v>0.59</v>
      </c>
      <c r="AE25" s="14">
        <v>0.12</v>
      </c>
      <c r="AF25" s="14">
        <v>0.15</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2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0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12" customHeight="1">
      <c r="B3" s="19" t="s">
        <v>423</v>
      </c>
      <c r="C3" s="19"/>
      <c r="D3" s="19"/>
      <c r="E3" s="19"/>
      <c r="F3" s="19"/>
      <c r="H3" s="19" t="s">
        <v>424</v>
      </c>
      <c r="I3" s="19"/>
      <c r="J3" s="19"/>
      <c r="K3" s="19"/>
      <c r="L3" s="19"/>
    </row>
    <row r="4" spans="1:32" ht="27" customHeight="1">
      <c r="B4" s="19"/>
      <c r="C4" s="19"/>
      <c r="D4" s="19"/>
      <c r="E4" s="19"/>
      <c r="F4" s="19"/>
      <c r="H4" s="19"/>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HYPERLINK("#Content!A213","&lt;&lt;Back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921</v>
      </c>
      <c r="C12" s="12">
        <v>1217</v>
      </c>
      <c r="D12" s="12">
        <v>44</v>
      </c>
      <c r="E12" s="12">
        <v>138</v>
      </c>
      <c r="F12" s="12">
        <v>32</v>
      </c>
      <c r="G12" s="12">
        <v>182</v>
      </c>
      <c r="H12" s="12">
        <v>51</v>
      </c>
      <c r="I12" s="12">
        <v>58</v>
      </c>
      <c r="J12" s="12">
        <v>7</v>
      </c>
      <c r="K12" s="12">
        <v>49</v>
      </c>
      <c r="L12" s="12">
        <v>180</v>
      </c>
      <c r="M12" s="12">
        <v>12</v>
      </c>
      <c r="N12" s="12">
        <v>48</v>
      </c>
      <c r="O12" s="12">
        <v>17</v>
      </c>
      <c r="P12" s="12">
        <v>62</v>
      </c>
      <c r="Q12" s="12">
        <v>31</v>
      </c>
      <c r="R12" s="12">
        <v>18</v>
      </c>
      <c r="S12" s="12">
        <v>68</v>
      </c>
      <c r="T12" s="12">
        <v>42</v>
      </c>
      <c r="U12" s="12">
        <v>58</v>
      </c>
      <c r="V12" s="12">
        <v>26</v>
      </c>
      <c r="W12" s="12">
        <v>35</v>
      </c>
      <c r="X12" s="12">
        <v>58</v>
      </c>
      <c r="Y12" s="12">
        <v>134</v>
      </c>
      <c r="Z12" s="12">
        <v>51</v>
      </c>
      <c r="AA12" s="12">
        <v>61</v>
      </c>
      <c r="AB12" s="12">
        <v>63</v>
      </c>
      <c r="AC12" s="12">
        <v>39</v>
      </c>
      <c r="AD12" s="12">
        <v>49</v>
      </c>
      <c r="AE12" s="12">
        <v>66</v>
      </c>
      <c r="AF12" s="12">
        <v>99</v>
      </c>
    </row>
    <row r="13" spans="1:32">
      <c r="A13" s="23"/>
      <c r="B13" s="13" t="s">
        <v>922</v>
      </c>
      <c r="C13" s="14">
        <v>0.05</v>
      </c>
      <c r="D13" s="14">
        <v>0.04</v>
      </c>
      <c r="E13" s="14">
        <v>0.13</v>
      </c>
      <c r="F13" s="14">
        <v>0.03</v>
      </c>
      <c r="G13" s="14">
        <v>0.18</v>
      </c>
      <c r="H13" s="14">
        <v>0.04</v>
      </c>
      <c r="I13" s="14">
        <v>0.04</v>
      </c>
      <c r="J13" s="14">
        <v>0.02</v>
      </c>
      <c r="K13" s="14">
        <v>0.05</v>
      </c>
      <c r="L13" s="14">
        <v>0.18</v>
      </c>
      <c r="M13" s="14">
        <v>0.01</v>
      </c>
      <c r="N13" s="14">
        <v>0.05</v>
      </c>
      <c r="O13" s="14">
        <v>0.02</v>
      </c>
      <c r="P13" s="14">
        <v>0.06</v>
      </c>
      <c r="Q13" s="14">
        <v>0.03</v>
      </c>
      <c r="R13" s="14">
        <v>0.04</v>
      </c>
      <c r="S13" s="14">
        <v>7.0000000000000007E-2</v>
      </c>
      <c r="T13" s="14">
        <v>0.04</v>
      </c>
      <c r="U13" s="14">
        <v>0.12</v>
      </c>
      <c r="V13" s="14">
        <v>0.02</v>
      </c>
      <c r="W13" s="14">
        <v>7.0000000000000007E-2</v>
      </c>
      <c r="X13" s="14">
        <v>0.06</v>
      </c>
      <c r="Y13" s="14">
        <v>0.13</v>
      </c>
      <c r="Z13" s="14">
        <v>0.05</v>
      </c>
      <c r="AA13" s="14">
        <v>0.06</v>
      </c>
      <c r="AB13" s="14">
        <v>0.06</v>
      </c>
      <c r="AC13" s="14">
        <v>0.04</v>
      </c>
      <c r="AD13" s="14">
        <v>0.05</v>
      </c>
      <c r="AE13" s="14">
        <v>7.0000000000000007E-2</v>
      </c>
      <c r="AF13" s="14">
        <v>0.09</v>
      </c>
    </row>
    <row r="14" spans="1:32">
      <c r="A14" s="23"/>
      <c r="B14" s="11" t="s">
        <v>1259</v>
      </c>
      <c r="C14" s="12">
        <v>13246</v>
      </c>
      <c r="D14" s="12">
        <v>552</v>
      </c>
      <c r="E14" s="12">
        <v>452</v>
      </c>
      <c r="F14" s="12">
        <v>482</v>
      </c>
      <c r="G14" s="12">
        <v>599</v>
      </c>
      <c r="H14" s="12">
        <v>618</v>
      </c>
      <c r="I14" s="12">
        <v>720</v>
      </c>
      <c r="J14" s="12">
        <v>102</v>
      </c>
      <c r="K14" s="12">
        <v>459</v>
      </c>
      <c r="L14" s="12">
        <v>552</v>
      </c>
      <c r="M14" s="12">
        <v>374</v>
      </c>
      <c r="N14" s="12">
        <v>456</v>
      </c>
      <c r="O14" s="12">
        <v>442</v>
      </c>
      <c r="P14" s="12">
        <v>510</v>
      </c>
      <c r="Q14" s="12">
        <v>556</v>
      </c>
      <c r="R14" s="12">
        <v>195</v>
      </c>
      <c r="S14" s="12">
        <v>527</v>
      </c>
      <c r="T14" s="12">
        <v>574</v>
      </c>
      <c r="U14" s="12">
        <v>271</v>
      </c>
      <c r="V14" s="12">
        <v>477</v>
      </c>
      <c r="W14" s="12">
        <v>259</v>
      </c>
      <c r="X14" s="12">
        <v>554</v>
      </c>
      <c r="Y14" s="12">
        <v>428</v>
      </c>
      <c r="Z14" s="12">
        <v>671</v>
      </c>
      <c r="AA14" s="12">
        <v>640</v>
      </c>
      <c r="AB14" s="12">
        <v>473</v>
      </c>
      <c r="AC14" s="12">
        <v>499</v>
      </c>
      <c r="AD14" s="12">
        <v>439</v>
      </c>
      <c r="AE14" s="12">
        <v>605</v>
      </c>
      <c r="AF14" s="12">
        <v>613</v>
      </c>
    </row>
    <row r="15" spans="1:32">
      <c r="A15" s="23"/>
      <c r="B15" s="13" t="s">
        <v>924</v>
      </c>
      <c r="C15" s="14">
        <v>0.5</v>
      </c>
      <c r="D15" s="14">
        <v>0.55000000000000004</v>
      </c>
      <c r="E15" s="14">
        <v>0.43</v>
      </c>
      <c r="F15" s="14">
        <v>0.48</v>
      </c>
      <c r="G15" s="14">
        <v>0.6</v>
      </c>
      <c r="H15" s="14">
        <v>0.51</v>
      </c>
      <c r="I15" s="14">
        <v>0.48</v>
      </c>
      <c r="J15" s="14">
        <v>0.35</v>
      </c>
      <c r="K15" s="14">
        <v>0.46</v>
      </c>
      <c r="L15" s="14">
        <v>0.55000000000000004</v>
      </c>
      <c r="M15" s="14">
        <v>0.37</v>
      </c>
      <c r="N15" s="14">
        <v>0.45</v>
      </c>
      <c r="O15" s="14">
        <v>0.44</v>
      </c>
      <c r="P15" s="14">
        <v>0.51</v>
      </c>
      <c r="Q15" s="14">
        <v>0.54</v>
      </c>
      <c r="R15" s="14">
        <v>0.39</v>
      </c>
      <c r="S15" s="14">
        <v>0.52</v>
      </c>
      <c r="T15" s="14">
        <v>0.57000000000000006</v>
      </c>
      <c r="U15" s="14">
        <v>0.54</v>
      </c>
      <c r="V15" s="14">
        <v>0.47</v>
      </c>
      <c r="W15" s="14">
        <v>0.52</v>
      </c>
      <c r="X15" s="14">
        <v>0.54</v>
      </c>
      <c r="Y15" s="14">
        <v>0.43</v>
      </c>
      <c r="Z15" s="14">
        <v>0.66</v>
      </c>
      <c r="AA15" s="14">
        <v>0.61</v>
      </c>
      <c r="AB15" s="14">
        <v>0.46</v>
      </c>
      <c r="AC15" s="14">
        <v>0.5</v>
      </c>
      <c r="AD15" s="14">
        <v>0.44</v>
      </c>
      <c r="AE15" s="14">
        <v>0.6</v>
      </c>
      <c r="AF15" s="14">
        <v>0.57000000000000006</v>
      </c>
    </row>
    <row r="16" spans="1:32">
      <c r="A16" s="23"/>
      <c r="B16" s="11" t="s">
        <v>1260</v>
      </c>
      <c r="C16" s="12">
        <v>8253</v>
      </c>
      <c r="D16" s="12">
        <v>324</v>
      </c>
      <c r="E16" s="12">
        <v>204</v>
      </c>
      <c r="F16" s="12">
        <v>342</v>
      </c>
      <c r="G16" s="12">
        <v>143</v>
      </c>
      <c r="H16" s="12">
        <v>461</v>
      </c>
      <c r="I16" s="12">
        <v>603</v>
      </c>
      <c r="J16" s="12">
        <v>142</v>
      </c>
      <c r="K16" s="12">
        <v>259</v>
      </c>
      <c r="L16" s="12">
        <v>159</v>
      </c>
      <c r="M16" s="12">
        <v>363</v>
      </c>
      <c r="N16" s="12">
        <v>323</v>
      </c>
      <c r="O16" s="12">
        <v>323</v>
      </c>
      <c r="P16" s="12">
        <v>327</v>
      </c>
      <c r="Q16" s="12">
        <v>320</v>
      </c>
      <c r="R16" s="12">
        <v>201</v>
      </c>
      <c r="S16" s="12">
        <v>209</v>
      </c>
      <c r="T16" s="12">
        <v>245</v>
      </c>
      <c r="U16" s="12">
        <v>128</v>
      </c>
      <c r="V16" s="12">
        <v>342</v>
      </c>
      <c r="W16" s="12">
        <v>129</v>
      </c>
      <c r="X16" s="12">
        <v>293</v>
      </c>
      <c r="Y16" s="12">
        <v>276</v>
      </c>
      <c r="Z16" s="12">
        <v>214</v>
      </c>
      <c r="AA16" s="12">
        <v>237</v>
      </c>
      <c r="AB16" s="12">
        <v>323</v>
      </c>
      <c r="AC16" s="12">
        <v>340</v>
      </c>
      <c r="AD16" s="12">
        <v>357</v>
      </c>
      <c r="AE16" s="12">
        <v>232</v>
      </c>
      <c r="AF16" s="12">
        <v>241</v>
      </c>
    </row>
    <row r="17" spans="1:32">
      <c r="A17" s="23"/>
      <c r="B17" s="13" t="s">
        <v>926</v>
      </c>
      <c r="C17" s="14">
        <v>0.31</v>
      </c>
      <c r="D17" s="14">
        <v>0.32</v>
      </c>
      <c r="E17" s="14">
        <v>0.2</v>
      </c>
      <c r="F17" s="14">
        <v>0.34</v>
      </c>
      <c r="G17" s="14">
        <v>0.14000000000000001</v>
      </c>
      <c r="H17" s="14">
        <v>0.38</v>
      </c>
      <c r="I17" s="14">
        <v>0.4</v>
      </c>
      <c r="J17" s="14">
        <v>0.48</v>
      </c>
      <c r="K17" s="14">
        <v>0.26</v>
      </c>
      <c r="L17" s="14">
        <v>0.16</v>
      </c>
      <c r="M17" s="14">
        <v>0.36</v>
      </c>
      <c r="N17" s="14">
        <v>0.32</v>
      </c>
      <c r="O17" s="14">
        <v>0.32</v>
      </c>
      <c r="P17" s="14">
        <v>0.32</v>
      </c>
      <c r="Q17" s="14">
        <v>0.31</v>
      </c>
      <c r="R17" s="14">
        <v>0.4</v>
      </c>
      <c r="S17" s="14">
        <v>0.21</v>
      </c>
      <c r="T17" s="14">
        <v>0.24</v>
      </c>
      <c r="U17" s="14">
        <v>0.25</v>
      </c>
      <c r="V17" s="14">
        <v>0.34</v>
      </c>
      <c r="W17" s="14">
        <v>0.26</v>
      </c>
      <c r="X17" s="14">
        <v>0.28999999999999998</v>
      </c>
      <c r="Y17" s="14">
        <v>0.27</v>
      </c>
      <c r="Z17" s="14">
        <v>0.21</v>
      </c>
      <c r="AA17" s="14">
        <v>0.23</v>
      </c>
      <c r="AB17" s="14">
        <v>0.31</v>
      </c>
      <c r="AC17" s="14">
        <v>0.34</v>
      </c>
      <c r="AD17" s="14">
        <v>0.36</v>
      </c>
      <c r="AE17" s="14">
        <v>0.23</v>
      </c>
      <c r="AF17" s="14">
        <v>0.23</v>
      </c>
    </row>
    <row r="18" spans="1:32">
      <c r="A18" s="23"/>
      <c r="B18" s="11" t="s">
        <v>927</v>
      </c>
      <c r="C18" s="12">
        <v>2392</v>
      </c>
      <c r="D18" s="12">
        <v>78</v>
      </c>
      <c r="E18" s="12">
        <v>146</v>
      </c>
      <c r="F18" s="12">
        <v>115</v>
      </c>
      <c r="G18" s="12">
        <v>46</v>
      </c>
      <c r="H18" s="12">
        <v>53</v>
      </c>
      <c r="I18" s="12">
        <v>84</v>
      </c>
      <c r="J18" s="12">
        <v>31</v>
      </c>
      <c r="K18" s="12">
        <v>98</v>
      </c>
      <c r="L18" s="12">
        <v>59</v>
      </c>
      <c r="M18" s="12">
        <v>213</v>
      </c>
      <c r="N18" s="12">
        <v>97</v>
      </c>
      <c r="O18" s="12">
        <v>153</v>
      </c>
      <c r="P18" s="12">
        <v>64</v>
      </c>
      <c r="Q18" s="12">
        <v>91</v>
      </c>
      <c r="R18" s="12">
        <v>53</v>
      </c>
      <c r="S18" s="12">
        <v>73</v>
      </c>
      <c r="T18" s="12">
        <v>25</v>
      </c>
      <c r="U18" s="12">
        <v>39</v>
      </c>
      <c r="V18" s="12">
        <v>108</v>
      </c>
      <c r="W18" s="12">
        <v>22</v>
      </c>
      <c r="X18" s="12">
        <v>78</v>
      </c>
      <c r="Y18" s="12">
        <v>146</v>
      </c>
      <c r="Z18" s="12">
        <v>47</v>
      </c>
      <c r="AA18" s="12">
        <v>31</v>
      </c>
      <c r="AB18" s="12">
        <v>115</v>
      </c>
      <c r="AC18" s="12">
        <v>103</v>
      </c>
      <c r="AD18" s="12">
        <v>86</v>
      </c>
      <c r="AE18" s="12">
        <v>22</v>
      </c>
      <c r="AF18" s="12">
        <v>64</v>
      </c>
    </row>
    <row r="19" spans="1:32">
      <c r="A19" s="23"/>
      <c r="B19" s="13" t="s">
        <v>928</v>
      </c>
      <c r="C19" s="14">
        <v>0.09</v>
      </c>
      <c r="D19" s="14">
        <v>0.08</v>
      </c>
      <c r="E19" s="14">
        <v>0.14000000000000001</v>
      </c>
      <c r="F19" s="14">
        <v>0.11</v>
      </c>
      <c r="G19" s="14">
        <v>0.05</v>
      </c>
      <c r="H19" s="14">
        <v>0.05</v>
      </c>
      <c r="I19" s="14">
        <v>0.05</v>
      </c>
      <c r="J19" s="14">
        <v>0.11</v>
      </c>
      <c r="K19" s="14">
        <v>0.09</v>
      </c>
      <c r="L19" s="14">
        <v>0.06</v>
      </c>
      <c r="M19" s="14">
        <v>0.21</v>
      </c>
      <c r="N19" s="14">
        <v>0.1</v>
      </c>
      <c r="O19" s="14">
        <v>0.15</v>
      </c>
      <c r="P19" s="14">
        <v>0.06</v>
      </c>
      <c r="Q19" s="14">
        <v>0.09</v>
      </c>
      <c r="R19" s="14">
        <v>0.1</v>
      </c>
      <c r="S19" s="14">
        <v>7.0000000000000007E-2</v>
      </c>
      <c r="T19" s="14">
        <v>0.03</v>
      </c>
      <c r="U19" s="14">
        <v>0.08</v>
      </c>
      <c r="V19" s="14">
        <v>0.11</v>
      </c>
      <c r="W19" s="14">
        <v>0.04</v>
      </c>
      <c r="X19" s="14">
        <v>0.08</v>
      </c>
      <c r="Y19" s="14">
        <v>0.15</v>
      </c>
      <c r="Z19" s="14">
        <v>0.05</v>
      </c>
      <c r="AA19" s="14">
        <v>0.03</v>
      </c>
      <c r="AB19" s="14">
        <v>0.11</v>
      </c>
      <c r="AC19" s="14">
        <v>0.1</v>
      </c>
      <c r="AD19" s="14">
        <v>0.08</v>
      </c>
      <c r="AE19" s="14">
        <v>0.02</v>
      </c>
      <c r="AF19" s="14">
        <v>0.06</v>
      </c>
    </row>
    <row r="20" spans="1:32">
      <c r="A20" s="23"/>
      <c r="B20" s="11" t="s">
        <v>497</v>
      </c>
      <c r="C20" s="12">
        <v>1246</v>
      </c>
      <c r="D20" s="12">
        <v>8</v>
      </c>
      <c r="E20" s="12">
        <v>103</v>
      </c>
      <c r="F20" s="12">
        <v>36</v>
      </c>
      <c r="G20" s="12">
        <v>33</v>
      </c>
      <c r="H20" s="12">
        <v>28</v>
      </c>
      <c r="I20" s="12">
        <v>39</v>
      </c>
      <c r="J20" s="12">
        <v>11</v>
      </c>
      <c r="K20" s="12">
        <v>139</v>
      </c>
      <c r="L20" s="12">
        <v>58</v>
      </c>
      <c r="M20" s="12">
        <v>49</v>
      </c>
      <c r="N20" s="12">
        <v>76</v>
      </c>
      <c r="O20" s="12">
        <v>71</v>
      </c>
      <c r="P20" s="12">
        <v>49</v>
      </c>
      <c r="Q20" s="12">
        <v>28</v>
      </c>
      <c r="R20" s="12">
        <v>35</v>
      </c>
      <c r="S20" s="12">
        <v>128</v>
      </c>
      <c r="T20" s="12">
        <v>117</v>
      </c>
      <c r="U20" s="12">
        <v>6</v>
      </c>
      <c r="V20" s="12">
        <v>58</v>
      </c>
      <c r="W20" s="12">
        <v>58</v>
      </c>
      <c r="X20" s="12">
        <v>33</v>
      </c>
      <c r="Y20" s="12">
        <v>23</v>
      </c>
      <c r="Z20" s="12">
        <v>34</v>
      </c>
      <c r="AA20" s="12">
        <v>71</v>
      </c>
      <c r="AB20" s="12">
        <v>57</v>
      </c>
      <c r="AC20" s="12">
        <v>24</v>
      </c>
      <c r="AD20" s="12">
        <v>70</v>
      </c>
      <c r="AE20" s="12">
        <v>83</v>
      </c>
      <c r="AF20" s="12">
        <v>56</v>
      </c>
    </row>
    <row r="21" spans="1:32">
      <c r="A21" s="23"/>
      <c r="B21" s="13" t="s">
        <v>498</v>
      </c>
      <c r="C21" s="14">
        <v>0.05</v>
      </c>
      <c r="D21" s="14">
        <v>0.01</v>
      </c>
      <c r="E21" s="14">
        <v>0.1</v>
      </c>
      <c r="F21" s="14">
        <v>0.04</v>
      </c>
      <c r="G21" s="14">
        <v>0.03</v>
      </c>
      <c r="H21" s="14">
        <v>0.02</v>
      </c>
      <c r="I21" s="14">
        <v>0.03</v>
      </c>
      <c r="J21" s="14">
        <v>0.04</v>
      </c>
      <c r="K21" s="14">
        <v>0.14000000000000001</v>
      </c>
      <c r="L21" s="14">
        <v>0.05</v>
      </c>
      <c r="M21" s="14">
        <v>0.05</v>
      </c>
      <c r="N21" s="14">
        <v>0.08</v>
      </c>
      <c r="O21" s="14">
        <v>7.0000000000000007E-2</v>
      </c>
      <c r="P21" s="14">
        <v>0.05</v>
      </c>
      <c r="Q21" s="14">
        <v>0.03</v>
      </c>
      <c r="R21" s="14">
        <v>7.0000000000000007E-2</v>
      </c>
      <c r="S21" s="14">
        <v>0.13</v>
      </c>
      <c r="T21" s="14">
        <v>0.12</v>
      </c>
      <c r="U21" s="14">
        <v>0.01</v>
      </c>
      <c r="V21" s="14">
        <v>0.06</v>
      </c>
      <c r="W21" s="14">
        <v>0.11</v>
      </c>
      <c r="X21" s="14">
        <v>0.03</v>
      </c>
      <c r="Y21" s="14">
        <v>0.02</v>
      </c>
      <c r="Z21" s="14">
        <v>0.03</v>
      </c>
      <c r="AA21" s="14">
        <v>7.0000000000000007E-2</v>
      </c>
      <c r="AB21" s="14">
        <v>0.06</v>
      </c>
      <c r="AC21" s="14">
        <v>0.02</v>
      </c>
      <c r="AD21" s="14">
        <v>7.0000000000000007E-2</v>
      </c>
      <c r="AE21" s="14">
        <v>0.08</v>
      </c>
      <c r="AF21" s="14">
        <v>0.05</v>
      </c>
    </row>
    <row r="22" spans="1:32">
      <c r="A22" s="23"/>
      <c r="B22" s="11" t="s">
        <v>929</v>
      </c>
      <c r="C22" s="12">
        <v>14463</v>
      </c>
      <c r="D22" s="12">
        <v>596</v>
      </c>
      <c r="E22" s="12">
        <v>590</v>
      </c>
      <c r="F22" s="12">
        <v>514</v>
      </c>
      <c r="G22" s="12">
        <v>781</v>
      </c>
      <c r="H22" s="12">
        <v>669</v>
      </c>
      <c r="I22" s="12">
        <v>778</v>
      </c>
      <c r="J22" s="12">
        <v>109</v>
      </c>
      <c r="K22" s="12">
        <v>508</v>
      </c>
      <c r="L22" s="12">
        <v>732</v>
      </c>
      <c r="M22" s="12">
        <v>386</v>
      </c>
      <c r="N22" s="12">
        <v>504</v>
      </c>
      <c r="O22" s="12">
        <v>459</v>
      </c>
      <c r="P22" s="12">
        <v>572</v>
      </c>
      <c r="Q22" s="12">
        <v>587</v>
      </c>
      <c r="R22" s="12">
        <v>213</v>
      </c>
      <c r="S22" s="12">
        <v>595</v>
      </c>
      <c r="T22" s="12">
        <v>616</v>
      </c>
      <c r="U22" s="12">
        <v>329</v>
      </c>
      <c r="V22" s="12">
        <v>503</v>
      </c>
      <c r="W22" s="12">
        <v>294</v>
      </c>
      <c r="X22" s="12">
        <v>612</v>
      </c>
      <c r="Y22" s="12">
        <v>562</v>
      </c>
      <c r="Z22" s="12">
        <v>722</v>
      </c>
      <c r="AA22" s="12">
        <v>701</v>
      </c>
      <c r="AB22" s="12">
        <v>536</v>
      </c>
      <c r="AC22" s="12">
        <v>538</v>
      </c>
      <c r="AD22" s="12">
        <v>488</v>
      </c>
      <c r="AE22" s="12">
        <v>671</v>
      </c>
      <c r="AF22" s="12">
        <v>712</v>
      </c>
    </row>
    <row r="23" spans="1:32">
      <c r="A23" s="23"/>
      <c r="B23" s="13" t="s">
        <v>930</v>
      </c>
      <c r="C23" s="14">
        <v>0.55000000000000004</v>
      </c>
      <c r="D23" s="14">
        <v>0.59</v>
      </c>
      <c r="E23" s="14">
        <v>0.56000000000000005</v>
      </c>
      <c r="F23" s="14">
        <v>0.51</v>
      </c>
      <c r="G23" s="14">
        <v>0.78</v>
      </c>
      <c r="H23" s="14">
        <v>0.55000000000000004</v>
      </c>
      <c r="I23" s="14">
        <v>0.52</v>
      </c>
      <c r="J23" s="14">
        <v>0.37</v>
      </c>
      <c r="K23" s="14">
        <v>0.51</v>
      </c>
      <c r="L23" s="14">
        <v>0.73</v>
      </c>
      <c r="M23" s="14">
        <v>0.38</v>
      </c>
      <c r="N23" s="14">
        <v>0.5</v>
      </c>
      <c r="O23" s="14">
        <v>0.46</v>
      </c>
      <c r="P23" s="14">
        <v>0.57000000000000006</v>
      </c>
      <c r="Q23" s="14">
        <v>0.57000000000000006</v>
      </c>
      <c r="R23" s="14">
        <v>0.43</v>
      </c>
      <c r="S23" s="14">
        <v>0.59</v>
      </c>
      <c r="T23" s="14">
        <v>0.61</v>
      </c>
      <c r="U23" s="14">
        <v>0.66</v>
      </c>
      <c r="V23" s="14">
        <v>0.49</v>
      </c>
      <c r="W23" s="14">
        <v>0.59</v>
      </c>
      <c r="X23" s="14">
        <v>0.6</v>
      </c>
      <c r="Y23" s="14">
        <v>0.56000000000000005</v>
      </c>
      <c r="Z23" s="14">
        <v>0.71</v>
      </c>
      <c r="AA23" s="14">
        <v>0.67</v>
      </c>
      <c r="AB23" s="14">
        <v>0.52</v>
      </c>
      <c r="AC23" s="14">
        <v>0.54</v>
      </c>
      <c r="AD23" s="14">
        <v>0.49</v>
      </c>
      <c r="AE23" s="14">
        <v>0.67</v>
      </c>
      <c r="AF23" s="14">
        <v>0.66</v>
      </c>
    </row>
    <row r="24" spans="1:32">
      <c r="A24" s="23"/>
      <c r="B24" s="11" t="s">
        <v>931</v>
      </c>
      <c r="C24" s="12">
        <v>10645</v>
      </c>
      <c r="D24" s="12">
        <v>402</v>
      </c>
      <c r="E24" s="12">
        <v>350</v>
      </c>
      <c r="F24" s="12">
        <v>457</v>
      </c>
      <c r="G24" s="12">
        <v>189</v>
      </c>
      <c r="H24" s="12">
        <v>514</v>
      </c>
      <c r="I24" s="12">
        <v>687</v>
      </c>
      <c r="J24" s="12">
        <v>173</v>
      </c>
      <c r="K24" s="12">
        <v>357</v>
      </c>
      <c r="L24" s="12">
        <v>218</v>
      </c>
      <c r="M24" s="12">
        <v>576</v>
      </c>
      <c r="N24" s="12">
        <v>420</v>
      </c>
      <c r="O24" s="12">
        <v>476</v>
      </c>
      <c r="P24" s="12">
        <v>391</v>
      </c>
      <c r="Q24" s="12">
        <v>411</v>
      </c>
      <c r="R24" s="12">
        <v>254</v>
      </c>
      <c r="S24" s="12">
        <v>282</v>
      </c>
      <c r="T24" s="12">
        <v>270</v>
      </c>
      <c r="U24" s="12">
        <v>167</v>
      </c>
      <c r="V24" s="12">
        <v>450</v>
      </c>
      <c r="W24" s="12">
        <v>151</v>
      </c>
      <c r="X24" s="12">
        <v>371</v>
      </c>
      <c r="Y24" s="12">
        <v>422</v>
      </c>
      <c r="Z24" s="12">
        <v>261</v>
      </c>
      <c r="AA24" s="12">
        <v>268</v>
      </c>
      <c r="AB24" s="12">
        <v>438</v>
      </c>
      <c r="AC24" s="12">
        <v>443</v>
      </c>
      <c r="AD24" s="12">
        <v>443</v>
      </c>
      <c r="AE24" s="12">
        <v>254</v>
      </c>
      <c r="AF24" s="12">
        <v>305</v>
      </c>
    </row>
    <row r="25" spans="1:32">
      <c r="A25" s="23"/>
      <c r="B25" s="13" t="s">
        <v>932</v>
      </c>
      <c r="C25" s="14">
        <v>0.4</v>
      </c>
      <c r="D25" s="14">
        <v>0.4</v>
      </c>
      <c r="E25" s="14">
        <v>0.34</v>
      </c>
      <c r="F25" s="14">
        <v>0.45</v>
      </c>
      <c r="G25" s="14">
        <v>0.19</v>
      </c>
      <c r="H25" s="14">
        <v>0.43</v>
      </c>
      <c r="I25" s="14">
        <v>0.45</v>
      </c>
      <c r="J25" s="14">
        <v>0.59</v>
      </c>
      <c r="K25" s="14">
        <v>0.35</v>
      </c>
      <c r="L25" s="14">
        <v>0.22</v>
      </c>
      <c r="M25" s="14">
        <v>0.57000000000000006</v>
      </c>
      <c r="N25" s="14">
        <v>0.42</v>
      </c>
      <c r="O25" s="14">
        <v>0.47</v>
      </c>
      <c r="P25" s="14">
        <v>0.38</v>
      </c>
      <c r="Q25" s="14">
        <v>0.4</v>
      </c>
      <c r="R25" s="14">
        <v>0.5</v>
      </c>
      <c r="S25" s="14">
        <v>0.28000000000000003</v>
      </c>
      <c r="T25" s="14">
        <v>0.27</v>
      </c>
      <c r="U25" s="14">
        <v>0.33</v>
      </c>
      <c r="V25" s="14">
        <v>0.45</v>
      </c>
      <c r="W25" s="14">
        <v>0.3</v>
      </c>
      <c r="X25" s="14">
        <v>0.37</v>
      </c>
      <c r="Y25" s="14">
        <v>0.42</v>
      </c>
      <c r="Z25" s="14">
        <v>0.26</v>
      </c>
      <c r="AA25" s="14">
        <v>0.26</v>
      </c>
      <c r="AB25" s="14">
        <v>0.42</v>
      </c>
      <c r="AC25" s="14">
        <v>0.44</v>
      </c>
      <c r="AD25" s="14">
        <v>0.44</v>
      </c>
      <c r="AE25" s="14">
        <v>0.25</v>
      </c>
      <c r="AF25" s="14">
        <v>0.28999999999999998</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2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1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1736</v>
      </c>
      <c r="C3" s="19"/>
      <c r="D3" s="19"/>
      <c r="E3" s="19"/>
      <c r="F3" s="19"/>
      <c r="H3" s="19" t="s">
        <v>1737</v>
      </c>
      <c r="I3" s="19"/>
      <c r="J3" s="19"/>
      <c r="K3" s="19"/>
      <c r="L3" s="19"/>
    </row>
    <row r="4" spans="1:32" ht="27" customHeight="1">
      <c r="B4" s="19" t="s">
        <v>1738</v>
      </c>
      <c r="C4" s="19"/>
      <c r="D4" s="19"/>
      <c r="E4" s="19"/>
      <c r="F4" s="19"/>
      <c r="H4" s="19" t="s">
        <v>1739</v>
      </c>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HYPERLINK("#Content!A214","&lt;&lt;Back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707</v>
      </c>
      <c r="C12" s="12">
        <v>3616</v>
      </c>
      <c r="D12" s="12">
        <v>98</v>
      </c>
      <c r="E12" s="12">
        <v>130</v>
      </c>
      <c r="F12" s="12">
        <v>64</v>
      </c>
      <c r="G12" s="12">
        <v>386</v>
      </c>
      <c r="H12" s="12">
        <v>292</v>
      </c>
      <c r="I12" s="12">
        <v>322</v>
      </c>
      <c r="J12" s="12">
        <v>29</v>
      </c>
      <c r="K12" s="12">
        <v>28</v>
      </c>
      <c r="L12" s="12">
        <v>133</v>
      </c>
      <c r="M12" s="12">
        <v>54</v>
      </c>
      <c r="N12" s="12">
        <v>110</v>
      </c>
      <c r="O12" s="12">
        <v>122</v>
      </c>
      <c r="P12" s="12">
        <v>327</v>
      </c>
      <c r="Q12" s="12">
        <v>55</v>
      </c>
      <c r="R12" s="12">
        <v>15</v>
      </c>
      <c r="S12" s="12">
        <v>35</v>
      </c>
      <c r="T12" s="12">
        <v>27</v>
      </c>
      <c r="U12" s="12">
        <v>93</v>
      </c>
      <c r="V12" s="12">
        <v>45</v>
      </c>
      <c r="W12" s="12">
        <v>70</v>
      </c>
      <c r="X12" s="12">
        <v>205</v>
      </c>
      <c r="Y12" s="12">
        <v>284</v>
      </c>
      <c r="Z12" s="12">
        <v>112</v>
      </c>
      <c r="AA12" s="12">
        <v>125</v>
      </c>
      <c r="AB12" s="12">
        <v>84</v>
      </c>
      <c r="AC12" s="12">
        <v>83</v>
      </c>
      <c r="AD12" s="12">
        <v>161</v>
      </c>
      <c r="AE12" s="12">
        <v>156</v>
      </c>
      <c r="AF12" s="12">
        <v>387</v>
      </c>
    </row>
    <row r="13" spans="1:32">
      <c r="A13" s="23"/>
      <c r="B13" s="13" t="s">
        <v>708</v>
      </c>
      <c r="C13" s="14">
        <v>0.14000000000000001</v>
      </c>
      <c r="D13" s="14">
        <v>0.1</v>
      </c>
      <c r="E13" s="14">
        <v>0.13</v>
      </c>
      <c r="F13" s="14">
        <v>0.06</v>
      </c>
      <c r="G13" s="14">
        <v>0.39</v>
      </c>
      <c r="H13" s="14">
        <v>0.24</v>
      </c>
      <c r="I13" s="14">
        <v>0.21</v>
      </c>
      <c r="J13" s="14">
        <v>0.1</v>
      </c>
      <c r="K13" s="14">
        <v>0.03</v>
      </c>
      <c r="L13" s="14">
        <v>0.13</v>
      </c>
      <c r="M13" s="14">
        <v>0.06</v>
      </c>
      <c r="N13" s="14">
        <v>0.11</v>
      </c>
      <c r="O13" s="14">
        <v>0.12</v>
      </c>
      <c r="P13" s="14">
        <v>0.32</v>
      </c>
      <c r="Q13" s="14">
        <v>0.05</v>
      </c>
      <c r="R13" s="14">
        <v>0.03</v>
      </c>
      <c r="S13" s="14">
        <v>0.03</v>
      </c>
      <c r="T13" s="14">
        <v>0.03</v>
      </c>
      <c r="U13" s="14">
        <v>0.18</v>
      </c>
      <c r="V13" s="14">
        <v>0.04</v>
      </c>
      <c r="W13" s="14">
        <v>0.14000000000000001</v>
      </c>
      <c r="X13" s="14">
        <v>0.2</v>
      </c>
      <c r="Y13" s="14">
        <v>0.28000000000000003</v>
      </c>
      <c r="Z13" s="14">
        <v>0.11</v>
      </c>
      <c r="AA13" s="14">
        <v>0.12</v>
      </c>
      <c r="AB13" s="14">
        <v>0.08</v>
      </c>
      <c r="AC13" s="14">
        <v>0.08</v>
      </c>
      <c r="AD13" s="14">
        <v>0.16</v>
      </c>
      <c r="AE13" s="14">
        <v>0.16</v>
      </c>
      <c r="AF13" s="14">
        <v>0.36</v>
      </c>
    </row>
    <row r="14" spans="1:32">
      <c r="A14" s="23"/>
      <c r="B14" s="11" t="s">
        <v>709</v>
      </c>
      <c r="C14" s="12">
        <v>9610</v>
      </c>
      <c r="D14" s="12">
        <v>425</v>
      </c>
      <c r="E14" s="12">
        <v>293</v>
      </c>
      <c r="F14" s="12">
        <v>324</v>
      </c>
      <c r="G14" s="12">
        <v>351</v>
      </c>
      <c r="H14" s="12">
        <v>597</v>
      </c>
      <c r="I14" s="12">
        <v>693</v>
      </c>
      <c r="J14" s="12">
        <v>96</v>
      </c>
      <c r="K14" s="12">
        <v>152</v>
      </c>
      <c r="L14" s="12">
        <v>390</v>
      </c>
      <c r="M14" s="12">
        <v>194</v>
      </c>
      <c r="N14" s="12">
        <v>304</v>
      </c>
      <c r="O14" s="12">
        <v>342</v>
      </c>
      <c r="P14" s="12">
        <v>410</v>
      </c>
      <c r="Q14" s="12">
        <v>292</v>
      </c>
      <c r="R14" s="12">
        <v>92</v>
      </c>
      <c r="S14" s="12">
        <v>218</v>
      </c>
      <c r="T14" s="12">
        <v>284</v>
      </c>
      <c r="U14" s="12">
        <v>166</v>
      </c>
      <c r="V14" s="12">
        <v>242</v>
      </c>
      <c r="W14" s="12">
        <v>206</v>
      </c>
      <c r="X14" s="12">
        <v>441</v>
      </c>
      <c r="Y14" s="12">
        <v>355</v>
      </c>
      <c r="Z14" s="12">
        <v>480</v>
      </c>
      <c r="AA14" s="12">
        <v>401</v>
      </c>
      <c r="AB14" s="12">
        <v>406</v>
      </c>
      <c r="AC14" s="12">
        <v>247</v>
      </c>
      <c r="AD14" s="12">
        <v>319</v>
      </c>
      <c r="AE14" s="12">
        <v>393</v>
      </c>
      <c r="AF14" s="12">
        <v>386</v>
      </c>
    </row>
    <row r="15" spans="1:32">
      <c r="A15" s="23"/>
      <c r="B15" s="13" t="s">
        <v>710</v>
      </c>
      <c r="C15" s="14">
        <v>0.36</v>
      </c>
      <c r="D15" s="14">
        <v>0.42</v>
      </c>
      <c r="E15" s="14">
        <v>0.28000000000000003</v>
      </c>
      <c r="F15" s="14">
        <v>0.32</v>
      </c>
      <c r="G15" s="14">
        <v>0.35</v>
      </c>
      <c r="H15" s="14">
        <v>0.49</v>
      </c>
      <c r="I15" s="14">
        <v>0.46</v>
      </c>
      <c r="J15" s="14">
        <v>0.33</v>
      </c>
      <c r="K15" s="14">
        <v>0.15</v>
      </c>
      <c r="L15" s="14">
        <v>0.39</v>
      </c>
      <c r="M15" s="14">
        <v>0.19</v>
      </c>
      <c r="N15" s="14">
        <v>0.3</v>
      </c>
      <c r="O15" s="14">
        <v>0.34</v>
      </c>
      <c r="P15" s="14">
        <v>0.41</v>
      </c>
      <c r="Q15" s="14">
        <v>0.28999999999999998</v>
      </c>
      <c r="R15" s="14">
        <v>0.18</v>
      </c>
      <c r="S15" s="14">
        <v>0.22</v>
      </c>
      <c r="T15" s="14">
        <v>0.28000000000000003</v>
      </c>
      <c r="U15" s="14">
        <v>0.33</v>
      </c>
      <c r="V15" s="14">
        <v>0.24</v>
      </c>
      <c r="W15" s="14">
        <v>0.41</v>
      </c>
      <c r="X15" s="14">
        <v>0.43</v>
      </c>
      <c r="Y15" s="14">
        <v>0.35</v>
      </c>
      <c r="Z15" s="14">
        <v>0.47</v>
      </c>
      <c r="AA15" s="14">
        <v>0.39</v>
      </c>
      <c r="AB15" s="14">
        <v>0.39</v>
      </c>
      <c r="AC15" s="14">
        <v>0.25</v>
      </c>
      <c r="AD15" s="14">
        <v>0.32</v>
      </c>
      <c r="AE15" s="14">
        <v>0.39</v>
      </c>
      <c r="AF15" s="14">
        <v>0.36</v>
      </c>
    </row>
    <row r="16" spans="1:32">
      <c r="A16" s="23"/>
      <c r="B16" s="11" t="s">
        <v>711</v>
      </c>
      <c r="C16" s="12">
        <v>7563</v>
      </c>
      <c r="D16" s="12">
        <v>342</v>
      </c>
      <c r="E16" s="12">
        <v>297</v>
      </c>
      <c r="F16" s="12">
        <v>317</v>
      </c>
      <c r="G16" s="12">
        <v>143</v>
      </c>
      <c r="H16" s="12">
        <v>213</v>
      </c>
      <c r="I16" s="12">
        <v>331</v>
      </c>
      <c r="J16" s="12">
        <v>117</v>
      </c>
      <c r="K16" s="12">
        <v>348</v>
      </c>
      <c r="L16" s="12">
        <v>265</v>
      </c>
      <c r="M16" s="12">
        <v>417</v>
      </c>
      <c r="N16" s="12">
        <v>316</v>
      </c>
      <c r="O16" s="12">
        <v>291</v>
      </c>
      <c r="P16" s="12">
        <v>173</v>
      </c>
      <c r="Q16" s="12">
        <v>363</v>
      </c>
      <c r="R16" s="12">
        <v>183</v>
      </c>
      <c r="S16" s="12">
        <v>339</v>
      </c>
      <c r="T16" s="12">
        <v>363</v>
      </c>
      <c r="U16" s="12">
        <v>130</v>
      </c>
      <c r="V16" s="12">
        <v>330</v>
      </c>
      <c r="W16" s="12">
        <v>153</v>
      </c>
      <c r="X16" s="12">
        <v>230</v>
      </c>
      <c r="Y16" s="12">
        <v>183</v>
      </c>
      <c r="Z16" s="12">
        <v>302</v>
      </c>
      <c r="AA16" s="12">
        <v>378</v>
      </c>
      <c r="AB16" s="12">
        <v>310</v>
      </c>
      <c r="AC16" s="12">
        <v>363</v>
      </c>
      <c r="AD16" s="12">
        <v>296</v>
      </c>
      <c r="AE16" s="12">
        <v>294</v>
      </c>
      <c r="AF16" s="12">
        <v>177</v>
      </c>
    </row>
    <row r="17" spans="1:32">
      <c r="A17" s="23"/>
      <c r="B17" s="13" t="s">
        <v>712</v>
      </c>
      <c r="C17" s="14">
        <v>0.28999999999999998</v>
      </c>
      <c r="D17" s="14">
        <v>0.34</v>
      </c>
      <c r="E17" s="14">
        <v>0.28000000000000003</v>
      </c>
      <c r="F17" s="14">
        <v>0.32</v>
      </c>
      <c r="G17" s="14">
        <v>0.14000000000000001</v>
      </c>
      <c r="H17" s="14">
        <v>0.18</v>
      </c>
      <c r="I17" s="14">
        <v>0.22</v>
      </c>
      <c r="J17" s="14">
        <v>0.4</v>
      </c>
      <c r="K17" s="14">
        <v>0.35</v>
      </c>
      <c r="L17" s="14">
        <v>0.26</v>
      </c>
      <c r="M17" s="14">
        <v>0.41</v>
      </c>
      <c r="N17" s="14">
        <v>0.32</v>
      </c>
      <c r="O17" s="14">
        <v>0.28999999999999998</v>
      </c>
      <c r="P17" s="14">
        <v>0.17</v>
      </c>
      <c r="Q17" s="14">
        <v>0.35</v>
      </c>
      <c r="R17" s="14">
        <v>0.37</v>
      </c>
      <c r="S17" s="14">
        <v>0.34</v>
      </c>
      <c r="T17" s="14">
        <v>0.36</v>
      </c>
      <c r="U17" s="14">
        <v>0.26</v>
      </c>
      <c r="V17" s="14">
        <v>0.33</v>
      </c>
      <c r="W17" s="14">
        <v>0.3</v>
      </c>
      <c r="X17" s="14">
        <v>0.23</v>
      </c>
      <c r="Y17" s="14">
        <v>0.18</v>
      </c>
      <c r="Z17" s="14">
        <v>0.3</v>
      </c>
      <c r="AA17" s="14">
        <v>0.36</v>
      </c>
      <c r="AB17" s="14">
        <v>0.3</v>
      </c>
      <c r="AC17" s="14">
        <v>0.36</v>
      </c>
      <c r="AD17" s="14">
        <v>0.3</v>
      </c>
      <c r="AE17" s="14">
        <v>0.28999999999999998</v>
      </c>
      <c r="AF17" s="14">
        <v>0.16</v>
      </c>
    </row>
    <row r="18" spans="1:32">
      <c r="A18" s="23"/>
      <c r="B18" s="11" t="s">
        <v>713</v>
      </c>
      <c r="C18" s="12">
        <v>4958</v>
      </c>
      <c r="D18" s="12">
        <v>131</v>
      </c>
      <c r="E18" s="12">
        <v>241</v>
      </c>
      <c r="F18" s="12">
        <v>279</v>
      </c>
      <c r="G18" s="12">
        <v>104</v>
      </c>
      <c r="H18" s="12">
        <v>72</v>
      </c>
      <c r="I18" s="12">
        <v>120</v>
      </c>
      <c r="J18" s="12">
        <v>48</v>
      </c>
      <c r="K18" s="12">
        <v>433</v>
      </c>
      <c r="L18" s="12">
        <v>177</v>
      </c>
      <c r="M18" s="12">
        <v>325</v>
      </c>
      <c r="N18" s="12">
        <v>236</v>
      </c>
      <c r="O18" s="12">
        <v>225</v>
      </c>
      <c r="P18" s="12">
        <v>77</v>
      </c>
      <c r="Q18" s="12">
        <v>307</v>
      </c>
      <c r="R18" s="12">
        <v>205</v>
      </c>
      <c r="S18" s="12">
        <v>330</v>
      </c>
      <c r="T18" s="12">
        <v>262</v>
      </c>
      <c r="U18" s="12">
        <v>104</v>
      </c>
      <c r="V18" s="12">
        <v>380</v>
      </c>
      <c r="W18" s="12">
        <v>66</v>
      </c>
      <c r="X18" s="12">
        <v>124</v>
      </c>
      <c r="Y18" s="12">
        <v>163</v>
      </c>
      <c r="Z18" s="12">
        <v>97</v>
      </c>
      <c r="AA18" s="12">
        <v>120</v>
      </c>
      <c r="AB18" s="12">
        <v>212</v>
      </c>
      <c r="AC18" s="12">
        <v>283</v>
      </c>
      <c r="AD18" s="12">
        <v>205</v>
      </c>
      <c r="AE18" s="12">
        <v>145</v>
      </c>
      <c r="AF18" s="12">
        <v>116</v>
      </c>
    </row>
    <row r="19" spans="1:32">
      <c r="A19" s="23"/>
      <c r="B19" s="13" t="s">
        <v>714</v>
      </c>
      <c r="C19" s="14">
        <v>0.19</v>
      </c>
      <c r="D19" s="14">
        <v>0.13</v>
      </c>
      <c r="E19" s="14">
        <v>0.23</v>
      </c>
      <c r="F19" s="14">
        <v>0.28000000000000003</v>
      </c>
      <c r="G19" s="14">
        <v>0.1</v>
      </c>
      <c r="H19" s="14">
        <v>0.06</v>
      </c>
      <c r="I19" s="14">
        <v>0.08</v>
      </c>
      <c r="J19" s="14">
        <v>0.16</v>
      </c>
      <c r="K19" s="14">
        <v>0.43</v>
      </c>
      <c r="L19" s="14">
        <v>0.18</v>
      </c>
      <c r="M19" s="14">
        <v>0.32</v>
      </c>
      <c r="N19" s="14">
        <v>0.24</v>
      </c>
      <c r="O19" s="14">
        <v>0.22</v>
      </c>
      <c r="P19" s="14">
        <v>0.08</v>
      </c>
      <c r="Q19" s="14">
        <v>0.3</v>
      </c>
      <c r="R19" s="14">
        <v>0.41</v>
      </c>
      <c r="S19" s="14">
        <v>0.33</v>
      </c>
      <c r="T19" s="14">
        <v>0.26</v>
      </c>
      <c r="U19" s="14">
        <v>0.21</v>
      </c>
      <c r="V19" s="14">
        <v>0.38</v>
      </c>
      <c r="W19" s="14">
        <v>0.13</v>
      </c>
      <c r="X19" s="14">
        <v>0.12</v>
      </c>
      <c r="Y19" s="14">
        <v>0.16</v>
      </c>
      <c r="Z19" s="14">
        <v>0.09</v>
      </c>
      <c r="AA19" s="14">
        <v>0.11</v>
      </c>
      <c r="AB19" s="14">
        <v>0.21</v>
      </c>
      <c r="AC19" s="14">
        <v>0.28000000000000003</v>
      </c>
      <c r="AD19" s="14">
        <v>0.2</v>
      </c>
      <c r="AE19" s="14">
        <v>0.14000000000000001</v>
      </c>
      <c r="AF19" s="14">
        <v>0.11</v>
      </c>
    </row>
    <row r="20" spans="1:32">
      <c r="A20" s="23"/>
      <c r="B20" s="11" t="s">
        <v>497</v>
      </c>
      <c r="C20" s="12">
        <v>607</v>
      </c>
      <c r="D20" s="12">
        <v>10</v>
      </c>
      <c r="E20" s="12">
        <v>82</v>
      </c>
      <c r="F20" s="12">
        <v>23</v>
      </c>
      <c r="G20" s="12">
        <v>19</v>
      </c>
      <c r="H20" s="12">
        <v>35</v>
      </c>
      <c r="I20" s="12">
        <v>39</v>
      </c>
      <c r="J20" s="12">
        <v>3</v>
      </c>
      <c r="K20" s="12">
        <v>43</v>
      </c>
      <c r="L20" s="12">
        <v>42</v>
      </c>
      <c r="M20" s="12">
        <v>21</v>
      </c>
      <c r="N20" s="12">
        <v>33</v>
      </c>
      <c r="O20" s="12">
        <v>27</v>
      </c>
      <c r="P20" s="12">
        <v>25</v>
      </c>
      <c r="Q20" s="12">
        <v>6</v>
      </c>
      <c r="R20" s="12">
        <v>7</v>
      </c>
      <c r="S20" s="12">
        <v>83</v>
      </c>
      <c r="T20" s="12">
        <v>69</v>
      </c>
      <c r="U20" s="12">
        <v>10</v>
      </c>
      <c r="V20" s="12">
        <v>15</v>
      </c>
      <c r="W20" s="12">
        <v>8</v>
      </c>
      <c r="X20" s="12">
        <v>16</v>
      </c>
      <c r="Y20" s="12">
        <v>23</v>
      </c>
      <c r="Z20" s="12">
        <v>26</v>
      </c>
      <c r="AA20" s="12">
        <v>16</v>
      </c>
      <c r="AB20" s="12">
        <v>20</v>
      </c>
      <c r="AC20" s="12">
        <v>29</v>
      </c>
      <c r="AD20" s="12">
        <v>20</v>
      </c>
      <c r="AE20" s="12">
        <v>19</v>
      </c>
      <c r="AF20" s="12">
        <v>7</v>
      </c>
    </row>
    <row r="21" spans="1:32">
      <c r="A21" s="23"/>
      <c r="B21" s="13" t="s">
        <v>498</v>
      </c>
      <c r="C21" s="14">
        <v>0.02</v>
      </c>
      <c r="D21" s="14">
        <v>0.01</v>
      </c>
      <c r="E21" s="14">
        <v>0.08</v>
      </c>
      <c r="F21" s="14">
        <v>0.02</v>
      </c>
      <c r="G21" s="14">
        <v>0.02</v>
      </c>
      <c r="H21" s="14">
        <v>0.03</v>
      </c>
      <c r="I21" s="14">
        <v>0.03</v>
      </c>
      <c r="J21" s="14">
        <v>0.01</v>
      </c>
      <c r="K21" s="14">
        <v>0.04</v>
      </c>
      <c r="L21" s="14">
        <v>0.04</v>
      </c>
      <c r="M21" s="14">
        <v>0.02</v>
      </c>
      <c r="N21" s="14">
        <v>0.03</v>
      </c>
      <c r="O21" s="14">
        <v>0.03</v>
      </c>
      <c r="P21" s="14">
        <v>0.02</v>
      </c>
      <c r="Q21" s="14">
        <v>0.01</v>
      </c>
      <c r="R21" s="14">
        <v>0.01</v>
      </c>
      <c r="S21" s="14">
        <v>0.08</v>
      </c>
      <c r="T21" s="14">
        <v>7.0000000000000007E-2</v>
      </c>
      <c r="U21" s="14">
        <v>0.02</v>
      </c>
      <c r="V21" s="14">
        <v>0.01</v>
      </c>
      <c r="W21" s="14">
        <v>0.02</v>
      </c>
      <c r="X21" s="14">
        <v>0.02</v>
      </c>
      <c r="Y21" s="14">
        <v>0.03</v>
      </c>
      <c r="Z21" s="14">
        <v>0.03</v>
      </c>
      <c r="AA21" s="14">
        <v>0.02</v>
      </c>
      <c r="AB21" s="14">
        <v>0.02</v>
      </c>
      <c r="AC21" s="14">
        <v>0.03</v>
      </c>
      <c r="AD21" s="14">
        <v>0.02</v>
      </c>
      <c r="AE21" s="14">
        <v>0.02</v>
      </c>
      <c r="AF21" s="14">
        <v>0.01</v>
      </c>
    </row>
    <row r="22" spans="1:32">
      <c r="A22" s="23"/>
      <c r="B22" s="11" t="s">
        <v>715</v>
      </c>
      <c r="C22" s="12">
        <v>13226</v>
      </c>
      <c r="D22" s="12">
        <v>523</v>
      </c>
      <c r="E22" s="12">
        <v>423</v>
      </c>
      <c r="F22" s="12">
        <v>388</v>
      </c>
      <c r="G22" s="12">
        <v>737</v>
      </c>
      <c r="H22" s="12">
        <v>889</v>
      </c>
      <c r="I22" s="12">
        <v>1015</v>
      </c>
      <c r="J22" s="12">
        <v>125</v>
      </c>
      <c r="K22" s="12">
        <v>180</v>
      </c>
      <c r="L22" s="12">
        <v>523</v>
      </c>
      <c r="M22" s="12">
        <v>248</v>
      </c>
      <c r="N22" s="12">
        <v>414</v>
      </c>
      <c r="O22" s="12">
        <v>464</v>
      </c>
      <c r="P22" s="12">
        <v>737</v>
      </c>
      <c r="Q22" s="12">
        <v>347</v>
      </c>
      <c r="R22" s="12">
        <v>107</v>
      </c>
      <c r="S22" s="12">
        <v>253</v>
      </c>
      <c r="T22" s="12">
        <v>311</v>
      </c>
      <c r="U22" s="12">
        <v>259</v>
      </c>
      <c r="V22" s="12">
        <v>287</v>
      </c>
      <c r="W22" s="12">
        <v>276</v>
      </c>
      <c r="X22" s="12">
        <v>646</v>
      </c>
      <c r="Y22" s="12">
        <v>639</v>
      </c>
      <c r="Z22" s="12">
        <v>592</v>
      </c>
      <c r="AA22" s="12">
        <v>526</v>
      </c>
      <c r="AB22" s="12">
        <v>490</v>
      </c>
      <c r="AC22" s="12">
        <v>330</v>
      </c>
      <c r="AD22" s="12">
        <v>480</v>
      </c>
      <c r="AE22" s="12">
        <v>549</v>
      </c>
      <c r="AF22" s="12">
        <v>773</v>
      </c>
    </row>
    <row r="23" spans="1:32">
      <c r="A23" s="23"/>
      <c r="B23" s="13" t="s">
        <v>716</v>
      </c>
      <c r="C23" s="14">
        <v>0.5</v>
      </c>
      <c r="D23" s="14">
        <v>0.52</v>
      </c>
      <c r="E23" s="14">
        <v>0.41</v>
      </c>
      <c r="F23" s="14">
        <v>0.38</v>
      </c>
      <c r="G23" s="14">
        <v>0.74</v>
      </c>
      <c r="H23" s="14">
        <v>0.73</v>
      </c>
      <c r="I23" s="14">
        <v>0.67</v>
      </c>
      <c r="J23" s="14">
        <v>0.43</v>
      </c>
      <c r="K23" s="14">
        <v>0.18</v>
      </c>
      <c r="L23" s="14">
        <v>0.52</v>
      </c>
      <c r="M23" s="14">
        <v>0.25</v>
      </c>
      <c r="N23" s="14">
        <v>0.41</v>
      </c>
      <c r="O23" s="14">
        <v>0.46</v>
      </c>
      <c r="P23" s="14">
        <v>0.73</v>
      </c>
      <c r="Q23" s="14">
        <v>0.34</v>
      </c>
      <c r="R23" s="14">
        <v>0.21</v>
      </c>
      <c r="S23" s="14">
        <v>0.25</v>
      </c>
      <c r="T23" s="14">
        <v>0.31</v>
      </c>
      <c r="U23" s="14">
        <v>0.51</v>
      </c>
      <c r="V23" s="14">
        <v>0.28000000000000003</v>
      </c>
      <c r="W23" s="14">
        <v>0.55000000000000004</v>
      </c>
      <c r="X23" s="14">
        <v>0.63</v>
      </c>
      <c r="Y23" s="14">
        <v>0.63</v>
      </c>
      <c r="Z23" s="14">
        <v>0.57999999999999996</v>
      </c>
      <c r="AA23" s="14">
        <v>0.51</v>
      </c>
      <c r="AB23" s="14">
        <v>0.47</v>
      </c>
      <c r="AC23" s="14">
        <v>0.33</v>
      </c>
      <c r="AD23" s="14">
        <v>0.48</v>
      </c>
      <c r="AE23" s="14">
        <v>0.55000000000000004</v>
      </c>
      <c r="AF23" s="14">
        <v>0.72</v>
      </c>
    </row>
    <row r="24" spans="1:32">
      <c r="A24" s="23"/>
      <c r="B24" s="11" t="s">
        <v>717</v>
      </c>
      <c r="C24" s="12">
        <v>12521</v>
      </c>
      <c r="D24" s="12">
        <v>473</v>
      </c>
      <c r="E24" s="12">
        <v>538</v>
      </c>
      <c r="F24" s="12">
        <v>596</v>
      </c>
      <c r="G24" s="12">
        <v>247</v>
      </c>
      <c r="H24" s="12">
        <v>285</v>
      </c>
      <c r="I24" s="12">
        <v>451</v>
      </c>
      <c r="J24" s="12">
        <v>165</v>
      </c>
      <c r="K24" s="12">
        <v>781</v>
      </c>
      <c r="L24" s="12">
        <v>442</v>
      </c>
      <c r="M24" s="12">
        <v>742</v>
      </c>
      <c r="N24" s="12">
        <v>552</v>
      </c>
      <c r="O24" s="12">
        <v>516</v>
      </c>
      <c r="P24" s="12">
        <v>250</v>
      </c>
      <c r="Q24" s="12">
        <v>670</v>
      </c>
      <c r="R24" s="12">
        <v>388</v>
      </c>
      <c r="S24" s="12">
        <v>669</v>
      </c>
      <c r="T24" s="12">
        <v>625</v>
      </c>
      <c r="U24" s="12">
        <v>234</v>
      </c>
      <c r="V24" s="12">
        <v>710</v>
      </c>
      <c r="W24" s="12">
        <v>219</v>
      </c>
      <c r="X24" s="12">
        <v>354</v>
      </c>
      <c r="Y24" s="12">
        <v>346</v>
      </c>
      <c r="Z24" s="12">
        <v>399</v>
      </c>
      <c r="AA24" s="12">
        <v>498</v>
      </c>
      <c r="AB24" s="12">
        <v>522</v>
      </c>
      <c r="AC24" s="12">
        <v>646</v>
      </c>
      <c r="AD24" s="12">
        <v>501</v>
      </c>
      <c r="AE24" s="12">
        <v>439</v>
      </c>
      <c r="AF24" s="12">
        <v>293</v>
      </c>
    </row>
    <row r="25" spans="1:32">
      <c r="A25" s="23"/>
      <c r="B25" s="13" t="s">
        <v>718</v>
      </c>
      <c r="C25" s="14">
        <v>0.48</v>
      </c>
      <c r="D25" s="14">
        <v>0.47</v>
      </c>
      <c r="E25" s="14">
        <v>0.51</v>
      </c>
      <c r="F25" s="14">
        <v>0.6</v>
      </c>
      <c r="G25" s="14">
        <v>0.24</v>
      </c>
      <c r="H25" s="14">
        <v>0.24</v>
      </c>
      <c r="I25" s="14">
        <v>0.3</v>
      </c>
      <c r="J25" s="14">
        <v>0.56000000000000005</v>
      </c>
      <c r="K25" s="14">
        <v>0.78</v>
      </c>
      <c r="L25" s="14">
        <v>0.44</v>
      </c>
      <c r="M25" s="14">
        <v>0.73</v>
      </c>
      <c r="N25" s="14">
        <v>0.56000000000000005</v>
      </c>
      <c r="O25" s="14">
        <v>0.51</v>
      </c>
      <c r="P25" s="14">
        <v>0.25</v>
      </c>
      <c r="Q25" s="14">
        <v>0.65</v>
      </c>
      <c r="R25" s="14">
        <v>0.78</v>
      </c>
      <c r="S25" s="14">
        <v>0.67</v>
      </c>
      <c r="T25" s="14">
        <v>0.62</v>
      </c>
      <c r="U25" s="14">
        <v>0.47</v>
      </c>
      <c r="V25" s="14">
        <v>0.71</v>
      </c>
      <c r="W25" s="14">
        <v>0.43</v>
      </c>
      <c r="X25" s="14">
        <v>0.35</v>
      </c>
      <c r="Y25" s="14">
        <v>0.34</v>
      </c>
      <c r="Z25" s="14">
        <v>0.39</v>
      </c>
      <c r="AA25" s="14">
        <v>0.47</v>
      </c>
      <c r="AB25" s="14">
        <v>0.51</v>
      </c>
      <c r="AC25" s="14">
        <v>0.64</v>
      </c>
      <c r="AD25" s="14">
        <v>0.5</v>
      </c>
      <c r="AE25" s="14">
        <v>0.43</v>
      </c>
      <c r="AF25" s="14">
        <v>0.27</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2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2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1740</v>
      </c>
      <c r="C3" s="19"/>
      <c r="D3" s="19"/>
      <c r="E3" s="19"/>
      <c r="F3" s="19"/>
      <c r="H3" s="19" t="s">
        <v>1741</v>
      </c>
      <c r="I3" s="19"/>
      <c r="J3" s="19"/>
      <c r="K3" s="19"/>
      <c r="L3" s="19"/>
    </row>
    <row r="4" spans="1:32" ht="27" customHeight="1">
      <c r="B4" s="19" t="s">
        <v>1742</v>
      </c>
      <c r="C4" s="19"/>
      <c r="D4" s="19"/>
      <c r="E4" s="19"/>
      <c r="F4" s="19"/>
      <c r="H4" s="19" t="s">
        <v>1743</v>
      </c>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HYPERLINK("#Content!A215","&lt;&lt;Back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707</v>
      </c>
      <c r="C12" s="12">
        <v>5261</v>
      </c>
      <c r="D12" s="12">
        <v>157</v>
      </c>
      <c r="E12" s="12">
        <v>193</v>
      </c>
      <c r="F12" s="12">
        <v>141</v>
      </c>
      <c r="G12" s="12">
        <v>658</v>
      </c>
      <c r="H12" s="12">
        <v>389</v>
      </c>
      <c r="I12" s="12">
        <v>437</v>
      </c>
      <c r="J12" s="12">
        <v>48</v>
      </c>
      <c r="K12" s="12">
        <v>55</v>
      </c>
      <c r="L12" s="12">
        <v>191</v>
      </c>
      <c r="M12" s="12">
        <v>68</v>
      </c>
      <c r="N12" s="12">
        <v>124</v>
      </c>
      <c r="O12" s="12">
        <v>191</v>
      </c>
      <c r="P12" s="12">
        <v>385</v>
      </c>
      <c r="Q12" s="12">
        <v>53</v>
      </c>
      <c r="R12" s="12">
        <v>21</v>
      </c>
      <c r="S12" s="12">
        <v>100</v>
      </c>
      <c r="T12" s="12">
        <v>38</v>
      </c>
      <c r="U12" s="12">
        <v>137</v>
      </c>
      <c r="V12" s="12">
        <v>86</v>
      </c>
      <c r="W12" s="12">
        <v>109</v>
      </c>
      <c r="X12" s="12">
        <v>334</v>
      </c>
      <c r="Y12" s="12">
        <v>422</v>
      </c>
      <c r="Z12" s="12">
        <v>185</v>
      </c>
      <c r="AA12" s="12">
        <v>170</v>
      </c>
      <c r="AB12" s="12">
        <v>98</v>
      </c>
      <c r="AC12" s="12">
        <v>144</v>
      </c>
      <c r="AD12" s="12">
        <v>283</v>
      </c>
      <c r="AE12" s="12">
        <v>370</v>
      </c>
      <c r="AF12" s="12">
        <v>674</v>
      </c>
    </row>
    <row r="13" spans="1:32">
      <c r="A13" s="23"/>
      <c r="B13" s="13" t="s">
        <v>708</v>
      </c>
      <c r="C13" s="14">
        <v>0.2</v>
      </c>
      <c r="D13" s="14">
        <v>0.16</v>
      </c>
      <c r="E13" s="14">
        <v>0.19</v>
      </c>
      <c r="F13" s="14">
        <v>0.14000000000000001</v>
      </c>
      <c r="G13" s="14">
        <v>0.66</v>
      </c>
      <c r="H13" s="14">
        <v>0.32</v>
      </c>
      <c r="I13" s="14">
        <v>0.28999999999999998</v>
      </c>
      <c r="J13" s="14">
        <v>0.16</v>
      </c>
      <c r="K13" s="14">
        <v>0.06</v>
      </c>
      <c r="L13" s="14">
        <v>0.19</v>
      </c>
      <c r="M13" s="14">
        <v>7.0000000000000007E-2</v>
      </c>
      <c r="N13" s="14">
        <v>0.12</v>
      </c>
      <c r="O13" s="14">
        <v>0.19</v>
      </c>
      <c r="P13" s="14">
        <v>0.38</v>
      </c>
      <c r="Q13" s="14">
        <v>0.05</v>
      </c>
      <c r="R13" s="14">
        <v>0.04</v>
      </c>
      <c r="S13" s="14">
        <v>0.1</v>
      </c>
      <c r="T13" s="14">
        <v>0.04</v>
      </c>
      <c r="U13" s="14">
        <v>0.27</v>
      </c>
      <c r="V13" s="14">
        <v>0.08</v>
      </c>
      <c r="W13" s="14">
        <v>0.22</v>
      </c>
      <c r="X13" s="14">
        <v>0.33</v>
      </c>
      <c r="Y13" s="14">
        <v>0.42</v>
      </c>
      <c r="Z13" s="14">
        <v>0.18</v>
      </c>
      <c r="AA13" s="14">
        <v>0.16</v>
      </c>
      <c r="AB13" s="14">
        <v>0.09</v>
      </c>
      <c r="AC13" s="14">
        <v>0.14000000000000001</v>
      </c>
      <c r="AD13" s="14">
        <v>0.28000000000000003</v>
      </c>
      <c r="AE13" s="14">
        <v>0.37</v>
      </c>
      <c r="AF13" s="14">
        <v>0.63</v>
      </c>
    </row>
    <row r="14" spans="1:32">
      <c r="A14" s="23"/>
      <c r="B14" s="11" t="s">
        <v>709</v>
      </c>
      <c r="C14" s="12">
        <v>10851</v>
      </c>
      <c r="D14" s="12">
        <v>471</v>
      </c>
      <c r="E14" s="12">
        <v>340</v>
      </c>
      <c r="F14" s="12">
        <v>432</v>
      </c>
      <c r="G14" s="12">
        <v>241</v>
      </c>
      <c r="H14" s="12">
        <v>594</v>
      </c>
      <c r="I14" s="12">
        <v>735</v>
      </c>
      <c r="J14" s="12">
        <v>140</v>
      </c>
      <c r="K14" s="12">
        <v>338</v>
      </c>
      <c r="L14" s="12">
        <v>471</v>
      </c>
      <c r="M14" s="12">
        <v>223</v>
      </c>
      <c r="N14" s="12">
        <v>338</v>
      </c>
      <c r="O14" s="12">
        <v>396</v>
      </c>
      <c r="P14" s="12">
        <v>448</v>
      </c>
      <c r="Q14" s="12">
        <v>381</v>
      </c>
      <c r="R14" s="12">
        <v>96</v>
      </c>
      <c r="S14" s="12">
        <v>278</v>
      </c>
      <c r="T14" s="12">
        <v>366</v>
      </c>
      <c r="U14" s="12">
        <v>212</v>
      </c>
      <c r="V14" s="12">
        <v>241</v>
      </c>
      <c r="W14" s="12">
        <v>190</v>
      </c>
      <c r="X14" s="12">
        <v>466</v>
      </c>
      <c r="Y14" s="12">
        <v>377</v>
      </c>
      <c r="Z14" s="12">
        <v>589</v>
      </c>
      <c r="AA14" s="12">
        <v>426</v>
      </c>
      <c r="AB14" s="12">
        <v>430</v>
      </c>
      <c r="AC14" s="12">
        <v>395</v>
      </c>
      <c r="AD14" s="12">
        <v>383</v>
      </c>
      <c r="AE14" s="12">
        <v>442</v>
      </c>
      <c r="AF14" s="12">
        <v>310</v>
      </c>
    </row>
    <row r="15" spans="1:32">
      <c r="A15" s="23"/>
      <c r="B15" s="13" t="s">
        <v>710</v>
      </c>
      <c r="C15" s="14">
        <v>0.41</v>
      </c>
      <c r="D15" s="14">
        <v>0.47</v>
      </c>
      <c r="E15" s="14">
        <v>0.33</v>
      </c>
      <c r="F15" s="14">
        <v>0.43</v>
      </c>
      <c r="G15" s="14">
        <v>0.24</v>
      </c>
      <c r="H15" s="14">
        <v>0.49</v>
      </c>
      <c r="I15" s="14">
        <v>0.49</v>
      </c>
      <c r="J15" s="14">
        <v>0.48</v>
      </c>
      <c r="K15" s="14">
        <v>0.34</v>
      </c>
      <c r="L15" s="14">
        <v>0.47</v>
      </c>
      <c r="M15" s="14">
        <v>0.22</v>
      </c>
      <c r="N15" s="14">
        <v>0.34</v>
      </c>
      <c r="O15" s="14">
        <v>0.39</v>
      </c>
      <c r="P15" s="14">
        <v>0.44</v>
      </c>
      <c r="Q15" s="14">
        <v>0.37</v>
      </c>
      <c r="R15" s="14">
        <v>0.19</v>
      </c>
      <c r="S15" s="14">
        <v>0.28000000000000003</v>
      </c>
      <c r="T15" s="14">
        <v>0.36</v>
      </c>
      <c r="U15" s="14">
        <v>0.42</v>
      </c>
      <c r="V15" s="14">
        <v>0.24</v>
      </c>
      <c r="W15" s="14">
        <v>0.38</v>
      </c>
      <c r="X15" s="14">
        <v>0.46</v>
      </c>
      <c r="Y15" s="14">
        <v>0.37</v>
      </c>
      <c r="Z15" s="14">
        <v>0.57999999999999996</v>
      </c>
      <c r="AA15" s="14">
        <v>0.41</v>
      </c>
      <c r="AB15" s="14">
        <v>0.42</v>
      </c>
      <c r="AC15" s="14">
        <v>0.39</v>
      </c>
      <c r="AD15" s="14">
        <v>0.38</v>
      </c>
      <c r="AE15" s="14">
        <v>0.44</v>
      </c>
      <c r="AF15" s="14">
        <v>0.28999999999999998</v>
      </c>
    </row>
    <row r="16" spans="1:32">
      <c r="A16" s="23"/>
      <c r="B16" s="11" t="s">
        <v>711</v>
      </c>
      <c r="C16" s="12">
        <v>6042</v>
      </c>
      <c r="D16" s="12">
        <v>274</v>
      </c>
      <c r="E16" s="12">
        <v>286</v>
      </c>
      <c r="F16" s="12">
        <v>265</v>
      </c>
      <c r="G16" s="12">
        <v>59</v>
      </c>
      <c r="H16" s="12">
        <v>130</v>
      </c>
      <c r="I16" s="12">
        <v>211</v>
      </c>
      <c r="J16" s="12">
        <v>81</v>
      </c>
      <c r="K16" s="12">
        <v>325</v>
      </c>
      <c r="L16" s="12">
        <v>202</v>
      </c>
      <c r="M16" s="12">
        <v>401</v>
      </c>
      <c r="N16" s="12">
        <v>303</v>
      </c>
      <c r="O16" s="12">
        <v>237</v>
      </c>
      <c r="P16" s="12">
        <v>115</v>
      </c>
      <c r="Q16" s="12">
        <v>330</v>
      </c>
      <c r="R16" s="12">
        <v>173</v>
      </c>
      <c r="S16" s="12">
        <v>365</v>
      </c>
      <c r="T16" s="12">
        <v>369</v>
      </c>
      <c r="U16" s="12">
        <v>89</v>
      </c>
      <c r="V16" s="12">
        <v>324</v>
      </c>
      <c r="W16" s="12">
        <v>164</v>
      </c>
      <c r="X16" s="12">
        <v>139</v>
      </c>
      <c r="Y16" s="12">
        <v>111</v>
      </c>
      <c r="Z16" s="12">
        <v>176</v>
      </c>
      <c r="AA16" s="12">
        <v>334</v>
      </c>
      <c r="AB16" s="12">
        <v>295</v>
      </c>
      <c r="AC16" s="12">
        <v>287</v>
      </c>
      <c r="AD16" s="12">
        <v>172</v>
      </c>
      <c r="AE16" s="12">
        <v>144</v>
      </c>
      <c r="AF16" s="12">
        <v>56</v>
      </c>
    </row>
    <row r="17" spans="1:32">
      <c r="A17" s="23"/>
      <c r="B17" s="13" t="s">
        <v>712</v>
      </c>
      <c r="C17" s="14">
        <v>0.23</v>
      </c>
      <c r="D17" s="14">
        <v>0.27</v>
      </c>
      <c r="E17" s="14">
        <v>0.27</v>
      </c>
      <c r="F17" s="14">
        <v>0.26</v>
      </c>
      <c r="G17" s="14">
        <v>0.06</v>
      </c>
      <c r="H17" s="14">
        <v>0.11</v>
      </c>
      <c r="I17" s="14">
        <v>0.14000000000000001</v>
      </c>
      <c r="J17" s="14">
        <v>0.28000000000000003</v>
      </c>
      <c r="K17" s="14">
        <v>0.32</v>
      </c>
      <c r="L17" s="14">
        <v>0.2</v>
      </c>
      <c r="M17" s="14">
        <v>0.4</v>
      </c>
      <c r="N17" s="14">
        <v>0.3</v>
      </c>
      <c r="O17" s="14">
        <v>0.24</v>
      </c>
      <c r="P17" s="14">
        <v>0.12</v>
      </c>
      <c r="Q17" s="14">
        <v>0.32</v>
      </c>
      <c r="R17" s="14">
        <v>0.35</v>
      </c>
      <c r="S17" s="14">
        <v>0.36</v>
      </c>
      <c r="T17" s="14">
        <v>0.37</v>
      </c>
      <c r="U17" s="14">
        <v>0.18</v>
      </c>
      <c r="V17" s="14">
        <v>0.32</v>
      </c>
      <c r="W17" s="14">
        <v>0.33</v>
      </c>
      <c r="X17" s="14">
        <v>0.14000000000000001</v>
      </c>
      <c r="Y17" s="14">
        <v>0.11</v>
      </c>
      <c r="Z17" s="14">
        <v>0.17</v>
      </c>
      <c r="AA17" s="14">
        <v>0.32</v>
      </c>
      <c r="AB17" s="14">
        <v>0.28999999999999998</v>
      </c>
      <c r="AC17" s="14">
        <v>0.28999999999999998</v>
      </c>
      <c r="AD17" s="14">
        <v>0.17</v>
      </c>
      <c r="AE17" s="14">
        <v>0.14000000000000001</v>
      </c>
      <c r="AF17" s="14">
        <v>0.05</v>
      </c>
    </row>
    <row r="18" spans="1:32">
      <c r="A18" s="23"/>
      <c r="B18" s="11" t="s">
        <v>713</v>
      </c>
      <c r="C18" s="12">
        <v>3830</v>
      </c>
      <c r="D18" s="12">
        <v>101</v>
      </c>
      <c r="E18" s="12">
        <v>177</v>
      </c>
      <c r="F18" s="12">
        <v>153</v>
      </c>
      <c r="G18" s="12">
        <v>30</v>
      </c>
      <c r="H18" s="12">
        <v>67</v>
      </c>
      <c r="I18" s="12">
        <v>92</v>
      </c>
      <c r="J18" s="12">
        <v>24</v>
      </c>
      <c r="K18" s="12">
        <v>240</v>
      </c>
      <c r="L18" s="12">
        <v>121</v>
      </c>
      <c r="M18" s="12">
        <v>309</v>
      </c>
      <c r="N18" s="12">
        <v>215</v>
      </c>
      <c r="O18" s="12">
        <v>168</v>
      </c>
      <c r="P18" s="12">
        <v>52</v>
      </c>
      <c r="Q18" s="12">
        <v>256</v>
      </c>
      <c r="R18" s="12">
        <v>207</v>
      </c>
      <c r="S18" s="12">
        <v>225</v>
      </c>
      <c r="T18" s="12">
        <v>204</v>
      </c>
      <c r="U18" s="12">
        <v>51</v>
      </c>
      <c r="V18" s="12">
        <v>350</v>
      </c>
      <c r="W18" s="12">
        <v>38</v>
      </c>
      <c r="X18" s="12">
        <v>70</v>
      </c>
      <c r="Y18" s="12">
        <v>80</v>
      </c>
      <c r="Z18" s="12">
        <v>57</v>
      </c>
      <c r="AA18" s="12">
        <v>103</v>
      </c>
      <c r="AB18" s="12">
        <v>190</v>
      </c>
      <c r="AC18" s="12">
        <v>158</v>
      </c>
      <c r="AD18" s="12">
        <v>136</v>
      </c>
      <c r="AE18" s="12">
        <v>40</v>
      </c>
      <c r="AF18" s="12">
        <v>28</v>
      </c>
    </row>
    <row r="19" spans="1:32">
      <c r="A19" s="23"/>
      <c r="B19" s="13" t="s">
        <v>714</v>
      </c>
      <c r="C19" s="14">
        <v>0.15</v>
      </c>
      <c r="D19" s="14">
        <v>0.1</v>
      </c>
      <c r="E19" s="14">
        <v>0.17</v>
      </c>
      <c r="F19" s="14">
        <v>0.15</v>
      </c>
      <c r="G19" s="14">
        <v>0.03</v>
      </c>
      <c r="H19" s="14">
        <v>0.06</v>
      </c>
      <c r="I19" s="14">
        <v>0.06</v>
      </c>
      <c r="J19" s="14">
        <v>0.08</v>
      </c>
      <c r="K19" s="14">
        <v>0.24</v>
      </c>
      <c r="L19" s="14">
        <v>0.12</v>
      </c>
      <c r="M19" s="14">
        <v>0.3</v>
      </c>
      <c r="N19" s="14">
        <v>0.22</v>
      </c>
      <c r="O19" s="14">
        <v>0.17</v>
      </c>
      <c r="P19" s="14">
        <v>0.05</v>
      </c>
      <c r="Q19" s="14">
        <v>0.25</v>
      </c>
      <c r="R19" s="14">
        <v>0.41</v>
      </c>
      <c r="S19" s="14">
        <v>0.22</v>
      </c>
      <c r="T19" s="14">
        <v>0.2</v>
      </c>
      <c r="U19" s="14">
        <v>0.1</v>
      </c>
      <c r="V19" s="14">
        <v>0.35</v>
      </c>
      <c r="W19" s="14">
        <v>7.0000000000000007E-2</v>
      </c>
      <c r="X19" s="14">
        <v>7.0000000000000007E-2</v>
      </c>
      <c r="Y19" s="14">
        <v>0.08</v>
      </c>
      <c r="Z19" s="14">
        <v>0.06</v>
      </c>
      <c r="AA19" s="14">
        <v>0.1</v>
      </c>
      <c r="AB19" s="14">
        <v>0.18</v>
      </c>
      <c r="AC19" s="14">
        <v>0.16</v>
      </c>
      <c r="AD19" s="14">
        <v>0.14000000000000001</v>
      </c>
      <c r="AE19" s="14">
        <v>0.04</v>
      </c>
      <c r="AF19" s="14">
        <v>0.03</v>
      </c>
    </row>
    <row r="20" spans="1:32">
      <c r="A20" s="23"/>
      <c r="B20" s="11" t="s">
        <v>497</v>
      </c>
      <c r="C20" s="12">
        <v>371</v>
      </c>
      <c r="D20" s="12">
        <v>3</v>
      </c>
      <c r="E20" s="12">
        <v>47</v>
      </c>
      <c r="F20" s="12">
        <v>17</v>
      </c>
      <c r="G20" s="12">
        <v>15</v>
      </c>
      <c r="H20" s="12">
        <v>29</v>
      </c>
      <c r="I20" s="12">
        <v>30</v>
      </c>
      <c r="J20" s="12">
        <v>1</v>
      </c>
      <c r="K20" s="12">
        <v>45</v>
      </c>
      <c r="L20" s="12">
        <v>22</v>
      </c>
      <c r="M20" s="12">
        <v>10</v>
      </c>
      <c r="N20" s="12">
        <v>21</v>
      </c>
      <c r="O20" s="12">
        <v>13</v>
      </c>
      <c r="P20" s="12">
        <v>11</v>
      </c>
      <c r="Q20" s="12">
        <v>3</v>
      </c>
      <c r="R20" s="12">
        <v>4</v>
      </c>
      <c r="S20" s="12">
        <v>37</v>
      </c>
      <c r="T20" s="12">
        <v>27</v>
      </c>
      <c r="U20" s="12">
        <v>13</v>
      </c>
      <c r="V20" s="12">
        <v>10</v>
      </c>
      <c r="W20" s="12">
        <v>2</v>
      </c>
      <c r="X20" s="12">
        <v>7</v>
      </c>
      <c r="Y20" s="12">
        <v>17</v>
      </c>
      <c r="Z20" s="12">
        <v>11</v>
      </c>
      <c r="AA20" s="12">
        <v>7</v>
      </c>
      <c r="AB20" s="12">
        <v>18</v>
      </c>
      <c r="AC20" s="12">
        <v>21</v>
      </c>
      <c r="AD20" s="12">
        <v>28</v>
      </c>
      <c r="AE20" s="12">
        <v>12</v>
      </c>
      <c r="AF20" s="12">
        <v>5</v>
      </c>
    </row>
    <row r="21" spans="1:32">
      <c r="A21" s="23"/>
      <c r="B21" s="13" t="s">
        <v>498</v>
      </c>
      <c r="C21" s="14">
        <v>0.01</v>
      </c>
      <c r="D21" s="15" t="s">
        <v>485</v>
      </c>
      <c r="E21" s="14">
        <v>0.04</v>
      </c>
      <c r="F21" s="14">
        <v>0.02</v>
      </c>
      <c r="G21" s="14">
        <v>0.01</v>
      </c>
      <c r="H21" s="14">
        <v>0.02</v>
      </c>
      <c r="I21" s="14">
        <v>0.02</v>
      </c>
      <c r="J21" s="15" t="s">
        <v>485</v>
      </c>
      <c r="K21" s="14">
        <v>0.04</v>
      </c>
      <c r="L21" s="14">
        <v>0.02</v>
      </c>
      <c r="M21" s="14">
        <v>0.01</v>
      </c>
      <c r="N21" s="14">
        <v>0.02</v>
      </c>
      <c r="O21" s="14">
        <v>0.01</v>
      </c>
      <c r="P21" s="14">
        <v>0.01</v>
      </c>
      <c r="Q21" s="14">
        <v>0.01</v>
      </c>
      <c r="R21" s="14">
        <v>0.01</v>
      </c>
      <c r="S21" s="14">
        <v>0.04</v>
      </c>
      <c r="T21" s="14">
        <v>0.03</v>
      </c>
      <c r="U21" s="14">
        <v>0.03</v>
      </c>
      <c r="V21" s="14">
        <v>0.01</v>
      </c>
      <c r="W21" s="15" t="s">
        <v>485</v>
      </c>
      <c r="X21" s="15" t="s">
        <v>485</v>
      </c>
      <c r="Y21" s="14">
        <v>0.02</v>
      </c>
      <c r="Z21" s="14">
        <v>0.01</v>
      </c>
      <c r="AA21" s="14">
        <v>0.01</v>
      </c>
      <c r="AB21" s="14">
        <v>0.02</v>
      </c>
      <c r="AC21" s="14">
        <v>0.02</v>
      </c>
      <c r="AD21" s="14">
        <v>0.03</v>
      </c>
      <c r="AE21" s="14">
        <v>0.01</v>
      </c>
      <c r="AF21" s="15" t="s">
        <v>485</v>
      </c>
    </row>
    <row r="22" spans="1:32">
      <c r="A22" s="23"/>
      <c r="B22" s="11" t="s">
        <v>715</v>
      </c>
      <c r="C22" s="12">
        <v>16112</v>
      </c>
      <c r="D22" s="12">
        <v>628</v>
      </c>
      <c r="E22" s="12">
        <v>533</v>
      </c>
      <c r="F22" s="12">
        <v>573</v>
      </c>
      <c r="G22" s="12">
        <v>899</v>
      </c>
      <c r="H22" s="12">
        <v>983</v>
      </c>
      <c r="I22" s="12">
        <v>1172</v>
      </c>
      <c r="J22" s="12">
        <v>188</v>
      </c>
      <c r="K22" s="12">
        <v>393</v>
      </c>
      <c r="L22" s="12">
        <v>662</v>
      </c>
      <c r="M22" s="12">
        <v>291</v>
      </c>
      <c r="N22" s="12">
        <v>462</v>
      </c>
      <c r="O22" s="12">
        <v>587</v>
      </c>
      <c r="P22" s="12">
        <v>833</v>
      </c>
      <c r="Q22" s="12">
        <v>434</v>
      </c>
      <c r="R22" s="12">
        <v>117</v>
      </c>
      <c r="S22" s="12">
        <v>378</v>
      </c>
      <c r="T22" s="12">
        <v>404</v>
      </c>
      <c r="U22" s="12">
        <v>349</v>
      </c>
      <c r="V22" s="12">
        <v>327</v>
      </c>
      <c r="W22" s="12">
        <v>299</v>
      </c>
      <c r="X22" s="12">
        <v>800</v>
      </c>
      <c r="Y22" s="12">
        <v>799</v>
      </c>
      <c r="Z22" s="12">
        <v>774</v>
      </c>
      <c r="AA22" s="12">
        <v>596</v>
      </c>
      <c r="AB22" s="12">
        <v>528</v>
      </c>
      <c r="AC22" s="12">
        <v>539</v>
      </c>
      <c r="AD22" s="12">
        <v>666</v>
      </c>
      <c r="AE22" s="12">
        <v>812</v>
      </c>
      <c r="AF22" s="12">
        <v>984</v>
      </c>
    </row>
    <row r="23" spans="1:32">
      <c r="A23" s="23"/>
      <c r="B23" s="13" t="s">
        <v>716</v>
      </c>
      <c r="C23" s="14">
        <v>0.61</v>
      </c>
      <c r="D23" s="14">
        <v>0.63</v>
      </c>
      <c r="E23" s="14">
        <v>0.52</v>
      </c>
      <c r="F23" s="14">
        <v>0.57000000000000006</v>
      </c>
      <c r="G23" s="14">
        <v>0.9</v>
      </c>
      <c r="H23" s="14">
        <v>0.81</v>
      </c>
      <c r="I23" s="14">
        <v>0.78</v>
      </c>
      <c r="J23" s="14">
        <v>0.64</v>
      </c>
      <c r="K23" s="14">
        <v>0.4</v>
      </c>
      <c r="L23" s="14">
        <v>0.66</v>
      </c>
      <c r="M23" s="14">
        <v>0.28999999999999998</v>
      </c>
      <c r="N23" s="14">
        <v>0.46</v>
      </c>
      <c r="O23" s="14">
        <v>0.57999999999999996</v>
      </c>
      <c r="P23" s="14">
        <v>0.82000000000000006</v>
      </c>
      <c r="Q23" s="14">
        <v>0.42</v>
      </c>
      <c r="R23" s="14">
        <v>0.23</v>
      </c>
      <c r="S23" s="14">
        <v>0.38</v>
      </c>
      <c r="T23" s="14">
        <v>0.4</v>
      </c>
      <c r="U23" s="14">
        <v>0.69000000000000006</v>
      </c>
      <c r="V23" s="14">
        <v>0.32</v>
      </c>
      <c r="W23" s="14">
        <v>0.6</v>
      </c>
      <c r="X23" s="14">
        <v>0.79</v>
      </c>
      <c r="Y23" s="14">
        <v>0.79</v>
      </c>
      <c r="Z23" s="14">
        <v>0.76</v>
      </c>
      <c r="AA23" s="14">
        <v>0.57000000000000006</v>
      </c>
      <c r="AB23" s="14">
        <v>0.51</v>
      </c>
      <c r="AC23" s="14">
        <v>0.53</v>
      </c>
      <c r="AD23" s="14">
        <v>0.66</v>
      </c>
      <c r="AE23" s="14">
        <v>0.81</v>
      </c>
      <c r="AF23" s="14">
        <v>0.92</v>
      </c>
    </row>
    <row r="24" spans="1:32">
      <c r="A24" s="23"/>
      <c r="B24" s="11" t="s">
        <v>717</v>
      </c>
      <c r="C24" s="12">
        <v>9872</v>
      </c>
      <c r="D24" s="12">
        <v>375</v>
      </c>
      <c r="E24" s="12">
        <v>463</v>
      </c>
      <c r="F24" s="12">
        <v>418</v>
      </c>
      <c r="G24" s="12">
        <v>89</v>
      </c>
      <c r="H24" s="12">
        <v>197</v>
      </c>
      <c r="I24" s="12">
        <v>303</v>
      </c>
      <c r="J24" s="12">
        <v>105</v>
      </c>
      <c r="K24" s="12">
        <v>565</v>
      </c>
      <c r="L24" s="12">
        <v>323</v>
      </c>
      <c r="M24" s="12">
        <v>710</v>
      </c>
      <c r="N24" s="12">
        <v>518</v>
      </c>
      <c r="O24" s="12">
        <v>405</v>
      </c>
      <c r="P24" s="12">
        <v>167</v>
      </c>
      <c r="Q24" s="12">
        <v>586</v>
      </c>
      <c r="R24" s="12">
        <v>380</v>
      </c>
      <c r="S24" s="12">
        <v>590</v>
      </c>
      <c r="T24" s="12">
        <v>573</v>
      </c>
      <c r="U24" s="12">
        <v>140</v>
      </c>
      <c r="V24" s="12">
        <v>674</v>
      </c>
      <c r="W24" s="12">
        <v>202</v>
      </c>
      <c r="X24" s="12">
        <v>209</v>
      </c>
      <c r="Y24" s="12">
        <v>191</v>
      </c>
      <c r="Z24" s="12">
        <v>233</v>
      </c>
      <c r="AA24" s="12">
        <v>437</v>
      </c>
      <c r="AB24" s="12">
        <v>485</v>
      </c>
      <c r="AC24" s="12">
        <v>445</v>
      </c>
      <c r="AD24" s="12">
        <v>308</v>
      </c>
      <c r="AE24" s="12">
        <v>184</v>
      </c>
      <c r="AF24" s="12">
        <v>84</v>
      </c>
    </row>
    <row r="25" spans="1:32">
      <c r="A25" s="23"/>
      <c r="B25" s="13" t="s">
        <v>718</v>
      </c>
      <c r="C25" s="14">
        <v>0.38</v>
      </c>
      <c r="D25" s="14">
        <v>0.37</v>
      </c>
      <c r="E25" s="14">
        <v>0.44</v>
      </c>
      <c r="F25" s="14">
        <v>0.41</v>
      </c>
      <c r="G25" s="14">
        <v>0.09</v>
      </c>
      <c r="H25" s="14">
        <v>0.17</v>
      </c>
      <c r="I25" s="14">
        <v>0.2</v>
      </c>
      <c r="J25" s="14">
        <v>0.36</v>
      </c>
      <c r="K25" s="14">
        <v>0.56000000000000005</v>
      </c>
      <c r="L25" s="14">
        <v>0.32</v>
      </c>
      <c r="M25" s="14">
        <v>0.70000000000000007</v>
      </c>
      <c r="N25" s="14">
        <v>0.52</v>
      </c>
      <c r="O25" s="14">
        <v>0.41</v>
      </c>
      <c r="P25" s="14">
        <v>0.17</v>
      </c>
      <c r="Q25" s="14">
        <v>0.57000000000000006</v>
      </c>
      <c r="R25" s="14">
        <v>0.76</v>
      </c>
      <c r="S25" s="14">
        <v>0.57999999999999996</v>
      </c>
      <c r="T25" s="14">
        <v>0.57000000000000006</v>
      </c>
      <c r="U25" s="14">
        <v>0.28000000000000003</v>
      </c>
      <c r="V25" s="14">
        <v>0.67</v>
      </c>
      <c r="W25" s="14">
        <v>0.4</v>
      </c>
      <c r="X25" s="14">
        <v>0.21</v>
      </c>
      <c r="Y25" s="14">
        <v>0.19</v>
      </c>
      <c r="Z25" s="14">
        <v>0.23</v>
      </c>
      <c r="AA25" s="14">
        <v>0.42</v>
      </c>
      <c r="AB25" s="14">
        <v>0.47</v>
      </c>
      <c r="AC25" s="14">
        <v>0.45</v>
      </c>
      <c r="AD25" s="14">
        <v>0.31</v>
      </c>
      <c r="AE25" s="14">
        <v>0.18</v>
      </c>
      <c r="AF25" s="14">
        <v>0.08</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2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3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1744</v>
      </c>
      <c r="C3" s="19"/>
      <c r="D3" s="19"/>
      <c r="E3" s="19"/>
      <c r="F3" s="19"/>
      <c r="H3" s="19" t="s">
        <v>1745</v>
      </c>
      <c r="I3" s="19"/>
      <c r="J3" s="19"/>
      <c r="K3" s="19"/>
      <c r="L3" s="19"/>
    </row>
    <row r="4" spans="1:32" ht="27" customHeight="1">
      <c r="B4" s="19" t="s">
        <v>1746</v>
      </c>
      <c r="C4" s="19"/>
      <c r="D4" s="19"/>
      <c r="E4" s="19"/>
      <c r="F4" s="19"/>
      <c r="H4" s="19" t="s">
        <v>1747</v>
      </c>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HYPERLINK("#Content!A216","&lt;&lt;Back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707</v>
      </c>
      <c r="C12" s="12">
        <v>5202</v>
      </c>
      <c r="D12" s="12">
        <v>139</v>
      </c>
      <c r="E12" s="12">
        <v>114</v>
      </c>
      <c r="F12" s="12">
        <v>94</v>
      </c>
      <c r="G12" s="12">
        <v>466</v>
      </c>
      <c r="H12" s="12">
        <v>372</v>
      </c>
      <c r="I12" s="12">
        <v>432</v>
      </c>
      <c r="J12" s="12">
        <v>60</v>
      </c>
      <c r="K12" s="12">
        <v>96</v>
      </c>
      <c r="L12" s="12">
        <v>254</v>
      </c>
      <c r="M12" s="12">
        <v>70</v>
      </c>
      <c r="N12" s="12">
        <v>196</v>
      </c>
      <c r="O12" s="12">
        <v>190</v>
      </c>
      <c r="P12" s="12">
        <v>337</v>
      </c>
      <c r="Q12" s="12">
        <v>124</v>
      </c>
      <c r="R12" s="12">
        <v>21</v>
      </c>
      <c r="S12" s="12">
        <v>98</v>
      </c>
      <c r="T12" s="12">
        <v>66</v>
      </c>
      <c r="U12" s="12">
        <v>143</v>
      </c>
      <c r="V12" s="12">
        <v>78</v>
      </c>
      <c r="W12" s="12">
        <v>127</v>
      </c>
      <c r="X12" s="12">
        <v>291</v>
      </c>
      <c r="Y12" s="12">
        <v>330</v>
      </c>
      <c r="Z12" s="12">
        <v>136</v>
      </c>
      <c r="AA12" s="12">
        <v>239</v>
      </c>
      <c r="AB12" s="12">
        <v>101</v>
      </c>
      <c r="AC12" s="12">
        <v>142</v>
      </c>
      <c r="AD12" s="12">
        <v>164</v>
      </c>
      <c r="AE12" s="12">
        <v>205</v>
      </c>
      <c r="AF12" s="12">
        <v>445</v>
      </c>
    </row>
    <row r="13" spans="1:32">
      <c r="A13" s="23"/>
      <c r="B13" s="13" t="s">
        <v>708</v>
      </c>
      <c r="C13" s="14">
        <v>0.2</v>
      </c>
      <c r="D13" s="14">
        <v>0.14000000000000001</v>
      </c>
      <c r="E13" s="14">
        <v>0.11</v>
      </c>
      <c r="F13" s="14">
        <v>0.09</v>
      </c>
      <c r="G13" s="14">
        <v>0.47</v>
      </c>
      <c r="H13" s="14">
        <v>0.31</v>
      </c>
      <c r="I13" s="14">
        <v>0.28999999999999998</v>
      </c>
      <c r="J13" s="14">
        <v>0.2</v>
      </c>
      <c r="K13" s="14">
        <v>0.1</v>
      </c>
      <c r="L13" s="14">
        <v>0.25</v>
      </c>
      <c r="M13" s="14">
        <v>7.0000000000000007E-2</v>
      </c>
      <c r="N13" s="14">
        <v>0.2</v>
      </c>
      <c r="O13" s="14">
        <v>0.19</v>
      </c>
      <c r="P13" s="14">
        <v>0.33</v>
      </c>
      <c r="Q13" s="14">
        <v>0.12</v>
      </c>
      <c r="R13" s="14">
        <v>0.04</v>
      </c>
      <c r="S13" s="14">
        <v>0.1</v>
      </c>
      <c r="T13" s="14">
        <v>0.06</v>
      </c>
      <c r="U13" s="14">
        <v>0.28000000000000003</v>
      </c>
      <c r="V13" s="14">
        <v>7.0000000000000007E-2</v>
      </c>
      <c r="W13" s="14">
        <v>0.25</v>
      </c>
      <c r="X13" s="14">
        <v>0.28999999999999998</v>
      </c>
      <c r="Y13" s="14">
        <v>0.33</v>
      </c>
      <c r="Z13" s="14">
        <v>0.13</v>
      </c>
      <c r="AA13" s="14">
        <v>0.23</v>
      </c>
      <c r="AB13" s="14">
        <v>0.1</v>
      </c>
      <c r="AC13" s="14">
        <v>0.14000000000000001</v>
      </c>
      <c r="AD13" s="14">
        <v>0.16</v>
      </c>
      <c r="AE13" s="14">
        <v>0.2</v>
      </c>
      <c r="AF13" s="14">
        <v>0.41</v>
      </c>
    </row>
    <row r="14" spans="1:32">
      <c r="A14" s="23"/>
      <c r="B14" s="11" t="s">
        <v>709</v>
      </c>
      <c r="C14" s="12">
        <v>12546</v>
      </c>
      <c r="D14" s="12">
        <v>520</v>
      </c>
      <c r="E14" s="12">
        <v>377</v>
      </c>
      <c r="F14" s="12">
        <v>389</v>
      </c>
      <c r="G14" s="12">
        <v>380</v>
      </c>
      <c r="H14" s="12">
        <v>629</v>
      </c>
      <c r="I14" s="12">
        <v>771</v>
      </c>
      <c r="J14" s="12">
        <v>142</v>
      </c>
      <c r="K14" s="12">
        <v>492</v>
      </c>
      <c r="L14" s="12">
        <v>506</v>
      </c>
      <c r="M14" s="12">
        <v>321</v>
      </c>
      <c r="N14" s="12">
        <v>426</v>
      </c>
      <c r="O14" s="12">
        <v>501</v>
      </c>
      <c r="P14" s="12">
        <v>446</v>
      </c>
      <c r="Q14" s="12">
        <v>467</v>
      </c>
      <c r="R14" s="12">
        <v>147</v>
      </c>
      <c r="S14" s="12">
        <v>415</v>
      </c>
      <c r="T14" s="12">
        <v>524</v>
      </c>
      <c r="U14" s="12">
        <v>244</v>
      </c>
      <c r="V14" s="12">
        <v>351</v>
      </c>
      <c r="W14" s="12">
        <v>276</v>
      </c>
      <c r="X14" s="12">
        <v>484</v>
      </c>
      <c r="Y14" s="12">
        <v>421</v>
      </c>
      <c r="Z14" s="12">
        <v>604</v>
      </c>
      <c r="AA14" s="12">
        <v>556</v>
      </c>
      <c r="AB14" s="12">
        <v>500</v>
      </c>
      <c r="AC14" s="12">
        <v>375</v>
      </c>
      <c r="AD14" s="12">
        <v>397</v>
      </c>
      <c r="AE14" s="12">
        <v>516</v>
      </c>
      <c r="AF14" s="12">
        <v>483</v>
      </c>
    </row>
    <row r="15" spans="1:32">
      <c r="A15" s="23"/>
      <c r="B15" s="13" t="s">
        <v>710</v>
      </c>
      <c r="C15" s="14">
        <v>0.48</v>
      </c>
      <c r="D15" s="14">
        <v>0.52</v>
      </c>
      <c r="E15" s="14">
        <v>0.36</v>
      </c>
      <c r="F15" s="14">
        <v>0.39</v>
      </c>
      <c r="G15" s="14">
        <v>0.38</v>
      </c>
      <c r="H15" s="14">
        <v>0.52</v>
      </c>
      <c r="I15" s="14">
        <v>0.51</v>
      </c>
      <c r="J15" s="14">
        <v>0.48</v>
      </c>
      <c r="K15" s="14">
        <v>0.49</v>
      </c>
      <c r="L15" s="14">
        <v>0.5</v>
      </c>
      <c r="M15" s="14">
        <v>0.32</v>
      </c>
      <c r="N15" s="14">
        <v>0.43</v>
      </c>
      <c r="O15" s="14">
        <v>0.5</v>
      </c>
      <c r="P15" s="14">
        <v>0.44</v>
      </c>
      <c r="Q15" s="14">
        <v>0.46</v>
      </c>
      <c r="R15" s="14">
        <v>0.28999999999999998</v>
      </c>
      <c r="S15" s="14">
        <v>0.41</v>
      </c>
      <c r="T15" s="14">
        <v>0.52</v>
      </c>
      <c r="U15" s="14">
        <v>0.49</v>
      </c>
      <c r="V15" s="14">
        <v>0.35</v>
      </c>
      <c r="W15" s="14">
        <v>0.55000000000000004</v>
      </c>
      <c r="X15" s="14">
        <v>0.47</v>
      </c>
      <c r="Y15" s="14">
        <v>0.42</v>
      </c>
      <c r="Z15" s="14">
        <v>0.59</v>
      </c>
      <c r="AA15" s="14">
        <v>0.54</v>
      </c>
      <c r="AB15" s="14">
        <v>0.48</v>
      </c>
      <c r="AC15" s="14">
        <v>0.37</v>
      </c>
      <c r="AD15" s="14">
        <v>0.4</v>
      </c>
      <c r="AE15" s="14">
        <v>0.51</v>
      </c>
      <c r="AF15" s="14">
        <v>0.45</v>
      </c>
    </row>
    <row r="16" spans="1:32">
      <c r="A16" s="23"/>
      <c r="B16" s="11" t="s">
        <v>711</v>
      </c>
      <c r="C16" s="12">
        <v>5598</v>
      </c>
      <c r="D16" s="12">
        <v>266</v>
      </c>
      <c r="E16" s="12">
        <v>321</v>
      </c>
      <c r="F16" s="12">
        <v>338</v>
      </c>
      <c r="G16" s="12">
        <v>111</v>
      </c>
      <c r="H16" s="12">
        <v>138</v>
      </c>
      <c r="I16" s="12">
        <v>208</v>
      </c>
      <c r="J16" s="12">
        <v>70</v>
      </c>
      <c r="K16" s="12">
        <v>246</v>
      </c>
      <c r="L16" s="12">
        <v>147</v>
      </c>
      <c r="M16" s="12">
        <v>389</v>
      </c>
      <c r="N16" s="12">
        <v>232</v>
      </c>
      <c r="O16" s="12">
        <v>200</v>
      </c>
      <c r="P16" s="12">
        <v>163</v>
      </c>
      <c r="Q16" s="12">
        <v>277</v>
      </c>
      <c r="R16" s="12">
        <v>192</v>
      </c>
      <c r="S16" s="12">
        <v>295</v>
      </c>
      <c r="T16" s="12">
        <v>269</v>
      </c>
      <c r="U16" s="12">
        <v>80</v>
      </c>
      <c r="V16" s="12">
        <v>354</v>
      </c>
      <c r="W16" s="12">
        <v>79</v>
      </c>
      <c r="X16" s="12">
        <v>173</v>
      </c>
      <c r="Y16" s="12">
        <v>157</v>
      </c>
      <c r="Z16" s="12">
        <v>192</v>
      </c>
      <c r="AA16" s="12">
        <v>191</v>
      </c>
      <c r="AB16" s="12">
        <v>254</v>
      </c>
      <c r="AC16" s="12">
        <v>330</v>
      </c>
      <c r="AD16" s="12">
        <v>267</v>
      </c>
      <c r="AE16" s="12">
        <v>234</v>
      </c>
      <c r="AF16" s="12">
        <v>106</v>
      </c>
    </row>
    <row r="17" spans="1:32">
      <c r="A17" s="23"/>
      <c r="B17" s="13" t="s">
        <v>712</v>
      </c>
      <c r="C17" s="14">
        <v>0.21</v>
      </c>
      <c r="D17" s="14">
        <v>0.26</v>
      </c>
      <c r="E17" s="14">
        <v>0.31</v>
      </c>
      <c r="F17" s="14">
        <v>0.34</v>
      </c>
      <c r="G17" s="14">
        <v>0.11</v>
      </c>
      <c r="H17" s="14">
        <v>0.11</v>
      </c>
      <c r="I17" s="14">
        <v>0.14000000000000001</v>
      </c>
      <c r="J17" s="14">
        <v>0.24</v>
      </c>
      <c r="K17" s="14">
        <v>0.24</v>
      </c>
      <c r="L17" s="14">
        <v>0.15</v>
      </c>
      <c r="M17" s="14">
        <v>0.39</v>
      </c>
      <c r="N17" s="14">
        <v>0.23</v>
      </c>
      <c r="O17" s="14">
        <v>0.2</v>
      </c>
      <c r="P17" s="14">
        <v>0.16</v>
      </c>
      <c r="Q17" s="14">
        <v>0.27</v>
      </c>
      <c r="R17" s="14">
        <v>0.39</v>
      </c>
      <c r="S17" s="14">
        <v>0.28999999999999998</v>
      </c>
      <c r="T17" s="14">
        <v>0.27</v>
      </c>
      <c r="U17" s="14">
        <v>0.16</v>
      </c>
      <c r="V17" s="14">
        <v>0.35</v>
      </c>
      <c r="W17" s="14">
        <v>0.16</v>
      </c>
      <c r="X17" s="14">
        <v>0.17</v>
      </c>
      <c r="Y17" s="14">
        <v>0.15</v>
      </c>
      <c r="Z17" s="14">
        <v>0.19</v>
      </c>
      <c r="AA17" s="14">
        <v>0.18</v>
      </c>
      <c r="AB17" s="14">
        <v>0.25</v>
      </c>
      <c r="AC17" s="14">
        <v>0.33</v>
      </c>
      <c r="AD17" s="14">
        <v>0.27</v>
      </c>
      <c r="AE17" s="14">
        <v>0.23</v>
      </c>
      <c r="AF17" s="14">
        <v>0.1</v>
      </c>
    </row>
    <row r="18" spans="1:32">
      <c r="A18" s="23"/>
      <c r="B18" s="11" t="s">
        <v>713</v>
      </c>
      <c r="C18" s="12">
        <v>2360</v>
      </c>
      <c r="D18" s="12">
        <v>70</v>
      </c>
      <c r="E18" s="12">
        <v>171</v>
      </c>
      <c r="F18" s="12">
        <v>164</v>
      </c>
      <c r="G18" s="12">
        <v>32</v>
      </c>
      <c r="H18" s="12">
        <v>35</v>
      </c>
      <c r="I18" s="12">
        <v>53</v>
      </c>
      <c r="J18" s="12">
        <v>18</v>
      </c>
      <c r="K18" s="12">
        <v>124</v>
      </c>
      <c r="L18" s="12">
        <v>81</v>
      </c>
      <c r="M18" s="12">
        <v>207</v>
      </c>
      <c r="N18" s="12">
        <v>104</v>
      </c>
      <c r="O18" s="12">
        <v>89</v>
      </c>
      <c r="P18" s="12">
        <v>48</v>
      </c>
      <c r="Q18" s="12">
        <v>146</v>
      </c>
      <c r="R18" s="12">
        <v>126</v>
      </c>
      <c r="S18" s="12">
        <v>129</v>
      </c>
      <c r="T18" s="12">
        <v>68</v>
      </c>
      <c r="U18" s="12">
        <v>27</v>
      </c>
      <c r="V18" s="12">
        <v>209</v>
      </c>
      <c r="W18" s="12">
        <v>13</v>
      </c>
      <c r="X18" s="12">
        <v>60</v>
      </c>
      <c r="Y18" s="12">
        <v>70</v>
      </c>
      <c r="Z18" s="12">
        <v>55</v>
      </c>
      <c r="AA18" s="12">
        <v>42</v>
      </c>
      <c r="AB18" s="12">
        <v>145</v>
      </c>
      <c r="AC18" s="12">
        <v>137</v>
      </c>
      <c r="AD18" s="12">
        <v>139</v>
      </c>
      <c r="AE18" s="12">
        <v>34</v>
      </c>
      <c r="AF18" s="12">
        <v>27</v>
      </c>
    </row>
    <row r="19" spans="1:32">
      <c r="A19" s="23"/>
      <c r="B19" s="13" t="s">
        <v>714</v>
      </c>
      <c r="C19" s="14">
        <v>0.09</v>
      </c>
      <c r="D19" s="14">
        <v>7.0000000000000007E-2</v>
      </c>
      <c r="E19" s="14">
        <v>0.16</v>
      </c>
      <c r="F19" s="14">
        <v>0.16</v>
      </c>
      <c r="G19" s="14">
        <v>0.03</v>
      </c>
      <c r="H19" s="14">
        <v>0.03</v>
      </c>
      <c r="I19" s="14">
        <v>0.03</v>
      </c>
      <c r="J19" s="14">
        <v>0.06</v>
      </c>
      <c r="K19" s="14">
        <v>0.12</v>
      </c>
      <c r="L19" s="14">
        <v>0.08</v>
      </c>
      <c r="M19" s="14">
        <v>0.2</v>
      </c>
      <c r="N19" s="14">
        <v>0.1</v>
      </c>
      <c r="O19" s="14">
        <v>0.09</v>
      </c>
      <c r="P19" s="14">
        <v>0.05</v>
      </c>
      <c r="Q19" s="14">
        <v>0.14000000000000001</v>
      </c>
      <c r="R19" s="14">
        <v>0.25</v>
      </c>
      <c r="S19" s="14">
        <v>0.13</v>
      </c>
      <c r="T19" s="14">
        <v>7.0000000000000007E-2</v>
      </c>
      <c r="U19" s="14">
        <v>0.05</v>
      </c>
      <c r="V19" s="14">
        <v>0.21</v>
      </c>
      <c r="W19" s="14">
        <v>0.03</v>
      </c>
      <c r="X19" s="14">
        <v>0.06</v>
      </c>
      <c r="Y19" s="14">
        <v>7.0000000000000007E-2</v>
      </c>
      <c r="Z19" s="14">
        <v>0.06</v>
      </c>
      <c r="AA19" s="14">
        <v>0.04</v>
      </c>
      <c r="AB19" s="14">
        <v>0.14000000000000001</v>
      </c>
      <c r="AC19" s="14">
        <v>0.14000000000000001</v>
      </c>
      <c r="AD19" s="14">
        <v>0.14000000000000001</v>
      </c>
      <c r="AE19" s="14">
        <v>0.04</v>
      </c>
      <c r="AF19" s="14">
        <v>0.03</v>
      </c>
    </row>
    <row r="20" spans="1:32">
      <c r="A20" s="23"/>
      <c r="B20" s="11" t="s">
        <v>497</v>
      </c>
      <c r="C20" s="12">
        <v>648</v>
      </c>
      <c r="D20" s="12">
        <v>10</v>
      </c>
      <c r="E20" s="12">
        <v>61</v>
      </c>
      <c r="F20" s="12">
        <v>22</v>
      </c>
      <c r="G20" s="12">
        <v>14</v>
      </c>
      <c r="H20" s="12">
        <v>36</v>
      </c>
      <c r="I20" s="12">
        <v>41</v>
      </c>
      <c r="J20" s="12">
        <v>5</v>
      </c>
      <c r="K20" s="12">
        <v>46</v>
      </c>
      <c r="L20" s="12">
        <v>19</v>
      </c>
      <c r="M20" s="12">
        <v>25</v>
      </c>
      <c r="N20" s="12">
        <v>41</v>
      </c>
      <c r="O20" s="12">
        <v>25</v>
      </c>
      <c r="P20" s="12">
        <v>18</v>
      </c>
      <c r="Q20" s="12">
        <v>9</v>
      </c>
      <c r="R20" s="12">
        <v>16</v>
      </c>
      <c r="S20" s="12">
        <v>67</v>
      </c>
      <c r="T20" s="12">
        <v>77</v>
      </c>
      <c r="U20" s="12">
        <v>9</v>
      </c>
      <c r="V20" s="12">
        <v>19</v>
      </c>
      <c r="W20" s="12">
        <v>8</v>
      </c>
      <c r="X20" s="12">
        <v>7</v>
      </c>
      <c r="Y20" s="12">
        <v>30</v>
      </c>
      <c r="Z20" s="12">
        <v>31</v>
      </c>
      <c r="AA20" s="12">
        <v>13</v>
      </c>
      <c r="AB20" s="12">
        <v>32</v>
      </c>
      <c r="AC20" s="12">
        <v>21</v>
      </c>
      <c r="AD20" s="12">
        <v>34</v>
      </c>
      <c r="AE20" s="12">
        <v>18</v>
      </c>
      <c r="AF20" s="12">
        <v>12</v>
      </c>
    </row>
    <row r="21" spans="1:32">
      <c r="A21" s="23"/>
      <c r="B21" s="13" t="s">
        <v>498</v>
      </c>
      <c r="C21" s="14">
        <v>0.02</v>
      </c>
      <c r="D21" s="14">
        <v>0.01</v>
      </c>
      <c r="E21" s="14">
        <v>0.06</v>
      </c>
      <c r="F21" s="14">
        <v>0.02</v>
      </c>
      <c r="G21" s="14">
        <v>0.01</v>
      </c>
      <c r="H21" s="14">
        <v>0.03</v>
      </c>
      <c r="I21" s="14">
        <v>0.03</v>
      </c>
      <c r="J21" s="14">
        <v>0.02</v>
      </c>
      <c r="K21" s="14">
        <v>0.05</v>
      </c>
      <c r="L21" s="14">
        <v>0.02</v>
      </c>
      <c r="M21" s="14">
        <v>0.02</v>
      </c>
      <c r="N21" s="14">
        <v>0.04</v>
      </c>
      <c r="O21" s="14">
        <v>0.02</v>
      </c>
      <c r="P21" s="14">
        <v>0.02</v>
      </c>
      <c r="Q21" s="14">
        <v>0.01</v>
      </c>
      <c r="R21" s="14">
        <v>0.03</v>
      </c>
      <c r="S21" s="14">
        <v>7.0000000000000007E-2</v>
      </c>
      <c r="T21" s="14">
        <v>0.08</v>
      </c>
      <c r="U21" s="14">
        <v>0.02</v>
      </c>
      <c r="V21" s="14">
        <v>0.02</v>
      </c>
      <c r="W21" s="14">
        <v>0.01</v>
      </c>
      <c r="X21" s="14">
        <v>0.01</v>
      </c>
      <c r="Y21" s="14">
        <v>0.03</v>
      </c>
      <c r="Z21" s="14">
        <v>0.03</v>
      </c>
      <c r="AA21" s="14">
        <v>0.01</v>
      </c>
      <c r="AB21" s="14">
        <v>0.03</v>
      </c>
      <c r="AC21" s="14">
        <v>0.02</v>
      </c>
      <c r="AD21" s="14">
        <v>0.03</v>
      </c>
      <c r="AE21" s="14">
        <v>0.02</v>
      </c>
      <c r="AF21" s="14">
        <v>0.01</v>
      </c>
    </row>
    <row r="22" spans="1:32">
      <c r="A22" s="23"/>
      <c r="B22" s="11" t="s">
        <v>715</v>
      </c>
      <c r="C22" s="12">
        <v>17748</v>
      </c>
      <c r="D22" s="12">
        <v>659</v>
      </c>
      <c r="E22" s="12">
        <v>491</v>
      </c>
      <c r="F22" s="12">
        <v>483</v>
      </c>
      <c r="G22" s="12">
        <v>846</v>
      </c>
      <c r="H22" s="12">
        <v>1001</v>
      </c>
      <c r="I22" s="12">
        <v>1203</v>
      </c>
      <c r="J22" s="12">
        <v>202</v>
      </c>
      <c r="K22" s="12">
        <v>588</v>
      </c>
      <c r="L22" s="12">
        <v>760</v>
      </c>
      <c r="M22" s="12">
        <v>391</v>
      </c>
      <c r="N22" s="12">
        <v>622</v>
      </c>
      <c r="O22" s="12">
        <v>691</v>
      </c>
      <c r="P22" s="12">
        <v>783</v>
      </c>
      <c r="Q22" s="12">
        <v>591</v>
      </c>
      <c r="R22" s="12">
        <v>168</v>
      </c>
      <c r="S22" s="12">
        <v>513</v>
      </c>
      <c r="T22" s="12">
        <v>590</v>
      </c>
      <c r="U22" s="12">
        <v>387</v>
      </c>
      <c r="V22" s="12">
        <v>429</v>
      </c>
      <c r="W22" s="12">
        <v>403</v>
      </c>
      <c r="X22" s="12">
        <v>775</v>
      </c>
      <c r="Y22" s="12">
        <v>751</v>
      </c>
      <c r="Z22" s="12">
        <v>740</v>
      </c>
      <c r="AA22" s="12">
        <v>795</v>
      </c>
      <c r="AB22" s="12">
        <v>601</v>
      </c>
      <c r="AC22" s="12">
        <v>517</v>
      </c>
      <c r="AD22" s="12">
        <v>561</v>
      </c>
      <c r="AE22" s="12">
        <v>721</v>
      </c>
      <c r="AF22" s="12">
        <v>928</v>
      </c>
    </row>
    <row r="23" spans="1:32">
      <c r="A23" s="23"/>
      <c r="B23" s="13" t="s">
        <v>716</v>
      </c>
      <c r="C23" s="14">
        <v>0.68</v>
      </c>
      <c r="D23" s="14">
        <v>0.66</v>
      </c>
      <c r="E23" s="14">
        <v>0.47</v>
      </c>
      <c r="F23" s="14">
        <v>0.48</v>
      </c>
      <c r="G23" s="14">
        <v>0.85</v>
      </c>
      <c r="H23" s="14">
        <v>0.83000000000000007</v>
      </c>
      <c r="I23" s="14">
        <v>0.8</v>
      </c>
      <c r="J23" s="14">
        <v>0.68</v>
      </c>
      <c r="K23" s="14">
        <v>0.59</v>
      </c>
      <c r="L23" s="14">
        <v>0.75</v>
      </c>
      <c r="M23" s="14">
        <v>0.39</v>
      </c>
      <c r="N23" s="14">
        <v>0.63</v>
      </c>
      <c r="O23" s="14">
        <v>0.69000000000000006</v>
      </c>
      <c r="P23" s="14">
        <v>0.77</v>
      </c>
      <c r="Q23" s="14">
        <v>0.57999999999999996</v>
      </c>
      <c r="R23" s="14">
        <v>0.33</v>
      </c>
      <c r="S23" s="14">
        <v>0.51</v>
      </c>
      <c r="T23" s="14">
        <v>0.57999999999999996</v>
      </c>
      <c r="U23" s="14">
        <v>0.77</v>
      </c>
      <c r="V23" s="14">
        <v>0.42</v>
      </c>
      <c r="W23" s="14">
        <v>0.8</v>
      </c>
      <c r="X23" s="14">
        <v>0.76</v>
      </c>
      <c r="Y23" s="14">
        <v>0.75</v>
      </c>
      <c r="Z23" s="14">
        <v>0.72</v>
      </c>
      <c r="AA23" s="14">
        <v>0.77</v>
      </c>
      <c r="AB23" s="14">
        <v>0.57999999999999996</v>
      </c>
      <c r="AC23" s="14">
        <v>0.51</v>
      </c>
      <c r="AD23" s="14">
        <v>0.56000000000000005</v>
      </c>
      <c r="AE23" s="14">
        <v>0.71</v>
      </c>
      <c r="AF23" s="14">
        <v>0.86</v>
      </c>
    </row>
    <row r="24" spans="1:32">
      <c r="A24" s="23"/>
      <c r="B24" s="11" t="s">
        <v>717</v>
      </c>
      <c r="C24" s="12">
        <v>7958</v>
      </c>
      <c r="D24" s="12">
        <v>336</v>
      </c>
      <c r="E24" s="12">
        <v>492</v>
      </c>
      <c r="F24" s="12">
        <v>502</v>
      </c>
      <c r="G24" s="12">
        <v>143</v>
      </c>
      <c r="H24" s="12">
        <v>173</v>
      </c>
      <c r="I24" s="12">
        <v>261</v>
      </c>
      <c r="J24" s="12">
        <v>88</v>
      </c>
      <c r="K24" s="12">
        <v>370</v>
      </c>
      <c r="L24" s="12">
        <v>228</v>
      </c>
      <c r="M24" s="12">
        <v>596</v>
      </c>
      <c r="N24" s="12">
        <v>336</v>
      </c>
      <c r="O24" s="12">
        <v>289</v>
      </c>
      <c r="P24" s="12">
        <v>211</v>
      </c>
      <c r="Q24" s="12">
        <v>423</v>
      </c>
      <c r="R24" s="12">
        <v>318</v>
      </c>
      <c r="S24" s="12">
        <v>424</v>
      </c>
      <c r="T24" s="12">
        <v>337</v>
      </c>
      <c r="U24" s="12">
        <v>107</v>
      </c>
      <c r="V24" s="12">
        <v>563</v>
      </c>
      <c r="W24" s="12">
        <v>92</v>
      </c>
      <c r="X24" s="12">
        <v>233</v>
      </c>
      <c r="Y24" s="12">
        <v>227</v>
      </c>
      <c r="Z24" s="12">
        <v>247</v>
      </c>
      <c r="AA24" s="12">
        <v>233</v>
      </c>
      <c r="AB24" s="12">
        <v>399</v>
      </c>
      <c r="AC24" s="12">
        <v>467</v>
      </c>
      <c r="AD24" s="12">
        <v>406</v>
      </c>
      <c r="AE24" s="12">
        <v>268</v>
      </c>
      <c r="AF24" s="12">
        <v>133</v>
      </c>
    </row>
    <row r="25" spans="1:32">
      <c r="A25" s="23"/>
      <c r="B25" s="13" t="s">
        <v>718</v>
      </c>
      <c r="C25" s="14">
        <v>0.3</v>
      </c>
      <c r="D25" s="14">
        <v>0.33</v>
      </c>
      <c r="E25" s="14">
        <v>0.47</v>
      </c>
      <c r="F25" s="14">
        <v>0.5</v>
      </c>
      <c r="G25" s="14">
        <v>0.14000000000000001</v>
      </c>
      <c r="H25" s="14">
        <v>0.14000000000000001</v>
      </c>
      <c r="I25" s="14">
        <v>0.17</v>
      </c>
      <c r="J25" s="14">
        <v>0.3</v>
      </c>
      <c r="K25" s="14">
        <v>0.36</v>
      </c>
      <c r="L25" s="14">
        <v>0.23</v>
      </c>
      <c r="M25" s="14">
        <v>0.59</v>
      </c>
      <c r="N25" s="14">
        <v>0.33</v>
      </c>
      <c r="O25" s="14">
        <v>0.28999999999999998</v>
      </c>
      <c r="P25" s="14">
        <v>0.21</v>
      </c>
      <c r="Q25" s="14">
        <v>0.41</v>
      </c>
      <c r="R25" s="14">
        <v>0.64</v>
      </c>
      <c r="S25" s="14">
        <v>0.42</v>
      </c>
      <c r="T25" s="14">
        <v>0.34</v>
      </c>
      <c r="U25" s="14">
        <v>0.21</v>
      </c>
      <c r="V25" s="14">
        <v>0.56000000000000005</v>
      </c>
      <c r="W25" s="14">
        <v>0.19</v>
      </c>
      <c r="X25" s="14">
        <v>0.23</v>
      </c>
      <c r="Y25" s="14">
        <v>0.22</v>
      </c>
      <c r="Z25" s="14">
        <v>0.25</v>
      </c>
      <c r="AA25" s="14">
        <v>0.22</v>
      </c>
      <c r="AB25" s="14">
        <v>0.39</v>
      </c>
      <c r="AC25" s="14">
        <v>0.47</v>
      </c>
      <c r="AD25" s="14">
        <v>0.41</v>
      </c>
      <c r="AE25" s="14">
        <v>0.27</v>
      </c>
      <c r="AF25" s="14">
        <v>0.13</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2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400-000000000000}">
  <dimension ref="A1:AF27"/>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12" customHeight="1">
      <c r="B3" s="19" t="s">
        <v>431</v>
      </c>
      <c r="C3" s="19"/>
      <c r="D3" s="19"/>
      <c r="E3" s="19"/>
      <c r="F3" s="19"/>
      <c r="H3" s="19" t="s">
        <v>432</v>
      </c>
      <c r="I3" s="19"/>
      <c r="J3" s="19"/>
      <c r="K3" s="19"/>
      <c r="L3" s="19"/>
    </row>
    <row r="4" spans="1:32" ht="27" customHeight="1">
      <c r="B4" s="19"/>
      <c r="C4" s="19"/>
      <c r="D4" s="19"/>
      <c r="E4" s="19"/>
      <c r="F4" s="19"/>
      <c r="H4" s="19"/>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HYPERLINK("#Content!A217","&lt;&lt;Back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1748</v>
      </c>
      <c r="C12" s="12">
        <v>3044</v>
      </c>
      <c r="D12" s="12">
        <v>32</v>
      </c>
      <c r="E12" s="12">
        <v>79</v>
      </c>
      <c r="F12" s="12">
        <v>25</v>
      </c>
      <c r="G12" s="12">
        <v>11</v>
      </c>
      <c r="H12" s="12">
        <v>162</v>
      </c>
      <c r="I12" s="12">
        <v>180</v>
      </c>
      <c r="J12" s="12">
        <v>18</v>
      </c>
      <c r="K12" s="12">
        <v>28</v>
      </c>
      <c r="L12" s="12">
        <v>93</v>
      </c>
      <c r="M12" s="12">
        <v>211</v>
      </c>
      <c r="N12" s="12">
        <v>213</v>
      </c>
      <c r="O12" s="12">
        <v>72</v>
      </c>
      <c r="P12" s="12">
        <v>72</v>
      </c>
      <c r="Q12" s="12">
        <v>194</v>
      </c>
      <c r="R12" s="12">
        <v>61</v>
      </c>
      <c r="S12" s="12">
        <v>60</v>
      </c>
      <c r="T12" s="12">
        <v>31</v>
      </c>
      <c r="U12" s="12">
        <v>26</v>
      </c>
      <c r="V12" s="12">
        <v>80</v>
      </c>
      <c r="W12" s="12">
        <v>62</v>
      </c>
      <c r="X12" s="12">
        <v>22</v>
      </c>
      <c r="Y12" s="12">
        <v>181</v>
      </c>
      <c r="Z12" s="12">
        <v>45</v>
      </c>
      <c r="AA12" s="12">
        <v>387</v>
      </c>
      <c r="AB12" s="12">
        <v>77</v>
      </c>
      <c r="AC12" s="12">
        <v>77</v>
      </c>
      <c r="AD12" s="12">
        <v>28</v>
      </c>
      <c r="AE12" s="12">
        <v>35</v>
      </c>
      <c r="AF12" s="12">
        <v>18</v>
      </c>
    </row>
    <row r="13" spans="1:32">
      <c r="A13" s="23"/>
      <c r="B13" s="13" t="s">
        <v>1748</v>
      </c>
      <c r="C13" s="14">
        <v>0.12</v>
      </c>
      <c r="D13" s="14">
        <v>0.03</v>
      </c>
      <c r="E13" s="14">
        <v>0.08</v>
      </c>
      <c r="F13" s="14">
        <v>0.03</v>
      </c>
      <c r="G13" s="14">
        <v>0.01</v>
      </c>
      <c r="H13" s="14">
        <v>0.14000000000000001</v>
      </c>
      <c r="I13" s="14">
        <v>0.12</v>
      </c>
      <c r="J13" s="14">
        <v>0.06</v>
      </c>
      <c r="K13" s="14">
        <v>0.03</v>
      </c>
      <c r="L13" s="14">
        <v>0.09</v>
      </c>
      <c r="M13" s="14">
        <v>0.21</v>
      </c>
      <c r="N13" s="14">
        <v>0.21</v>
      </c>
      <c r="O13" s="14">
        <v>7.0000000000000007E-2</v>
      </c>
      <c r="P13" s="14">
        <v>7.0000000000000007E-2</v>
      </c>
      <c r="Q13" s="14">
        <v>0.19</v>
      </c>
      <c r="R13" s="14">
        <v>0.12</v>
      </c>
      <c r="S13" s="14">
        <v>0.06</v>
      </c>
      <c r="T13" s="14">
        <v>0.03</v>
      </c>
      <c r="U13" s="14">
        <v>0.05</v>
      </c>
      <c r="V13" s="14">
        <v>0.08</v>
      </c>
      <c r="W13" s="14">
        <v>0.12</v>
      </c>
      <c r="X13" s="14">
        <v>0.02</v>
      </c>
      <c r="Y13" s="14">
        <v>0.18</v>
      </c>
      <c r="Z13" s="14">
        <v>0.05</v>
      </c>
      <c r="AA13" s="14">
        <v>0.37</v>
      </c>
      <c r="AB13" s="14">
        <v>0.08</v>
      </c>
      <c r="AC13" s="14">
        <v>0.08</v>
      </c>
      <c r="AD13" s="14">
        <v>0.03</v>
      </c>
      <c r="AE13" s="14">
        <v>0.03</v>
      </c>
      <c r="AF13" s="14">
        <v>0.02</v>
      </c>
    </row>
    <row r="14" spans="1:32">
      <c r="A14" s="23"/>
      <c r="B14" s="11" t="s">
        <v>1749</v>
      </c>
      <c r="C14" s="12">
        <v>11879</v>
      </c>
      <c r="D14" s="12">
        <v>311</v>
      </c>
      <c r="E14" s="12">
        <v>622</v>
      </c>
      <c r="F14" s="12">
        <v>601</v>
      </c>
      <c r="G14" s="12">
        <v>91</v>
      </c>
      <c r="H14" s="12">
        <v>596</v>
      </c>
      <c r="I14" s="12">
        <v>751</v>
      </c>
      <c r="J14" s="12">
        <v>155</v>
      </c>
      <c r="K14" s="12">
        <v>466</v>
      </c>
      <c r="L14" s="12">
        <v>399</v>
      </c>
      <c r="M14" s="12">
        <v>385</v>
      </c>
      <c r="N14" s="12">
        <v>394</v>
      </c>
      <c r="O14" s="12">
        <v>420</v>
      </c>
      <c r="P14" s="12">
        <v>733</v>
      </c>
      <c r="Q14" s="12">
        <v>490</v>
      </c>
      <c r="R14" s="12">
        <v>188</v>
      </c>
      <c r="S14" s="12">
        <v>482</v>
      </c>
      <c r="T14" s="12">
        <v>437</v>
      </c>
      <c r="U14" s="12">
        <v>131</v>
      </c>
      <c r="V14" s="12">
        <v>648</v>
      </c>
      <c r="W14" s="12">
        <v>190</v>
      </c>
      <c r="X14" s="12">
        <v>237</v>
      </c>
      <c r="Y14" s="12">
        <v>514</v>
      </c>
      <c r="Z14" s="12">
        <v>542</v>
      </c>
      <c r="AA14" s="12">
        <v>349</v>
      </c>
      <c r="AB14" s="12">
        <v>661</v>
      </c>
      <c r="AC14" s="12">
        <v>439</v>
      </c>
      <c r="AD14" s="12">
        <v>589</v>
      </c>
      <c r="AE14" s="12">
        <v>196</v>
      </c>
      <c r="AF14" s="12">
        <v>206</v>
      </c>
    </row>
    <row r="15" spans="1:32">
      <c r="A15" s="23"/>
      <c r="B15" s="13" t="s">
        <v>1749</v>
      </c>
      <c r="C15" s="14">
        <v>0.45</v>
      </c>
      <c r="D15" s="14">
        <v>0.31</v>
      </c>
      <c r="E15" s="14">
        <v>0.6</v>
      </c>
      <c r="F15" s="14">
        <v>0.6</v>
      </c>
      <c r="G15" s="14">
        <v>0.09</v>
      </c>
      <c r="H15" s="14">
        <v>0.49</v>
      </c>
      <c r="I15" s="14">
        <v>0.5</v>
      </c>
      <c r="J15" s="14">
        <v>0.53</v>
      </c>
      <c r="K15" s="14">
        <v>0.46</v>
      </c>
      <c r="L15" s="14">
        <v>0.4</v>
      </c>
      <c r="M15" s="14">
        <v>0.38</v>
      </c>
      <c r="N15" s="14">
        <v>0.4</v>
      </c>
      <c r="O15" s="14">
        <v>0.42</v>
      </c>
      <c r="P15" s="14">
        <v>0.73</v>
      </c>
      <c r="Q15" s="14">
        <v>0.48</v>
      </c>
      <c r="R15" s="14">
        <v>0.37</v>
      </c>
      <c r="S15" s="14">
        <v>0.48</v>
      </c>
      <c r="T15" s="14">
        <v>0.44</v>
      </c>
      <c r="U15" s="14">
        <v>0.26</v>
      </c>
      <c r="V15" s="14">
        <v>0.64</v>
      </c>
      <c r="W15" s="14">
        <v>0.38</v>
      </c>
      <c r="X15" s="14">
        <v>0.24</v>
      </c>
      <c r="Y15" s="14">
        <v>0.51</v>
      </c>
      <c r="Z15" s="14">
        <v>0.53</v>
      </c>
      <c r="AA15" s="14">
        <v>0.34</v>
      </c>
      <c r="AB15" s="14">
        <v>0.64</v>
      </c>
      <c r="AC15" s="14">
        <v>0.44</v>
      </c>
      <c r="AD15" s="14">
        <v>0.59</v>
      </c>
      <c r="AE15" s="14">
        <v>0.19</v>
      </c>
      <c r="AF15" s="14">
        <v>0.19</v>
      </c>
    </row>
    <row r="16" spans="1:32">
      <c r="A16" s="23"/>
      <c r="B16" s="11" t="s">
        <v>1750</v>
      </c>
      <c r="C16" s="12">
        <v>9302</v>
      </c>
      <c r="D16" s="12">
        <v>553</v>
      </c>
      <c r="E16" s="12">
        <v>318</v>
      </c>
      <c r="F16" s="12">
        <v>296</v>
      </c>
      <c r="G16" s="12">
        <v>808</v>
      </c>
      <c r="H16" s="12">
        <v>359</v>
      </c>
      <c r="I16" s="12">
        <v>467</v>
      </c>
      <c r="J16" s="12">
        <v>108</v>
      </c>
      <c r="K16" s="12">
        <v>426</v>
      </c>
      <c r="L16" s="12">
        <v>442</v>
      </c>
      <c r="M16" s="12">
        <v>349</v>
      </c>
      <c r="N16" s="12">
        <v>328</v>
      </c>
      <c r="O16" s="12">
        <v>419</v>
      </c>
      <c r="P16" s="12">
        <v>169</v>
      </c>
      <c r="Q16" s="12">
        <v>225</v>
      </c>
      <c r="R16" s="12">
        <v>214</v>
      </c>
      <c r="S16" s="12">
        <v>418</v>
      </c>
      <c r="T16" s="12">
        <v>450</v>
      </c>
      <c r="U16" s="12">
        <v>305</v>
      </c>
      <c r="V16" s="12">
        <v>223</v>
      </c>
      <c r="W16" s="12">
        <v>201</v>
      </c>
      <c r="X16" s="12">
        <v>643</v>
      </c>
      <c r="Y16" s="12">
        <v>245</v>
      </c>
      <c r="Z16" s="12">
        <v>380</v>
      </c>
      <c r="AA16" s="12">
        <v>189</v>
      </c>
      <c r="AB16" s="12">
        <v>226</v>
      </c>
      <c r="AC16" s="12">
        <v>387</v>
      </c>
      <c r="AD16" s="12">
        <v>297</v>
      </c>
      <c r="AE16" s="12">
        <v>652</v>
      </c>
      <c r="AF16" s="12">
        <v>788</v>
      </c>
    </row>
    <row r="17" spans="1:32">
      <c r="A17" s="23"/>
      <c r="B17" s="13" t="s">
        <v>1750</v>
      </c>
      <c r="C17" s="14">
        <v>0.35</v>
      </c>
      <c r="D17" s="14">
        <v>0.55000000000000004</v>
      </c>
      <c r="E17" s="14">
        <v>0.3</v>
      </c>
      <c r="F17" s="14">
        <v>0.28999999999999998</v>
      </c>
      <c r="G17" s="14">
        <v>0.81</v>
      </c>
      <c r="H17" s="14">
        <v>0.3</v>
      </c>
      <c r="I17" s="14">
        <v>0.31</v>
      </c>
      <c r="J17" s="14">
        <v>0.36</v>
      </c>
      <c r="K17" s="14">
        <v>0.42</v>
      </c>
      <c r="L17" s="14">
        <v>0.44</v>
      </c>
      <c r="M17" s="14">
        <v>0.35</v>
      </c>
      <c r="N17" s="14">
        <v>0.33</v>
      </c>
      <c r="O17" s="14">
        <v>0.42</v>
      </c>
      <c r="P17" s="14">
        <v>0.17</v>
      </c>
      <c r="Q17" s="14">
        <v>0.22</v>
      </c>
      <c r="R17" s="14">
        <v>0.43</v>
      </c>
      <c r="S17" s="14">
        <v>0.42</v>
      </c>
      <c r="T17" s="14">
        <v>0.45</v>
      </c>
      <c r="U17" s="14">
        <v>0.61</v>
      </c>
      <c r="V17" s="14">
        <v>0.22</v>
      </c>
      <c r="W17" s="14">
        <v>0.4</v>
      </c>
      <c r="X17" s="14">
        <v>0.63</v>
      </c>
      <c r="Y17" s="14">
        <v>0.25</v>
      </c>
      <c r="Z17" s="14">
        <v>0.37</v>
      </c>
      <c r="AA17" s="14">
        <v>0.18</v>
      </c>
      <c r="AB17" s="14">
        <v>0.22</v>
      </c>
      <c r="AC17" s="14">
        <v>0.39</v>
      </c>
      <c r="AD17" s="14">
        <v>0.28999999999999998</v>
      </c>
      <c r="AE17" s="14">
        <v>0.65</v>
      </c>
      <c r="AF17" s="14">
        <v>0.73</v>
      </c>
    </row>
    <row r="18" spans="1:32">
      <c r="A18" s="23"/>
      <c r="B18" s="11" t="s">
        <v>1751</v>
      </c>
      <c r="C18" s="12">
        <v>1843</v>
      </c>
      <c r="D18" s="12">
        <v>95</v>
      </c>
      <c r="E18" s="12">
        <v>20</v>
      </c>
      <c r="F18" s="12">
        <v>65</v>
      </c>
      <c r="G18" s="12">
        <v>54</v>
      </c>
      <c r="H18" s="12">
        <v>89</v>
      </c>
      <c r="I18" s="12">
        <v>103</v>
      </c>
      <c r="J18" s="12">
        <v>14</v>
      </c>
      <c r="K18" s="12">
        <v>71</v>
      </c>
      <c r="L18" s="12">
        <v>65</v>
      </c>
      <c r="M18" s="12">
        <v>65</v>
      </c>
      <c r="N18" s="12">
        <v>50</v>
      </c>
      <c r="O18" s="12">
        <v>85</v>
      </c>
      <c r="P18" s="12">
        <v>32</v>
      </c>
      <c r="Q18" s="12">
        <v>84</v>
      </c>
      <c r="R18" s="12">
        <v>36</v>
      </c>
      <c r="S18" s="12">
        <v>41</v>
      </c>
      <c r="T18" s="12">
        <v>85</v>
      </c>
      <c r="U18" s="12">
        <v>36</v>
      </c>
      <c r="V18" s="12">
        <v>55</v>
      </c>
      <c r="W18" s="12">
        <v>40</v>
      </c>
      <c r="X18" s="12">
        <v>112</v>
      </c>
      <c r="Y18" s="12">
        <v>62</v>
      </c>
      <c r="Z18" s="12">
        <v>44</v>
      </c>
      <c r="AA18" s="12">
        <v>101</v>
      </c>
      <c r="AB18" s="12">
        <v>62</v>
      </c>
      <c r="AC18" s="12">
        <v>95</v>
      </c>
      <c r="AD18" s="12">
        <v>87</v>
      </c>
      <c r="AE18" s="12">
        <v>111</v>
      </c>
      <c r="AF18" s="12">
        <v>61</v>
      </c>
    </row>
    <row r="19" spans="1:32">
      <c r="A19" s="23"/>
      <c r="B19" s="13" t="s">
        <v>1752</v>
      </c>
      <c r="C19" s="14">
        <v>7.0000000000000007E-2</v>
      </c>
      <c r="D19" s="14">
        <v>0.09</v>
      </c>
      <c r="E19" s="14">
        <v>0.02</v>
      </c>
      <c r="F19" s="14">
        <v>0.06</v>
      </c>
      <c r="G19" s="14">
        <v>0.05</v>
      </c>
      <c r="H19" s="14">
        <v>7.0000000000000007E-2</v>
      </c>
      <c r="I19" s="14">
        <v>7.0000000000000007E-2</v>
      </c>
      <c r="J19" s="14">
        <v>0.05</v>
      </c>
      <c r="K19" s="14">
        <v>7.0000000000000007E-2</v>
      </c>
      <c r="L19" s="14">
        <v>7.0000000000000007E-2</v>
      </c>
      <c r="M19" s="14">
        <v>0.06</v>
      </c>
      <c r="N19" s="14">
        <v>0.05</v>
      </c>
      <c r="O19" s="14">
        <v>0.08</v>
      </c>
      <c r="P19" s="14">
        <v>0.03</v>
      </c>
      <c r="Q19" s="14">
        <v>0.08</v>
      </c>
      <c r="R19" s="14">
        <v>7.0000000000000007E-2</v>
      </c>
      <c r="S19" s="14">
        <v>0.04</v>
      </c>
      <c r="T19" s="14">
        <v>0.08</v>
      </c>
      <c r="U19" s="14">
        <v>7.0000000000000007E-2</v>
      </c>
      <c r="V19" s="14">
        <v>0.05</v>
      </c>
      <c r="W19" s="14">
        <v>0.08</v>
      </c>
      <c r="X19" s="14">
        <v>0.11</v>
      </c>
      <c r="Y19" s="14">
        <v>0.06</v>
      </c>
      <c r="Z19" s="14">
        <v>0.04</v>
      </c>
      <c r="AA19" s="14">
        <v>0.1</v>
      </c>
      <c r="AB19" s="14">
        <v>0.06</v>
      </c>
      <c r="AC19" s="14">
        <v>0.09</v>
      </c>
      <c r="AD19" s="14">
        <v>0.09</v>
      </c>
      <c r="AE19" s="14">
        <v>0.11</v>
      </c>
      <c r="AF19" s="14">
        <v>0.06</v>
      </c>
    </row>
    <row r="20" spans="1:32">
      <c r="A20" s="23"/>
      <c r="B20" s="11" t="s">
        <v>1753</v>
      </c>
      <c r="C20" s="12">
        <v>74</v>
      </c>
      <c r="D20" s="12">
        <v>6</v>
      </c>
      <c r="E20" s="12">
        <v>1</v>
      </c>
      <c r="F20" s="12">
        <v>0</v>
      </c>
      <c r="G20" s="12">
        <v>25</v>
      </c>
      <c r="H20" s="12">
        <v>1</v>
      </c>
      <c r="I20" s="12">
        <v>1</v>
      </c>
      <c r="J20" s="12">
        <v>0</v>
      </c>
      <c r="K20" s="12">
        <v>2</v>
      </c>
      <c r="L20" s="12">
        <v>3</v>
      </c>
      <c r="M20" s="12">
        <v>1</v>
      </c>
      <c r="N20" s="12">
        <v>13</v>
      </c>
      <c r="O20" s="12">
        <v>2</v>
      </c>
      <c r="P20" s="12">
        <v>1</v>
      </c>
      <c r="Q20" s="12">
        <v>1</v>
      </c>
      <c r="R20" s="12">
        <v>0</v>
      </c>
      <c r="S20" s="12">
        <v>2</v>
      </c>
      <c r="T20" s="12">
        <v>0</v>
      </c>
      <c r="U20" s="12">
        <v>4</v>
      </c>
      <c r="V20" s="12">
        <v>0</v>
      </c>
      <c r="W20" s="12">
        <v>7</v>
      </c>
      <c r="X20" s="12">
        <v>0</v>
      </c>
      <c r="Y20" s="12">
        <v>0</v>
      </c>
      <c r="Z20" s="12">
        <v>0</v>
      </c>
      <c r="AA20" s="12">
        <v>3</v>
      </c>
      <c r="AB20" s="12">
        <v>2</v>
      </c>
      <c r="AC20" s="12">
        <v>3</v>
      </c>
      <c r="AD20" s="12">
        <v>0</v>
      </c>
      <c r="AE20" s="12">
        <v>8</v>
      </c>
      <c r="AF20" s="12">
        <v>0</v>
      </c>
    </row>
    <row r="21" spans="1:32">
      <c r="A21" s="23"/>
      <c r="B21" s="13" t="s">
        <v>1754</v>
      </c>
      <c r="C21" s="15" t="s">
        <v>485</v>
      </c>
      <c r="D21" s="14">
        <v>0.01</v>
      </c>
      <c r="E21" s="15" t="s">
        <v>485</v>
      </c>
      <c r="F21" s="15" t="s">
        <v>485</v>
      </c>
      <c r="G21" s="14">
        <v>0.02</v>
      </c>
      <c r="H21" s="15" t="s">
        <v>485</v>
      </c>
      <c r="I21" s="15" t="s">
        <v>485</v>
      </c>
      <c r="J21" s="15" t="s">
        <v>485</v>
      </c>
      <c r="K21" s="15" t="s">
        <v>485</v>
      </c>
      <c r="L21" s="15" t="s">
        <v>485</v>
      </c>
      <c r="M21" s="15" t="s">
        <v>485</v>
      </c>
      <c r="N21" s="14">
        <v>0.01</v>
      </c>
      <c r="O21" s="15" t="s">
        <v>485</v>
      </c>
      <c r="P21" s="15" t="s">
        <v>485</v>
      </c>
      <c r="Q21" s="15" t="s">
        <v>485</v>
      </c>
      <c r="R21" s="15" t="s">
        <v>485</v>
      </c>
      <c r="S21" s="15" t="s">
        <v>485</v>
      </c>
      <c r="T21" s="15" t="s">
        <v>485</v>
      </c>
      <c r="U21" s="14">
        <v>0.01</v>
      </c>
      <c r="V21" s="15" t="s">
        <v>485</v>
      </c>
      <c r="W21" s="14">
        <v>0.01</v>
      </c>
      <c r="X21" s="15" t="s">
        <v>485</v>
      </c>
      <c r="Y21" s="15" t="s">
        <v>485</v>
      </c>
      <c r="Z21" s="15" t="s">
        <v>485</v>
      </c>
      <c r="AA21" s="15" t="s">
        <v>485</v>
      </c>
      <c r="AB21" s="15" t="s">
        <v>485</v>
      </c>
      <c r="AC21" s="15" t="s">
        <v>485</v>
      </c>
      <c r="AD21" s="15" t="s">
        <v>485</v>
      </c>
      <c r="AE21" s="14">
        <v>0.01</v>
      </c>
      <c r="AF21" s="15" t="s">
        <v>485</v>
      </c>
    </row>
    <row r="22" spans="1:32">
      <c r="A22" s="23"/>
      <c r="B22" s="11" t="s">
        <v>1515</v>
      </c>
      <c r="C22" s="12">
        <v>137</v>
      </c>
      <c r="D22" s="12">
        <v>0</v>
      </c>
      <c r="E22" s="12">
        <v>3</v>
      </c>
      <c r="F22" s="12">
        <v>2</v>
      </c>
      <c r="G22" s="12">
        <v>7</v>
      </c>
      <c r="H22" s="12">
        <v>1</v>
      </c>
      <c r="I22" s="12">
        <v>1</v>
      </c>
      <c r="J22" s="12">
        <v>0</v>
      </c>
      <c r="K22" s="12">
        <v>5</v>
      </c>
      <c r="L22" s="12">
        <v>2</v>
      </c>
      <c r="M22" s="12">
        <v>0</v>
      </c>
      <c r="N22" s="12">
        <v>1</v>
      </c>
      <c r="O22" s="12">
        <v>3</v>
      </c>
      <c r="P22" s="12">
        <v>3</v>
      </c>
      <c r="Q22" s="12">
        <v>30</v>
      </c>
      <c r="R22" s="12">
        <v>0</v>
      </c>
      <c r="S22" s="12">
        <v>3</v>
      </c>
      <c r="T22" s="12">
        <v>1</v>
      </c>
      <c r="U22" s="12">
        <v>1</v>
      </c>
      <c r="V22" s="12">
        <v>5</v>
      </c>
      <c r="W22" s="12">
        <v>0</v>
      </c>
      <c r="X22" s="12">
        <v>0</v>
      </c>
      <c r="Y22" s="12">
        <v>3</v>
      </c>
      <c r="Z22" s="12">
        <v>1</v>
      </c>
      <c r="AA22" s="12">
        <v>0</v>
      </c>
      <c r="AB22" s="12">
        <v>2</v>
      </c>
      <c r="AC22" s="12">
        <v>2</v>
      </c>
      <c r="AD22" s="12">
        <v>1</v>
      </c>
      <c r="AE22" s="12">
        <v>0</v>
      </c>
      <c r="AF22" s="12">
        <v>0</v>
      </c>
    </row>
    <row r="23" spans="1:32">
      <c r="A23" s="23"/>
      <c r="B23" s="13" t="s">
        <v>1516</v>
      </c>
      <c r="C23" s="14">
        <v>0.01</v>
      </c>
      <c r="D23" s="15" t="s">
        <v>485</v>
      </c>
      <c r="E23" s="15" t="s">
        <v>485</v>
      </c>
      <c r="F23" s="15" t="s">
        <v>485</v>
      </c>
      <c r="G23" s="14">
        <v>0.01</v>
      </c>
      <c r="H23" s="15" t="s">
        <v>485</v>
      </c>
      <c r="I23" s="15" t="s">
        <v>485</v>
      </c>
      <c r="J23" s="15" t="s">
        <v>485</v>
      </c>
      <c r="K23" s="14">
        <v>0.01</v>
      </c>
      <c r="L23" s="15" t="s">
        <v>485</v>
      </c>
      <c r="M23" s="15" t="s">
        <v>485</v>
      </c>
      <c r="N23" s="15" t="s">
        <v>485</v>
      </c>
      <c r="O23" s="15" t="s">
        <v>485</v>
      </c>
      <c r="P23" s="15" t="s">
        <v>485</v>
      </c>
      <c r="Q23" s="14">
        <v>0.03</v>
      </c>
      <c r="R23" s="15" t="s">
        <v>485</v>
      </c>
      <c r="S23" s="15" t="s">
        <v>485</v>
      </c>
      <c r="T23" s="15" t="s">
        <v>485</v>
      </c>
      <c r="U23" s="15" t="s">
        <v>485</v>
      </c>
      <c r="V23" s="14">
        <v>0.01</v>
      </c>
      <c r="W23" s="15" t="s">
        <v>485</v>
      </c>
      <c r="X23" s="15" t="s">
        <v>485</v>
      </c>
      <c r="Y23" s="15" t="s">
        <v>485</v>
      </c>
      <c r="Z23" s="15" t="s">
        <v>485</v>
      </c>
      <c r="AA23" s="15" t="s">
        <v>485</v>
      </c>
      <c r="AB23" s="15" t="s">
        <v>485</v>
      </c>
      <c r="AC23" s="15" t="s">
        <v>485</v>
      </c>
      <c r="AD23" s="15" t="s">
        <v>485</v>
      </c>
      <c r="AE23" s="15" t="s">
        <v>485</v>
      </c>
      <c r="AF23" s="15" t="s">
        <v>485</v>
      </c>
    </row>
    <row r="24" spans="1:32">
      <c r="A24" s="23"/>
      <c r="B24" s="11" t="s">
        <v>497</v>
      </c>
      <c r="C24" s="12">
        <v>73</v>
      </c>
      <c r="D24" s="12">
        <v>8</v>
      </c>
      <c r="E24" s="12">
        <v>1</v>
      </c>
      <c r="F24" s="12">
        <v>18</v>
      </c>
      <c r="G24" s="12">
        <v>7</v>
      </c>
      <c r="H24" s="12">
        <v>2</v>
      </c>
      <c r="I24" s="12">
        <v>2</v>
      </c>
      <c r="J24" s="12">
        <v>0</v>
      </c>
      <c r="K24" s="12">
        <v>6</v>
      </c>
      <c r="L24" s="12">
        <v>4</v>
      </c>
      <c r="M24" s="12">
        <v>0</v>
      </c>
      <c r="N24" s="12">
        <v>1</v>
      </c>
      <c r="O24" s="12">
        <v>5</v>
      </c>
      <c r="P24" s="12">
        <v>0</v>
      </c>
      <c r="Q24" s="12">
        <v>0</v>
      </c>
      <c r="R24" s="12">
        <v>3</v>
      </c>
      <c r="S24" s="12">
        <v>0</v>
      </c>
      <c r="T24" s="12">
        <v>0</v>
      </c>
      <c r="U24" s="12">
        <v>1</v>
      </c>
      <c r="V24" s="12">
        <v>0</v>
      </c>
      <c r="W24" s="12">
        <v>3</v>
      </c>
      <c r="X24" s="12">
        <v>2</v>
      </c>
      <c r="Y24" s="12">
        <v>2</v>
      </c>
      <c r="Z24" s="12">
        <v>5</v>
      </c>
      <c r="AA24" s="12">
        <v>11</v>
      </c>
      <c r="AB24" s="12">
        <v>0</v>
      </c>
      <c r="AC24" s="12">
        <v>2</v>
      </c>
      <c r="AD24" s="12">
        <v>1</v>
      </c>
      <c r="AE24" s="12">
        <v>6</v>
      </c>
      <c r="AF24" s="12">
        <v>1</v>
      </c>
    </row>
    <row r="25" spans="1:32">
      <c r="A25" s="23"/>
      <c r="B25" s="13" t="s">
        <v>498</v>
      </c>
      <c r="C25" s="15" t="s">
        <v>485</v>
      </c>
      <c r="D25" s="14">
        <v>0.01</v>
      </c>
      <c r="E25" s="15" t="s">
        <v>485</v>
      </c>
      <c r="F25" s="14">
        <v>0.02</v>
      </c>
      <c r="G25" s="14">
        <v>0.01</v>
      </c>
      <c r="H25" s="15" t="s">
        <v>485</v>
      </c>
      <c r="I25" s="15" t="s">
        <v>485</v>
      </c>
      <c r="J25" s="15" t="s">
        <v>485</v>
      </c>
      <c r="K25" s="14">
        <v>0.01</v>
      </c>
      <c r="L25" s="15" t="s">
        <v>485</v>
      </c>
      <c r="M25" s="15" t="s">
        <v>485</v>
      </c>
      <c r="N25" s="15" t="s">
        <v>485</v>
      </c>
      <c r="O25" s="14">
        <v>0.01</v>
      </c>
      <c r="P25" s="15" t="s">
        <v>485</v>
      </c>
      <c r="Q25" s="15" t="s">
        <v>485</v>
      </c>
      <c r="R25" s="14">
        <v>0.01</v>
      </c>
      <c r="S25" s="15" t="s">
        <v>485</v>
      </c>
      <c r="T25" s="15" t="s">
        <v>485</v>
      </c>
      <c r="U25" s="15" t="s">
        <v>485</v>
      </c>
      <c r="V25" s="15" t="s">
        <v>485</v>
      </c>
      <c r="W25" s="14">
        <v>0.01</v>
      </c>
      <c r="X25" s="15" t="s">
        <v>485</v>
      </c>
      <c r="Y25" s="15" t="s">
        <v>485</v>
      </c>
      <c r="Z25" s="14">
        <v>0.01</v>
      </c>
      <c r="AA25" s="14">
        <v>0.01</v>
      </c>
      <c r="AB25" s="15" t="s">
        <v>485</v>
      </c>
      <c r="AC25" s="15" t="s">
        <v>485</v>
      </c>
      <c r="AD25" s="15" t="s">
        <v>485</v>
      </c>
      <c r="AE25" s="14">
        <v>0.01</v>
      </c>
      <c r="AF25" s="15" t="s">
        <v>485</v>
      </c>
    </row>
    <row r="26" spans="1:32">
      <c r="A26" s="23"/>
      <c r="B26" s="11" t="s">
        <v>1532</v>
      </c>
      <c r="C26" s="12">
        <v>19.61</v>
      </c>
      <c r="D26" s="12">
        <v>20.71</v>
      </c>
      <c r="E26" s="12">
        <v>19.86</v>
      </c>
      <c r="F26" s="12">
        <v>19.57</v>
      </c>
      <c r="G26" s="12">
        <v>26.05</v>
      </c>
      <c r="H26" s="12">
        <v>19.32</v>
      </c>
      <c r="I26" s="12">
        <v>19.41</v>
      </c>
      <c r="J26" s="12">
        <v>19.75</v>
      </c>
      <c r="K26" s="12">
        <v>20.420000000000002</v>
      </c>
      <c r="L26" s="12">
        <v>19.75</v>
      </c>
      <c r="M26" s="12">
        <v>18.66</v>
      </c>
      <c r="N26" s="12">
        <v>18.59</v>
      </c>
      <c r="O26" s="12">
        <v>19.59</v>
      </c>
      <c r="P26" s="12">
        <v>18.75</v>
      </c>
      <c r="Q26" s="12">
        <v>18.61</v>
      </c>
      <c r="R26" s="12">
        <v>20.03</v>
      </c>
      <c r="S26" s="12">
        <v>19.97</v>
      </c>
      <c r="T26" s="12">
        <v>20.079999999999998</v>
      </c>
      <c r="U26" s="12">
        <v>21.45</v>
      </c>
      <c r="V26" s="12">
        <v>18.72</v>
      </c>
      <c r="W26" s="12">
        <v>19.440000000000001</v>
      </c>
      <c r="X26" s="12">
        <v>22.15</v>
      </c>
      <c r="Y26" s="12">
        <v>18.82</v>
      </c>
      <c r="Z26" s="12">
        <v>19.75</v>
      </c>
      <c r="AA26" s="12">
        <v>16.48</v>
      </c>
      <c r="AB26" s="12">
        <v>19.100000000000001</v>
      </c>
      <c r="AC26" s="12">
        <v>20.21</v>
      </c>
      <c r="AD26" s="12">
        <v>19.61</v>
      </c>
      <c r="AE26" s="12">
        <v>24.58</v>
      </c>
      <c r="AF26" s="12">
        <v>26.06</v>
      </c>
    </row>
    <row r="27" spans="1:32">
      <c r="A27" s="23"/>
      <c r="B27" s="13" t="s">
        <v>1533</v>
      </c>
      <c r="C27" s="15" t="s">
        <v>485</v>
      </c>
      <c r="D27" s="15" t="s">
        <v>485</v>
      </c>
      <c r="E27" s="15" t="s">
        <v>485</v>
      </c>
      <c r="F27" s="15" t="s">
        <v>485</v>
      </c>
      <c r="G27" s="15" t="s">
        <v>485</v>
      </c>
      <c r="H27" s="15" t="s">
        <v>485</v>
      </c>
      <c r="I27" s="15" t="s">
        <v>485</v>
      </c>
      <c r="J27" s="15" t="s">
        <v>485</v>
      </c>
      <c r="K27" s="15" t="s">
        <v>485</v>
      </c>
      <c r="L27" s="15" t="s">
        <v>485</v>
      </c>
      <c r="M27" s="15" t="s">
        <v>485</v>
      </c>
      <c r="N27" s="15" t="s">
        <v>485</v>
      </c>
      <c r="O27" s="15" t="s">
        <v>485</v>
      </c>
      <c r="P27" s="15" t="s">
        <v>485</v>
      </c>
      <c r="Q27" s="15" t="s">
        <v>485</v>
      </c>
      <c r="R27" s="15" t="s">
        <v>485</v>
      </c>
      <c r="S27" s="15" t="s">
        <v>485</v>
      </c>
      <c r="T27" s="15" t="s">
        <v>485</v>
      </c>
      <c r="U27" s="15" t="s">
        <v>485</v>
      </c>
      <c r="V27" s="15" t="s">
        <v>485</v>
      </c>
      <c r="W27" s="15" t="s">
        <v>485</v>
      </c>
      <c r="X27" s="15" t="s">
        <v>485</v>
      </c>
      <c r="Y27" s="15" t="s">
        <v>485</v>
      </c>
      <c r="Z27" s="15" t="s">
        <v>485</v>
      </c>
      <c r="AA27" s="15" t="s">
        <v>485</v>
      </c>
      <c r="AB27" s="15" t="s">
        <v>485</v>
      </c>
      <c r="AC27" s="15" t="s">
        <v>485</v>
      </c>
      <c r="AD27" s="15" t="s">
        <v>485</v>
      </c>
      <c r="AE27" s="15" t="s">
        <v>485</v>
      </c>
      <c r="AF27" s="15" t="s">
        <v>485</v>
      </c>
    </row>
  </sheetData>
  <mergeCells count="9">
    <mergeCell ref="H3:L3"/>
    <mergeCell ref="C8:AF8"/>
    <mergeCell ref="B3:F3"/>
    <mergeCell ref="B5:F5"/>
    <mergeCell ref="A10:A27"/>
    <mergeCell ref="B10:B11"/>
    <mergeCell ref="H4:L4"/>
    <mergeCell ref="B4:F4"/>
    <mergeCell ref="H5:L5"/>
  </mergeCells>
  <pageMargins left="0.75" right="0.75" top="1" bottom="1" header="0.5" footer="0.5"/>
</worksheet>
</file>

<file path=xl/worksheets/sheet2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500-000000000000}">
  <dimension ref="A1:AF37"/>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12" customHeight="1">
      <c r="B3" s="19" t="s">
        <v>433</v>
      </c>
      <c r="C3" s="19"/>
      <c r="D3" s="19"/>
      <c r="E3" s="19"/>
      <c r="F3" s="19"/>
      <c r="H3" s="19" t="s">
        <v>434</v>
      </c>
      <c r="I3" s="19"/>
      <c r="J3" s="19"/>
      <c r="K3" s="19"/>
      <c r="L3" s="19"/>
    </row>
    <row r="4" spans="1:32" ht="27" customHeight="1">
      <c r="B4" s="19"/>
      <c r="C4" s="19"/>
      <c r="D4" s="19"/>
      <c r="E4" s="19"/>
      <c r="F4" s="19"/>
      <c r="H4" s="19"/>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HYPERLINK("#Content!A218","&lt;&lt;Back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34.5">
      <c r="A12" s="23"/>
      <c r="B12" s="11" t="s">
        <v>1755</v>
      </c>
      <c r="C12" s="12">
        <v>212</v>
      </c>
      <c r="D12" s="12">
        <v>21</v>
      </c>
      <c r="E12" s="12">
        <v>5</v>
      </c>
      <c r="F12" s="12">
        <v>3</v>
      </c>
      <c r="G12" s="12">
        <v>22</v>
      </c>
      <c r="H12" s="12">
        <v>2</v>
      </c>
      <c r="I12" s="12">
        <v>2</v>
      </c>
      <c r="J12" s="12">
        <v>0</v>
      </c>
      <c r="K12" s="12">
        <v>1</v>
      </c>
      <c r="L12" s="12">
        <v>6</v>
      </c>
      <c r="M12" s="12">
        <v>16</v>
      </c>
      <c r="N12" s="12">
        <v>40</v>
      </c>
      <c r="O12" s="12">
        <v>5</v>
      </c>
      <c r="P12" s="12">
        <v>5</v>
      </c>
      <c r="Q12" s="12">
        <v>4</v>
      </c>
      <c r="R12" s="12">
        <v>4</v>
      </c>
      <c r="S12" s="12">
        <v>0</v>
      </c>
      <c r="T12" s="12">
        <v>0</v>
      </c>
      <c r="U12" s="12">
        <v>0</v>
      </c>
      <c r="V12" s="12">
        <v>1</v>
      </c>
      <c r="W12" s="12">
        <v>1</v>
      </c>
      <c r="X12" s="12">
        <v>2</v>
      </c>
      <c r="Y12" s="12">
        <v>0</v>
      </c>
      <c r="Z12" s="12">
        <v>0</v>
      </c>
      <c r="AA12" s="12">
        <v>24</v>
      </c>
      <c r="AB12" s="12">
        <v>2</v>
      </c>
      <c r="AC12" s="12">
        <v>1</v>
      </c>
      <c r="AD12" s="12">
        <v>3</v>
      </c>
      <c r="AE12" s="12">
        <v>0</v>
      </c>
      <c r="AF12" s="12">
        <v>0</v>
      </c>
    </row>
    <row r="13" spans="1:32" ht="23.25">
      <c r="A13" s="23"/>
      <c r="B13" s="13" t="s">
        <v>1756</v>
      </c>
      <c r="C13" s="14">
        <v>0.01</v>
      </c>
      <c r="D13" s="14">
        <v>0.02</v>
      </c>
      <c r="E13" s="14">
        <v>0.01</v>
      </c>
      <c r="F13" s="15" t="s">
        <v>485</v>
      </c>
      <c r="G13" s="14">
        <v>0.02</v>
      </c>
      <c r="H13" s="15" t="s">
        <v>485</v>
      </c>
      <c r="I13" s="15" t="s">
        <v>485</v>
      </c>
      <c r="J13" s="15" t="s">
        <v>485</v>
      </c>
      <c r="K13" s="15" t="s">
        <v>485</v>
      </c>
      <c r="L13" s="15" t="s">
        <v>485</v>
      </c>
      <c r="M13" s="14">
        <v>0.02</v>
      </c>
      <c r="N13" s="14">
        <v>0.04</v>
      </c>
      <c r="O13" s="15" t="s">
        <v>485</v>
      </c>
      <c r="P13" s="14">
        <v>0.01</v>
      </c>
      <c r="Q13" s="15" t="s">
        <v>485</v>
      </c>
      <c r="R13" s="14">
        <v>0.01</v>
      </c>
      <c r="S13" s="15" t="s">
        <v>485</v>
      </c>
      <c r="T13" s="15" t="s">
        <v>485</v>
      </c>
      <c r="U13" s="15" t="s">
        <v>485</v>
      </c>
      <c r="V13" s="15" t="s">
        <v>485</v>
      </c>
      <c r="W13" s="15" t="s">
        <v>485</v>
      </c>
      <c r="X13" s="15" t="s">
        <v>485</v>
      </c>
      <c r="Y13" s="15" t="s">
        <v>485</v>
      </c>
      <c r="Z13" s="15" t="s">
        <v>485</v>
      </c>
      <c r="AA13" s="14">
        <v>0.02</v>
      </c>
      <c r="AB13" s="15" t="s">
        <v>485</v>
      </c>
      <c r="AC13" s="15" t="s">
        <v>485</v>
      </c>
      <c r="AD13" s="15" t="s">
        <v>485</v>
      </c>
      <c r="AE13" s="15" t="s">
        <v>485</v>
      </c>
      <c r="AF13" s="15" t="s">
        <v>485</v>
      </c>
    </row>
    <row r="14" spans="1:32">
      <c r="A14" s="23"/>
      <c r="B14" s="11" t="s">
        <v>1757</v>
      </c>
      <c r="C14" s="12">
        <v>1109</v>
      </c>
      <c r="D14" s="12">
        <v>23</v>
      </c>
      <c r="E14" s="12">
        <v>9</v>
      </c>
      <c r="F14" s="12">
        <v>4</v>
      </c>
      <c r="G14" s="12">
        <v>0</v>
      </c>
      <c r="H14" s="12">
        <v>19</v>
      </c>
      <c r="I14" s="12">
        <v>24</v>
      </c>
      <c r="J14" s="12">
        <v>5</v>
      </c>
      <c r="K14" s="12">
        <v>18</v>
      </c>
      <c r="L14" s="12">
        <v>57</v>
      </c>
      <c r="M14" s="12">
        <v>116</v>
      </c>
      <c r="N14" s="12">
        <v>98</v>
      </c>
      <c r="O14" s="12">
        <v>47</v>
      </c>
      <c r="P14" s="12">
        <v>1</v>
      </c>
      <c r="Q14" s="12">
        <v>47</v>
      </c>
      <c r="R14" s="12">
        <v>57</v>
      </c>
      <c r="S14" s="12">
        <v>8</v>
      </c>
      <c r="T14" s="12">
        <v>24</v>
      </c>
      <c r="U14" s="12">
        <v>31</v>
      </c>
      <c r="V14" s="12">
        <v>2</v>
      </c>
      <c r="W14" s="12">
        <v>61</v>
      </c>
      <c r="X14" s="12">
        <v>15</v>
      </c>
      <c r="Y14" s="12">
        <v>8</v>
      </c>
      <c r="Z14" s="12">
        <v>8</v>
      </c>
      <c r="AA14" s="12">
        <v>296</v>
      </c>
      <c r="AB14" s="12">
        <v>18</v>
      </c>
      <c r="AC14" s="12">
        <v>6</v>
      </c>
      <c r="AD14" s="12">
        <v>75</v>
      </c>
      <c r="AE14" s="12">
        <v>26</v>
      </c>
      <c r="AF14" s="12">
        <v>14</v>
      </c>
    </row>
    <row r="15" spans="1:32">
      <c r="A15" s="23"/>
      <c r="B15" s="13" t="s">
        <v>1758</v>
      </c>
      <c r="C15" s="14">
        <v>0.04</v>
      </c>
      <c r="D15" s="14">
        <v>0.02</v>
      </c>
      <c r="E15" s="14">
        <v>0.01</v>
      </c>
      <c r="F15" s="15" t="s">
        <v>485</v>
      </c>
      <c r="G15" s="15" t="s">
        <v>485</v>
      </c>
      <c r="H15" s="14">
        <v>0.02</v>
      </c>
      <c r="I15" s="14">
        <v>0.02</v>
      </c>
      <c r="J15" s="14">
        <v>0.02</v>
      </c>
      <c r="K15" s="14">
        <v>0.02</v>
      </c>
      <c r="L15" s="14">
        <v>0.06</v>
      </c>
      <c r="M15" s="14">
        <v>0.12</v>
      </c>
      <c r="N15" s="14">
        <v>0.1</v>
      </c>
      <c r="O15" s="14">
        <v>0.05</v>
      </c>
      <c r="P15" s="15" t="s">
        <v>485</v>
      </c>
      <c r="Q15" s="14">
        <v>0.05</v>
      </c>
      <c r="R15" s="14">
        <v>0.11</v>
      </c>
      <c r="S15" s="14">
        <v>0.01</v>
      </c>
      <c r="T15" s="14">
        <v>0.02</v>
      </c>
      <c r="U15" s="14">
        <v>0.06</v>
      </c>
      <c r="V15" s="15" t="s">
        <v>485</v>
      </c>
      <c r="W15" s="14">
        <v>0.12</v>
      </c>
      <c r="X15" s="14">
        <v>0.01</v>
      </c>
      <c r="Y15" s="14">
        <v>0.01</v>
      </c>
      <c r="Z15" s="14">
        <v>0.01</v>
      </c>
      <c r="AA15" s="14">
        <v>0.28999999999999998</v>
      </c>
      <c r="AB15" s="14">
        <v>0.02</v>
      </c>
      <c r="AC15" s="14">
        <v>0.01</v>
      </c>
      <c r="AD15" s="14">
        <v>7.0000000000000007E-2</v>
      </c>
      <c r="AE15" s="14">
        <v>0.03</v>
      </c>
      <c r="AF15" s="14">
        <v>0.01</v>
      </c>
    </row>
    <row r="16" spans="1:32" ht="34.5">
      <c r="A16" s="23"/>
      <c r="B16" s="11" t="s">
        <v>1759</v>
      </c>
      <c r="C16" s="12">
        <v>6017</v>
      </c>
      <c r="D16" s="12">
        <v>146</v>
      </c>
      <c r="E16" s="12">
        <v>111</v>
      </c>
      <c r="F16" s="12">
        <v>97</v>
      </c>
      <c r="G16" s="12">
        <v>76</v>
      </c>
      <c r="H16" s="12">
        <v>526</v>
      </c>
      <c r="I16" s="12">
        <v>634</v>
      </c>
      <c r="J16" s="12">
        <v>109</v>
      </c>
      <c r="K16" s="12">
        <v>146</v>
      </c>
      <c r="L16" s="12">
        <v>127</v>
      </c>
      <c r="M16" s="12">
        <v>127</v>
      </c>
      <c r="N16" s="12">
        <v>143</v>
      </c>
      <c r="O16" s="12">
        <v>304</v>
      </c>
      <c r="P16" s="12">
        <v>73</v>
      </c>
      <c r="Q16" s="12">
        <v>251</v>
      </c>
      <c r="R16" s="12">
        <v>28</v>
      </c>
      <c r="S16" s="12">
        <v>103</v>
      </c>
      <c r="T16" s="12">
        <v>140</v>
      </c>
      <c r="U16" s="12">
        <v>59</v>
      </c>
      <c r="V16" s="12">
        <v>382</v>
      </c>
      <c r="W16" s="12">
        <v>73</v>
      </c>
      <c r="X16" s="12">
        <v>79</v>
      </c>
      <c r="Y16" s="12">
        <v>96</v>
      </c>
      <c r="Z16" s="12">
        <v>92</v>
      </c>
      <c r="AA16" s="12">
        <v>228</v>
      </c>
      <c r="AB16" s="12">
        <v>153</v>
      </c>
      <c r="AC16" s="12">
        <v>337</v>
      </c>
      <c r="AD16" s="12">
        <v>237</v>
      </c>
      <c r="AE16" s="12">
        <v>142</v>
      </c>
      <c r="AF16" s="12">
        <v>56</v>
      </c>
    </row>
    <row r="17" spans="1:32" ht="23.25">
      <c r="A17" s="23"/>
      <c r="B17" s="13" t="s">
        <v>1760</v>
      </c>
      <c r="C17" s="14">
        <v>0.23</v>
      </c>
      <c r="D17" s="14">
        <v>0.15</v>
      </c>
      <c r="E17" s="14">
        <v>0.11</v>
      </c>
      <c r="F17" s="14">
        <v>0.1</v>
      </c>
      <c r="G17" s="14">
        <v>0.08</v>
      </c>
      <c r="H17" s="14">
        <v>0.43</v>
      </c>
      <c r="I17" s="14">
        <v>0.42</v>
      </c>
      <c r="J17" s="14">
        <v>0.37</v>
      </c>
      <c r="K17" s="14">
        <v>0.15</v>
      </c>
      <c r="L17" s="14">
        <v>0.13</v>
      </c>
      <c r="M17" s="14">
        <v>0.13</v>
      </c>
      <c r="N17" s="14">
        <v>0.14000000000000001</v>
      </c>
      <c r="O17" s="14">
        <v>0.3</v>
      </c>
      <c r="P17" s="14">
        <v>7.0000000000000007E-2</v>
      </c>
      <c r="Q17" s="14">
        <v>0.25</v>
      </c>
      <c r="R17" s="14">
        <v>0.06</v>
      </c>
      <c r="S17" s="14">
        <v>0.1</v>
      </c>
      <c r="T17" s="14">
        <v>0.14000000000000001</v>
      </c>
      <c r="U17" s="14">
        <v>0.12</v>
      </c>
      <c r="V17" s="14">
        <v>0.38</v>
      </c>
      <c r="W17" s="14">
        <v>0.14000000000000001</v>
      </c>
      <c r="X17" s="14">
        <v>0.08</v>
      </c>
      <c r="Y17" s="14">
        <v>0.1</v>
      </c>
      <c r="Z17" s="14">
        <v>0.09</v>
      </c>
      <c r="AA17" s="14">
        <v>0.22</v>
      </c>
      <c r="AB17" s="14">
        <v>0.15</v>
      </c>
      <c r="AC17" s="14">
        <v>0.34</v>
      </c>
      <c r="AD17" s="14">
        <v>0.24</v>
      </c>
      <c r="AE17" s="14">
        <v>0.14000000000000001</v>
      </c>
      <c r="AF17" s="14">
        <v>0.05</v>
      </c>
    </row>
    <row r="18" spans="1:32" ht="34.5">
      <c r="A18" s="23"/>
      <c r="B18" s="11" t="s">
        <v>1761</v>
      </c>
      <c r="C18" s="12">
        <v>9227</v>
      </c>
      <c r="D18" s="12">
        <v>323</v>
      </c>
      <c r="E18" s="12">
        <v>618</v>
      </c>
      <c r="F18" s="12">
        <v>698</v>
      </c>
      <c r="G18" s="12">
        <v>243</v>
      </c>
      <c r="H18" s="12">
        <v>354</v>
      </c>
      <c r="I18" s="12">
        <v>426</v>
      </c>
      <c r="J18" s="12">
        <v>72</v>
      </c>
      <c r="K18" s="12">
        <v>353</v>
      </c>
      <c r="L18" s="12">
        <v>280</v>
      </c>
      <c r="M18" s="12">
        <v>407</v>
      </c>
      <c r="N18" s="12">
        <v>117</v>
      </c>
      <c r="O18" s="12">
        <v>228</v>
      </c>
      <c r="P18" s="12">
        <v>714</v>
      </c>
      <c r="Q18" s="12">
        <v>512</v>
      </c>
      <c r="R18" s="12">
        <v>193</v>
      </c>
      <c r="S18" s="12">
        <v>425</v>
      </c>
      <c r="T18" s="12">
        <v>314</v>
      </c>
      <c r="U18" s="12">
        <v>98</v>
      </c>
      <c r="V18" s="12">
        <v>352</v>
      </c>
      <c r="W18" s="12">
        <v>72</v>
      </c>
      <c r="X18" s="12">
        <v>250</v>
      </c>
      <c r="Y18" s="12">
        <v>84</v>
      </c>
      <c r="Z18" s="12">
        <v>686</v>
      </c>
      <c r="AA18" s="12">
        <v>308</v>
      </c>
      <c r="AB18" s="12">
        <v>635</v>
      </c>
      <c r="AC18" s="12">
        <v>303</v>
      </c>
      <c r="AD18" s="12">
        <v>429</v>
      </c>
      <c r="AE18" s="12">
        <v>223</v>
      </c>
      <c r="AF18" s="12">
        <v>262</v>
      </c>
    </row>
    <row r="19" spans="1:32" ht="23.25">
      <c r="A19" s="23"/>
      <c r="B19" s="13" t="s">
        <v>1762</v>
      </c>
      <c r="C19" s="14">
        <v>0.35</v>
      </c>
      <c r="D19" s="14">
        <v>0.32</v>
      </c>
      <c r="E19" s="14">
        <v>0.59</v>
      </c>
      <c r="F19" s="14">
        <v>0.69000000000000006</v>
      </c>
      <c r="G19" s="14">
        <v>0.24</v>
      </c>
      <c r="H19" s="14">
        <v>0.28999999999999998</v>
      </c>
      <c r="I19" s="14">
        <v>0.28000000000000003</v>
      </c>
      <c r="J19" s="14">
        <v>0.24</v>
      </c>
      <c r="K19" s="14">
        <v>0.35</v>
      </c>
      <c r="L19" s="14">
        <v>0.28000000000000003</v>
      </c>
      <c r="M19" s="14">
        <v>0.4</v>
      </c>
      <c r="N19" s="14">
        <v>0.12</v>
      </c>
      <c r="O19" s="14">
        <v>0.23</v>
      </c>
      <c r="P19" s="14">
        <v>0.71</v>
      </c>
      <c r="Q19" s="14">
        <v>0.5</v>
      </c>
      <c r="R19" s="14">
        <v>0.38</v>
      </c>
      <c r="S19" s="14">
        <v>0.42</v>
      </c>
      <c r="T19" s="14">
        <v>0.31</v>
      </c>
      <c r="U19" s="14">
        <v>0.19</v>
      </c>
      <c r="V19" s="14">
        <v>0.35</v>
      </c>
      <c r="W19" s="14">
        <v>0.14000000000000001</v>
      </c>
      <c r="X19" s="14">
        <v>0.25</v>
      </c>
      <c r="Y19" s="14">
        <v>0.08</v>
      </c>
      <c r="Z19" s="14">
        <v>0.67</v>
      </c>
      <c r="AA19" s="14">
        <v>0.3</v>
      </c>
      <c r="AB19" s="14">
        <v>0.62</v>
      </c>
      <c r="AC19" s="14">
        <v>0.3</v>
      </c>
      <c r="AD19" s="14">
        <v>0.43</v>
      </c>
      <c r="AE19" s="14">
        <v>0.22</v>
      </c>
      <c r="AF19" s="14">
        <v>0.25</v>
      </c>
    </row>
    <row r="20" spans="1:32" ht="23.25">
      <c r="A20" s="23"/>
      <c r="B20" s="11" t="s">
        <v>1763</v>
      </c>
      <c r="C20" s="12">
        <v>2064</v>
      </c>
      <c r="D20" s="12">
        <v>62</v>
      </c>
      <c r="E20" s="12">
        <v>0</v>
      </c>
      <c r="F20" s="12">
        <v>26</v>
      </c>
      <c r="G20" s="12">
        <v>119</v>
      </c>
      <c r="H20" s="12">
        <v>70</v>
      </c>
      <c r="I20" s="12">
        <v>87</v>
      </c>
      <c r="J20" s="12">
        <v>17</v>
      </c>
      <c r="K20" s="12">
        <v>137</v>
      </c>
      <c r="L20" s="12">
        <v>74</v>
      </c>
      <c r="M20" s="12">
        <v>73</v>
      </c>
      <c r="N20" s="12">
        <v>336</v>
      </c>
      <c r="O20" s="12">
        <v>15</v>
      </c>
      <c r="P20" s="12">
        <v>9</v>
      </c>
      <c r="Q20" s="12">
        <v>9</v>
      </c>
      <c r="R20" s="12">
        <v>6</v>
      </c>
      <c r="S20" s="12">
        <v>141</v>
      </c>
      <c r="T20" s="12">
        <v>118</v>
      </c>
      <c r="U20" s="12">
        <v>70</v>
      </c>
      <c r="V20" s="12">
        <v>71</v>
      </c>
      <c r="W20" s="12">
        <v>90</v>
      </c>
      <c r="X20" s="12">
        <v>6</v>
      </c>
      <c r="Y20" s="12">
        <v>440</v>
      </c>
      <c r="Z20" s="12">
        <v>36</v>
      </c>
      <c r="AA20" s="12">
        <v>3</v>
      </c>
      <c r="AB20" s="12">
        <v>46</v>
      </c>
      <c r="AC20" s="12">
        <v>29</v>
      </c>
      <c r="AD20" s="12">
        <v>23</v>
      </c>
      <c r="AE20" s="12">
        <v>46</v>
      </c>
      <c r="AF20" s="12">
        <v>116</v>
      </c>
    </row>
    <row r="21" spans="1:32" ht="45.75">
      <c r="A21" s="23"/>
      <c r="B21" s="13" t="s">
        <v>1764</v>
      </c>
      <c r="C21" s="14">
        <v>0.08</v>
      </c>
      <c r="D21" s="14">
        <v>0.06</v>
      </c>
      <c r="E21" s="15" t="s">
        <v>485</v>
      </c>
      <c r="F21" s="14">
        <v>0.03</v>
      </c>
      <c r="G21" s="14">
        <v>0.12</v>
      </c>
      <c r="H21" s="14">
        <v>0.06</v>
      </c>
      <c r="I21" s="14">
        <v>0.06</v>
      </c>
      <c r="J21" s="14">
        <v>0.06</v>
      </c>
      <c r="K21" s="14">
        <v>0.14000000000000001</v>
      </c>
      <c r="L21" s="14">
        <v>7.0000000000000007E-2</v>
      </c>
      <c r="M21" s="14">
        <v>7.0000000000000007E-2</v>
      </c>
      <c r="N21" s="14">
        <v>0.34</v>
      </c>
      <c r="O21" s="14">
        <v>0.01</v>
      </c>
      <c r="P21" s="14">
        <v>0.01</v>
      </c>
      <c r="Q21" s="14">
        <v>0.01</v>
      </c>
      <c r="R21" s="14">
        <v>0.01</v>
      </c>
      <c r="S21" s="14">
        <v>0.14000000000000001</v>
      </c>
      <c r="T21" s="14">
        <v>0.12</v>
      </c>
      <c r="U21" s="14">
        <v>0.14000000000000001</v>
      </c>
      <c r="V21" s="14">
        <v>7.0000000000000007E-2</v>
      </c>
      <c r="W21" s="14">
        <v>0.18</v>
      </c>
      <c r="X21" s="14">
        <v>0.01</v>
      </c>
      <c r="Y21" s="14">
        <v>0.44</v>
      </c>
      <c r="Z21" s="14">
        <v>0.04</v>
      </c>
      <c r="AA21" s="15" t="s">
        <v>485</v>
      </c>
      <c r="AB21" s="14">
        <v>0.04</v>
      </c>
      <c r="AC21" s="14">
        <v>0.03</v>
      </c>
      <c r="AD21" s="14">
        <v>0.02</v>
      </c>
      <c r="AE21" s="14">
        <v>0.05</v>
      </c>
      <c r="AF21" s="14">
        <v>0.11</v>
      </c>
    </row>
    <row r="22" spans="1:32" ht="23.25">
      <c r="A22" s="23"/>
      <c r="B22" s="11" t="s">
        <v>1765</v>
      </c>
      <c r="C22" s="12">
        <v>1788</v>
      </c>
      <c r="D22" s="12">
        <v>168</v>
      </c>
      <c r="E22" s="12">
        <v>0</v>
      </c>
      <c r="F22" s="12">
        <v>3</v>
      </c>
      <c r="G22" s="12">
        <v>202</v>
      </c>
      <c r="H22" s="12">
        <v>30</v>
      </c>
      <c r="I22" s="12">
        <v>49</v>
      </c>
      <c r="J22" s="12">
        <v>18</v>
      </c>
      <c r="K22" s="12">
        <v>54</v>
      </c>
      <c r="L22" s="12">
        <v>90</v>
      </c>
      <c r="M22" s="12">
        <v>0</v>
      </c>
      <c r="N22" s="12">
        <v>84</v>
      </c>
      <c r="O22" s="12">
        <v>188</v>
      </c>
      <c r="P22" s="12">
        <v>49</v>
      </c>
      <c r="Q22" s="12">
        <v>15</v>
      </c>
      <c r="R22" s="12">
        <v>43</v>
      </c>
      <c r="S22" s="12">
        <v>56</v>
      </c>
      <c r="T22" s="12">
        <v>0</v>
      </c>
      <c r="U22" s="12">
        <v>54</v>
      </c>
      <c r="V22" s="12">
        <v>31</v>
      </c>
      <c r="W22" s="12">
        <v>48</v>
      </c>
      <c r="X22" s="12">
        <v>56</v>
      </c>
      <c r="Y22" s="12">
        <v>237</v>
      </c>
      <c r="Z22" s="12">
        <v>0</v>
      </c>
      <c r="AA22" s="12">
        <v>2</v>
      </c>
      <c r="AB22" s="12">
        <v>6</v>
      </c>
      <c r="AC22" s="12">
        <v>101</v>
      </c>
      <c r="AD22" s="12">
        <v>0</v>
      </c>
      <c r="AE22" s="12">
        <v>131</v>
      </c>
      <c r="AF22" s="12">
        <v>177</v>
      </c>
    </row>
    <row r="23" spans="1:32">
      <c r="A23" s="23"/>
      <c r="B23" s="13" t="s">
        <v>1766</v>
      </c>
      <c r="C23" s="14">
        <v>7.0000000000000007E-2</v>
      </c>
      <c r="D23" s="14">
        <v>0.17</v>
      </c>
      <c r="E23" s="15" t="s">
        <v>485</v>
      </c>
      <c r="F23" s="15" t="s">
        <v>485</v>
      </c>
      <c r="G23" s="14">
        <v>0.2</v>
      </c>
      <c r="H23" s="14">
        <v>0.03</v>
      </c>
      <c r="I23" s="14">
        <v>0.03</v>
      </c>
      <c r="J23" s="14">
        <v>0.06</v>
      </c>
      <c r="K23" s="14">
        <v>0.05</v>
      </c>
      <c r="L23" s="14">
        <v>0.09</v>
      </c>
      <c r="M23" s="15" t="s">
        <v>485</v>
      </c>
      <c r="N23" s="14">
        <v>0.08</v>
      </c>
      <c r="O23" s="14">
        <v>0.19</v>
      </c>
      <c r="P23" s="14">
        <v>0.05</v>
      </c>
      <c r="Q23" s="14">
        <v>0.01</v>
      </c>
      <c r="R23" s="14">
        <v>0.09</v>
      </c>
      <c r="S23" s="14">
        <v>0.06</v>
      </c>
      <c r="T23" s="15" t="s">
        <v>485</v>
      </c>
      <c r="U23" s="14">
        <v>0.11</v>
      </c>
      <c r="V23" s="14">
        <v>0.03</v>
      </c>
      <c r="W23" s="14">
        <v>0.1</v>
      </c>
      <c r="X23" s="14">
        <v>0.05</v>
      </c>
      <c r="Y23" s="14">
        <v>0.23</v>
      </c>
      <c r="Z23" s="15" t="s">
        <v>485</v>
      </c>
      <c r="AA23" s="15" t="s">
        <v>485</v>
      </c>
      <c r="AB23" s="14">
        <v>0.01</v>
      </c>
      <c r="AC23" s="14">
        <v>0.1</v>
      </c>
      <c r="AD23" s="15" t="s">
        <v>485</v>
      </c>
      <c r="AE23" s="14">
        <v>0.13</v>
      </c>
      <c r="AF23" s="14">
        <v>0.17</v>
      </c>
    </row>
    <row r="24" spans="1:32" ht="23.25">
      <c r="A24" s="23"/>
      <c r="B24" s="11" t="s">
        <v>1767</v>
      </c>
      <c r="C24" s="12">
        <v>2860</v>
      </c>
      <c r="D24" s="12">
        <v>113</v>
      </c>
      <c r="E24" s="12">
        <v>150</v>
      </c>
      <c r="F24" s="12">
        <v>56</v>
      </c>
      <c r="G24" s="12">
        <v>103</v>
      </c>
      <c r="H24" s="12">
        <v>74</v>
      </c>
      <c r="I24" s="12">
        <v>107</v>
      </c>
      <c r="J24" s="12">
        <v>33</v>
      </c>
      <c r="K24" s="12">
        <v>162</v>
      </c>
      <c r="L24" s="12">
        <v>232</v>
      </c>
      <c r="M24" s="12">
        <v>217</v>
      </c>
      <c r="N24" s="12">
        <v>119</v>
      </c>
      <c r="O24" s="12">
        <v>117</v>
      </c>
      <c r="P24" s="12">
        <v>25</v>
      </c>
      <c r="Q24" s="12">
        <v>52</v>
      </c>
      <c r="R24" s="12">
        <v>126</v>
      </c>
      <c r="S24" s="12">
        <v>114</v>
      </c>
      <c r="T24" s="12">
        <v>307</v>
      </c>
      <c r="U24" s="12">
        <v>44</v>
      </c>
      <c r="V24" s="12">
        <v>111</v>
      </c>
      <c r="W24" s="12">
        <v>83</v>
      </c>
      <c r="X24" s="12">
        <v>330</v>
      </c>
      <c r="Y24" s="12">
        <v>68</v>
      </c>
      <c r="Z24" s="12">
        <v>59</v>
      </c>
      <c r="AA24" s="12">
        <v>134</v>
      </c>
      <c r="AB24" s="12">
        <v>144</v>
      </c>
      <c r="AC24" s="12">
        <v>136</v>
      </c>
      <c r="AD24" s="12">
        <v>40</v>
      </c>
      <c r="AE24" s="12">
        <v>225</v>
      </c>
      <c r="AF24" s="12">
        <v>219</v>
      </c>
    </row>
    <row r="25" spans="1:32">
      <c r="A25" s="23"/>
      <c r="B25" s="13" t="s">
        <v>1768</v>
      </c>
      <c r="C25" s="14">
        <v>0.11</v>
      </c>
      <c r="D25" s="14">
        <v>0.11</v>
      </c>
      <c r="E25" s="14">
        <v>0.14000000000000001</v>
      </c>
      <c r="F25" s="14">
        <v>0.06</v>
      </c>
      <c r="G25" s="14">
        <v>0.1</v>
      </c>
      <c r="H25" s="14">
        <v>0.06</v>
      </c>
      <c r="I25" s="14">
        <v>7.0000000000000007E-2</v>
      </c>
      <c r="J25" s="14">
        <v>0.11</v>
      </c>
      <c r="K25" s="14">
        <v>0.16</v>
      </c>
      <c r="L25" s="14">
        <v>0.23</v>
      </c>
      <c r="M25" s="14">
        <v>0.21</v>
      </c>
      <c r="N25" s="14">
        <v>0.12</v>
      </c>
      <c r="O25" s="14">
        <v>0.12</v>
      </c>
      <c r="P25" s="14">
        <v>0.02</v>
      </c>
      <c r="Q25" s="14">
        <v>0.05</v>
      </c>
      <c r="R25" s="14">
        <v>0.25</v>
      </c>
      <c r="S25" s="14">
        <v>0.11</v>
      </c>
      <c r="T25" s="14">
        <v>0.31</v>
      </c>
      <c r="U25" s="14">
        <v>0.09</v>
      </c>
      <c r="V25" s="14">
        <v>0.11</v>
      </c>
      <c r="W25" s="14">
        <v>0.17</v>
      </c>
      <c r="X25" s="14">
        <v>0.32</v>
      </c>
      <c r="Y25" s="14">
        <v>7.0000000000000007E-2</v>
      </c>
      <c r="Z25" s="14">
        <v>0.06</v>
      </c>
      <c r="AA25" s="14">
        <v>0.13</v>
      </c>
      <c r="AB25" s="14">
        <v>0.14000000000000001</v>
      </c>
      <c r="AC25" s="14">
        <v>0.13</v>
      </c>
      <c r="AD25" s="14">
        <v>0.04</v>
      </c>
      <c r="AE25" s="14">
        <v>0.22</v>
      </c>
      <c r="AF25" s="14">
        <v>0.2</v>
      </c>
    </row>
    <row r="26" spans="1:32" ht="23.25">
      <c r="A26" s="23"/>
      <c r="B26" s="11" t="s">
        <v>1769</v>
      </c>
      <c r="C26" s="12">
        <v>2797</v>
      </c>
      <c r="D26" s="12">
        <v>147</v>
      </c>
      <c r="E26" s="12">
        <v>147</v>
      </c>
      <c r="F26" s="12">
        <v>117</v>
      </c>
      <c r="G26" s="12">
        <v>213</v>
      </c>
      <c r="H26" s="12">
        <v>119</v>
      </c>
      <c r="I26" s="12">
        <v>156</v>
      </c>
      <c r="J26" s="12">
        <v>37</v>
      </c>
      <c r="K26" s="12">
        <v>126</v>
      </c>
      <c r="L26" s="12">
        <v>131</v>
      </c>
      <c r="M26" s="12">
        <v>53</v>
      </c>
      <c r="N26" s="12">
        <v>53</v>
      </c>
      <c r="O26" s="12">
        <v>82</v>
      </c>
      <c r="P26" s="12">
        <v>106</v>
      </c>
      <c r="Q26" s="12">
        <v>134</v>
      </c>
      <c r="R26" s="12">
        <v>45</v>
      </c>
      <c r="S26" s="12">
        <v>148</v>
      </c>
      <c r="T26" s="12">
        <v>98</v>
      </c>
      <c r="U26" s="12">
        <v>138</v>
      </c>
      <c r="V26" s="12">
        <v>52</v>
      </c>
      <c r="W26" s="12">
        <v>70</v>
      </c>
      <c r="X26" s="12">
        <v>262</v>
      </c>
      <c r="Y26" s="12">
        <v>56</v>
      </c>
      <c r="Z26" s="12">
        <v>134</v>
      </c>
      <c r="AA26" s="12">
        <v>38</v>
      </c>
      <c r="AB26" s="12">
        <v>23</v>
      </c>
      <c r="AC26" s="12">
        <v>82</v>
      </c>
      <c r="AD26" s="12">
        <v>186</v>
      </c>
      <c r="AE26" s="12">
        <v>190</v>
      </c>
      <c r="AF26" s="12">
        <v>183</v>
      </c>
    </row>
    <row r="27" spans="1:32">
      <c r="A27" s="23"/>
      <c r="B27" s="13" t="s">
        <v>1770</v>
      </c>
      <c r="C27" s="14">
        <v>0.1</v>
      </c>
      <c r="D27" s="14">
        <v>0.15</v>
      </c>
      <c r="E27" s="14">
        <v>0.14000000000000001</v>
      </c>
      <c r="F27" s="14">
        <v>0.12</v>
      </c>
      <c r="G27" s="14">
        <v>0.21</v>
      </c>
      <c r="H27" s="14">
        <v>0.1</v>
      </c>
      <c r="I27" s="14">
        <v>0.11</v>
      </c>
      <c r="J27" s="14">
        <v>0.13</v>
      </c>
      <c r="K27" s="14">
        <v>0.13</v>
      </c>
      <c r="L27" s="14">
        <v>0.13</v>
      </c>
      <c r="M27" s="14">
        <v>0.05</v>
      </c>
      <c r="N27" s="14">
        <v>0.05</v>
      </c>
      <c r="O27" s="14">
        <v>0.08</v>
      </c>
      <c r="P27" s="14">
        <v>0.1</v>
      </c>
      <c r="Q27" s="14">
        <v>0.13</v>
      </c>
      <c r="R27" s="14">
        <v>0.09</v>
      </c>
      <c r="S27" s="14">
        <v>0.15</v>
      </c>
      <c r="T27" s="14">
        <v>0.1</v>
      </c>
      <c r="U27" s="14">
        <v>0.27</v>
      </c>
      <c r="V27" s="14">
        <v>0.05</v>
      </c>
      <c r="W27" s="14">
        <v>0.14000000000000001</v>
      </c>
      <c r="X27" s="14">
        <v>0.26</v>
      </c>
      <c r="Y27" s="14">
        <v>0.05</v>
      </c>
      <c r="Z27" s="14">
        <v>0.13</v>
      </c>
      <c r="AA27" s="14">
        <v>0.04</v>
      </c>
      <c r="AB27" s="14">
        <v>0.02</v>
      </c>
      <c r="AC27" s="14">
        <v>0.08</v>
      </c>
      <c r="AD27" s="14">
        <v>0.19</v>
      </c>
      <c r="AE27" s="14">
        <v>0.19</v>
      </c>
      <c r="AF27" s="14">
        <v>0.17</v>
      </c>
    </row>
    <row r="28" spans="1:32" ht="23.25">
      <c r="A28" s="23"/>
      <c r="B28" s="11" t="s">
        <v>1771</v>
      </c>
      <c r="C28" s="12">
        <v>250</v>
      </c>
      <c r="D28" s="12">
        <v>1</v>
      </c>
      <c r="E28" s="12">
        <v>4</v>
      </c>
      <c r="F28" s="12">
        <v>1</v>
      </c>
      <c r="G28" s="12">
        <v>23</v>
      </c>
      <c r="H28" s="12">
        <v>12</v>
      </c>
      <c r="I28" s="12">
        <v>13</v>
      </c>
      <c r="J28" s="12">
        <v>1</v>
      </c>
      <c r="K28" s="12">
        <v>4</v>
      </c>
      <c r="L28" s="12">
        <v>9</v>
      </c>
      <c r="M28" s="12">
        <v>3</v>
      </c>
      <c r="N28" s="12">
        <v>10</v>
      </c>
      <c r="O28" s="12">
        <v>18</v>
      </c>
      <c r="P28" s="12">
        <v>29</v>
      </c>
      <c r="Q28" s="12">
        <v>1</v>
      </c>
      <c r="R28" s="12">
        <v>0</v>
      </c>
      <c r="S28" s="12">
        <v>5</v>
      </c>
      <c r="T28" s="12">
        <v>2</v>
      </c>
      <c r="U28" s="12">
        <v>10</v>
      </c>
      <c r="V28" s="12">
        <v>7</v>
      </c>
      <c r="W28" s="12">
        <v>6</v>
      </c>
      <c r="X28" s="12">
        <v>16</v>
      </c>
      <c r="Y28" s="12">
        <v>17</v>
      </c>
      <c r="Z28" s="12">
        <v>3</v>
      </c>
      <c r="AA28" s="12">
        <v>5</v>
      </c>
      <c r="AB28" s="12">
        <v>4</v>
      </c>
      <c r="AC28" s="12">
        <v>8</v>
      </c>
      <c r="AD28" s="12">
        <v>8</v>
      </c>
      <c r="AE28" s="12">
        <v>25</v>
      </c>
      <c r="AF28" s="12">
        <v>45</v>
      </c>
    </row>
    <row r="29" spans="1:32">
      <c r="A29" s="23"/>
      <c r="B29" s="13" t="s">
        <v>1772</v>
      </c>
      <c r="C29" s="14">
        <v>0.01</v>
      </c>
      <c r="D29" s="15" t="s">
        <v>485</v>
      </c>
      <c r="E29" s="15" t="s">
        <v>485</v>
      </c>
      <c r="F29" s="15" t="s">
        <v>485</v>
      </c>
      <c r="G29" s="14">
        <v>0.03</v>
      </c>
      <c r="H29" s="14">
        <v>0.01</v>
      </c>
      <c r="I29" s="14">
        <v>0.01</v>
      </c>
      <c r="J29" s="14">
        <v>0.01</v>
      </c>
      <c r="K29" s="15" t="s">
        <v>485</v>
      </c>
      <c r="L29" s="14">
        <v>0.01</v>
      </c>
      <c r="M29" s="15" t="s">
        <v>485</v>
      </c>
      <c r="N29" s="14">
        <v>0.01</v>
      </c>
      <c r="O29" s="14">
        <v>0.02</v>
      </c>
      <c r="P29" s="14">
        <v>0.03</v>
      </c>
      <c r="Q29" s="15" t="s">
        <v>485</v>
      </c>
      <c r="R29" s="15" t="s">
        <v>485</v>
      </c>
      <c r="S29" s="14">
        <v>0.01</v>
      </c>
      <c r="T29" s="15" t="s">
        <v>485</v>
      </c>
      <c r="U29" s="14">
        <v>0.02</v>
      </c>
      <c r="V29" s="14">
        <v>0.01</v>
      </c>
      <c r="W29" s="14">
        <v>0.01</v>
      </c>
      <c r="X29" s="14">
        <v>0.02</v>
      </c>
      <c r="Y29" s="14">
        <v>0.02</v>
      </c>
      <c r="Z29" s="15" t="s">
        <v>485</v>
      </c>
      <c r="AA29" s="15" t="s">
        <v>485</v>
      </c>
      <c r="AB29" s="15" t="s">
        <v>485</v>
      </c>
      <c r="AC29" s="14">
        <v>0.01</v>
      </c>
      <c r="AD29" s="14">
        <v>0.01</v>
      </c>
      <c r="AE29" s="14">
        <v>0.02</v>
      </c>
      <c r="AF29" s="14">
        <v>0.04</v>
      </c>
    </row>
    <row r="30" spans="1:32" ht="23.25">
      <c r="A30" s="23"/>
      <c r="B30" s="11" t="s">
        <v>1773</v>
      </c>
      <c r="C30" s="12">
        <v>3</v>
      </c>
      <c r="D30" s="12">
        <v>0</v>
      </c>
      <c r="E30" s="12">
        <v>0</v>
      </c>
      <c r="F30" s="12">
        <v>0</v>
      </c>
      <c r="G30" s="12">
        <v>0</v>
      </c>
      <c r="H30" s="12">
        <v>1</v>
      </c>
      <c r="I30" s="12">
        <v>1</v>
      </c>
      <c r="J30" s="12">
        <v>0</v>
      </c>
      <c r="K30" s="12">
        <v>0</v>
      </c>
      <c r="L30" s="12">
        <v>0</v>
      </c>
      <c r="M30" s="12">
        <v>0</v>
      </c>
      <c r="N30" s="12">
        <v>0</v>
      </c>
      <c r="O30" s="12">
        <v>0</v>
      </c>
      <c r="P30" s="12">
        <v>0</v>
      </c>
      <c r="Q30" s="12">
        <v>0</v>
      </c>
      <c r="R30" s="12">
        <v>0</v>
      </c>
      <c r="S30" s="12">
        <v>0</v>
      </c>
      <c r="T30" s="12">
        <v>0</v>
      </c>
      <c r="U30" s="12">
        <v>0</v>
      </c>
      <c r="V30" s="12">
        <v>0</v>
      </c>
      <c r="W30" s="12">
        <v>0</v>
      </c>
      <c r="X30" s="12">
        <v>0</v>
      </c>
      <c r="Y30" s="12">
        <v>0</v>
      </c>
      <c r="Z30" s="12">
        <v>0</v>
      </c>
      <c r="AA30" s="12">
        <v>0</v>
      </c>
      <c r="AB30" s="12">
        <v>0</v>
      </c>
      <c r="AC30" s="12">
        <v>0</v>
      </c>
      <c r="AD30" s="12">
        <v>0</v>
      </c>
      <c r="AE30" s="12">
        <v>0</v>
      </c>
      <c r="AF30" s="12">
        <v>0</v>
      </c>
    </row>
    <row r="31" spans="1:32" ht="23.25">
      <c r="A31" s="23"/>
      <c r="B31" s="13" t="s">
        <v>1774</v>
      </c>
      <c r="C31" s="15" t="s">
        <v>485</v>
      </c>
      <c r="D31" s="15" t="s">
        <v>485</v>
      </c>
      <c r="E31" s="15" t="s">
        <v>485</v>
      </c>
      <c r="F31" s="15" t="s">
        <v>485</v>
      </c>
      <c r="G31" s="15" t="s">
        <v>485</v>
      </c>
      <c r="H31" s="15" t="s">
        <v>485</v>
      </c>
      <c r="I31" s="15" t="s">
        <v>485</v>
      </c>
      <c r="J31" s="15" t="s">
        <v>485</v>
      </c>
      <c r="K31" s="15" t="s">
        <v>485</v>
      </c>
      <c r="L31" s="15" t="s">
        <v>485</v>
      </c>
      <c r="M31" s="15" t="s">
        <v>485</v>
      </c>
      <c r="N31" s="15" t="s">
        <v>485</v>
      </c>
      <c r="O31" s="15" t="s">
        <v>485</v>
      </c>
      <c r="P31" s="15" t="s">
        <v>485</v>
      </c>
      <c r="Q31" s="15" t="s">
        <v>485</v>
      </c>
      <c r="R31" s="15" t="s">
        <v>485</v>
      </c>
      <c r="S31" s="15" t="s">
        <v>485</v>
      </c>
      <c r="T31" s="15" t="s">
        <v>485</v>
      </c>
      <c r="U31" s="15" t="s">
        <v>485</v>
      </c>
      <c r="V31" s="15" t="s">
        <v>485</v>
      </c>
      <c r="W31" s="15" t="s">
        <v>485</v>
      </c>
      <c r="X31" s="15" t="s">
        <v>485</v>
      </c>
      <c r="Y31" s="15" t="s">
        <v>485</v>
      </c>
      <c r="Z31" s="15" t="s">
        <v>485</v>
      </c>
      <c r="AA31" s="15" t="s">
        <v>485</v>
      </c>
      <c r="AB31" s="15" t="s">
        <v>485</v>
      </c>
      <c r="AC31" s="15" t="s">
        <v>485</v>
      </c>
      <c r="AD31" s="15" t="s">
        <v>485</v>
      </c>
      <c r="AE31" s="15" t="s">
        <v>485</v>
      </c>
      <c r="AF31" s="15" t="s">
        <v>485</v>
      </c>
    </row>
    <row r="32" spans="1:32" ht="23.25">
      <c r="A32" s="23"/>
      <c r="B32" s="11" t="s">
        <v>1775</v>
      </c>
      <c r="C32" s="12">
        <v>6</v>
      </c>
      <c r="D32" s="12">
        <v>0</v>
      </c>
      <c r="E32" s="12">
        <v>0</v>
      </c>
      <c r="F32" s="12">
        <v>0</v>
      </c>
      <c r="G32" s="12">
        <v>0</v>
      </c>
      <c r="H32" s="12">
        <v>2</v>
      </c>
      <c r="I32" s="12">
        <v>2</v>
      </c>
      <c r="J32" s="12">
        <v>0</v>
      </c>
      <c r="K32" s="12">
        <v>0</v>
      </c>
      <c r="L32" s="12">
        <v>0</v>
      </c>
      <c r="M32" s="12">
        <v>0</v>
      </c>
      <c r="N32" s="12">
        <v>0</v>
      </c>
      <c r="O32" s="12">
        <v>0</v>
      </c>
      <c r="P32" s="12">
        <v>0</v>
      </c>
      <c r="Q32" s="12">
        <v>0</v>
      </c>
      <c r="R32" s="12">
        <v>0</v>
      </c>
      <c r="S32" s="12">
        <v>0</v>
      </c>
      <c r="T32" s="12">
        <v>0</v>
      </c>
      <c r="U32" s="12">
        <v>0</v>
      </c>
      <c r="V32" s="12">
        <v>0</v>
      </c>
      <c r="W32" s="12">
        <v>0</v>
      </c>
      <c r="X32" s="12">
        <v>0</v>
      </c>
      <c r="Y32" s="12">
        <v>0</v>
      </c>
      <c r="Z32" s="12">
        <v>0</v>
      </c>
      <c r="AA32" s="12">
        <v>0</v>
      </c>
      <c r="AB32" s="12">
        <v>0</v>
      </c>
      <c r="AC32" s="12">
        <v>0</v>
      </c>
      <c r="AD32" s="12">
        <v>0</v>
      </c>
      <c r="AE32" s="12">
        <v>0</v>
      </c>
      <c r="AF32" s="12">
        <v>0</v>
      </c>
    </row>
    <row r="33" spans="1:32" ht="23.25">
      <c r="A33" s="23"/>
      <c r="B33" s="13" t="s">
        <v>1776</v>
      </c>
      <c r="C33" s="15" t="s">
        <v>485</v>
      </c>
      <c r="D33" s="15" t="s">
        <v>485</v>
      </c>
      <c r="E33" s="15" t="s">
        <v>485</v>
      </c>
      <c r="F33" s="15" t="s">
        <v>485</v>
      </c>
      <c r="G33" s="15" t="s">
        <v>485</v>
      </c>
      <c r="H33" s="15" t="s">
        <v>485</v>
      </c>
      <c r="I33" s="15" t="s">
        <v>485</v>
      </c>
      <c r="J33" s="15" t="s">
        <v>485</v>
      </c>
      <c r="K33" s="15" t="s">
        <v>485</v>
      </c>
      <c r="L33" s="15" t="s">
        <v>485</v>
      </c>
      <c r="M33" s="15" t="s">
        <v>485</v>
      </c>
      <c r="N33" s="15" t="s">
        <v>485</v>
      </c>
      <c r="O33" s="15" t="s">
        <v>485</v>
      </c>
      <c r="P33" s="15" t="s">
        <v>485</v>
      </c>
      <c r="Q33" s="15" t="s">
        <v>485</v>
      </c>
      <c r="R33" s="15" t="s">
        <v>485</v>
      </c>
      <c r="S33" s="15" t="s">
        <v>485</v>
      </c>
      <c r="T33" s="15" t="s">
        <v>485</v>
      </c>
      <c r="U33" s="15" t="s">
        <v>485</v>
      </c>
      <c r="V33" s="15" t="s">
        <v>485</v>
      </c>
      <c r="W33" s="15" t="s">
        <v>485</v>
      </c>
      <c r="X33" s="15" t="s">
        <v>485</v>
      </c>
      <c r="Y33" s="15" t="s">
        <v>485</v>
      </c>
      <c r="Z33" s="15" t="s">
        <v>485</v>
      </c>
      <c r="AA33" s="15" t="s">
        <v>485</v>
      </c>
      <c r="AB33" s="15" t="s">
        <v>485</v>
      </c>
      <c r="AC33" s="15" t="s">
        <v>485</v>
      </c>
      <c r="AD33" s="15" t="s">
        <v>485</v>
      </c>
      <c r="AE33" s="15" t="s">
        <v>485</v>
      </c>
      <c r="AF33" s="15" t="s">
        <v>485</v>
      </c>
    </row>
    <row r="34" spans="1:32">
      <c r="A34" s="23"/>
      <c r="B34" s="11" t="s">
        <v>1515</v>
      </c>
      <c r="C34" s="12">
        <v>14</v>
      </c>
      <c r="D34" s="12">
        <v>0</v>
      </c>
      <c r="E34" s="12">
        <v>0</v>
      </c>
      <c r="F34" s="12">
        <v>1</v>
      </c>
      <c r="G34" s="12">
        <v>3</v>
      </c>
      <c r="H34" s="12">
        <v>0</v>
      </c>
      <c r="I34" s="12">
        <v>1</v>
      </c>
      <c r="J34" s="12">
        <v>1</v>
      </c>
      <c r="K34" s="12">
        <v>2</v>
      </c>
      <c r="L34" s="12">
        <v>2</v>
      </c>
      <c r="M34" s="12">
        <v>0</v>
      </c>
      <c r="N34" s="12">
        <v>0</v>
      </c>
      <c r="O34" s="12">
        <v>1</v>
      </c>
      <c r="P34" s="12">
        <v>1</v>
      </c>
      <c r="Q34" s="12">
        <v>0</v>
      </c>
      <c r="R34" s="12">
        <v>0</v>
      </c>
      <c r="S34" s="12">
        <v>4</v>
      </c>
      <c r="T34" s="12">
        <v>0</v>
      </c>
      <c r="U34" s="12">
        <v>0</v>
      </c>
      <c r="V34" s="12">
        <v>2</v>
      </c>
      <c r="W34" s="12">
        <v>0</v>
      </c>
      <c r="X34" s="12">
        <v>0</v>
      </c>
      <c r="Y34" s="12">
        <v>2</v>
      </c>
      <c r="Z34" s="12">
        <v>0</v>
      </c>
      <c r="AA34" s="12">
        <v>1</v>
      </c>
      <c r="AB34" s="12">
        <v>0</v>
      </c>
      <c r="AC34" s="12">
        <v>0</v>
      </c>
      <c r="AD34" s="12">
        <v>0</v>
      </c>
      <c r="AE34" s="12">
        <v>0</v>
      </c>
      <c r="AF34" s="12">
        <v>0</v>
      </c>
    </row>
    <row r="35" spans="1:32">
      <c r="A35" s="23"/>
      <c r="B35" s="13" t="s">
        <v>1516</v>
      </c>
      <c r="C35" s="15" t="s">
        <v>485</v>
      </c>
      <c r="D35" s="15" t="s">
        <v>485</v>
      </c>
      <c r="E35" s="15" t="s">
        <v>485</v>
      </c>
      <c r="F35" s="15" t="s">
        <v>485</v>
      </c>
      <c r="G35" s="15" t="s">
        <v>485</v>
      </c>
      <c r="H35" s="15" t="s">
        <v>485</v>
      </c>
      <c r="I35" s="15" t="s">
        <v>485</v>
      </c>
      <c r="J35" s="15" t="s">
        <v>485</v>
      </c>
      <c r="K35" s="15" t="s">
        <v>485</v>
      </c>
      <c r="L35" s="15" t="s">
        <v>485</v>
      </c>
      <c r="M35" s="15" t="s">
        <v>485</v>
      </c>
      <c r="N35" s="15" t="s">
        <v>485</v>
      </c>
      <c r="O35" s="15" t="s">
        <v>485</v>
      </c>
      <c r="P35" s="15" t="s">
        <v>485</v>
      </c>
      <c r="Q35" s="15" t="s">
        <v>485</v>
      </c>
      <c r="R35" s="15" t="s">
        <v>485</v>
      </c>
      <c r="S35" s="15" t="s">
        <v>485</v>
      </c>
      <c r="T35" s="15" t="s">
        <v>485</v>
      </c>
      <c r="U35" s="15" t="s">
        <v>485</v>
      </c>
      <c r="V35" s="15" t="s">
        <v>485</v>
      </c>
      <c r="W35" s="15" t="s">
        <v>485</v>
      </c>
      <c r="X35" s="15" t="s">
        <v>485</v>
      </c>
      <c r="Y35" s="15" t="s">
        <v>485</v>
      </c>
      <c r="Z35" s="15" t="s">
        <v>485</v>
      </c>
      <c r="AA35" s="15" t="s">
        <v>485</v>
      </c>
      <c r="AB35" s="15" t="s">
        <v>485</v>
      </c>
      <c r="AC35" s="15" t="s">
        <v>485</v>
      </c>
      <c r="AD35" s="15" t="s">
        <v>485</v>
      </c>
      <c r="AE35" s="15" t="s">
        <v>485</v>
      </c>
      <c r="AF35" s="15" t="s">
        <v>485</v>
      </c>
    </row>
    <row r="36" spans="1:32">
      <c r="A36" s="23"/>
      <c r="B36" s="11" t="s">
        <v>497</v>
      </c>
      <c r="C36" s="12">
        <v>8</v>
      </c>
      <c r="D36" s="12">
        <v>2</v>
      </c>
      <c r="E36" s="12">
        <v>0</v>
      </c>
      <c r="F36" s="12">
        <v>1</v>
      </c>
      <c r="G36" s="12">
        <v>0</v>
      </c>
      <c r="H36" s="12">
        <v>2</v>
      </c>
      <c r="I36" s="12">
        <v>2</v>
      </c>
      <c r="J36" s="12">
        <v>0</v>
      </c>
      <c r="K36" s="12">
        <v>1</v>
      </c>
      <c r="L36" s="12">
        <v>0</v>
      </c>
      <c r="M36" s="12">
        <v>0</v>
      </c>
      <c r="N36" s="12">
        <v>0</v>
      </c>
      <c r="O36" s="12">
        <v>0</v>
      </c>
      <c r="P36" s="12">
        <v>0</v>
      </c>
      <c r="Q36" s="12">
        <v>0</v>
      </c>
      <c r="R36" s="12">
        <v>0</v>
      </c>
      <c r="S36" s="12">
        <v>1</v>
      </c>
      <c r="T36" s="12">
        <v>0</v>
      </c>
      <c r="U36" s="12">
        <v>0</v>
      </c>
      <c r="V36" s="12">
        <v>0</v>
      </c>
      <c r="W36" s="12">
        <v>0</v>
      </c>
      <c r="X36" s="12">
        <v>0</v>
      </c>
      <c r="Y36" s="12">
        <v>0</v>
      </c>
      <c r="Z36" s="12">
        <v>0</v>
      </c>
      <c r="AA36" s="12">
        <v>0</v>
      </c>
      <c r="AB36" s="12">
        <v>0</v>
      </c>
      <c r="AC36" s="12">
        <v>2</v>
      </c>
      <c r="AD36" s="12">
        <v>0</v>
      </c>
      <c r="AE36" s="12">
        <v>0</v>
      </c>
      <c r="AF36" s="12">
        <v>0</v>
      </c>
    </row>
    <row r="37" spans="1:32">
      <c r="A37" s="23"/>
      <c r="B37" s="13" t="s">
        <v>498</v>
      </c>
      <c r="C37" s="15" t="s">
        <v>485</v>
      </c>
      <c r="D37" s="15" t="s">
        <v>485</v>
      </c>
      <c r="E37" s="15" t="s">
        <v>485</v>
      </c>
      <c r="F37" s="15" t="s">
        <v>485</v>
      </c>
      <c r="G37" s="15" t="s">
        <v>485</v>
      </c>
      <c r="H37" s="15" t="s">
        <v>485</v>
      </c>
      <c r="I37" s="15" t="s">
        <v>485</v>
      </c>
      <c r="J37" s="15" t="s">
        <v>485</v>
      </c>
      <c r="K37" s="15" t="s">
        <v>485</v>
      </c>
      <c r="L37" s="15" t="s">
        <v>485</v>
      </c>
      <c r="M37" s="15" t="s">
        <v>485</v>
      </c>
      <c r="N37" s="15" t="s">
        <v>485</v>
      </c>
      <c r="O37" s="15" t="s">
        <v>485</v>
      </c>
      <c r="P37" s="15" t="s">
        <v>485</v>
      </c>
      <c r="Q37" s="15" t="s">
        <v>485</v>
      </c>
      <c r="R37" s="15" t="s">
        <v>485</v>
      </c>
      <c r="S37" s="15" t="s">
        <v>485</v>
      </c>
      <c r="T37" s="15" t="s">
        <v>485</v>
      </c>
      <c r="U37" s="15" t="s">
        <v>485</v>
      </c>
      <c r="V37" s="15" t="s">
        <v>485</v>
      </c>
      <c r="W37" s="15" t="s">
        <v>485</v>
      </c>
      <c r="X37" s="15" t="s">
        <v>485</v>
      </c>
      <c r="Y37" s="15" t="s">
        <v>485</v>
      </c>
      <c r="Z37" s="15" t="s">
        <v>485</v>
      </c>
      <c r="AA37" s="15" t="s">
        <v>485</v>
      </c>
      <c r="AB37" s="15" t="s">
        <v>485</v>
      </c>
      <c r="AC37" s="15" t="s">
        <v>485</v>
      </c>
      <c r="AD37" s="15" t="s">
        <v>485</v>
      </c>
      <c r="AE37" s="15" t="s">
        <v>485</v>
      </c>
      <c r="AF37" s="15" t="s">
        <v>485</v>
      </c>
    </row>
  </sheetData>
  <mergeCells count="9">
    <mergeCell ref="H3:L3"/>
    <mergeCell ref="C8:AF8"/>
    <mergeCell ref="B3:F3"/>
    <mergeCell ref="B5:F5"/>
    <mergeCell ref="A10:A37"/>
    <mergeCell ref="H5:L5"/>
    <mergeCell ref="B10:B11"/>
    <mergeCell ref="H4:L4"/>
    <mergeCell ref="B4:F4"/>
  </mergeCells>
  <pageMargins left="0.75" right="0.75" top="1" bottom="1" header="0.5" footer="0.5"/>
</worksheet>
</file>

<file path=xl/worksheets/sheet2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600-000000000000}">
  <dimension ref="A1:AF1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12" customHeight="1">
      <c r="B3" s="19" t="s">
        <v>435</v>
      </c>
      <c r="C3" s="19"/>
      <c r="D3" s="19"/>
      <c r="E3" s="19"/>
      <c r="F3" s="19"/>
      <c r="H3" s="19" t="s">
        <v>436</v>
      </c>
      <c r="I3" s="19"/>
      <c r="J3" s="19"/>
      <c r="K3" s="19"/>
      <c r="L3" s="19"/>
    </row>
    <row r="4" spans="1:32" ht="27" customHeight="1">
      <c r="B4" s="19"/>
      <c r="C4" s="19"/>
      <c r="D4" s="19"/>
      <c r="E4" s="19"/>
      <c r="F4" s="19"/>
      <c r="H4" s="19"/>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HYPERLINK("#Content!A219","&lt;&lt;Back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1777</v>
      </c>
      <c r="C12" s="12">
        <v>12872</v>
      </c>
      <c r="D12" s="12">
        <v>491</v>
      </c>
      <c r="E12" s="12">
        <v>495</v>
      </c>
      <c r="F12" s="12">
        <v>488</v>
      </c>
      <c r="G12" s="12">
        <v>507</v>
      </c>
      <c r="H12" s="12">
        <v>616</v>
      </c>
      <c r="I12" s="12">
        <v>765</v>
      </c>
      <c r="J12" s="12">
        <v>150</v>
      </c>
      <c r="K12" s="12">
        <v>467</v>
      </c>
      <c r="L12" s="12">
        <v>493</v>
      </c>
      <c r="M12" s="12">
        <v>490</v>
      </c>
      <c r="N12" s="12">
        <v>486</v>
      </c>
      <c r="O12" s="12">
        <v>481</v>
      </c>
      <c r="P12" s="12">
        <v>484</v>
      </c>
      <c r="Q12" s="12">
        <v>496</v>
      </c>
      <c r="R12" s="12">
        <v>242</v>
      </c>
      <c r="S12" s="12">
        <v>454</v>
      </c>
      <c r="T12" s="12">
        <v>461</v>
      </c>
      <c r="U12" s="12">
        <v>252</v>
      </c>
      <c r="V12" s="12">
        <v>482</v>
      </c>
      <c r="W12" s="12">
        <v>264</v>
      </c>
      <c r="X12" s="12">
        <v>501</v>
      </c>
      <c r="Y12" s="12">
        <v>492</v>
      </c>
      <c r="Z12" s="12">
        <v>486</v>
      </c>
      <c r="AA12" s="12">
        <v>491</v>
      </c>
      <c r="AB12" s="12">
        <v>495</v>
      </c>
      <c r="AC12" s="12">
        <v>501</v>
      </c>
      <c r="AD12" s="12">
        <v>486</v>
      </c>
      <c r="AE12" s="12">
        <v>493</v>
      </c>
      <c r="AF12" s="12">
        <v>553</v>
      </c>
    </row>
    <row r="13" spans="1:32">
      <c r="A13" s="23"/>
      <c r="B13" s="13" t="s">
        <v>1778</v>
      </c>
      <c r="C13" s="14">
        <v>0.49</v>
      </c>
      <c r="D13" s="14">
        <v>0.49</v>
      </c>
      <c r="E13" s="14">
        <v>0.48</v>
      </c>
      <c r="F13" s="14">
        <v>0.49</v>
      </c>
      <c r="G13" s="14">
        <v>0.51</v>
      </c>
      <c r="H13" s="14">
        <v>0.51</v>
      </c>
      <c r="I13" s="14">
        <v>0.51</v>
      </c>
      <c r="J13" s="14">
        <v>0.51</v>
      </c>
      <c r="K13" s="14">
        <v>0.47</v>
      </c>
      <c r="L13" s="14">
        <v>0.49</v>
      </c>
      <c r="M13" s="14">
        <v>0.48</v>
      </c>
      <c r="N13" s="14">
        <v>0.49</v>
      </c>
      <c r="O13" s="14">
        <v>0.48</v>
      </c>
      <c r="P13" s="14">
        <v>0.48</v>
      </c>
      <c r="Q13" s="14">
        <v>0.48</v>
      </c>
      <c r="R13" s="14">
        <v>0.48</v>
      </c>
      <c r="S13" s="14">
        <v>0.45</v>
      </c>
      <c r="T13" s="14">
        <v>0.46</v>
      </c>
      <c r="U13" s="14">
        <v>0.5</v>
      </c>
      <c r="V13" s="14">
        <v>0.48</v>
      </c>
      <c r="W13" s="14">
        <v>0.53</v>
      </c>
      <c r="X13" s="14">
        <v>0.5</v>
      </c>
      <c r="Y13" s="14">
        <v>0.49</v>
      </c>
      <c r="Z13" s="14">
        <v>0.48</v>
      </c>
      <c r="AA13" s="14">
        <v>0.47</v>
      </c>
      <c r="AB13" s="14">
        <v>0.48</v>
      </c>
      <c r="AC13" s="14">
        <v>0.5</v>
      </c>
      <c r="AD13" s="14">
        <v>0.48</v>
      </c>
      <c r="AE13" s="14">
        <v>0.49</v>
      </c>
      <c r="AF13" s="14">
        <v>0.52</v>
      </c>
    </row>
    <row r="14" spans="1:32">
      <c r="A14" s="23"/>
      <c r="B14" s="11" t="s">
        <v>1779</v>
      </c>
      <c r="C14" s="12">
        <v>13438</v>
      </c>
      <c r="D14" s="12">
        <v>511</v>
      </c>
      <c r="E14" s="12">
        <v>546</v>
      </c>
      <c r="F14" s="12">
        <v>516</v>
      </c>
      <c r="G14" s="12">
        <v>495</v>
      </c>
      <c r="H14" s="12">
        <v>590</v>
      </c>
      <c r="I14" s="12">
        <v>733</v>
      </c>
      <c r="J14" s="12">
        <v>143</v>
      </c>
      <c r="K14" s="12">
        <v>534</v>
      </c>
      <c r="L14" s="12">
        <v>512</v>
      </c>
      <c r="M14" s="12">
        <v>521</v>
      </c>
      <c r="N14" s="12">
        <v>514</v>
      </c>
      <c r="O14" s="12">
        <v>524</v>
      </c>
      <c r="P14" s="12">
        <v>527</v>
      </c>
      <c r="Q14" s="12">
        <v>528</v>
      </c>
      <c r="R14" s="12">
        <v>260</v>
      </c>
      <c r="S14" s="12">
        <v>548</v>
      </c>
      <c r="T14" s="12">
        <v>543</v>
      </c>
      <c r="U14" s="12">
        <v>251</v>
      </c>
      <c r="V14" s="12">
        <v>529</v>
      </c>
      <c r="W14" s="12">
        <v>237</v>
      </c>
      <c r="X14" s="12">
        <v>512</v>
      </c>
      <c r="Y14" s="12">
        <v>514</v>
      </c>
      <c r="Z14" s="12">
        <v>531</v>
      </c>
      <c r="AA14" s="12">
        <v>548</v>
      </c>
      <c r="AB14" s="12">
        <v>535</v>
      </c>
      <c r="AC14" s="12">
        <v>501</v>
      </c>
      <c r="AD14" s="12">
        <v>516</v>
      </c>
      <c r="AE14" s="12">
        <v>509</v>
      </c>
      <c r="AF14" s="12">
        <v>514</v>
      </c>
    </row>
    <row r="15" spans="1:32">
      <c r="A15" s="23"/>
      <c r="B15" s="13" t="s">
        <v>1780</v>
      </c>
      <c r="C15" s="14">
        <v>0.51</v>
      </c>
      <c r="D15" s="14">
        <v>0.51</v>
      </c>
      <c r="E15" s="14">
        <v>0.52</v>
      </c>
      <c r="F15" s="14">
        <v>0.51</v>
      </c>
      <c r="G15" s="14">
        <v>0.49</v>
      </c>
      <c r="H15" s="14">
        <v>0.49</v>
      </c>
      <c r="I15" s="14">
        <v>0.49</v>
      </c>
      <c r="J15" s="14">
        <v>0.49</v>
      </c>
      <c r="K15" s="14">
        <v>0.53</v>
      </c>
      <c r="L15" s="14">
        <v>0.51</v>
      </c>
      <c r="M15" s="14">
        <v>0.52</v>
      </c>
      <c r="N15" s="14">
        <v>0.51</v>
      </c>
      <c r="O15" s="14">
        <v>0.52</v>
      </c>
      <c r="P15" s="14">
        <v>0.52</v>
      </c>
      <c r="Q15" s="14">
        <v>0.52</v>
      </c>
      <c r="R15" s="14">
        <v>0.52</v>
      </c>
      <c r="S15" s="14">
        <v>0.55000000000000004</v>
      </c>
      <c r="T15" s="14">
        <v>0.54</v>
      </c>
      <c r="U15" s="14">
        <v>0.5</v>
      </c>
      <c r="V15" s="14">
        <v>0.52</v>
      </c>
      <c r="W15" s="14">
        <v>0.47</v>
      </c>
      <c r="X15" s="14">
        <v>0.5</v>
      </c>
      <c r="Y15" s="14">
        <v>0.51</v>
      </c>
      <c r="Z15" s="14">
        <v>0.52</v>
      </c>
      <c r="AA15" s="14">
        <v>0.53</v>
      </c>
      <c r="AB15" s="14">
        <v>0.52</v>
      </c>
      <c r="AC15" s="14">
        <v>0.5</v>
      </c>
      <c r="AD15" s="14">
        <v>0.52</v>
      </c>
      <c r="AE15" s="14">
        <v>0.5</v>
      </c>
      <c r="AF15" s="14">
        <v>0.48</v>
      </c>
    </row>
    <row r="16" spans="1:32" ht="34.5">
      <c r="A16" s="23"/>
      <c r="B16" s="11" t="s">
        <v>1781</v>
      </c>
      <c r="C16" s="12">
        <v>13</v>
      </c>
      <c r="D16" s="12">
        <v>1</v>
      </c>
      <c r="E16" s="12">
        <v>2</v>
      </c>
      <c r="F16" s="12">
        <v>0</v>
      </c>
      <c r="G16" s="12">
        <v>0</v>
      </c>
      <c r="H16" s="12">
        <v>1</v>
      </c>
      <c r="I16" s="12">
        <v>2</v>
      </c>
      <c r="J16" s="12">
        <v>1</v>
      </c>
      <c r="K16" s="12">
        <v>1</v>
      </c>
      <c r="L16" s="12">
        <v>0</v>
      </c>
      <c r="M16" s="12">
        <v>0</v>
      </c>
      <c r="N16" s="12">
        <v>0</v>
      </c>
      <c r="O16" s="12">
        <v>0</v>
      </c>
      <c r="P16" s="12">
        <v>0</v>
      </c>
      <c r="Q16" s="12">
        <v>0</v>
      </c>
      <c r="R16" s="12">
        <v>0</v>
      </c>
      <c r="S16" s="12">
        <v>1</v>
      </c>
      <c r="T16" s="12">
        <v>0</v>
      </c>
      <c r="U16" s="12">
        <v>0</v>
      </c>
      <c r="V16" s="12">
        <v>0</v>
      </c>
      <c r="W16" s="12">
        <v>1</v>
      </c>
      <c r="X16" s="12">
        <v>0</v>
      </c>
      <c r="Y16" s="12">
        <v>1</v>
      </c>
      <c r="Z16" s="12">
        <v>0</v>
      </c>
      <c r="AA16" s="12">
        <v>1</v>
      </c>
      <c r="AB16" s="12">
        <v>1</v>
      </c>
      <c r="AC16" s="12">
        <v>3</v>
      </c>
      <c r="AD16" s="12">
        <v>0</v>
      </c>
      <c r="AE16" s="12">
        <v>0</v>
      </c>
      <c r="AF16" s="12">
        <v>2</v>
      </c>
    </row>
    <row r="17" spans="1:32" ht="45.75">
      <c r="A17" s="23"/>
      <c r="B17" s="13" t="s">
        <v>1782</v>
      </c>
      <c r="C17" s="15" t="s">
        <v>485</v>
      </c>
      <c r="D17" s="15" t="s">
        <v>485</v>
      </c>
      <c r="E17" s="15" t="s">
        <v>485</v>
      </c>
      <c r="F17" s="15" t="s">
        <v>485</v>
      </c>
      <c r="G17" s="15" t="s">
        <v>485</v>
      </c>
      <c r="H17" s="15" t="s">
        <v>485</v>
      </c>
      <c r="I17" s="15" t="s">
        <v>485</v>
      </c>
      <c r="J17" s="15" t="s">
        <v>485</v>
      </c>
      <c r="K17" s="15" t="s">
        <v>485</v>
      </c>
      <c r="L17" s="15" t="s">
        <v>485</v>
      </c>
      <c r="M17" s="15" t="s">
        <v>485</v>
      </c>
      <c r="N17" s="15" t="s">
        <v>485</v>
      </c>
      <c r="O17" s="15" t="s">
        <v>485</v>
      </c>
      <c r="P17" s="15" t="s">
        <v>485</v>
      </c>
      <c r="Q17" s="15" t="s">
        <v>485</v>
      </c>
      <c r="R17" s="15" t="s">
        <v>485</v>
      </c>
      <c r="S17" s="15" t="s">
        <v>485</v>
      </c>
      <c r="T17" s="15" t="s">
        <v>485</v>
      </c>
      <c r="U17" s="15" t="s">
        <v>485</v>
      </c>
      <c r="V17" s="15" t="s">
        <v>485</v>
      </c>
      <c r="W17" s="15" t="s">
        <v>485</v>
      </c>
      <c r="X17" s="15" t="s">
        <v>485</v>
      </c>
      <c r="Y17" s="15" t="s">
        <v>485</v>
      </c>
      <c r="Z17" s="15" t="s">
        <v>485</v>
      </c>
      <c r="AA17" s="15" t="s">
        <v>485</v>
      </c>
      <c r="AB17" s="15" t="s">
        <v>485</v>
      </c>
      <c r="AC17" s="15" t="s">
        <v>485</v>
      </c>
      <c r="AD17" s="15" t="s">
        <v>485</v>
      </c>
      <c r="AE17" s="15" t="s">
        <v>485</v>
      </c>
      <c r="AF17" s="15" t="s">
        <v>485</v>
      </c>
    </row>
    <row r="18" spans="1:32">
      <c r="A18" s="23"/>
      <c r="B18" s="11" t="s">
        <v>1783</v>
      </c>
      <c r="C18" s="12">
        <v>31</v>
      </c>
      <c r="D18" s="12">
        <v>2</v>
      </c>
      <c r="E18" s="12">
        <v>2</v>
      </c>
      <c r="F18" s="12">
        <v>3</v>
      </c>
      <c r="G18" s="12">
        <v>1</v>
      </c>
      <c r="H18" s="12">
        <v>4</v>
      </c>
      <c r="I18" s="12">
        <v>4</v>
      </c>
      <c r="J18" s="12">
        <v>0</v>
      </c>
      <c r="K18" s="12">
        <v>2</v>
      </c>
      <c r="L18" s="12">
        <v>2</v>
      </c>
      <c r="M18" s="12">
        <v>0</v>
      </c>
      <c r="N18" s="12">
        <v>0</v>
      </c>
      <c r="O18" s="12">
        <v>2</v>
      </c>
      <c r="P18" s="12">
        <v>0</v>
      </c>
      <c r="Q18" s="12">
        <v>0</v>
      </c>
      <c r="R18" s="12">
        <v>0</v>
      </c>
      <c r="S18" s="12">
        <v>1</v>
      </c>
      <c r="T18" s="12">
        <v>0</v>
      </c>
      <c r="U18" s="12">
        <v>0</v>
      </c>
      <c r="V18" s="12">
        <v>0</v>
      </c>
      <c r="W18" s="12">
        <v>2</v>
      </c>
      <c r="X18" s="12">
        <v>3</v>
      </c>
      <c r="Y18" s="12">
        <v>0</v>
      </c>
      <c r="Z18" s="12">
        <v>0</v>
      </c>
      <c r="AA18" s="12">
        <v>0</v>
      </c>
      <c r="AB18" s="12">
        <v>0</v>
      </c>
      <c r="AC18" s="12">
        <v>1</v>
      </c>
      <c r="AD18" s="12">
        <v>0</v>
      </c>
      <c r="AE18" s="12">
        <v>7</v>
      </c>
      <c r="AF18" s="12">
        <v>4</v>
      </c>
    </row>
    <row r="19" spans="1:32">
      <c r="A19" s="23"/>
      <c r="B19" s="13" t="s">
        <v>1784</v>
      </c>
      <c r="C19" s="15" t="s">
        <v>485</v>
      </c>
      <c r="D19" s="15" t="s">
        <v>485</v>
      </c>
      <c r="E19" s="15" t="s">
        <v>485</v>
      </c>
      <c r="F19" s="15" t="s">
        <v>485</v>
      </c>
      <c r="G19" s="15" t="s">
        <v>485</v>
      </c>
      <c r="H19" s="15" t="s">
        <v>485</v>
      </c>
      <c r="I19" s="15" t="s">
        <v>485</v>
      </c>
      <c r="J19" s="15" t="s">
        <v>485</v>
      </c>
      <c r="K19" s="15" t="s">
        <v>485</v>
      </c>
      <c r="L19" s="15" t="s">
        <v>485</v>
      </c>
      <c r="M19" s="15" t="s">
        <v>485</v>
      </c>
      <c r="N19" s="15" t="s">
        <v>485</v>
      </c>
      <c r="O19" s="15" t="s">
        <v>485</v>
      </c>
      <c r="P19" s="15" t="s">
        <v>485</v>
      </c>
      <c r="Q19" s="15" t="s">
        <v>485</v>
      </c>
      <c r="R19" s="15" t="s">
        <v>485</v>
      </c>
      <c r="S19" s="15" t="s">
        <v>485</v>
      </c>
      <c r="T19" s="15" t="s">
        <v>485</v>
      </c>
      <c r="U19" s="15" t="s">
        <v>485</v>
      </c>
      <c r="V19" s="15" t="s">
        <v>485</v>
      </c>
      <c r="W19" s="15" t="s">
        <v>485</v>
      </c>
      <c r="X19" s="15" t="s">
        <v>485</v>
      </c>
      <c r="Y19" s="15" t="s">
        <v>485</v>
      </c>
      <c r="Z19" s="15" t="s">
        <v>485</v>
      </c>
      <c r="AA19" s="15" t="s">
        <v>485</v>
      </c>
      <c r="AB19" s="15" t="s">
        <v>485</v>
      </c>
      <c r="AC19" s="15" t="s">
        <v>485</v>
      </c>
      <c r="AD19" s="15" t="s">
        <v>485</v>
      </c>
      <c r="AE19" s="14">
        <v>0.01</v>
      </c>
      <c r="AF19" s="15" t="s">
        <v>485</v>
      </c>
    </row>
  </sheetData>
  <mergeCells count="9">
    <mergeCell ref="H3:L3"/>
    <mergeCell ref="C8:AF8"/>
    <mergeCell ref="B3:F3"/>
    <mergeCell ref="B5:F5"/>
    <mergeCell ref="A10:A19"/>
    <mergeCell ref="H5:L5"/>
    <mergeCell ref="B10:B11"/>
    <mergeCell ref="H4:L4"/>
    <mergeCell ref="B4:F4"/>
  </mergeCells>
  <pageMargins left="0.75" right="0.75" top="1" bottom="1" header="0.5" footer="0.5"/>
</worksheet>
</file>

<file path=xl/worksheets/sheet2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700-000000000000}">
  <dimension ref="A1:AF1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12" customHeight="1">
      <c r="B3" s="19" t="s">
        <v>437</v>
      </c>
      <c r="C3" s="19"/>
      <c r="D3" s="19"/>
      <c r="E3" s="19"/>
      <c r="F3" s="19"/>
      <c r="H3" s="19" t="s">
        <v>438</v>
      </c>
      <c r="I3" s="19"/>
      <c r="J3" s="19"/>
      <c r="K3" s="19"/>
      <c r="L3" s="19"/>
    </row>
    <row r="4" spans="1:32" ht="27" customHeight="1">
      <c r="B4" s="19"/>
      <c r="C4" s="19"/>
      <c r="D4" s="19"/>
      <c r="E4" s="19"/>
      <c r="F4" s="19"/>
      <c r="H4" s="19"/>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HYPERLINK("#Content!A220","&lt;&lt;Back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1785</v>
      </c>
      <c r="C12" s="12">
        <v>7883</v>
      </c>
      <c r="D12" s="12">
        <v>324</v>
      </c>
      <c r="E12" s="12">
        <v>325</v>
      </c>
      <c r="F12" s="12">
        <v>325</v>
      </c>
      <c r="G12" s="12">
        <v>203</v>
      </c>
      <c r="H12" s="12">
        <v>340</v>
      </c>
      <c r="I12" s="12">
        <v>419</v>
      </c>
      <c r="J12" s="12">
        <v>79</v>
      </c>
      <c r="K12" s="12">
        <v>317</v>
      </c>
      <c r="L12" s="12">
        <v>344</v>
      </c>
      <c r="M12" s="12">
        <v>330</v>
      </c>
      <c r="N12" s="12">
        <v>395</v>
      </c>
      <c r="O12" s="12">
        <v>322</v>
      </c>
      <c r="P12" s="12">
        <v>420</v>
      </c>
      <c r="Q12" s="12">
        <v>84</v>
      </c>
      <c r="R12" s="12">
        <v>179</v>
      </c>
      <c r="S12" s="12">
        <v>264</v>
      </c>
      <c r="T12" s="12">
        <v>295</v>
      </c>
      <c r="U12" s="12">
        <v>168</v>
      </c>
      <c r="V12" s="12">
        <v>313</v>
      </c>
      <c r="W12" s="12">
        <v>219</v>
      </c>
      <c r="X12" s="12">
        <v>341</v>
      </c>
      <c r="Y12" s="12">
        <v>454</v>
      </c>
      <c r="Z12" s="12">
        <v>395</v>
      </c>
      <c r="AA12" s="12">
        <v>355</v>
      </c>
      <c r="AB12" s="12">
        <v>434</v>
      </c>
      <c r="AC12" s="12">
        <v>508</v>
      </c>
      <c r="AD12" s="12">
        <v>478</v>
      </c>
      <c r="AE12" s="12">
        <v>296</v>
      </c>
      <c r="AF12" s="12">
        <v>139</v>
      </c>
    </row>
    <row r="13" spans="1:32">
      <c r="A13" s="23"/>
      <c r="B13" s="13" t="s">
        <v>1786</v>
      </c>
      <c r="C13" s="14">
        <v>0.3</v>
      </c>
      <c r="D13" s="14">
        <v>0.32</v>
      </c>
      <c r="E13" s="14">
        <v>0.31</v>
      </c>
      <c r="F13" s="14">
        <v>0.32</v>
      </c>
      <c r="G13" s="14">
        <v>0.2</v>
      </c>
      <c r="H13" s="14">
        <v>0.28000000000000003</v>
      </c>
      <c r="I13" s="14">
        <v>0.28000000000000003</v>
      </c>
      <c r="J13" s="14">
        <v>0.27</v>
      </c>
      <c r="K13" s="14">
        <v>0.32</v>
      </c>
      <c r="L13" s="14">
        <v>0.34</v>
      </c>
      <c r="M13" s="14">
        <v>0.33</v>
      </c>
      <c r="N13" s="14">
        <v>0.39</v>
      </c>
      <c r="O13" s="14">
        <v>0.32</v>
      </c>
      <c r="P13" s="14">
        <v>0.41</v>
      </c>
      <c r="Q13" s="14">
        <v>0.08</v>
      </c>
      <c r="R13" s="14">
        <v>0.35</v>
      </c>
      <c r="S13" s="14">
        <v>0.26</v>
      </c>
      <c r="T13" s="14">
        <v>0.28999999999999998</v>
      </c>
      <c r="U13" s="14">
        <v>0.33</v>
      </c>
      <c r="V13" s="14">
        <v>0.31</v>
      </c>
      <c r="W13" s="14">
        <v>0.44</v>
      </c>
      <c r="X13" s="14">
        <v>0.34</v>
      </c>
      <c r="Y13" s="14">
        <v>0.45</v>
      </c>
      <c r="Z13" s="14">
        <v>0.39</v>
      </c>
      <c r="AA13" s="14">
        <v>0.34</v>
      </c>
      <c r="AB13" s="14">
        <v>0.42</v>
      </c>
      <c r="AC13" s="14">
        <v>0.51</v>
      </c>
      <c r="AD13" s="14">
        <v>0.48</v>
      </c>
      <c r="AE13" s="14">
        <v>0.28999999999999998</v>
      </c>
      <c r="AF13" s="14">
        <v>0.13</v>
      </c>
    </row>
    <row r="14" spans="1:32" ht="23.25">
      <c r="A14" s="23"/>
      <c r="B14" s="11" t="s">
        <v>1787</v>
      </c>
      <c r="C14" s="12">
        <v>11454</v>
      </c>
      <c r="D14" s="12">
        <v>370</v>
      </c>
      <c r="E14" s="12">
        <v>221</v>
      </c>
      <c r="F14" s="12">
        <v>450</v>
      </c>
      <c r="G14" s="12">
        <v>479</v>
      </c>
      <c r="H14" s="12">
        <v>600</v>
      </c>
      <c r="I14" s="12">
        <v>700</v>
      </c>
      <c r="J14" s="12">
        <v>101</v>
      </c>
      <c r="K14" s="12">
        <v>270</v>
      </c>
      <c r="L14" s="12">
        <v>283</v>
      </c>
      <c r="M14" s="12">
        <v>206</v>
      </c>
      <c r="N14" s="12">
        <v>346</v>
      </c>
      <c r="O14" s="12">
        <v>487</v>
      </c>
      <c r="P14" s="12">
        <v>340</v>
      </c>
      <c r="Q14" s="12">
        <v>719</v>
      </c>
      <c r="R14" s="12">
        <v>185</v>
      </c>
      <c r="S14" s="12">
        <v>386</v>
      </c>
      <c r="T14" s="12">
        <v>338</v>
      </c>
      <c r="U14" s="12">
        <v>247</v>
      </c>
      <c r="V14" s="12">
        <v>330</v>
      </c>
      <c r="W14" s="12">
        <v>197</v>
      </c>
      <c r="X14" s="12">
        <v>410</v>
      </c>
      <c r="Y14" s="12">
        <v>206</v>
      </c>
      <c r="Z14" s="12">
        <v>327</v>
      </c>
      <c r="AA14" s="12">
        <v>393</v>
      </c>
      <c r="AB14" s="12">
        <v>253</v>
      </c>
      <c r="AC14" s="12">
        <v>273</v>
      </c>
      <c r="AD14" s="12">
        <v>321</v>
      </c>
      <c r="AE14" s="12">
        <v>424</v>
      </c>
      <c r="AF14" s="12">
        <v>600</v>
      </c>
    </row>
    <row r="15" spans="1:32" ht="23.25">
      <c r="A15" s="23"/>
      <c r="B15" s="13" t="s">
        <v>1788</v>
      </c>
      <c r="C15" s="14">
        <v>0.43</v>
      </c>
      <c r="D15" s="14">
        <v>0.37</v>
      </c>
      <c r="E15" s="14">
        <v>0.21</v>
      </c>
      <c r="F15" s="14">
        <v>0.45</v>
      </c>
      <c r="G15" s="14">
        <v>0.48</v>
      </c>
      <c r="H15" s="14">
        <v>0.5</v>
      </c>
      <c r="I15" s="14">
        <v>0.46</v>
      </c>
      <c r="J15" s="14">
        <v>0.34</v>
      </c>
      <c r="K15" s="14">
        <v>0.27</v>
      </c>
      <c r="L15" s="14">
        <v>0.28000000000000003</v>
      </c>
      <c r="M15" s="14">
        <v>0.2</v>
      </c>
      <c r="N15" s="14">
        <v>0.35</v>
      </c>
      <c r="O15" s="14">
        <v>0.48</v>
      </c>
      <c r="P15" s="14">
        <v>0.34</v>
      </c>
      <c r="Q15" s="14">
        <v>0.70000000000000007</v>
      </c>
      <c r="R15" s="14">
        <v>0.37</v>
      </c>
      <c r="S15" s="14">
        <v>0.39</v>
      </c>
      <c r="T15" s="14">
        <v>0.34</v>
      </c>
      <c r="U15" s="14">
        <v>0.49</v>
      </c>
      <c r="V15" s="14">
        <v>0.33</v>
      </c>
      <c r="W15" s="14">
        <v>0.39</v>
      </c>
      <c r="X15" s="14">
        <v>0.4</v>
      </c>
      <c r="Y15" s="14">
        <v>0.21</v>
      </c>
      <c r="Z15" s="14">
        <v>0.32</v>
      </c>
      <c r="AA15" s="14">
        <v>0.38</v>
      </c>
      <c r="AB15" s="14">
        <v>0.25</v>
      </c>
      <c r="AC15" s="14">
        <v>0.27</v>
      </c>
      <c r="AD15" s="14">
        <v>0.32</v>
      </c>
      <c r="AE15" s="14">
        <v>0.42</v>
      </c>
      <c r="AF15" s="14">
        <v>0.56000000000000005</v>
      </c>
    </row>
    <row r="16" spans="1:32">
      <c r="A16" s="23"/>
      <c r="B16" s="11" t="s">
        <v>1789</v>
      </c>
      <c r="C16" s="12">
        <v>7012</v>
      </c>
      <c r="D16" s="12">
        <v>312</v>
      </c>
      <c r="E16" s="12">
        <v>498</v>
      </c>
      <c r="F16" s="12">
        <v>230</v>
      </c>
      <c r="G16" s="12">
        <v>321</v>
      </c>
      <c r="H16" s="12">
        <v>271</v>
      </c>
      <c r="I16" s="12">
        <v>384</v>
      </c>
      <c r="J16" s="12">
        <v>114</v>
      </c>
      <c r="K16" s="12">
        <v>417</v>
      </c>
      <c r="L16" s="12">
        <v>381</v>
      </c>
      <c r="M16" s="12">
        <v>475</v>
      </c>
      <c r="N16" s="12">
        <v>259</v>
      </c>
      <c r="O16" s="12">
        <v>197</v>
      </c>
      <c r="P16" s="12">
        <v>251</v>
      </c>
      <c r="Q16" s="12">
        <v>220</v>
      </c>
      <c r="R16" s="12">
        <v>139</v>
      </c>
      <c r="S16" s="12">
        <v>354</v>
      </c>
      <c r="T16" s="12">
        <v>371</v>
      </c>
      <c r="U16" s="12">
        <v>88</v>
      </c>
      <c r="V16" s="12">
        <v>368</v>
      </c>
      <c r="W16" s="12">
        <v>87</v>
      </c>
      <c r="X16" s="12">
        <v>266</v>
      </c>
      <c r="Y16" s="12">
        <v>347</v>
      </c>
      <c r="Z16" s="12">
        <v>293</v>
      </c>
      <c r="AA16" s="12">
        <v>292</v>
      </c>
      <c r="AB16" s="12">
        <v>344</v>
      </c>
      <c r="AC16" s="12">
        <v>222</v>
      </c>
      <c r="AD16" s="12">
        <v>203</v>
      </c>
      <c r="AE16" s="12">
        <v>288</v>
      </c>
      <c r="AF16" s="12">
        <v>334</v>
      </c>
    </row>
    <row r="17" spans="1:32">
      <c r="A17" s="23"/>
      <c r="B17" s="13" t="s">
        <v>1790</v>
      </c>
      <c r="C17" s="14">
        <v>0.27</v>
      </c>
      <c r="D17" s="14">
        <v>0.31</v>
      </c>
      <c r="E17" s="14">
        <v>0.48</v>
      </c>
      <c r="F17" s="14">
        <v>0.23</v>
      </c>
      <c r="G17" s="14">
        <v>0.32</v>
      </c>
      <c r="H17" s="14">
        <v>0.22</v>
      </c>
      <c r="I17" s="14">
        <v>0.26</v>
      </c>
      <c r="J17" s="14">
        <v>0.39</v>
      </c>
      <c r="K17" s="14">
        <v>0.41</v>
      </c>
      <c r="L17" s="14">
        <v>0.38</v>
      </c>
      <c r="M17" s="14">
        <v>0.47</v>
      </c>
      <c r="N17" s="14">
        <v>0.26</v>
      </c>
      <c r="O17" s="14">
        <v>0.2</v>
      </c>
      <c r="P17" s="14">
        <v>0.25</v>
      </c>
      <c r="Q17" s="14">
        <v>0.22</v>
      </c>
      <c r="R17" s="14">
        <v>0.28000000000000003</v>
      </c>
      <c r="S17" s="14">
        <v>0.35</v>
      </c>
      <c r="T17" s="14">
        <v>0.37</v>
      </c>
      <c r="U17" s="14">
        <v>0.18</v>
      </c>
      <c r="V17" s="14">
        <v>0.36</v>
      </c>
      <c r="W17" s="14">
        <v>0.17</v>
      </c>
      <c r="X17" s="14">
        <v>0.26</v>
      </c>
      <c r="Y17" s="14">
        <v>0.34</v>
      </c>
      <c r="Z17" s="14">
        <v>0.28999999999999998</v>
      </c>
      <c r="AA17" s="14">
        <v>0.28000000000000003</v>
      </c>
      <c r="AB17" s="14">
        <v>0.33</v>
      </c>
      <c r="AC17" s="14">
        <v>0.22</v>
      </c>
      <c r="AD17" s="14">
        <v>0.2</v>
      </c>
      <c r="AE17" s="14">
        <v>0.28999999999999998</v>
      </c>
      <c r="AF17" s="14">
        <v>0.31</v>
      </c>
    </row>
    <row r="18" spans="1:32">
      <c r="A18" s="23"/>
      <c r="B18" s="11" t="s">
        <v>497</v>
      </c>
      <c r="C18" s="12">
        <v>6</v>
      </c>
      <c r="D18" s="12">
        <v>0</v>
      </c>
      <c r="E18" s="12">
        <v>0</v>
      </c>
      <c r="F18" s="12">
        <v>2</v>
      </c>
      <c r="G18" s="12">
        <v>0</v>
      </c>
      <c r="H18" s="12">
        <v>0</v>
      </c>
      <c r="I18" s="12">
        <v>0</v>
      </c>
      <c r="J18" s="12">
        <v>0</v>
      </c>
      <c r="K18" s="12">
        <v>0</v>
      </c>
      <c r="L18" s="12">
        <v>0</v>
      </c>
      <c r="M18" s="12">
        <v>0</v>
      </c>
      <c r="N18" s="12">
        <v>0</v>
      </c>
      <c r="O18" s="12">
        <v>0</v>
      </c>
      <c r="P18" s="12">
        <v>0</v>
      </c>
      <c r="Q18" s="12">
        <v>1</v>
      </c>
      <c r="R18" s="12">
        <v>0</v>
      </c>
      <c r="S18" s="12">
        <v>1</v>
      </c>
      <c r="T18" s="12">
        <v>0</v>
      </c>
      <c r="U18" s="12">
        <v>0</v>
      </c>
      <c r="V18" s="12">
        <v>0</v>
      </c>
      <c r="W18" s="12">
        <v>0</v>
      </c>
      <c r="X18" s="12">
        <v>0</v>
      </c>
      <c r="Y18" s="12">
        <v>0</v>
      </c>
      <c r="Z18" s="12">
        <v>1</v>
      </c>
      <c r="AA18" s="12">
        <v>0</v>
      </c>
      <c r="AB18" s="12">
        <v>0</v>
      </c>
      <c r="AC18" s="12">
        <v>2</v>
      </c>
      <c r="AD18" s="12">
        <v>0</v>
      </c>
      <c r="AE18" s="12">
        <v>0</v>
      </c>
      <c r="AF18" s="12">
        <v>1</v>
      </c>
    </row>
    <row r="19" spans="1:32">
      <c r="A19" s="23"/>
      <c r="B19" s="13" t="s">
        <v>498</v>
      </c>
      <c r="C19" s="15" t="s">
        <v>485</v>
      </c>
      <c r="D19" s="15" t="s">
        <v>485</v>
      </c>
      <c r="E19" s="15" t="s">
        <v>485</v>
      </c>
      <c r="F19" s="15" t="s">
        <v>485</v>
      </c>
      <c r="G19" s="15" t="s">
        <v>485</v>
      </c>
      <c r="H19" s="15" t="s">
        <v>485</v>
      </c>
      <c r="I19" s="15" t="s">
        <v>485</v>
      </c>
      <c r="J19" s="15" t="s">
        <v>485</v>
      </c>
      <c r="K19" s="15" t="s">
        <v>485</v>
      </c>
      <c r="L19" s="15" t="s">
        <v>485</v>
      </c>
      <c r="M19" s="15" t="s">
        <v>485</v>
      </c>
      <c r="N19" s="15" t="s">
        <v>485</v>
      </c>
      <c r="O19" s="15" t="s">
        <v>485</v>
      </c>
      <c r="P19" s="15" t="s">
        <v>485</v>
      </c>
      <c r="Q19" s="15" t="s">
        <v>485</v>
      </c>
      <c r="R19" s="15" t="s">
        <v>485</v>
      </c>
      <c r="S19" s="15" t="s">
        <v>485</v>
      </c>
      <c r="T19" s="15" t="s">
        <v>485</v>
      </c>
      <c r="U19" s="15" t="s">
        <v>485</v>
      </c>
      <c r="V19" s="15" t="s">
        <v>485</v>
      </c>
      <c r="W19" s="15" t="s">
        <v>485</v>
      </c>
      <c r="X19" s="15" t="s">
        <v>485</v>
      </c>
      <c r="Y19" s="15" t="s">
        <v>485</v>
      </c>
      <c r="Z19" s="15" t="s">
        <v>485</v>
      </c>
      <c r="AA19" s="15" t="s">
        <v>485</v>
      </c>
      <c r="AB19" s="15" t="s">
        <v>485</v>
      </c>
      <c r="AC19" s="15" t="s">
        <v>485</v>
      </c>
      <c r="AD19" s="15" t="s">
        <v>485</v>
      </c>
      <c r="AE19" s="15" t="s">
        <v>485</v>
      </c>
      <c r="AF19" s="15" t="s">
        <v>485</v>
      </c>
    </row>
  </sheetData>
  <mergeCells count="9">
    <mergeCell ref="H3:L3"/>
    <mergeCell ref="C8:AF8"/>
    <mergeCell ref="B3:F3"/>
    <mergeCell ref="B5:F5"/>
    <mergeCell ref="A10:A19"/>
    <mergeCell ref="H5:L5"/>
    <mergeCell ref="B10:B11"/>
    <mergeCell ref="H4:L4"/>
    <mergeCell ref="B4:F4"/>
  </mergeCells>
  <pageMargins left="0.75" right="0.75" top="1" bottom="1" header="0.5" footer="0.5"/>
</worksheet>
</file>

<file path=xl/worksheets/sheet2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800-000000000000}">
  <dimension ref="A1:AF1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24" customHeight="1">
      <c r="B3" s="19" t="s">
        <v>439</v>
      </c>
      <c r="C3" s="19"/>
      <c r="D3" s="19"/>
      <c r="E3" s="19"/>
      <c r="F3" s="19"/>
      <c r="H3" s="19" t="s">
        <v>440</v>
      </c>
      <c r="I3" s="19"/>
      <c r="J3" s="19"/>
      <c r="K3" s="19"/>
      <c r="L3" s="19"/>
    </row>
    <row r="4" spans="1:32" ht="27" customHeight="1">
      <c r="B4" s="19"/>
      <c r="C4" s="19"/>
      <c r="D4" s="19"/>
      <c r="E4" s="19"/>
      <c r="F4" s="19"/>
      <c r="H4" s="19"/>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HYPERLINK("#Content!A221","&lt;&lt;Back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1791</v>
      </c>
      <c r="C12" s="12">
        <v>1981</v>
      </c>
      <c r="D12" s="12">
        <v>83</v>
      </c>
      <c r="E12" s="12">
        <v>170</v>
      </c>
      <c r="F12" s="12">
        <v>50</v>
      </c>
      <c r="G12" s="12">
        <v>10</v>
      </c>
      <c r="H12" s="12">
        <v>115</v>
      </c>
      <c r="I12" s="12">
        <v>128</v>
      </c>
      <c r="J12" s="12">
        <v>13</v>
      </c>
      <c r="K12" s="12">
        <v>92</v>
      </c>
      <c r="L12" s="12">
        <v>110</v>
      </c>
      <c r="M12" s="12">
        <v>312</v>
      </c>
      <c r="N12" s="12">
        <v>76</v>
      </c>
      <c r="O12" s="12">
        <v>70</v>
      </c>
      <c r="P12" s="12">
        <v>88</v>
      </c>
      <c r="Q12" s="12">
        <v>64</v>
      </c>
      <c r="R12" s="12">
        <v>74</v>
      </c>
      <c r="S12" s="12">
        <v>70</v>
      </c>
      <c r="T12" s="12">
        <v>28</v>
      </c>
      <c r="U12" s="12">
        <v>31</v>
      </c>
      <c r="V12" s="12">
        <v>31</v>
      </c>
      <c r="W12" s="12">
        <v>10</v>
      </c>
      <c r="X12" s="12">
        <v>39</v>
      </c>
      <c r="Y12" s="12">
        <v>65</v>
      </c>
      <c r="Z12" s="12">
        <v>17</v>
      </c>
      <c r="AA12" s="12">
        <v>241</v>
      </c>
      <c r="AB12" s="12">
        <v>101</v>
      </c>
      <c r="AC12" s="12">
        <v>27</v>
      </c>
      <c r="AD12" s="12">
        <v>22</v>
      </c>
      <c r="AE12" s="12">
        <v>39</v>
      </c>
      <c r="AF12" s="12">
        <v>18</v>
      </c>
    </row>
    <row r="13" spans="1:32">
      <c r="A13" s="23"/>
      <c r="B13" s="13" t="s">
        <v>1792</v>
      </c>
      <c r="C13" s="14">
        <v>7.0000000000000007E-2</v>
      </c>
      <c r="D13" s="14">
        <v>0.08</v>
      </c>
      <c r="E13" s="14">
        <v>0.16</v>
      </c>
      <c r="F13" s="14">
        <v>0.05</v>
      </c>
      <c r="G13" s="14">
        <v>0.01</v>
      </c>
      <c r="H13" s="14">
        <v>0.09</v>
      </c>
      <c r="I13" s="14">
        <v>0.08</v>
      </c>
      <c r="J13" s="14">
        <v>0.05</v>
      </c>
      <c r="K13" s="14">
        <v>0.09</v>
      </c>
      <c r="L13" s="14">
        <v>0.11</v>
      </c>
      <c r="M13" s="14">
        <v>0.31</v>
      </c>
      <c r="N13" s="14">
        <v>7.0000000000000007E-2</v>
      </c>
      <c r="O13" s="14">
        <v>7.0000000000000007E-2</v>
      </c>
      <c r="P13" s="14">
        <v>0.09</v>
      </c>
      <c r="Q13" s="14">
        <v>0.06</v>
      </c>
      <c r="R13" s="14">
        <v>0.15</v>
      </c>
      <c r="S13" s="14">
        <v>7.0000000000000007E-2</v>
      </c>
      <c r="T13" s="14">
        <v>0.03</v>
      </c>
      <c r="U13" s="14">
        <v>0.06</v>
      </c>
      <c r="V13" s="14">
        <v>0.03</v>
      </c>
      <c r="W13" s="14">
        <v>0.02</v>
      </c>
      <c r="X13" s="14">
        <v>0.04</v>
      </c>
      <c r="Y13" s="14">
        <v>7.0000000000000007E-2</v>
      </c>
      <c r="Z13" s="14">
        <v>0.02</v>
      </c>
      <c r="AA13" s="14">
        <v>0.23</v>
      </c>
      <c r="AB13" s="14">
        <v>0.1</v>
      </c>
      <c r="AC13" s="14">
        <v>0.03</v>
      </c>
      <c r="AD13" s="14">
        <v>0.02</v>
      </c>
      <c r="AE13" s="14">
        <v>0.04</v>
      </c>
      <c r="AF13" s="14">
        <v>0.02</v>
      </c>
    </row>
    <row r="14" spans="1:32">
      <c r="A14" s="23"/>
      <c r="B14" s="11" t="s">
        <v>1793</v>
      </c>
      <c r="C14" s="12">
        <v>7573</v>
      </c>
      <c r="D14" s="12">
        <v>292</v>
      </c>
      <c r="E14" s="12">
        <v>453</v>
      </c>
      <c r="F14" s="12">
        <v>313</v>
      </c>
      <c r="G14" s="12">
        <v>94</v>
      </c>
      <c r="H14" s="12">
        <v>324</v>
      </c>
      <c r="I14" s="12">
        <v>387</v>
      </c>
      <c r="J14" s="12">
        <v>63</v>
      </c>
      <c r="K14" s="12">
        <v>211</v>
      </c>
      <c r="L14" s="12">
        <v>372</v>
      </c>
      <c r="M14" s="12">
        <v>555</v>
      </c>
      <c r="N14" s="12">
        <v>206</v>
      </c>
      <c r="O14" s="12">
        <v>333</v>
      </c>
      <c r="P14" s="12">
        <v>406</v>
      </c>
      <c r="Q14" s="12">
        <v>427</v>
      </c>
      <c r="R14" s="12">
        <v>190</v>
      </c>
      <c r="S14" s="12">
        <v>230</v>
      </c>
      <c r="T14" s="12">
        <v>179</v>
      </c>
      <c r="U14" s="12">
        <v>77</v>
      </c>
      <c r="V14" s="12">
        <v>158</v>
      </c>
      <c r="W14" s="12">
        <v>48</v>
      </c>
      <c r="X14" s="12">
        <v>99</v>
      </c>
      <c r="Y14" s="12">
        <v>246</v>
      </c>
      <c r="Z14" s="12">
        <v>180</v>
      </c>
      <c r="AA14" s="12">
        <v>357</v>
      </c>
      <c r="AB14" s="12">
        <v>553</v>
      </c>
      <c r="AC14" s="12">
        <v>175</v>
      </c>
      <c r="AD14" s="12">
        <v>215</v>
      </c>
      <c r="AE14" s="12">
        <v>180</v>
      </c>
      <c r="AF14" s="12">
        <v>67</v>
      </c>
    </row>
    <row r="15" spans="1:32">
      <c r="A15" s="23"/>
      <c r="B15" s="13" t="s">
        <v>1794</v>
      </c>
      <c r="C15" s="14">
        <v>0.28999999999999998</v>
      </c>
      <c r="D15" s="14">
        <v>0.28999999999999998</v>
      </c>
      <c r="E15" s="14">
        <v>0.44</v>
      </c>
      <c r="F15" s="14">
        <v>0.31</v>
      </c>
      <c r="G15" s="14">
        <v>0.1</v>
      </c>
      <c r="H15" s="14">
        <v>0.27</v>
      </c>
      <c r="I15" s="14">
        <v>0.26</v>
      </c>
      <c r="J15" s="14">
        <v>0.21</v>
      </c>
      <c r="K15" s="14">
        <v>0.21</v>
      </c>
      <c r="L15" s="14">
        <v>0.37</v>
      </c>
      <c r="M15" s="14">
        <v>0.55000000000000004</v>
      </c>
      <c r="N15" s="14">
        <v>0.21</v>
      </c>
      <c r="O15" s="14">
        <v>0.33</v>
      </c>
      <c r="P15" s="14">
        <v>0.4</v>
      </c>
      <c r="Q15" s="14">
        <v>0.42</v>
      </c>
      <c r="R15" s="14">
        <v>0.38</v>
      </c>
      <c r="S15" s="14">
        <v>0.23</v>
      </c>
      <c r="T15" s="14">
        <v>0.18</v>
      </c>
      <c r="U15" s="14">
        <v>0.16</v>
      </c>
      <c r="V15" s="14">
        <v>0.16</v>
      </c>
      <c r="W15" s="14">
        <v>0.1</v>
      </c>
      <c r="X15" s="14">
        <v>0.1</v>
      </c>
      <c r="Y15" s="14">
        <v>0.24</v>
      </c>
      <c r="Z15" s="14">
        <v>0.18</v>
      </c>
      <c r="AA15" s="14">
        <v>0.34</v>
      </c>
      <c r="AB15" s="14">
        <v>0.53</v>
      </c>
      <c r="AC15" s="14">
        <v>0.17</v>
      </c>
      <c r="AD15" s="14">
        <v>0.21</v>
      </c>
      <c r="AE15" s="14">
        <v>0.18</v>
      </c>
      <c r="AF15" s="14">
        <v>0.06</v>
      </c>
    </row>
    <row r="16" spans="1:32" ht="23.25">
      <c r="A16" s="23"/>
      <c r="B16" s="11" t="s">
        <v>1795</v>
      </c>
      <c r="C16" s="12">
        <v>16594</v>
      </c>
      <c r="D16" s="12">
        <v>622</v>
      </c>
      <c r="E16" s="12">
        <v>407</v>
      </c>
      <c r="F16" s="12">
        <v>639</v>
      </c>
      <c r="G16" s="12">
        <v>894</v>
      </c>
      <c r="H16" s="12">
        <v>764</v>
      </c>
      <c r="I16" s="12">
        <v>980</v>
      </c>
      <c r="J16" s="12">
        <v>216</v>
      </c>
      <c r="K16" s="12">
        <v>673</v>
      </c>
      <c r="L16" s="12">
        <v>520</v>
      </c>
      <c r="M16" s="12">
        <v>140</v>
      </c>
      <c r="N16" s="12">
        <v>708</v>
      </c>
      <c r="O16" s="12">
        <v>593</v>
      </c>
      <c r="P16" s="12">
        <v>516</v>
      </c>
      <c r="Q16" s="12">
        <v>516</v>
      </c>
      <c r="R16" s="12">
        <v>228</v>
      </c>
      <c r="S16" s="12">
        <v>696</v>
      </c>
      <c r="T16" s="12">
        <v>791</v>
      </c>
      <c r="U16" s="12">
        <v>392</v>
      </c>
      <c r="V16" s="12">
        <v>821</v>
      </c>
      <c r="W16" s="12">
        <v>441</v>
      </c>
      <c r="X16" s="12">
        <v>878</v>
      </c>
      <c r="Y16" s="12">
        <v>676</v>
      </c>
      <c r="Z16" s="12">
        <v>818</v>
      </c>
      <c r="AA16" s="12">
        <v>437</v>
      </c>
      <c r="AB16" s="12">
        <v>378</v>
      </c>
      <c r="AC16" s="12">
        <v>799</v>
      </c>
      <c r="AD16" s="12">
        <v>747</v>
      </c>
      <c r="AE16" s="12">
        <v>785</v>
      </c>
      <c r="AF16" s="12">
        <v>989</v>
      </c>
    </row>
    <row r="17" spans="1:32">
      <c r="A17" s="23"/>
      <c r="B17" s="13" t="s">
        <v>1796</v>
      </c>
      <c r="C17" s="14">
        <v>0.63</v>
      </c>
      <c r="D17" s="14">
        <v>0.62</v>
      </c>
      <c r="E17" s="14">
        <v>0.39</v>
      </c>
      <c r="F17" s="14">
        <v>0.63</v>
      </c>
      <c r="G17" s="14">
        <v>0.89</v>
      </c>
      <c r="H17" s="14">
        <v>0.63</v>
      </c>
      <c r="I17" s="14">
        <v>0.65</v>
      </c>
      <c r="J17" s="14">
        <v>0.73</v>
      </c>
      <c r="K17" s="14">
        <v>0.67</v>
      </c>
      <c r="L17" s="14">
        <v>0.52</v>
      </c>
      <c r="M17" s="14">
        <v>0.14000000000000001</v>
      </c>
      <c r="N17" s="14">
        <v>0.71</v>
      </c>
      <c r="O17" s="14">
        <v>0.59</v>
      </c>
      <c r="P17" s="14">
        <v>0.51</v>
      </c>
      <c r="Q17" s="14">
        <v>0.5</v>
      </c>
      <c r="R17" s="14">
        <v>0.45</v>
      </c>
      <c r="S17" s="14">
        <v>0.69000000000000006</v>
      </c>
      <c r="T17" s="14">
        <v>0.79</v>
      </c>
      <c r="U17" s="14">
        <v>0.78</v>
      </c>
      <c r="V17" s="14">
        <v>0.81</v>
      </c>
      <c r="W17" s="14">
        <v>0.87</v>
      </c>
      <c r="X17" s="14">
        <v>0.86</v>
      </c>
      <c r="Y17" s="14">
        <v>0.67</v>
      </c>
      <c r="Z17" s="14">
        <v>0.8</v>
      </c>
      <c r="AA17" s="14">
        <v>0.42</v>
      </c>
      <c r="AB17" s="14">
        <v>0.37</v>
      </c>
      <c r="AC17" s="14">
        <v>0.8</v>
      </c>
      <c r="AD17" s="14">
        <v>0.75</v>
      </c>
      <c r="AE17" s="14">
        <v>0.78</v>
      </c>
      <c r="AF17" s="14">
        <v>0.92</v>
      </c>
    </row>
    <row r="18" spans="1:32">
      <c r="A18" s="23"/>
      <c r="B18" s="11" t="s">
        <v>1515</v>
      </c>
      <c r="C18" s="12">
        <v>206</v>
      </c>
      <c r="D18" s="12">
        <v>9</v>
      </c>
      <c r="E18" s="12">
        <v>14</v>
      </c>
      <c r="F18" s="12">
        <v>6</v>
      </c>
      <c r="G18" s="12">
        <v>4</v>
      </c>
      <c r="H18" s="12">
        <v>7</v>
      </c>
      <c r="I18" s="12">
        <v>9</v>
      </c>
      <c r="J18" s="12">
        <v>2</v>
      </c>
      <c r="K18" s="12">
        <v>28</v>
      </c>
      <c r="L18" s="12">
        <v>4</v>
      </c>
      <c r="M18" s="12">
        <v>5</v>
      </c>
      <c r="N18" s="12">
        <v>10</v>
      </c>
      <c r="O18" s="12">
        <v>10</v>
      </c>
      <c r="P18" s="12">
        <v>1</v>
      </c>
      <c r="Q18" s="12">
        <v>17</v>
      </c>
      <c r="R18" s="12">
        <v>10</v>
      </c>
      <c r="S18" s="12">
        <v>9</v>
      </c>
      <c r="T18" s="12">
        <v>5</v>
      </c>
      <c r="U18" s="12">
        <v>2</v>
      </c>
      <c r="V18" s="12">
        <v>1</v>
      </c>
      <c r="W18" s="12">
        <v>3</v>
      </c>
      <c r="X18" s="12">
        <v>0</v>
      </c>
      <c r="Y18" s="12">
        <v>20</v>
      </c>
      <c r="Z18" s="12">
        <v>2</v>
      </c>
      <c r="AA18" s="12">
        <v>5</v>
      </c>
      <c r="AB18" s="12">
        <v>0</v>
      </c>
      <c r="AC18" s="12">
        <v>4</v>
      </c>
      <c r="AD18" s="12">
        <v>18</v>
      </c>
      <c r="AE18" s="12">
        <v>4</v>
      </c>
      <c r="AF18" s="12">
        <v>0</v>
      </c>
    </row>
    <row r="19" spans="1:32">
      <c r="A19" s="23"/>
      <c r="B19" s="13" t="s">
        <v>1516</v>
      </c>
      <c r="C19" s="14">
        <v>0.01</v>
      </c>
      <c r="D19" s="14">
        <v>0.01</v>
      </c>
      <c r="E19" s="14">
        <v>0.01</v>
      </c>
      <c r="F19" s="14">
        <v>0.01</v>
      </c>
      <c r="G19" s="15" t="s">
        <v>485</v>
      </c>
      <c r="H19" s="14">
        <v>0.01</v>
      </c>
      <c r="I19" s="14">
        <v>0.01</v>
      </c>
      <c r="J19" s="14">
        <v>0.01</v>
      </c>
      <c r="K19" s="14">
        <v>0.03</v>
      </c>
      <c r="L19" s="15" t="s">
        <v>485</v>
      </c>
      <c r="M19" s="15" t="s">
        <v>485</v>
      </c>
      <c r="N19" s="14">
        <v>0.01</v>
      </c>
      <c r="O19" s="14">
        <v>0.01</v>
      </c>
      <c r="P19" s="15" t="s">
        <v>485</v>
      </c>
      <c r="Q19" s="14">
        <v>0.02</v>
      </c>
      <c r="R19" s="14">
        <v>0.02</v>
      </c>
      <c r="S19" s="14">
        <v>0.01</v>
      </c>
      <c r="T19" s="15" t="s">
        <v>485</v>
      </c>
      <c r="U19" s="15" t="s">
        <v>485</v>
      </c>
      <c r="V19" s="15" t="s">
        <v>485</v>
      </c>
      <c r="W19" s="14">
        <v>0.01</v>
      </c>
      <c r="X19" s="15" t="s">
        <v>485</v>
      </c>
      <c r="Y19" s="14">
        <v>0.02</v>
      </c>
      <c r="Z19" s="15" t="s">
        <v>485</v>
      </c>
      <c r="AA19" s="14">
        <v>0.01</v>
      </c>
      <c r="AB19" s="15" t="s">
        <v>485</v>
      </c>
      <c r="AC19" s="15" t="s">
        <v>485</v>
      </c>
      <c r="AD19" s="14">
        <v>0.02</v>
      </c>
      <c r="AE19" s="15" t="s">
        <v>485</v>
      </c>
      <c r="AF19" s="15" t="s">
        <v>485</v>
      </c>
    </row>
  </sheetData>
  <mergeCells count="9">
    <mergeCell ref="H3:L3"/>
    <mergeCell ref="C8:AF8"/>
    <mergeCell ref="B3:F3"/>
    <mergeCell ref="B5:F5"/>
    <mergeCell ref="A10:A19"/>
    <mergeCell ref="H5:L5"/>
    <mergeCell ref="B10:B11"/>
    <mergeCell ref="H4:L4"/>
    <mergeCell ref="B4:F4"/>
  </mergeCells>
  <pageMargins left="0.75" right="0.75" top="1" bottom="1" header="0.5" footer="0.5"/>
</worksheet>
</file>

<file path=xl/worksheets/sheet2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900-000000000000}">
  <dimension ref="A1:AF2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12" customHeight="1">
      <c r="B3" s="19" t="s">
        <v>441</v>
      </c>
      <c r="C3" s="19"/>
      <c r="D3" s="19"/>
      <c r="E3" s="19"/>
      <c r="F3" s="19"/>
      <c r="H3" s="19" t="s">
        <v>442</v>
      </c>
      <c r="I3" s="19"/>
      <c r="J3" s="19"/>
      <c r="K3" s="19"/>
      <c r="L3" s="19"/>
    </row>
    <row r="4" spans="1:32" ht="27" customHeight="1">
      <c r="B4" s="19"/>
      <c r="C4" s="19"/>
      <c r="D4" s="19"/>
      <c r="E4" s="19"/>
      <c r="F4" s="19"/>
      <c r="H4" s="19"/>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HYPERLINK("#Content!A222","&lt;&lt;Back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23.25">
      <c r="A12" s="23"/>
      <c r="B12" s="11" t="s">
        <v>1797</v>
      </c>
      <c r="C12" s="12">
        <v>5864</v>
      </c>
      <c r="D12" s="12">
        <v>113</v>
      </c>
      <c r="E12" s="12">
        <v>382</v>
      </c>
      <c r="F12" s="12">
        <v>193</v>
      </c>
      <c r="G12" s="12">
        <v>141</v>
      </c>
      <c r="H12" s="12">
        <v>221</v>
      </c>
      <c r="I12" s="12">
        <v>278</v>
      </c>
      <c r="J12" s="12">
        <v>56</v>
      </c>
      <c r="K12" s="12">
        <v>257</v>
      </c>
      <c r="L12" s="12">
        <v>420</v>
      </c>
      <c r="M12" s="12">
        <v>235</v>
      </c>
      <c r="N12" s="12">
        <v>391</v>
      </c>
      <c r="O12" s="12">
        <v>226</v>
      </c>
      <c r="P12" s="12">
        <v>296</v>
      </c>
      <c r="Q12" s="12">
        <v>119</v>
      </c>
      <c r="R12" s="12">
        <v>125</v>
      </c>
      <c r="S12" s="12">
        <v>333</v>
      </c>
      <c r="T12" s="12">
        <v>276</v>
      </c>
      <c r="U12" s="12">
        <v>44</v>
      </c>
      <c r="V12" s="12">
        <v>233</v>
      </c>
      <c r="W12" s="12">
        <v>109</v>
      </c>
      <c r="X12" s="12">
        <v>64</v>
      </c>
      <c r="Y12" s="12">
        <v>183</v>
      </c>
      <c r="Z12" s="12">
        <v>321</v>
      </c>
      <c r="AA12" s="12">
        <v>423</v>
      </c>
      <c r="AB12" s="12">
        <v>204</v>
      </c>
      <c r="AC12" s="12">
        <v>208</v>
      </c>
      <c r="AD12" s="12">
        <v>203</v>
      </c>
      <c r="AE12" s="12">
        <v>220</v>
      </c>
      <c r="AF12" s="12">
        <v>146</v>
      </c>
    </row>
    <row r="13" spans="1:32" ht="23.25">
      <c r="A13" s="23"/>
      <c r="B13" s="13" t="s">
        <v>1798</v>
      </c>
      <c r="C13" s="14">
        <v>0.22</v>
      </c>
      <c r="D13" s="14">
        <v>0.11</v>
      </c>
      <c r="E13" s="14">
        <v>0.37</v>
      </c>
      <c r="F13" s="14">
        <v>0.19</v>
      </c>
      <c r="G13" s="14">
        <v>0.14000000000000001</v>
      </c>
      <c r="H13" s="14">
        <v>0.18</v>
      </c>
      <c r="I13" s="14">
        <v>0.18</v>
      </c>
      <c r="J13" s="14">
        <v>0.19</v>
      </c>
      <c r="K13" s="14">
        <v>0.26</v>
      </c>
      <c r="L13" s="14">
        <v>0.42</v>
      </c>
      <c r="M13" s="14">
        <v>0.23</v>
      </c>
      <c r="N13" s="14">
        <v>0.39</v>
      </c>
      <c r="O13" s="14">
        <v>0.23</v>
      </c>
      <c r="P13" s="14">
        <v>0.28999999999999998</v>
      </c>
      <c r="Q13" s="14">
        <v>0.12</v>
      </c>
      <c r="R13" s="14">
        <v>0.25</v>
      </c>
      <c r="S13" s="14">
        <v>0.33</v>
      </c>
      <c r="T13" s="14">
        <v>0.28000000000000003</v>
      </c>
      <c r="U13" s="14">
        <v>0.09</v>
      </c>
      <c r="V13" s="14">
        <v>0.23</v>
      </c>
      <c r="W13" s="14">
        <v>0.22</v>
      </c>
      <c r="X13" s="14">
        <v>0.06</v>
      </c>
      <c r="Y13" s="14">
        <v>0.18</v>
      </c>
      <c r="Z13" s="14">
        <v>0.32</v>
      </c>
      <c r="AA13" s="14">
        <v>0.41</v>
      </c>
      <c r="AB13" s="14">
        <v>0.2</v>
      </c>
      <c r="AC13" s="14">
        <v>0.21</v>
      </c>
      <c r="AD13" s="14">
        <v>0.2</v>
      </c>
      <c r="AE13" s="14">
        <v>0.22</v>
      </c>
      <c r="AF13" s="14">
        <v>0.14000000000000001</v>
      </c>
    </row>
    <row r="14" spans="1:32" ht="23.25">
      <c r="A14" s="23"/>
      <c r="B14" s="11" t="s">
        <v>1799</v>
      </c>
      <c r="C14" s="12">
        <v>5050</v>
      </c>
      <c r="D14" s="12">
        <v>227</v>
      </c>
      <c r="E14" s="12">
        <v>168</v>
      </c>
      <c r="F14" s="12">
        <v>211</v>
      </c>
      <c r="G14" s="12">
        <v>89</v>
      </c>
      <c r="H14" s="12">
        <v>309</v>
      </c>
      <c r="I14" s="12">
        <v>378</v>
      </c>
      <c r="J14" s="12">
        <v>70</v>
      </c>
      <c r="K14" s="12">
        <v>216</v>
      </c>
      <c r="L14" s="12">
        <v>132</v>
      </c>
      <c r="M14" s="12">
        <v>234</v>
      </c>
      <c r="N14" s="12">
        <v>129</v>
      </c>
      <c r="O14" s="12">
        <v>230</v>
      </c>
      <c r="P14" s="12">
        <v>150</v>
      </c>
      <c r="Q14" s="12">
        <v>192</v>
      </c>
      <c r="R14" s="12">
        <v>54</v>
      </c>
      <c r="S14" s="12">
        <v>117</v>
      </c>
      <c r="T14" s="12">
        <v>129</v>
      </c>
      <c r="U14" s="12">
        <v>51</v>
      </c>
      <c r="V14" s="12">
        <v>284</v>
      </c>
      <c r="W14" s="12">
        <v>47</v>
      </c>
      <c r="X14" s="12">
        <v>97</v>
      </c>
      <c r="Y14" s="12">
        <v>130</v>
      </c>
      <c r="Z14" s="12">
        <v>153</v>
      </c>
      <c r="AA14" s="12">
        <v>316</v>
      </c>
      <c r="AB14" s="12">
        <v>143</v>
      </c>
      <c r="AC14" s="12">
        <v>145</v>
      </c>
      <c r="AD14" s="12">
        <v>239</v>
      </c>
      <c r="AE14" s="12">
        <v>137</v>
      </c>
      <c r="AF14" s="12">
        <v>138</v>
      </c>
    </row>
    <row r="15" spans="1:32" ht="23.25">
      <c r="A15" s="23"/>
      <c r="B15" s="13" t="s">
        <v>1800</v>
      </c>
      <c r="C15" s="14">
        <v>0.19</v>
      </c>
      <c r="D15" s="14">
        <v>0.23</v>
      </c>
      <c r="E15" s="14">
        <v>0.16</v>
      </c>
      <c r="F15" s="14">
        <v>0.21</v>
      </c>
      <c r="G15" s="14">
        <v>0.09</v>
      </c>
      <c r="H15" s="14">
        <v>0.26</v>
      </c>
      <c r="I15" s="14">
        <v>0.25</v>
      </c>
      <c r="J15" s="14">
        <v>0.24</v>
      </c>
      <c r="K15" s="14">
        <v>0.22</v>
      </c>
      <c r="L15" s="14">
        <v>0.13</v>
      </c>
      <c r="M15" s="14">
        <v>0.23</v>
      </c>
      <c r="N15" s="14">
        <v>0.13</v>
      </c>
      <c r="O15" s="14">
        <v>0.23</v>
      </c>
      <c r="P15" s="14">
        <v>0.15</v>
      </c>
      <c r="Q15" s="14">
        <v>0.19</v>
      </c>
      <c r="R15" s="14">
        <v>0.11</v>
      </c>
      <c r="S15" s="14">
        <v>0.12</v>
      </c>
      <c r="T15" s="14">
        <v>0.13</v>
      </c>
      <c r="U15" s="14">
        <v>0.1</v>
      </c>
      <c r="V15" s="14">
        <v>0.28000000000000003</v>
      </c>
      <c r="W15" s="14">
        <v>0.09</v>
      </c>
      <c r="X15" s="14">
        <v>0.1</v>
      </c>
      <c r="Y15" s="14">
        <v>0.13</v>
      </c>
      <c r="Z15" s="14">
        <v>0.15</v>
      </c>
      <c r="AA15" s="14">
        <v>0.3</v>
      </c>
      <c r="AB15" s="14">
        <v>0.14000000000000001</v>
      </c>
      <c r="AC15" s="14">
        <v>0.15</v>
      </c>
      <c r="AD15" s="14">
        <v>0.24</v>
      </c>
      <c r="AE15" s="14">
        <v>0.13</v>
      </c>
      <c r="AF15" s="14">
        <v>0.13</v>
      </c>
    </row>
    <row r="16" spans="1:32" ht="23.25">
      <c r="A16" s="23"/>
      <c r="B16" s="11" t="s">
        <v>1801</v>
      </c>
      <c r="C16" s="12">
        <v>13051</v>
      </c>
      <c r="D16" s="12">
        <v>566</v>
      </c>
      <c r="E16" s="12">
        <v>414</v>
      </c>
      <c r="F16" s="12">
        <v>520</v>
      </c>
      <c r="G16" s="12">
        <v>569</v>
      </c>
      <c r="H16" s="12">
        <v>572</v>
      </c>
      <c r="I16" s="12">
        <v>720</v>
      </c>
      <c r="J16" s="12">
        <v>148</v>
      </c>
      <c r="K16" s="12">
        <v>371</v>
      </c>
      <c r="L16" s="12">
        <v>411</v>
      </c>
      <c r="M16" s="12">
        <v>515</v>
      </c>
      <c r="N16" s="12">
        <v>453</v>
      </c>
      <c r="O16" s="12">
        <v>471</v>
      </c>
      <c r="P16" s="12">
        <v>519</v>
      </c>
      <c r="Q16" s="12">
        <v>625</v>
      </c>
      <c r="R16" s="12">
        <v>310</v>
      </c>
      <c r="S16" s="12">
        <v>486</v>
      </c>
      <c r="T16" s="12">
        <v>545</v>
      </c>
      <c r="U16" s="12">
        <v>299</v>
      </c>
      <c r="V16" s="12">
        <v>455</v>
      </c>
      <c r="W16" s="12">
        <v>290</v>
      </c>
      <c r="X16" s="12">
        <v>450</v>
      </c>
      <c r="Y16" s="12">
        <v>548</v>
      </c>
      <c r="Z16" s="12">
        <v>457</v>
      </c>
      <c r="AA16" s="12">
        <v>262</v>
      </c>
      <c r="AB16" s="12">
        <v>625</v>
      </c>
      <c r="AC16" s="12">
        <v>600</v>
      </c>
      <c r="AD16" s="12">
        <v>489</v>
      </c>
      <c r="AE16" s="12">
        <v>444</v>
      </c>
      <c r="AF16" s="12">
        <v>610</v>
      </c>
    </row>
    <row r="17" spans="1:32" ht="23.25">
      <c r="A17" s="23"/>
      <c r="B17" s="13" t="s">
        <v>1802</v>
      </c>
      <c r="C17" s="14">
        <v>0.5</v>
      </c>
      <c r="D17" s="14">
        <v>0.56000000000000005</v>
      </c>
      <c r="E17" s="14">
        <v>0.4</v>
      </c>
      <c r="F17" s="14">
        <v>0.52</v>
      </c>
      <c r="G17" s="14">
        <v>0.57000000000000006</v>
      </c>
      <c r="H17" s="14">
        <v>0.47</v>
      </c>
      <c r="I17" s="14">
        <v>0.48</v>
      </c>
      <c r="J17" s="14">
        <v>0.51</v>
      </c>
      <c r="K17" s="14">
        <v>0.37</v>
      </c>
      <c r="L17" s="14">
        <v>0.41</v>
      </c>
      <c r="M17" s="14">
        <v>0.51</v>
      </c>
      <c r="N17" s="14">
        <v>0.45</v>
      </c>
      <c r="O17" s="14">
        <v>0.47</v>
      </c>
      <c r="P17" s="14">
        <v>0.51</v>
      </c>
      <c r="Q17" s="14">
        <v>0.61</v>
      </c>
      <c r="R17" s="14">
        <v>0.62</v>
      </c>
      <c r="S17" s="14">
        <v>0.48</v>
      </c>
      <c r="T17" s="14">
        <v>0.54</v>
      </c>
      <c r="U17" s="14">
        <v>0.59</v>
      </c>
      <c r="V17" s="14">
        <v>0.45</v>
      </c>
      <c r="W17" s="14">
        <v>0.57999999999999996</v>
      </c>
      <c r="X17" s="14">
        <v>0.44</v>
      </c>
      <c r="Y17" s="14">
        <v>0.54</v>
      </c>
      <c r="Z17" s="14">
        <v>0.45</v>
      </c>
      <c r="AA17" s="14">
        <v>0.25</v>
      </c>
      <c r="AB17" s="14">
        <v>0.61</v>
      </c>
      <c r="AC17" s="14">
        <v>0.6</v>
      </c>
      <c r="AD17" s="14">
        <v>0.49</v>
      </c>
      <c r="AE17" s="14">
        <v>0.44</v>
      </c>
      <c r="AF17" s="14">
        <v>0.57000000000000006</v>
      </c>
    </row>
    <row r="18" spans="1:32" ht="23.25">
      <c r="A18" s="23"/>
      <c r="B18" s="11" t="s">
        <v>1803</v>
      </c>
      <c r="C18" s="12">
        <v>1915</v>
      </c>
      <c r="D18" s="12">
        <v>96</v>
      </c>
      <c r="E18" s="12">
        <v>33</v>
      </c>
      <c r="F18" s="12">
        <v>78</v>
      </c>
      <c r="G18" s="12">
        <v>194</v>
      </c>
      <c r="H18" s="12">
        <v>96</v>
      </c>
      <c r="I18" s="12">
        <v>113</v>
      </c>
      <c r="J18" s="12">
        <v>18</v>
      </c>
      <c r="K18" s="12">
        <v>42</v>
      </c>
      <c r="L18" s="12">
        <v>15</v>
      </c>
      <c r="M18" s="12">
        <v>11</v>
      </c>
      <c r="N18" s="12">
        <v>20</v>
      </c>
      <c r="O18" s="12">
        <v>65</v>
      </c>
      <c r="P18" s="12">
        <v>35</v>
      </c>
      <c r="Q18" s="12">
        <v>77</v>
      </c>
      <c r="R18" s="12">
        <v>11</v>
      </c>
      <c r="S18" s="12">
        <v>35</v>
      </c>
      <c r="T18" s="12">
        <v>31</v>
      </c>
      <c r="U18" s="12">
        <v>101</v>
      </c>
      <c r="V18" s="12">
        <v>20</v>
      </c>
      <c r="W18" s="12">
        <v>48</v>
      </c>
      <c r="X18" s="12">
        <v>346</v>
      </c>
      <c r="Y18" s="12">
        <v>106</v>
      </c>
      <c r="Z18" s="12">
        <v>32</v>
      </c>
      <c r="AA18" s="12">
        <v>28</v>
      </c>
      <c r="AB18" s="12">
        <v>48</v>
      </c>
      <c r="AC18" s="12">
        <v>45</v>
      </c>
      <c r="AD18" s="12">
        <v>66</v>
      </c>
      <c r="AE18" s="12">
        <v>158</v>
      </c>
      <c r="AF18" s="12">
        <v>164</v>
      </c>
    </row>
    <row r="19" spans="1:32" ht="23.25">
      <c r="A19" s="23"/>
      <c r="B19" s="13" t="s">
        <v>1804</v>
      </c>
      <c r="C19" s="14">
        <v>7.0000000000000007E-2</v>
      </c>
      <c r="D19" s="14">
        <v>0.1</v>
      </c>
      <c r="E19" s="14">
        <v>0.03</v>
      </c>
      <c r="F19" s="14">
        <v>0.08</v>
      </c>
      <c r="G19" s="14">
        <v>0.19</v>
      </c>
      <c r="H19" s="14">
        <v>0.08</v>
      </c>
      <c r="I19" s="14">
        <v>0.08</v>
      </c>
      <c r="J19" s="14">
        <v>0.06</v>
      </c>
      <c r="K19" s="14">
        <v>0.04</v>
      </c>
      <c r="L19" s="14">
        <v>0.01</v>
      </c>
      <c r="M19" s="14">
        <v>0.01</v>
      </c>
      <c r="N19" s="14">
        <v>0.02</v>
      </c>
      <c r="O19" s="14">
        <v>0.06</v>
      </c>
      <c r="P19" s="14">
        <v>0.04</v>
      </c>
      <c r="Q19" s="14">
        <v>0.08</v>
      </c>
      <c r="R19" s="14">
        <v>0.02</v>
      </c>
      <c r="S19" s="14">
        <v>0.04</v>
      </c>
      <c r="T19" s="14">
        <v>0.03</v>
      </c>
      <c r="U19" s="14">
        <v>0.2</v>
      </c>
      <c r="V19" s="14">
        <v>0.02</v>
      </c>
      <c r="W19" s="14">
        <v>0.1</v>
      </c>
      <c r="X19" s="14">
        <v>0.34</v>
      </c>
      <c r="Y19" s="14">
        <v>0.11</v>
      </c>
      <c r="Z19" s="14">
        <v>0.03</v>
      </c>
      <c r="AA19" s="14">
        <v>0.03</v>
      </c>
      <c r="AB19" s="14">
        <v>0.04</v>
      </c>
      <c r="AC19" s="14">
        <v>0.04</v>
      </c>
      <c r="AD19" s="14">
        <v>7.0000000000000007E-2</v>
      </c>
      <c r="AE19" s="14">
        <v>0.16</v>
      </c>
      <c r="AF19" s="14">
        <v>0.15</v>
      </c>
    </row>
    <row r="20" spans="1:32" ht="23.25">
      <c r="A20" s="23"/>
      <c r="B20" s="11" t="s">
        <v>1805</v>
      </c>
      <c r="C20" s="12">
        <v>200</v>
      </c>
      <c r="D20" s="12">
        <v>2</v>
      </c>
      <c r="E20" s="12">
        <v>2</v>
      </c>
      <c r="F20" s="12">
        <v>3</v>
      </c>
      <c r="G20" s="12">
        <v>4</v>
      </c>
      <c r="H20" s="12">
        <v>7</v>
      </c>
      <c r="I20" s="12">
        <v>8</v>
      </c>
      <c r="J20" s="12">
        <v>1</v>
      </c>
      <c r="K20" s="12">
        <v>2</v>
      </c>
      <c r="L20" s="12">
        <v>1</v>
      </c>
      <c r="M20" s="12">
        <v>0</v>
      </c>
      <c r="N20" s="12">
        <v>0</v>
      </c>
      <c r="O20" s="12">
        <v>2</v>
      </c>
      <c r="P20" s="12">
        <v>10</v>
      </c>
      <c r="Q20" s="12">
        <v>3</v>
      </c>
      <c r="R20" s="12">
        <v>0</v>
      </c>
      <c r="S20" s="12">
        <v>8</v>
      </c>
      <c r="T20" s="12">
        <v>2</v>
      </c>
      <c r="U20" s="12">
        <v>8</v>
      </c>
      <c r="V20" s="12">
        <v>0</v>
      </c>
      <c r="W20" s="12">
        <v>2</v>
      </c>
      <c r="X20" s="12">
        <v>55</v>
      </c>
      <c r="Y20" s="12">
        <v>8</v>
      </c>
      <c r="Z20" s="12">
        <v>33</v>
      </c>
      <c r="AA20" s="12">
        <v>1</v>
      </c>
      <c r="AB20" s="12">
        <v>8</v>
      </c>
      <c r="AC20" s="12">
        <v>3</v>
      </c>
      <c r="AD20" s="12">
        <v>0</v>
      </c>
      <c r="AE20" s="12">
        <v>17</v>
      </c>
      <c r="AF20" s="12">
        <v>5</v>
      </c>
    </row>
    <row r="21" spans="1:32" ht="23.25">
      <c r="A21" s="23"/>
      <c r="B21" s="13" t="s">
        <v>1806</v>
      </c>
      <c r="C21" s="14">
        <v>0.01</v>
      </c>
      <c r="D21" s="15" t="s">
        <v>485</v>
      </c>
      <c r="E21" s="15" t="s">
        <v>485</v>
      </c>
      <c r="F21" s="15" t="s">
        <v>485</v>
      </c>
      <c r="G21" s="15" t="s">
        <v>485</v>
      </c>
      <c r="H21" s="14">
        <v>0.01</v>
      </c>
      <c r="I21" s="14">
        <v>0.01</v>
      </c>
      <c r="J21" s="15" t="s">
        <v>485</v>
      </c>
      <c r="K21" s="15" t="s">
        <v>485</v>
      </c>
      <c r="L21" s="15" t="s">
        <v>485</v>
      </c>
      <c r="M21" s="15" t="s">
        <v>485</v>
      </c>
      <c r="N21" s="15" t="s">
        <v>485</v>
      </c>
      <c r="O21" s="15" t="s">
        <v>485</v>
      </c>
      <c r="P21" s="14">
        <v>0.01</v>
      </c>
      <c r="Q21" s="15" t="s">
        <v>485</v>
      </c>
      <c r="R21" s="15" t="s">
        <v>485</v>
      </c>
      <c r="S21" s="14">
        <v>0.01</v>
      </c>
      <c r="T21" s="15" t="s">
        <v>485</v>
      </c>
      <c r="U21" s="14">
        <v>0.02</v>
      </c>
      <c r="V21" s="15" t="s">
        <v>485</v>
      </c>
      <c r="W21" s="15" t="s">
        <v>485</v>
      </c>
      <c r="X21" s="14">
        <v>0.06</v>
      </c>
      <c r="Y21" s="14">
        <v>0.01</v>
      </c>
      <c r="Z21" s="14">
        <v>0.03</v>
      </c>
      <c r="AA21" s="15" t="s">
        <v>485</v>
      </c>
      <c r="AB21" s="14">
        <v>0.01</v>
      </c>
      <c r="AC21" s="15" t="s">
        <v>485</v>
      </c>
      <c r="AD21" s="15" t="s">
        <v>485</v>
      </c>
      <c r="AE21" s="14">
        <v>0.02</v>
      </c>
      <c r="AF21" s="14">
        <v>0.01</v>
      </c>
    </row>
    <row r="22" spans="1:32">
      <c r="A22" s="23"/>
      <c r="B22" s="11" t="s">
        <v>550</v>
      </c>
      <c r="C22" s="12">
        <v>11</v>
      </c>
      <c r="D22" s="12">
        <v>0</v>
      </c>
      <c r="E22" s="12">
        <v>0</v>
      </c>
      <c r="F22" s="12">
        <v>0</v>
      </c>
      <c r="G22" s="12">
        <v>1</v>
      </c>
      <c r="H22" s="12">
        <v>0</v>
      </c>
      <c r="I22" s="12">
        <v>0</v>
      </c>
      <c r="J22" s="12">
        <v>0</v>
      </c>
      <c r="K22" s="12">
        <v>24</v>
      </c>
      <c r="L22" s="12">
        <v>0</v>
      </c>
      <c r="M22" s="12">
        <v>0</v>
      </c>
      <c r="N22" s="12">
        <v>1</v>
      </c>
      <c r="O22" s="12">
        <v>0</v>
      </c>
      <c r="P22" s="12">
        <v>0</v>
      </c>
      <c r="Q22" s="12">
        <v>0</v>
      </c>
      <c r="R22" s="12">
        <v>0</v>
      </c>
      <c r="S22" s="12">
        <v>4</v>
      </c>
      <c r="T22" s="12">
        <v>1</v>
      </c>
      <c r="U22" s="12">
        <v>0</v>
      </c>
      <c r="V22" s="12">
        <v>0</v>
      </c>
      <c r="W22" s="12">
        <v>1</v>
      </c>
      <c r="X22" s="12">
        <v>0</v>
      </c>
      <c r="Y22" s="12">
        <v>4</v>
      </c>
      <c r="Z22" s="12">
        <v>0</v>
      </c>
      <c r="AA22" s="12">
        <v>4</v>
      </c>
      <c r="AB22" s="12">
        <v>0</v>
      </c>
      <c r="AC22" s="12">
        <v>0</v>
      </c>
      <c r="AD22" s="12">
        <v>0</v>
      </c>
      <c r="AE22" s="12">
        <v>3</v>
      </c>
      <c r="AF22" s="12">
        <v>0</v>
      </c>
    </row>
    <row r="23" spans="1:32">
      <c r="A23" s="23"/>
      <c r="B23" s="13" t="s">
        <v>551</v>
      </c>
      <c r="C23" s="15" t="s">
        <v>485</v>
      </c>
      <c r="D23" s="15" t="s">
        <v>485</v>
      </c>
      <c r="E23" s="15" t="s">
        <v>485</v>
      </c>
      <c r="F23" s="15" t="s">
        <v>485</v>
      </c>
      <c r="G23" s="15" t="s">
        <v>485</v>
      </c>
      <c r="H23" s="15" t="s">
        <v>485</v>
      </c>
      <c r="I23" s="15" t="s">
        <v>485</v>
      </c>
      <c r="J23" s="15" t="s">
        <v>485</v>
      </c>
      <c r="K23" s="14">
        <v>0.02</v>
      </c>
      <c r="L23" s="15" t="s">
        <v>485</v>
      </c>
      <c r="M23" s="15" t="s">
        <v>485</v>
      </c>
      <c r="N23" s="15" t="s">
        <v>485</v>
      </c>
      <c r="O23" s="15" t="s">
        <v>485</v>
      </c>
      <c r="P23" s="15" t="s">
        <v>485</v>
      </c>
      <c r="Q23" s="15" t="s">
        <v>485</v>
      </c>
      <c r="R23" s="15" t="s">
        <v>485</v>
      </c>
      <c r="S23" s="15" t="s">
        <v>485</v>
      </c>
      <c r="T23" s="15" t="s">
        <v>485</v>
      </c>
      <c r="U23" s="15" t="s">
        <v>485</v>
      </c>
      <c r="V23" s="15" t="s">
        <v>485</v>
      </c>
      <c r="W23" s="15" t="s">
        <v>485</v>
      </c>
      <c r="X23" s="15" t="s">
        <v>485</v>
      </c>
      <c r="Y23" s="15" t="s">
        <v>485</v>
      </c>
      <c r="Z23" s="15" t="s">
        <v>485</v>
      </c>
      <c r="AA23" s="15" t="s">
        <v>485</v>
      </c>
      <c r="AB23" s="15" t="s">
        <v>485</v>
      </c>
      <c r="AC23" s="15" t="s">
        <v>485</v>
      </c>
      <c r="AD23" s="15" t="s">
        <v>485</v>
      </c>
      <c r="AE23" s="15" t="s">
        <v>485</v>
      </c>
      <c r="AF23" s="15" t="s">
        <v>485</v>
      </c>
    </row>
    <row r="24" spans="1:32">
      <c r="A24" s="23"/>
      <c r="B24" s="11" t="s">
        <v>1515</v>
      </c>
      <c r="C24" s="12">
        <v>40</v>
      </c>
      <c r="D24" s="12">
        <v>0</v>
      </c>
      <c r="E24" s="12">
        <v>6</v>
      </c>
      <c r="F24" s="12">
        <v>0</v>
      </c>
      <c r="G24" s="12">
        <v>5</v>
      </c>
      <c r="H24" s="12">
        <v>2</v>
      </c>
      <c r="I24" s="12">
        <v>2</v>
      </c>
      <c r="J24" s="12">
        <v>0</v>
      </c>
      <c r="K24" s="12">
        <v>6</v>
      </c>
      <c r="L24" s="12">
        <v>7</v>
      </c>
      <c r="M24" s="12">
        <v>2</v>
      </c>
      <c r="N24" s="12">
        <v>0</v>
      </c>
      <c r="O24" s="12">
        <v>1</v>
      </c>
      <c r="P24" s="12">
        <v>0</v>
      </c>
      <c r="Q24" s="12">
        <v>3</v>
      </c>
      <c r="R24" s="12">
        <v>0</v>
      </c>
      <c r="S24" s="12">
        <v>1</v>
      </c>
      <c r="T24" s="12">
        <v>2</v>
      </c>
      <c r="U24" s="12">
        <v>0</v>
      </c>
      <c r="V24" s="12">
        <v>10</v>
      </c>
      <c r="W24" s="12">
        <v>0</v>
      </c>
      <c r="X24" s="12">
        <v>1</v>
      </c>
      <c r="Y24" s="12">
        <v>6</v>
      </c>
      <c r="Z24" s="12">
        <v>0</v>
      </c>
      <c r="AA24" s="12">
        <v>0</v>
      </c>
      <c r="AB24" s="12">
        <v>0</v>
      </c>
      <c r="AC24" s="12">
        <v>0</v>
      </c>
      <c r="AD24" s="12">
        <v>4</v>
      </c>
      <c r="AE24" s="12">
        <v>1</v>
      </c>
      <c r="AF24" s="12">
        <v>4</v>
      </c>
    </row>
    <row r="25" spans="1:32">
      <c r="A25" s="23"/>
      <c r="B25" s="13" t="s">
        <v>1516</v>
      </c>
      <c r="C25" s="15" t="s">
        <v>485</v>
      </c>
      <c r="D25" s="15" t="s">
        <v>485</v>
      </c>
      <c r="E25" s="15" t="s">
        <v>485</v>
      </c>
      <c r="F25" s="15" t="s">
        <v>485</v>
      </c>
      <c r="G25" s="14">
        <v>0.01</v>
      </c>
      <c r="H25" s="15" t="s">
        <v>485</v>
      </c>
      <c r="I25" s="15" t="s">
        <v>485</v>
      </c>
      <c r="J25" s="15" t="s">
        <v>485</v>
      </c>
      <c r="K25" s="14">
        <v>0.01</v>
      </c>
      <c r="L25" s="14">
        <v>0.01</v>
      </c>
      <c r="M25" s="15" t="s">
        <v>485</v>
      </c>
      <c r="N25" s="15" t="s">
        <v>485</v>
      </c>
      <c r="O25" s="15" t="s">
        <v>485</v>
      </c>
      <c r="P25" s="15" t="s">
        <v>485</v>
      </c>
      <c r="Q25" s="15" t="s">
        <v>485</v>
      </c>
      <c r="R25" s="15" t="s">
        <v>485</v>
      </c>
      <c r="S25" s="15" t="s">
        <v>485</v>
      </c>
      <c r="T25" s="15" t="s">
        <v>485</v>
      </c>
      <c r="U25" s="15" t="s">
        <v>485</v>
      </c>
      <c r="V25" s="14">
        <v>0.01</v>
      </c>
      <c r="W25" s="15" t="s">
        <v>485</v>
      </c>
      <c r="X25" s="15" t="s">
        <v>485</v>
      </c>
      <c r="Y25" s="14">
        <v>0.01</v>
      </c>
      <c r="Z25" s="15" t="s">
        <v>485</v>
      </c>
      <c r="AA25" s="15" t="s">
        <v>485</v>
      </c>
      <c r="AB25" s="15" t="s">
        <v>485</v>
      </c>
      <c r="AC25" s="15" t="s">
        <v>485</v>
      </c>
      <c r="AD25" s="15" t="s">
        <v>485</v>
      </c>
      <c r="AE25" s="15" t="s">
        <v>485</v>
      </c>
      <c r="AF25" s="15" t="s">
        <v>485</v>
      </c>
    </row>
    <row r="26" spans="1:32">
      <c r="A26" s="23"/>
      <c r="B26" s="11" t="s">
        <v>618</v>
      </c>
      <c r="C26" s="12">
        <v>38</v>
      </c>
      <c r="D26" s="12">
        <v>0</v>
      </c>
      <c r="E26" s="12">
        <v>8</v>
      </c>
      <c r="F26" s="12">
        <v>0</v>
      </c>
      <c r="G26" s="12">
        <v>0</v>
      </c>
      <c r="H26" s="12">
        <v>1</v>
      </c>
      <c r="I26" s="12">
        <v>2</v>
      </c>
      <c r="J26" s="12">
        <v>0</v>
      </c>
      <c r="K26" s="12">
        <v>43</v>
      </c>
      <c r="L26" s="12">
        <v>2</v>
      </c>
      <c r="M26" s="12">
        <v>5</v>
      </c>
      <c r="N26" s="12">
        <v>0</v>
      </c>
      <c r="O26" s="12">
        <v>0</v>
      </c>
      <c r="P26" s="12">
        <v>0</v>
      </c>
      <c r="Q26" s="12">
        <v>0</v>
      </c>
      <c r="R26" s="12">
        <v>0</v>
      </c>
      <c r="S26" s="12">
        <v>1</v>
      </c>
      <c r="T26" s="12">
        <v>5</v>
      </c>
      <c r="U26" s="12">
        <v>0</v>
      </c>
      <c r="V26" s="12">
        <v>4</v>
      </c>
      <c r="W26" s="12">
        <v>2</v>
      </c>
      <c r="X26" s="12">
        <v>1</v>
      </c>
      <c r="Y26" s="12">
        <v>12</v>
      </c>
      <c r="Z26" s="12">
        <v>3</v>
      </c>
      <c r="AA26" s="12">
        <v>2</v>
      </c>
      <c r="AB26" s="12">
        <v>0</v>
      </c>
      <c r="AC26" s="12">
        <v>0</v>
      </c>
      <c r="AD26" s="12">
        <v>0</v>
      </c>
      <c r="AE26" s="12">
        <v>10</v>
      </c>
      <c r="AF26" s="12">
        <v>2</v>
      </c>
    </row>
    <row r="27" spans="1:32">
      <c r="A27" s="23"/>
      <c r="B27" s="13" t="s">
        <v>619</v>
      </c>
      <c r="C27" s="15" t="s">
        <v>485</v>
      </c>
      <c r="D27" s="15" t="s">
        <v>485</v>
      </c>
      <c r="E27" s="14">
        <v>0.01</v>
      </c>
      <c r="F27" s="15" t="s">
        <v>485</v>
      </c>
      <c r="G27" s="15" t="s">
        <v>485</v>
      </c>
      <c r="H27" s="15" t="s">
        <v>485</v>
      </c>
      <c r="I27" s="15" t="s">
        <v>485</v>
      </c>
      <c r="J27" s="15" t="s">
        <v>485</v>
      </c>
      <c r="K27" s="14">
        <v>0.04</v>
      </c>
      <c r="L27" s="15" t="s">
        <v>485</v>
      </c>
      <c r="M27" s="14">
        <v>0.01</v>
      </c>
      <c r="N27" s="15" t="s">
        <v>485</v>
      </c>
      <c r="O27" s="15" t="s">
        <v>485</v>
      </c>
      <c r="P27" s="15" t="s">
        <v>485</v>
      </c>
      <c r="Q27" s="15" t="s">
        <v>485</v>
      </c>
      <c r="R27" s="15" t="s">
        <v>485</v>
      </c>
      <c r="S27" s="15" t="s">
        <v>485</v>
      </c>
      <c r="T27" s="14">
        <v>0.01</v>
      </c>
      <c r="U27" s="15" t="s">
        <v>485</v>
      </c>
      <c r="V27" s="15" t="s">
        <v>485</v>
      </c>
      <c r="W27" s="15" t="s">
        <v>485</v>
      </c>
      <c r="X27" s="15" t="s">
        <v>485</v>
      </c>
      <c r="Y27" s="14">
        <v>0.01</v>
      </c>
      <c r="Z27" s="15" t="s">
        <v>485</v>
      </c>
      <c r="AA27" s="15" t="s">
        <v>485</v>
      </c>
      <c r="AB27" s="15" t="s">
        <v>485</v>
      </c>
      <c r="AC27" s="15" t="s">
        <v>485</v>
      </c>
      <c r="AD27" s="15" t="s">
        <v>485</v>
      </c>
      <c r="AE27" s="14">
        <v>0.01</v>
      </c>
      <c r="AF27" s="15" t="s">
        <v>485</v>
      </c>
    </row>
    <row r="28" spans="1:32">
      <c r="A28" s="23"/>
      <c r="B28" s="11" t="s">
        <v>497</v>
      </c>
      <c r="C28" s="12">
        <v>186</v>
      </c>
      <c r="D28" s="12">
        <v>3</v>
      </c>
      <c r="E28" s="12">
        <v>32</v>
      </c>
      <c r="F28" s="12">
        <v>2</v>
      </c>
      <c r="G28" s="12">
        <v>1</v>
      </c>
      <c r="H28" s="12">
        <v>3</v>
      </c>
      <c r="I28" s="12">
        <v>3</v>
      </c>
      <c r="J28" s="12">
        <v>0</v>
      </c>
      <c r="K28" s="12">
        <v>44</v>
      </c>
      <c r="L28" s="12">
        <v>18</v>
      </c>
      <c r="M28" s="12">
        <v>9</v>
      </c>
      <c r="N28" s="12">
        <v>6</v>
      </c>
      <c r="O28" s="12">
        <v>11</v>
      </c>
      <c r="P28" s="12">
        <v>1</v>
      </c>
      <c r="Q28" s="12">
        <v>5</v>
      </c>
      <c r="R28" s="12">
        <v>3</v>
      </c>
      <c r="S28" s="12">
        <v>19</v>
      </c>
      <c r="T28" s="12">
        <v>12</v>
      </c>
      <c r="U28" s="12">
        <v>0</v>
      </c>
      <c r="V28" s="12">
        <v>6</v>
      </c>
      <c r="W28" s="12">
        <v>3</v>
      </c>
      <c r="X28" s="12">
        <v>3</v>
      </c>
      <c r="Y28" s="12">
        <v>9</v>
      </c>
      <c r="Z28" s="12">
        <v>17</v>
      </c>
      <c r="AA28" s="12">
        <v>5</v>
      </c>
      <c r="AB28" s="12">
        <v>3</v>
      </c>
      <c r="AC28" s="12">
        <v>4</v>
      </c>
      <c r="AD28" s="12">
        <v>1</v>
      </c>
      <c r="AE28" s="12">
        <v>19</v>
      </c>
      <c r="AF28" s="12">
        <v>4</v>
      </c>
    </row>
    <row r="29" spans="1:32">
      <c r="A29" s="23"/>
      <c r="B29" s="13" t="s">
        <v>498</v>
      </c>
      <c r="C29" s="14">
        <v>0.01</v>
      </c>
      <c r="D29" s="15" t="s">
        <v>485</v>
      </c>
      <c r="E29" s="14">
        <v>0.03</v>
      </c>
      <c r="F29" s="15" t="s">
        <v>485</v>
      </c>
      <c r="G29" s="15" t="s">
        <v>485</v>
      </c>
      <c r="H29" s="15" t="s">
        <v>485</v>
      </c>
      <c r="I29" s="15" t="s">
        <v>485</v>
      </c>
      <c r="J29" s="15" t="s">
        <v>485</v>
      </c>
      <c r="K29" s="14">
        <v>0.04</v>
      </c>
      <c r="L29" s="14">
        <v>0.02</v>
      </c>
      <c r="M29" s="14">
        <v>0.01</v>
      </c>
      <c r="N29" s="14">
        <v>0.01</v>
      </c>
      <c r="O29" s="14">
        <v>0.01</v>
      </c>
      <c r="P29" s="15" t="s">
        <v>485</v>
      </c>
      <c r="Q29" s="15" t="s">
        <v>485</v>
      </c>
      <c r="R29" s="15" t="s">
        <v>485</v>
      </c>
      <c r="S29" s="14">
        <v>0.02</v>
      </c>
      <c r="T29" s="14">
        <v>0.01</v>
      </c>
      <c r="U29" s="15" t="s">
        <v>485</v>
      </c>
      <c r="V29" s="14">
        <v>0.01</v>
      </c>
      <c r="W29" s="14">
        <v>0.01</v>
      </c>
      <c r="X29" s="15" t="s">
        <v>485</v>
      </c>
      <c r="Y29" s="14">
        <v>0.01</v>
      </c>
      <c r="Z29" s="14">
        <v>0.02</v>
      </c>
      <c r="AA29" s="14">
        <v>0.01</v>
      </c>
      <c r="AB29" s="15" t="s">
        <v>485</v>
      </c>
      <c r="AC29" s="15" t="s">
        <v>485</v>
      </c>
      <c r="AD29" s="15" t="s">
        <v>485</v>
      </c>
      <c r="AE29" s="14">
        <v>0.02</v>
      </c>
      <c r="AF29" s="15" t="s">
        <v>485</v>
      </c>
    </row>
  </sheetData>
  <mergeCells count="9">
    <mergeCell ref="B4:F4"/>
    <mergeCell ref="H3:L3"/>
    <mergeCell ref="C8:AF8"/>
    <mergeCell ref="A10:A29"/>
    <mergeCell ref="B5:F5"/>
    <mergeCell ref="B3:F3"/>
    <mergeCell ref="H5:L5"/>
    <mergeCell ref="B10:B11"/>
    <mergeCell ref="H4:L4"/>
  </mergeCells>
  <pageMargins left="0.75" right="0.75" top="1" bottom="1" header="0.5" footer="0.5"/>
</worksheet>
</file>

<file path=xl/worksheets/sheet2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A00-000000000000}">
  <dimension ref="A1:AF37"/>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48" customHeight="1">
      <c r="B3" s="19" t="s">
        <v>443</v>
      </c>
      <c r="C3" s="19"/>
      <c r="D3" s="19"/>
      <c r="E3" s="19"/>
      <c r="F3" s="19"/>
      <c r="H3" s="19" t="s">
        <v>444</v>
      </c>
      <c r="I3" s="19"/>
      <c r="J3" s="19"/>
      <c r="K3" s="19"/>
      <c r="L3" s="19"/>
    </row>
    <row r="4" spans="1:32" ht="27" customHeight="1">
      <c r="B4" s="19"/>
      <c r="C4" s="19"/>
      <c r="D4" s="19"/>
      <c r="E4" s="19"/>
      <c r="F4" s="19"/>
      <c r="H4" s="19"/>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HYPERLINK("#Content!A223","&lt;&lt;Back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1807</v>
      </c>
      <c r="C12" s="12">
        <v>862</v>
      </c>
      <c r="D12" s="12">
        <v>20</v>
      </c>
      <c r="E12" s="12">
        <v>48</v>
      </c>
      <c r="F12" s="12">
        <v>23</v>
      </c>
      <c r="G12" s="12">
        <v>33</v>
      </c>
      <c r="H12" s="12">
        <v>33</v>
      </c>
      <c r="I12" s="12">
        <v>46</v>
      </c>
      <c r="J12" s="12">
        <v>13</v>
      </c>
      <c r="K12" s="12">
        <v>24</v>
      </c>
      <c r="L12" s="12">
        <v>19</v>
      </c>
      <c r="M12" s="12">
        <v>15</v>
      </c>
      <c r="N12" s="12">
        <v>41</v>
      </c>
      <c r="O12" s="12">
        <v>36</v>
      </c>
      <c r="P12" s="12">
        <v>57</v>
      </c>
      <c r="Q12" s="12">
        <v>24</v>
      </c>
      <c r="R12" s="12">
        <v>21</v>
      </c>
      <c r="S12" s="12">
        <v>4</v>
      </c>
      <c r="T12" s="12">
        <v>49</v>
      </c>
      <c r="U12" s="12">
        <v>13</v>
      </c>
      <c r="V12" s="12">
        <v>14</v>
      </c>
      <c r="W12" s="12">
        <v>30</v>
      </c>
      <c r="X12" s="12">
        <v>42</v>
      </c>
      <c r="Y12" s="12">
        <v>36</v>
      </c>
      <c r="Z12" s="12">
        <v>20</v>
      </c>
      <c r="AA12" s="12">
        <v>35</v>
      </c>
      <c r="AB12" s="12">
        <v>76</v>
      </c>
      <c r="AC12" s="12">
        <v>49</v>
      </c>
      <c r="AD12" s="12">
        <v>23</v>
      </c>
      <c r="AE12" s="12">
        <v>36</v>
      </c>
      <c r="AF12" s="12">
        <v>60</v>
      </c>
    </row>
    <row r="13" spans="1:32">
      <c r="A13" s="23"/>
      <c r="B13" s="13" t="s">
        <v>1808</v>
      </c>
      <c r="C13" s="14">
        <v>0.03</v>
      </c>
      <c r="D13" s="14">
        <v>0.02</v>
      </c>
      <c r="E13" s="14">
        <v>0.05</v>
      </c>
      <c r="F13" s="14">
        <v>0.02</v>
      </c>
      <c r="G13" s="14">
        <v>0.03</v>
      </c>
      <c r="H13" s="14">
        <v>0.03</v>
      </c>
      <c r="I13" s="14">
        <v>0.03</v>
      </c>
      <c r="J13" s="14">
        <v>0.04</v>
      </c>
      <c r="K13" s="14">
        <v>0.02</v>
      </c>
      <c r="L13" s="14">
        <v>0.02</v>
      </c>
      <c r="M13" s="14">
        <v>0.01</v>
      </c>
      <c r="N13" s="14">
        <v>0.04</v>
      </c>
      <c r="O13" s="14">
        <v>0.03</v>
      </c>
      <c r="P13" s="14">
        <v>0.06</v>
      </c>
      <c r="Q13" s="14">
        <v>0.02</v>
      </c>
      <c r="R13" s="14">
        <v>0.04</v>
      </c>
      <c r="S13" s="15" t="s">
        <v>485</v>
      </c>
      <c r="T13" s="14">
        <v>0.05</v>
      </c>
      <c r="U13" s="14">
        <v>0.03</v>
      </c>
      <c r="V13" s="14">
        <v>0.01</v>
      </c>
      <c r="W13" s="14">
        <v>0.06</v>
      </c>
      <c r="X13" s="14">
        <v>0.04</v>
      </c>
      <c r="Y13" s="14">
        <v>0.04</v>
      </c>
      <c r="Z13" s="14">
        <v>0.02</v>
      </c>
      <c r="AA13" s="14">
        <v>0.03</v>
      </c>
      <c r="AB13" s="14">
        <v>7.0000000000000007E-2</v>
      </c>
      <c r="AC13" s="14">
        <v>0.05</v>
      </c>
      <c r="AD13" s="14">
        <v>0.02</v>
      </c>
      <c r="AE13" s="14">
        <v>0.04</v>
      </c>
      <c r="AF13" s="14">
        <v>0.06</v>
      </c>
    </row>
    <row r="14" spans="1:32">
      <c r="A14" s="23"/>
      <c r="B14" s="11" t="s">
        <v>1809</v>
      </c>
      <c r="C14" s="12">
        <v>827</v>
      </c>
      <c r="D14" s="12">
        <v>36</v>
      </c>
      <c r="E14" s="12">
        <v>26</v>
      </c>
      <c r="F14" s="12">
        <v>23</v>
      </c>
      <c r="G14" s="12">
        <v>59</v>
      </c>
      <c r="H14" s="12">
        <v>45</v>
      </c>
      <c r="I14" s="12">
        <v>55</v>
      </c>
      <c r="J14" s="12">
        <v>10</v>
      </c>
      <c r="K14" s="12">
        <v>30</v>
      </c>
      <c r="L14" s="12">
        <v>15</v>
      </c>
      <c r="M14" s="12">
        <v>14</v>
      </c>
      <c r="N14" s="12">
        <v>26</v>
      </c>
      <c r="O14" s="12">
        <v>42</v>
      </c>
      <c r="P14" s="12">
        <v>23</v>
      </c>
      <c r="Q14" s="12">
        <v>15</v>
      </c>
      <c r="R14" s="12">
        <v>10</v>
      </c>
      <c r="S14" s="12">
        <v>12</v>
      </c>
      <c r="T14" s="12">
        <v>29</v>
      </c>
      <c r="U14" s="12">
        <v>20</v>
      </c>
      <c r="V14" s="12">
        <v>35</v>
      </c>
      <c r="W14" s="12">
        <v>15</v>
      </c>
      <c r="X14" s="12">
        <v>73</v>
      </c>
      <c r="Y14" s="12">
        <v>32</v>
      </c>
      <c r="Z14" s="12">
        <v>25</v>
      </c>
      <c r="AA14" s="12">
        <v>20</v>
      </c>
      <c r="AB14" s="12">
        <v>19</v>
      </c>
      <c r="AC14" s="12">
        <v>19</v>
      </c>
      <c r="AD14" s="12">
        <v>32</v>
      </c>
      <c r="AE14" s="12">
        <v>33</v>
      </c>
      <c r="AF14" s="12">
        <v>65</v>
      </c>
    </row>
    <row r="15" spans="1:32">
      <c r="A15" s="23"/>
      <c r="B15" s="13" t="s">
        <v>1809</v>
      </c>
      <c r="C15" s="14">
        <v>0.03</v>
      </c>
      <c r="D15" s="14">
        <v>0.03</v>
      </c>
      <c r="E15" s="14">
        <v>0.03</v>
      </c>
      <c r="F15" s="14">
        <v>0.02</v>
      </c>
      <c r="G15" s="14">
        <v>0.06</v>
      </c>
      <c r="H15" s="14">
        <v>0.04</v>
      </c>
      <c r="I15" s="14">
        <v>0.04</v>
      </c>
      <c r="J15" s="14">
        <v>0.03</v>
      </c>
      <c r="K15" s="14">
        <v>0.03</v>
      </c>
      <c r="L15" s="14">
        <v>0.02</v>
      </c>
      <c r="M15" s="14">
        <v>0.01</v>
      </c>
      <c r="N15" s="14">
        <v>0.03</v>
      </c>
      <c r="O15" s="14">
        <v>0.04</v>
      </c>
      <c r="P15" s="14">
        <v>0.02</v>
      </c>
      <c r="Q15" s="14">
        <v>0.01</v>
      </c>
      <c r="R15" s="14">
        <v>0.02</v>
      </c>
      <c r="S15" s="14">
        <v>0.01</v>
      </c>
      <c r="T15" s="14">
        <v>0.03</v>
      </c>
      <c r="U15" s="14">
        <v>0.04</v>
      </c>
      <c r="V15" s="14">
        <v>0.03</v>
      </c>
      <c r="W15" s="14">
        <v>0.03</v>
      </c>
      <c r="X15" s="14">
        <v>7.0000000000000007E-2</v>
      </c>
      <c r="Y15" s="14">
        <v>0.03</v>
      </c>
      <c r="Z15" s="14">
        <v>0.02</v>
      </c>
      <c r="AA15" s="14">
        <v>0.02</v>
      </c>
      <c r="AB15" s="14">
        <v>0.02</v>
      </c>
      <c r="AC15" s="14">
        <v>0.02</v>
      </c>
      <c r="AD15" s="14">
        <v>0.03</v>
      </c>
      <c r="AE15" s="14">
        <v>0.03</v>
      </c>
      <c r="AF15" s="14">
        <v>0.06</v>
      </c>
    </row>
    <row r="16" spans="1:32">
      <c r="A16" s="23"/>
      <c r="B16" s="11" t="s">
        <v>1810</v>
      </c>
      <c r="C16" s="12">
        <v>2261</v>
      </c>
      <c r="D16" s="12">
        <v>98</v>
      </c>
      <c r="E16" s="12">
        <v>68</v>
      </c>
      <c r="F16" s="12">
        <v>67</v>
      </c>
      <c r="G16" s="12">
        <v>145</v>
      </c>
      <c r="H16" s="12">
        <v>98</v>
      </c>
      <c r="I16" s="12">
        <v>127</v>
      </c>
      <c r="J16" s="12">
        <v>29</v>
      </c>
      <c r="K16" s="12">
        <v>56</v>
      </c>
      <c r="L16" s="12">
        <v>64</v>
      </c>
      <c r="M16" s="12">
        <v>87</v>
      </c>
      <c r="N16" s="12">
        <v>100</v>
      </c>
      <c r="O16" s="12">
        <v>101</v>
      </c>
      <c r="P16" s="12">
        <v>65</v>
      </c>
      <c r="Q16" s="12">
        <v>62</v>
      </c>
      <c r="R16" s="12">
        <v>21</v>
      </c>
      <c r="S16" s="12">
        <v>33</v>
      </c>
      <c r="T16" s="12">
        <v>64</v>
      </c>
      <c r="U16" s="12">
        <v>51</v>
      </c>
      <c r="V16" s="12">
        <v>97</v>
      </c>
      <c r="W16" s="12">
        <v>24</v>
      </c>
      <c r="X16" s="12">
        <v>149</v>
      </c>
      <c r="Y16" s="12">
        <v>105</v>
      </c>
      <c r="Z16" s="12">
        <v>65</v>
      </c>
      <c r="AA16" s="12">
        <v>78</v>
      </c>
      <c r="AB16" s="12">
        <v>47</v>
      </c>
      <c r="AC16" s="12">
        <v>71</v>
      </c>
      <c r="AD16" s="12">
        <v>93</v>
      </c>
      <c r="AE16" s="12">
        <v>82</v>
      </c>
      <c r="AF16" s="12">
        <v>156</v>
      </c>
    </row>
    <row r="17" spans="1:32">
      <c r="A17" s="23"/>
      <c r="B17" s="13" t="s">
        <v>1810</v>
      </c>
      <c r="C17" s="14">
        <v>0.09</v>
      </c>
      <c r="D17" s="14">
        <v>0.1</v>
      </c>
      <c r="E17" s="14">
        <v>7.0000000000000007E-2</v>
      </c>
      <c r="F17" s="14">
        <v>7.0000000000000007E-2</v>
      </c>
      <c r="G17" s="14">
        <v>0.14000000000000001</v>
      </c>
      <c r="H17" s="14">
        <v>0.08</v>
      </c>
      <c r="I17" s="14">
        <v>0.08</v>
      </c>
      <c r="J17" s="14">
        <v>0.1</v>
      </c>
      <c r="K17" s="14">
        <v>0.06</v>
      </c>
      <c r="L17" s="14">
        <v>0.06</v>
      </c>
      <c r="M17" s="14">
        <v>0.09</v>
      </c>
      <c r="N17" s="14">
        <v>0.1</v>
      </c>
      <c r="O17" s="14">
        <v>0.1</v>
      </c>
      <c r="P17" s="14">
        <v>0.06</v>
      </c>
      <c r="Q17" s="14">
        <v>0.06</v>
      </c>
      <c r="R17" s="14">
        <v>0.04</v>
      </c>
      <c r="S17" s="14">
        <v>0.03</v>
      </c>
      <c r="T17" s="14">
        <v>0.06</v>
      </c>
      <c r="U17" s="14">
        <v>0.1</v>
      </c>
      <c r="V17" s="14">
        <v>0.1</v>
      </c>
      <c r="W17" s="14">
        <v>0.05</v>
      </c>
      <c r="X17" s="14">
        <v>0.15</v>
      </c>
      <c r="Y17" s="14">
        <v>0.1</v>
      </c>
      <c r="Z17" s="14">
        <v>0.06</v>
      </c>
      <c r="AA17" s="14">
        <v>7.0000000000000007E-2</v>
      </c>
      <c r="AB17" s="14">
        <v>0.05</v>
      </c>
      <c r="AC17" s="14">
        <v>7.0000000000000007E-2</v>
      </c>
      <c r="AD17" s="14">
        <v>0.09</v>
      </c>
      <c r="AE17" s="14">
        <v>0.08</v>
      </c>
      <c r="AF17" s="14">
        <v>0.15</v>
      </c>
    </row>
    <row r="18" spans="1:32">
      <c r="A18" s="23"/>
      <c r="B18" s="11" t="s">
        <v>1811</v>
      </c>
      <c r="C18" s="12">
        <v>3085</v>
      </c>
      <c r="D18" s="12">
        <v>134</v>
      </c>
      <c r="E18" s="12">
        <v>54</v>
      </c>
      <c r="F18" s="12">
        <v>119</v>
      </c>
      <c r="G18" s="12">
        <v>138</v>
      </c>
      <c r="H18" s="12">
        <v>137</v>
      </c>
      <c r="I18" s="12">
        <v>168</v>
      </c>
      <c r="J18" s="12">
        <v>31</v>
      </c>
      <c r="K18" s="12">
        <v>67</v>
      </c>
      <c r="L18" s="12">
        <v>129</v>
      </c>
      <c r="M18" s="12">
        <v>129</v>
      </c>
      <c r="N18" s="12">
        <v>148</v>
      </c>
      <c r="O18" s="12">
        <v>98</v>
      </c>
      <c r="P18" s="12">
        <v>119</v>
      </c>
      <c r="Q18" s="12">
        <v>123</v>
      </c>
      <c r="R18" s="12">
        <v>21</v>
      </c>
      <c r="S18" s="12">
        <v>36</v>
      </c>
      <c r="T18" s="12">
        <v>58</v>
      </c>
      <c r="U18" s="12">
        <v>53</v>
      </c>
      <c r="V18" s="12">
        <v>92</v>
      </c>
      <c r="W18" s="12">
        <v>38</v>
      </c>
      <c r="X18" s="12">
        <v>169</v>
      </c>
      <c r="Y18" s="12">
        <v>146</v>
      </c>
      <c r="Z18" s="12">
        <v>121</v>
      </c>
      <c r="AA18" s="12">
        <v>125</v>
      </c>
      <c r="AB18" s="12">
        <v>63</v>
      </c>
      <c r="AC18" s="12">
        <v>72</v>
      </c>
      <c r="AD18" s="12">
        <v>114</v>
      </c>
      <c r="AE18" s="12">
        <v>123</v>
      </c>
      <c r="AF18" s="12">
        <v>192</v>
      </c>
    </row>
    <row r="19" spans="1:32">
      <c r="A19" s="23"/>
      <c r="B19" s="13" t="s">
        <v>1811</v>
      </c>
      <c r="C19" s="14">
        <v>0.12</v>
      </c>
      <c r="D19" s="14">
        <v>0.13</v>
      </c>
      <c r="E19" s="14">
        <v>0.05</v>
      </c>
      <c r="F19" s="14">
        <v>0.12</v>
      </c>
      <c r="G19" s="14">
        <v>0.14000000000000001</v>
      </c>
      <c r="H19" s="14">
        <v>0.11</v>
      </c>
      <c r="I19" s="14">
        <v>0.11</v>
      </c>
      <c r="J19" s="14">
        <v>0.11</v>
      </c>
      <c r="K19" s="14">
        <v>7.0000000000000007E-2</v>
      </c>
      <c r="L19" s="14">
        <v>0.13</v>
      </c>
      <c r="M19" s="14">
        <v>0.13</v>
      </c>
      <c r="N19" s="14">
        <v>0.15</v>
      </c>
      <c r="O19" s="14">
        <v>0.1</v>
      </c>
      <c r="P19" s="14">
        <v>0.12</v>
      </c>
      <c r="Q19" s="14">
        <v>0.12</v>
      </c>
      <c r="R19" s="14">
        <v>0.04</v>
      </c>
      <c r="S19" s="14">
        <v>0.04</v>
      </c>
      <c r="T19" s="14">
        <v>0.06</v>
      </c>
      <c r="U19" s="14">
        <v>0.1</v>
      </c>
      <c r="V19" s="14">
        <v>0.09</v>
      </c>
      <c r="W19" s="14">
        <v>0.08</v>
      </c>
      <c r="X19" s="14">
        <v>0.17</v>
      </c>
      <c r="Y19" s="14">
        <v>0.14000000000000001</v>
      </c>
      <c r="Z19" s="14">
        <v>0.12</v>
      </c>
      <c r="AA19" s="14">
        <v>0.12</v>
      </c>
      <c r="AB19" s="14">
        <v>0.06</v>
      </c>
      <c r="AC19" s="14">
        <v>7.0000000000000007E-2</v>
      </c>
      <c r="AD19" s="14">
        <v>0.11</v>
      </c>
      <c r="AE19" s="14">
        <v>0.12</v>
      </c>
      <c r="AF19" s="14">
        <v>0.18</v>
      </c>
    </row>
    <row r="20" spans="1:32">
      <c r="A20" s="23"/>
      <c r="B20" s="11" t="s">
        <v>1812</v>
      </c>
      <c r="C20" s="12">
        <v>6699</v>
      </c>
      <c r="D20" s="12">
        <v>270</v>
      </c>
      <c r="E20" s="12">
        <v>177</v>
      </c>
      <c r="F20" s="12">
        <v>347</v>
      </c>
      <c r="G20" s="12">
        <v>185</v>
      </c>
      <c r="H20" s="12">
        <v>457</v>
      </c>
      <c r="I20" s="12">
        <v>552</v>
      </c>
      <c r="J20" s="12">
        <v>94</v>
      </c>
      <c r="K20" s="12">
        <v>224</v>
      </c>
      <c r="L20" s="12">
        <v>447</v>
      </c>
      <c r="M20" s="12">
        <v>251</v>
      </c>
      <c r="N20" s="12">
        <v>287</v>
      </c>
      <c r="O20" s="12">
        <v>232</v>
      </c>
      <c r="P20" s="12">
        <v>253</v>
      </c>
      <c r="Q20" s="12">
        <v>205</v>
      </c>
      <c r="R20" s="12">
        <v>114</v>
      </c>
      <c r="S20" s="12">
        <v>263</v>
      </c>
      <c r="T20" s="12">
        <v>217</v>
      </c>
      <c r="U20" s="12">
        <v>190</v>
      </c>
      <c r="V20" s="12">
        <v>228</v>
      </c>
      <c r="W20" s="12">
        <v>115</v>
      </c>
      <c r="X20" s="12">
        <v>158</v>
      </c>
      <c r="Y20" s="12">
        <v>204</v>
      </c>
      <c r="Z20" s="12">
        <v>216</v>
      </c>
      <c r="AA20" s="12">
        <v>234</v>
      </c>
      <c r="AB20" s="12">
        <v>186</v>
      </c>
      <c r="AC20" s="12">
        <v>296</v>
      </c>
      <c r="AD20" s="12">
        <v>210</v>
      </c>
      <c r="AE20" s="12">
        <v>194</v>
      </c>
      <c r="AF20" s="12">
        <v>159</v>
      </c>
    </row>
    <row r="21" spans="1:32">
      <c r="A21" s="23"/>
      <c r="B21" s="13" t="s">
        <v>1812</v>
      </c>
      <c r="C21" s="14">
        <v>0.25</v>
      </c>
      <c r="D21" s="14">
        <v>0.27</v>
      </c>
      <c r="E21" s="14">
        <v>0.17</v>
      </c>
      <c r="F21" s="14">
        <v>0.34</v>
      </c>
      <c r="G21" s="14">
        <v>0.19</v>
      </c>
      <c r="H21" s="14">
        <v>0.38</v>
      </c>
      <c r="I21" s="14">
        <v>0.37</v>
      </c>
      <c r="J21" s="14">
        <v>0.32</v>
      </c>
      <c r="K21" s="14">
        <v>0.22</v>
      </c>
      <c r="L21" s="14">
        <v>0.44</v>
      </c>
      <c r="M21" s="14">
        <v>0.25</v>
      </c>
      <c r="N21" s="14">
        <v>0.28999999999999998</v>
      </c>
      <c r="O21" s="14">
        <v>0.23</v>
      </c>
      <c r="P21" s="14">
        <v>0.25</v>
      </c>
      <c r="Q21" s="14">
        <v>0.2</v>
      </c>
      <c r="R21" s="14">
        <v>0.23</v>
      </c>
      <c r="S21" s="14">
        <v>0.26</v>
      </c>
      <c r="T21" s="14">
        <v>0.22</v>
      </c>
      <c r="U21" s="14">
        <v>0.38</v>
      </c>
      <c r="V21" s="14">
        <v>0.23</v>
      </c>
      <c r="W21" s="14">
        <v>0.23</v>
      </c>
      <c r="X21" s="14">
        <v>0.16</v>
      </c>
      <c r="Y21" s="14">
        <v>0.2</v>
      </c>
      <c r="Z21" s="14">
        <v>0.21</v>
      </c>
      <c r="AA21" s="14">
        <v>0.22</v>
      </c>
      <c r="AB21" s="14">
        <v>0.18</v>
      </c>
      <c r="AC21" s="14">
        <v>0.28999999999999998</v>
      </c>
      <c r="AD21" s="14">
        <v>0.21</v>
      </c>
      <c r="AE21" s="14">
        <v>0.19</v>
      </c>
      <c r="AF21" s="14">
        <v>0.15</v>
      </c>
    </row>
    <row r="22" spans="1:32">
      <c r="A22" s="23"/>
      <c r="B22" s="11" t="s">
        <v>1813</v>
      </c>
      <c r="C22" s="12">
        <v>3427</v>
      </c>
      <c r="D22" s="12">
        <v>188</v>
      </c>
      <c r="E22" s="12">
        <v>149</v>
      </c>
      <c r="F22" s="12">
        <v>159</v>
      </c>
      <c r="G22" s="12">
        <v>145</v>
      </c>
      <c r="H22" s="12">
        <v>163</v>
      </c>
      <c r="I22" s="12">
        <v>210</v>
      </c>
      <c r="J22" s="12">
        <v>48</v>
      </c>
      <c r="K22" s="12">
        <v>131</v>
      </c>
      <c r="L22" s="12">
        <v>131</v>
      </c>
      <c r="M22" s="12">
        <v>93</v>
      </c>
      <c r="N22" s="12">
        <v>91</v>
      </c>
      <c r="O22" s="12">
        <v>87</v>
      </c>
      <c r="P22" s="12">
        <v>142</v>
      </c>
      <c r="Q22" s="12">
        <v>170</v>
      </c>
      <c r="R22" s="12">
        <v>54</v>
      </c>
      <c r="S22" s="12">
        <v>131</v>
      </c>
      <c r="T22" s="12">
        <v>72</v>
      </c>
      <c r="U22" s="12">
        <v>69</v>
      </c>
      <c r="V22" s="12">
        <v>152</v>
      </c>
      <c r="W22" s="12">
        <v>54</v>
      </c>
      <c r="X22" s="12">
        <v>143</v>
      </c>
      <c r="Y22" s="12">
        <v>138</v>
      </c>
      <c r="Z22" s="12">
        <v>185</v>
      </c>
      <c r="AA22" s="12">
        <v>69</v>
      </c>
      <c r="AB22" s="12">
        <v>126</v>
      </c>
      <c r="AC22" s="12">
        <v>59</v>
      </c>
      <c r="AD22" s="12">
        <v>139</v>
      </c>
      <c r="AE22" s="12">
        <v>131</v>
      </c>
      <c r="AF22" s="12">
        <v>122</v>
      </c>
    </row>
    <row r="23" spans="1:32">
      <c r="A23" s="23"/>
      <c r="B23" s="13" t="s">
        <v>1813</v>
      </c>
      <c r="C23" s="14">
        <v>0.13</v>
      </c>
      <c r="D23" s="14">
        <v>0.19</v>
      </c>
      <c r="E23" s="14">
        <v>0.14000000000000001</v>
      </c>
      <c r="F23" s="14">
        <v>0.16</v>
      </c>
      <c r="G23" s="14">
        <v>0.14000000000000001</v>
      </c>
      <c r="H23" s="14">
        <v>0.13</v>
      </c>
      <c r="I23" s="14">
        <v>0.14000000000000001</v>
      </c>
      <c r="J23" s="14">
        <v>0.16</v>
      </c>
      <c r="K23" s="14">
        <v>0.13</v>
      </c>
      <c r="L23" s="14">
        <v>0.13</v>
      </c>
      <c r="M23" s="14">
        <v>0.09</v>
      </c>
      <c r="N23" s="14">
        <v>0.09</v>
      </c>
      <c r="O23" s="14">
        <v>0.09</v>
      </c>
      <c r="P23" s="14">
        <v>0.14000000000000001</v>
      </c>
      <c r="Q23" s="14">
        <v>0.17</v>
      </c>
      <c r="R23" s="14">
        <v>0.11</v>
      </c>
      <c r="S23" s="14">
        <v>0.13</v>
      </c>
      <c r="T23" s="14">
        <v>7.0000000000000007E-2</v>
      </c>
      <c r="U23" s="14">
        <v>0.14000000000000001</v>
      </c>
      <c r="V23" s="14">
        <v>0.15</v>
      </c>
      <c r="W23" s="14">
        <v>0.11</v>
      </c>
      <c r="X23" s="14">
        <v>0.14000000000000001</v>
      </c>
      <c r="Y23" s="14">
        <v>0.14000000000000001</v>
      </c>
      <c r="Z23" s="14">
        <v>0.18</v>
      </c>
      <c r="AA23" s="14">
        <v>7.0000000000000007E-2</v>
      </c>
      <c r="AB23" s="14">
        <v>0.12</v>
      </c>
      <c r="AC23" s="14">
        <v>0.06</v>
      </c>
      <c r="AD23" s="14">
        <v>0.14000000000000001</v>
      </c>
      <c r="AE23" s="14">
        <v>0.13</v>
      </c>
      <c r="AF23" s="14">
        <v>0.11</v>
      </c>
    </row>
    <row r="24" spans="1:32">
      <c r="A24" s="23"/>
      <c r="B24" s="11" t="s">
        <v>1814</v>
      </c>
      <c r="C24" s="12">
        <v>2987</v>
      </c>
      <c r="D24" s="12">
        <v>123</v>
      </c>
      <c r="E24" s="12">
        <v>130</v>
      </c>
      <c r="F24" s="12">
        <v>123</v>
      </c>
      <c r="G24" s="12">
        <v>160</v>
      </c>
      <c r="H24" s="12">
        <v>107</v>
      </c>
      <c r="I24" s="12">
        <v>140</v>
      </c>
      <c r="J24" s="12">
        <v>33</v>
      </c>
      <c r="K24" s="12">
        <v>119</v>
      </c>
      <c r="L24" s="12">
        <v>83</v>
      </c>
      <c r="M24" s="12">
        <v>103</v>
      </c>
      <c r="N24" s="12">
        <v>83</v>
      </c>
      <c r="O24" s="12">
        <v>82</v>
      </c>
      <c r="P24" s="12">
        <v>96</v>
      </c>
      <c r="Q24" s="12">
        <v>156</v>
      </c>
      <c r="R24" s="12">
        <v>35</v>
      </c>
      <c r="S24" s="12">
        <v>112</v>
      </c>
      <c r="T24" s="12">
        <v>60</v>
      </c>
      <c r="U24" s="12">
        <v>44</v>
      </c>
      <c r="V24" s="12">
        <v>142</v>
      </c>
      <c r="W24" s="12">
        <v>42</v>
      </c>
      <c r="X24" s="12">
        <v>164</v>
      </c>
      <c r="Y24" s="12">
        <v>97</v>
      </c>
      <c r="Z24" s="12">
        <v>132</v>
      </c>
      <c r="AA24" s="12">
        <v>119</v>
      </c>
      <c r="AB24" s="12">
        <v>161</v>
      </c>
      <c r="AC24" s="12">
        <v>70</v>
      </c>
      <c r="AD24" s="12">
        <v>129</v>
      </c>
      <c r="AE24" s="12">
        <v>136</v>
      </c>
      <c r="AF24" s="12">
        <v>175</v>
      </c>
    </row>
    <row r="25" spans="1:32">
      <c r="A25" s="23"/>
      <c r="B25" s="13" t="s">
        <v>1814</v>
      </c>
      <c r="C25" s="14">
        <v>0.11</v>
      </c>
      <c r="D25" s="14">
        <v>0.12</v>
      </c>
      <c r="E25" s="14">
        <v>0.12</v>
      </c>
      <c r="F25" s="14">
        <v>0.12</v>
      </c>
      <c r="G25" s="14">
        <v>0.16</v>
      </c>
      <c r="H25" s="14">
        <v>0.09</v>
      </c>
      <c r="I25" s="14">
        <v>0.09</v>
      </c>
      <c r="J25" s="14">
        <v>0.11</v>
      </c>
      <c r="K25" s="14">
        <v>0.12</v>
      </c>
      <c r="L25" s="14">
        <v>0.08</v>
      </c>
      <c r="M25" s="14">
        <v>0.1</v>
      </c>
      <c r="N25" s="14">
        <v>0.08</v>
      </c>
      <c r="O25" s="14">
        <v>0.08</v>
      </c>
      <c r="P25" s="14">
        <v>0.09</v>
      </c>
      <c r="Q25" s="14">
        <v>0.15</v>
      </c>
      <c r="R25" s="14">
        <v>7.0000000000000007E-2</v>
      </c>
      <c r="S25" s="14">
        <v>0.11</v>
      </c>
      <c r="T25" s="14">
        <v>0.06</v>
      </c>
      <c r="U25" s="14">
        <v>0.09</v>
      </c>
      <c r="V25" s="14">
        <v>0.14000000000000001</v>
      </c>
      <c r="W25" s="14">
        <v>0.08</v>
      </c>
      <c r="X25" s="14">
        <v>0.16</v>
      </c>
      <c r="Y25" s="14">
        <v>0.1</v>
      </c>
      <c r="Z25" s="14">
        <v>0.13</v>
      </c>
      <c r="AA25" s="14">
        <v>0.11</v>
      </c>
      <c r="AB25" s="14">
        <v>0.16</v>
      </c>
      <c r="AC25" s="14">
        <v>7.0000000000000007E-2</v>
      </c>
      <c r="AD25" s="14">
        <v>0.13</v>
      </c>
      <c r="AE25" s="14">
        <v>0.14000000000000001</v>
      </c>
      <c r="AF25" s="14">
        <v>0.16</v>
      </c>
    </row>
    <row r="26" spans="1:32">
      <c r="A26" s="23"/>
      <c r="B26" s="11" t="s">
        <v>1815</v>
      </c>
      <c r="C26" s="12">
        <v>1962</v>
      </c>
      <c r="D26" s="12">
        <v>75</v>
      </c>
      <c r="E26" s="12">
        <v>96</v>
      </c>
      <c r="F26" s="12">
        <v>69</v>
      </c>
      <c r="G26" s="12">
        <v>64</v>
      </c>
      <c r="H26" s="12">
        <v>78</v>
      </c>
      <c r="I26" s="12">
        <v>93</v>
      </c>
      <c r="J26" s="12">
        <v>14</v>
      </c>
      <c r="K26" s="12">
        <v>85</v>
      </c>
      <c r="L26" s="12">
        <v>44</v>
      </c>
      <c r="M26" s="12">
        <v>78</v>
      </c>
      <c r="N26" s="12">
        <v>46</v>
      </c>
      <c r="O26" s="12">
        <v>68</v>
      </c>
      <c r="P26" s="12">
        <v>79</v>
      </c>
      <c r="Q26" s="12">
        <v>93</v>
      </c>
      <c r="R26" s="12">
        <v>23</v>
      </c>
      <c r="S26" s="12">
        <v>75</v>
      </c>
      <c r="T26" s="12">
        <v>44</v>
      </c>
      <c r="U26" s="12">
        <v>14</v>
      </c>
      <c r="V26" s="12">
        <v>78</v>
      </c>
      <c r="W26" s="12">
        <v>45</v>
      </c>
      <c r="X26" s="12">
        <v>73</v>
      </c>
      <c r="Y26" s="12">
        <v>88</v>
      </c>
      <c r="Z26" s="12">
        <v>89</v>
      </c>
      <c r="AA26" s="12">
        <v>68</v>
      </c>
      <c r="AB26" s="12">
        <v>143</v>
      </c>
      <c r="AC26" s="12">
        <v>43</v>
      </c>
      <c r="AD26" s="12">
        <v>91</v>
      </c>
      <c r="AE26" s="12">
        <v>162</v>
      </c>
      <c r="AF26" s="12">
        <v>84</v>
      </c>
    </row>
    <row r="27" spans="1:32">
      <c r="A27" s="23"/>
      <c r="B27" s="13" t="s">
        <v>1815</v>
      </c>
      <c r="C27" s="14">
        <v>7.0000000000000007E-2</v>
      </c>
      <c r="D27" s="14">
        <v>7.0000000000000007E-2</v>
      </c>
      <c r="E27" s="14">
        <v>0.09</v>
      </c>
      <c r="F27" s="14">
        <v>7.0000000000000007E-2</v>
      </c>
      <c r="G27" s="14">
        <v>0.06</v>
      </c>
      <c r="H27" s="14">
        <v>0.06</v>
      </c>
      <c r="I27" s="14">
        <v>0.06</v>
      </c>
      <c r="J27" s="14">
        <v>0.05</v>
      </c>
      <c r="K27" s="14">
        <v>0.09</v>
      </c>
      <c r="L27" s="14">
        <v>0.04</v>
      </c>
      <c r="M27" s="14">
        <v>0.08</v>
      </c>
      <c r="N27" s="14">
        <v>0.05</v>
      </c>
      <c r="O27" s="14">
        <v>7.0000000000000007E-2</v>
      </c>
      <c r="P27" s="14">
        <v>0.08</v>
      </c>
      <c r="Q27" s="14">
        <v>0.09</v>
      </c>
      <c r="R27" s="14">
        <v>0.05</v>
      </c>
      <c r="S27" s="14">
        <v>0.08</v>
      </c>
      <c r="T27" s="14">
        <v>0.04</v>
      </c>
      <c r="U27" s="14">
        <v>0.03</v>
      </c>
      <c r="V27" s="14">
        <v>0.08</v>
      </c>
      <c r="W27" s="14">
        <v>0.09</v>
      </c>
      <c r="X27" s="14">
        <v>7.0000000000000007E-2</v>
      </c>
      <c r="Y27" s="14">
        <v>0.09</v>
      </c>
      <c r="Z27" s="14">
        <v>0.09</v>
      </c>
      <c r="AA27" s="14">
        <v>7.0000000000000007E-2</v>
      </c>
      <c r="AB27" s="14">
        <v>0.14000000000000001</v>
      </c>
      <c r="AC27" s="14">
        <v>0.04</v>
      </c>
      <c r="AD27" s="14">
        <v>0.09</v>
      </c>
      <c r="AE27" s="14">
        <v>0.16</v>
      </c>
      <c r="AF27" s="14">
        <v>0.08</v>
      </c>
    </row>
    <row r="28" spans="1:32">
      <c r="A28" s="23"/>
      <c r="B28" s="11" t="s">
        <v>1816</v>
      </c>
      <c r="C28" s="12">
        <v>611</v>
      </c>
      <c r="D28" s="12">
        <v>18</v>
      </c>
      <c r="E28" s="12">
        <v>39</v>
      </c>
      <c r="F28" s="12">
        <v>36</v>
      </c>
      <c r="G28" s="12">
        <v>20</v>
      </c>
      <c r="H28" s="12">
        <v>19</v>
      </c>
      <c r="I28" s="12">
        <v>21</v>
      </c>
      <c r="J28" s="12">
        <v>2</v>
      </c>
      <c r="K28" s="12">
        <v>33</v>
      </c>
      <c r="L28" s="12">
        <v>7</v>
      </c>
      <c r="M28" s="12">
        <v>12</v>
      </c>
      <c r="N28" s="12">
        <v>8</v>
      </c>
      <c r="O28" s="12">
        <v>27</v>
      </c>
      <c r="P28" s="12">
        <v>28</v>
      </c>
      <c r="Q28" s="12">
        <v>27</v>
      </c>
      <c r="R28" s="12">
        <v>15</v>
      </c>
      <c r="S28" s="12">
        <v>24</v>
      </c>
      <c r="T28" s="12">
        <v>18</v>
      </c>
      <c r="U28" s="12">
        <v>3</v>
      </c>
      <c r="V28" s="12">
        <v>24</v>
      </c>
      <c r="W28" s="12">
        <v>24</v>
      </c>
      <c r="X28" s="12">
        <v>14</v>
      </c>
      <c r="Y28" s="12">
        <v>37</v>
      </c>
      <c r="Z28" s="12">
        <v>39</v>
      </c>
      <c r="AA28" s="12">
        <v>26</v>
      </c>
      <c r="AB28" s="12">
        <v>50</v>
      </c>
      <c r="AC28" s="12">
        <v>9</v>
      </c>
      <c r="AD28" s="12">
        <v>36</v>
      </c>
      <c r="AE28" s="12">
        <v>36</v>
      </c>
      <c r="AF28" s="12">
        <v>24</v>
      </c>
    </row>
    <row r="29" spans="1:32">
      <c r="A29" s="23"/>
      <c r="B29" s="13" t="s">
        <v>1816</v>
      </c>
      <c r="C29" s="14">
        <v>0.02</v>
      </c>
      <c r="D29" s="14">
        <v>0.02</v>
      </c>
      <c r="E29" s="14">
        <v>0.04</v>
      </c>
      <c r="F29" s="14">
        <v>0.04</v>
      </c>
      <c r="G29" s="14">
        <v>0.02</v>
      </c>
      <c r="H29" s="14">
        <v>0.02</v>
      </c>
      <c r="I29" s="14">
        <v>0.01</v>
      </c>
      <c r="J29" s="14">
        <v>0.01</v>
      </c>
      <c r="K29" s="14">
        <v>0.03</v>
      </c>
      <c r="L29" s="14">
        <v>0.01</v>
      </c>
      <c r="M29" s="14">
        <v>0.01</v>
      </c>
      <c r="N29" s="14">
        <v>0.01</v>
      </c>
      <c r="O29" s="14">
        <v>0.03</v>
      </c>
      <c r="P29" s="14">
        <v>0.03</v>
      </c>
      <c r="Q29" s="14">
        <v>0.03</v>
      </c>
      <c r="R29" s="14">
        <v>0.03</v>
      </c>
      <c r="S29" s="14">
        <v>0.02</v>
      </c>
      <c r="T29" s="14">
        <v>0.02</v>
      </c>
      <c r="U29" s="15" t="s">
        <v>485</v>
      </c>
      <c r="V29" s="14">
        <v>0.02</v>
      </c>
      <c r="W29" s="14">
        <v>0.05</v>
      </c>
      <c r="X29" s="14">
        <v>0.01</v>
      </c>
      <c r="Y29" s="14">
        <v>0.04</v>
      </c>
      <c r="Z29" s="14">
        <v>0.04</v>
      </c>
      <c r="AA29" s="14">
        <v>0.03</v>
      </c>
      <c r="AB29" s="14">
        <v>0.05</v>
      </c>
      <c r="AC29" s="14">
        <v>0.01</v>
      </c>
      <c r="AD29" s="14">
        <v>0.04</v>
      </c>
      <c r="AE29" s="14">
        <v>0.04</v>
      </c>
      <c r="AF29" s="14">
        <v>0.02</v>
      </c>
    </row>
    <row r="30" spans="1:32">
      <c r="A30" s="23"/>
      <c r="B30" s="11" t="s">
        <v>1817</v>
      </c>
      <c r="C30" s="12">
        <v>914</v>
      </c>
      <c r="D30" s="12">
        <v>30</v>
      </c>
      <c r="E30" s="12">
        <v>86</v>
      </c>
      <c r="F30" s="12">
        <v>25</v>
      </c>
      <c r="G30" s="12">
        <v>9</v>
      </c>
      <c r="H30" s="12">
        <v>10</v>
      </c>
      <c r="I30" s="12">
        <v>16</v>
      </c>
      <c r="J30" s="12">
        <v>5</v>
      </c>
      <c r="K30" s="12">
        <v>45</v>
      </c>
      <c r="L30" s="12">
        <v>10</v>
      </c>
      <c r="M30" s="12">
        <v>5</v>
      </c>
      <c r="N30" s="12">
        <v>22</v>
      </c>
      <c r="O30" s="12">
        <v>61</v>
      </c>
      <c r="P30" s="12">
        <v>115</v>
      </c>
      <c r="Q30" s="12">
        <v>36</v>
      </c>
      <c r="R30" s="12">
        <v>30</v>
      </c>
      <c r="S30" s="12">
        <v>27</v>
      </c>
      <c r="T30" s="12">
        <v>43</v>
      </c>
      <c r="U30" s="12">
        <v>7</v>
      </c>
      <c r="V30" s="12">
        <v>39</v>
      </c>
      <c r="W30" s="12">
        <v>16</v>
      </c>
      <c r="X30" s="12">
        <v>15</v>
      </c>
      <c r="Y30" s="12">
        <v>26</v>
      </c>
      <c r="Z30" s="12">
        <v>66</v>
      </c>
      <c r="AA30" s="12">
        <v>69</v>
      </c>
      <c r="AB30" s="12">
        <v>53</v>
      </c>
      <c r="AC30" s="12">
        <v>56</v>
      </c>
      <c r="AD30" s="12">
        <v>16</v>
      </c>
      <c r="AE30" s="12">
        <v>19</v>
      </c>
      <c r="AF30" s="12">
        <v>20</v>
      </c>
    </row>
    <row r="31" spans="1:32">
      <c r="A31" s="23"/>
      <c r="B31" s="13" t="s">
        <v>1818</v>
      </c>
      <c r="C31" s="14">
        <v>0.04</v>
      </c>
      <c r="D31" s="14">
        <v>0.03</v>
      </c>
      <c r="E31" s="14">
        <v>0.08</v>
      </c>
      <c r="F31" s="14">
        <v>0.02</v>
      </c>
      <c r="G31" s="14">
        <v>0.01</v>
      </c>
      <c r="H31" s="14">
        <v>0.01</v>
      </c>
      <c r="I31" s="14">
        <v>0.01</v>
      </c>
      <c r="J31" s="14">
        <v>0.02</v>
      </c>
      <c r="K31" s="14">
        <v>0.04</v>
      </c>
      <c r="L31" s="14">
        <v>0.01</v>
      </c>
      <c r="M31" s="15" t="s">
        <v>485</v>
      </c>
      <c r="N31" s="14">
        <v>0.02</v>
      </c>
      <c r="O31" s="14">
        <v>0.06</v>
      </c>
      <c r="P31" s="14">
        <v>0.11</v>
      </c>
      <c r="Q31" s="14">
        <v>0.03</v>
      </c>
      <c r="R31" s="14">
        <v>0.06</v>
      </c>
      <c r="S31" s="14">
        <v>0.03</v>
      </c>
      <c r="T31" s="14">
        <v>0.04</v>
      </c>
      <c r="U31" s="14">
        <v>0.01</v>
      </c>
      <c r="V31" s="14">
        <v>0.04</v>
      </c>
      <c r="W31" s="14">
        <v>0.03</v>
      </c>
      <c r="X31" s="14">
        <v>0.01</v>
      </c>
      <c r="Y31" s="14">
        <v>0.02</v>
      </c>
      <c r="Z31" s="14">
        <v>7.0000000000000007E-2</v>
      </c>
      <c r="AA31" s="14">
        <v>7.0000000000000007E-2</v>
      </c>
      <c r="AB31" s="14">
        <v>0.05</v>
      </c>
      <c r="AC31" s="14">
        <v>0.06</v>
      </c>
      <c r="AD31" s="14">
        <v>0.02</v>
      </c>
      <c r="AE31" s="14">
        <v>0.02</v>
      </c>
      <c r="AF31" s="14">
        <v>0.02</v>
      </c>
    </row>
    <row r="32" spans="1:32">
      <c r="A32" s="23"/>
      <c r="B32" s="11" t="s">
        <v>1515</v>
      </c>
      <c r="C32" s="12">
        <v>1205</v>
      </c>
      <c r="D32" s="12">
        <v>7</v>
      </c>
      <c r="E32" s="12">
        <v>74</v>
      </c>
      <c r="F32" s="12">
        <v>5</v>
      </c>
      <c r="G32" s="12">
        <v>16</v>
      </c>
      <c r="H32" s="12">
        <v>16</v>
      </c>
      <c r="I32" s="12">
        <v>25</v>
      </c>
      <c r="J32" s="12">
        <v>9</v>
      </c>
      <c r="K32" s="12">
        <v>66</v>
      </c>
      <c r="L32" s="12">
        <v>7</v>
      </c>
      <c r="M32" s="12">
        <v>107</v>
      </c>
      <c r="N32" s="12">
        <v>85</v>
      </c>
      <c r="O32" s="12">
        <v>38</v>
      </c>
      <c r="P32" s="12">
        <v>15</v>
      </c>
      <c r="Q32" s="12">
        <v>89</v>
      </c>
      <c r="R32" s="12">
        <v>96</v>
      </c>
      <c r="S32" s="12">
        <v>36</v>
      </c>
      <c r="T32" s="12">
        <v>83</v>
      </c>
      <c r="U32" s="12">
        <v>13</v>
      </c>
      <c r="V32" s="12">
        <v>77</v>
      </c>
      <c r="W32" s="12">
        <v>31</v>
      </c>
      <c r="X32" s="12">
        <v>7</v>
      </c>
      <c r="Y32" s="12">
        <v>67</v>
      </c>
      <c r="Z32" s="12">
        <v>23</v>
      </c>
      <c r="AA32" s="12">
        <v>103</v>
      </c>
      <c r="AB32" s="12">
        <v>36</v>
      </c>
      <c r="AC32" s="12">
        <v>159</v>
      </c>
      <c r="AD32" s="12">
        <v>51</v>
      </c>
      <c r="AE32" s="12">
        <v>12</v>
      </c>
      <c r="AF32" s="12">
        <v>4</v>
      </c>
    </row>
    <row r="33" spans="1:32">
      <c r="A33" s="23"/>
      <c r="B33" s="13" t="s">
        <v>1516</v>
      </c>
      <c r="C33" s="14">
        <v>0.05</v>
      </c>
      <c r="D33" s="14">
        <v>0.01</v>
      </c>
      <c r="E33" s="14">
        <v>7.0000000000000007E-2</v>
      </c>
      <c r="F33" s="14">
        <v>0.01</v>
      </c>
      <c r="G33" s="14">
        <v>0.02</v>
      </c>
      <c r="H33" s="14">
        <v>0.01</v>
      </c>
      <c r="I33" s="14">
        <v>0.02</v>
      </c>
      <c r="J33" s="14">
        <v>0.03</v>
      </c>
      <c r="K33" s="14">
        <v>7.0000000000000007E-2</v>
      </c>
      <c r="L33" s="14">
        <v>0.01</v>
      </c>
      <c r="M33" s="14">
        <v>0.11</v>
      </c>
      <c r="N33" s="14">
        <v>0.08</v>
      </c>
      <c r="O33" s="14">
        <v>0.04</v>
      </c>
      <c r="P33" s="14">
        <v>0.02</v>
      </c>
      <c r="Q33" s="14">
        <v>0.09</v>
      </c>
      <c r="R33" s="14">
        <v>0.19</v>
      </c>
      <c r="S33" s="14">
        <v>0.04</v>
      </c>
      <c r="T33" s="14">
        <v>0.08</v>
      </c>
      <c r="U33" s="14">
        <v>0.03</v>
      </c>
      <c r="V33" s="14">
        <v>0.08</v>
      </c>
      <c r="W33" s="14">
        <v>0.06</v>
      </c>
      <c r="X33" s="14">
        <v>0.01</v>
      </c>
      <c r="Y33" s="14">
        <v>7.0000000000000007E-2</v>
      </c>
      <c r="Z33" s="14">
        <v>0.02</v>
      </c>
      <c r="AA33" s="14">
        <v>0.1</v>
      </c>
      <c r="AB33" s="14">
        <v>0.03</v>
      </c>
      <c r="AC33" s="14">
        <v>0.16</v>
      </c>
      <c r="AD33" s="14">
        <v>0.05</v>
      </c>
      <c r="AE33" s="14">
        <v>0.01</v>
      </c>
      <c r="AF33" s="15" t="s">
        <v>485</v>
      </c>
    </row>
    <row r="34" spans="1:32">
      <c r="A34" s="23"/>
      <c r="B34" s="11" t="s">
        <v>497</v>
      </c>
      <c r="C34" s="12">
        <v>1515</v>
      </c>
      <c r="D34" s="12">
        <v>6</v>
      </c>
      <c r="E34" s="12">
        <v>94</v>
      </c>
      <c r="F34" s="12">
        <v>11</v>
      </c>
      <c r="G34" s="12">
        <v>29</v>
      </c>
      <c r="H34" s="12">
        <v>48</v>
      </c>
      <c r="I34" s="12">
        <v>52</v>
      </c>
      <c r="J34" s="12">
        <v>5</v>
      </c>
      <c r="K34" s="12">
        <v>124</v>
      </c>
      <c r="L34" s="12">
        <v>51</v>
      </c>
      <c r="M34" s="12">
        <v>117</v>
      </c>
      <c r="N34" s="12">
        <v>64</v>
      </c>
      <c r="O34" s="12">
        <v>133</v>
      </c>
      <c r="P34" s="12">
        <v>20</v>
      </c>
      <c r="Q34" s="12">
        <v>26</v>
      </c>
      <c r="R34" s="12">
        <v>62</v>
      </c>
      <c r="S34" s="12">
        <v>253</v>
      </c>
      <c r="T34" s="12">
        <v>266</v>
      </c>
      <c r="U34" s="12">
        <v>26</v>
      </c>
      <c r="V34" s="12">
        <v>33</v>
      </c>
      <c r="W34" s="12">
        <v>68</v>
      </c>
      <c r="X34" s="12">
        <v>9</v>
      </c>
      <c r="Y34" s="12">
        <v>33</v>
      </c>
      <c r="Z34" s="12">
        <v>37</v>
      </c>
      <c r="AA34" s="12">
        <v>93</v>
      </c>
      <c r="AB34" s="12">
        <v>71</v>
      </c>
      <c r="AC34" s="12">
        <v>102</v>
      </c>
      <c r="AD34" s="12">
        <v>69</v>
      </c>
      <c r="AE34" s="12">
        <v>45</v>
      </c>
      <c r="AF34" s="12">
        <v>10</v>
      </c>
    </row>
    <row r="35" spans="1:32">
      <c r="A35" s="23"/>
      <c r="B35" s="13" t="s">
        <v>498</v>
      </c>
      <c r="C35" s="14">
        <v>0.06</v>
      </c>
      <c r="D35" s="14">
        <v>0.01</v>
      </c>
      <c r="E35" s="14">
        <v>0.09</v>
      </c>
      <c r="F35" s="14">
        <v>0.01</v>
      </c>
      <c r="G35" s="14">
        <v>0.03</v>
      </c>
      <c r="H35" s="14">
        <v>0.04</v>
      </c>
      <c r="I35" s="14">
        <v>0.04</v>
      </c>
      <c r="J35" s="14">
        <v>0.02</v>
      </c>
      <c r="K35" s="14">
        <v>0.12</v>
      </c>
      <c r="L35" s="14">
        <v>0.05</v>
      </c>
      <c r="M35" s="14">
        <v>0.12</v>
      </c>
      <c r="N35" s="14">
        <v>0.06</v>
      </c>
      <c r="O35" s="14">
        <v>0.13</v>
      </c>
      <c r="P35" s="14">
        <v>0.02</v>
      </c>
      <c r="Q35" s="14">
        <v>0.03</v>
      </c>
      <c r="R35" s="14">
        <v>0.12</v>
      </c>
      <c r="S35" s="14">
        <v>0.25</v>
      </c>
      <c r="T35" s="14">
        <v>0.27</v>
      </c>
      <c r="U35" s="14">
        <v>0.05</v>
      </c>
      <c r="V35" s="14">
        <v>0.03</v>
      </c>
      <c r="W35" s="14">
        <v>0.13</v>
      </c>
      <c r="X35" s="14">
        <v>0.01</v>
      </c>
      <c r="Y35" s="14">
        <v>0.03</v>
      </c>
      <c r="Z35" s="14">
        <v>0.04</v>
      </c>
      <c r="AA35" s="14">
        <v>0.09</v>
      </c>
      <c r="AB35" s="14">
        <v>7.0000000000000007E-2</v>
      </c>
      <c r="AC35" s="14">
        <v>0.1</v>
      </c>
      <c r="AD35" s="14">
        <v>7.0000000000000007E-2</v>
      </c>
      <c r="AE35" s="14">
        <v>0.04</v>
      </c>
      <c r="AF35" s="14">
        <v>0.01</v>
      </c>
    </row>
    <row r="36" spans="1:32">
      <c r="A36" s="23"/>
      <c r="B36" s="11" t="s">
        <v>1532</v>
      </c>
      <c r="C36" s="12">
        <v>5.37</v>
      </c>
      <c r="D36" s="12">
        <v>5.37</v>
      </c>
      <c r="E36" s="12">
        <v>5.94</v>
      </c>
      <c r="F36" s="12">
        <v>5.47</v>
      </c>
      <c r="G36" s="12">
        <v>5.04</v>
      </c>
      <c r="H36" s="12">
        <v>5.12</v>
      </c>
      <c r="I36" s="12">
        <v>5.1100000000000003</v>
      </c>
      <c r="J36" s="12">
        <v>5.09</v>
      </c>
      <c r="K36" s="12">
        <v>5.75</v>
      </c>
      <c r="L36" s="12">
        <v>5.14</v>
      </c>
      <c r="M36" s="12">
        <v>5.26</v>
      </c>
      <c r="N36" s="12">
        <v>4.93</v>
      </c>
      <c r="O36" s="12">
        <v>5.36</v>
      </c>
      <c r="P36" s="12">
        <v>5.73</v>
      </c>
      <c r="Q36" s="12">
        <v>5.73</v>
      </c>
      <c r="R36" s="12">
        <v>5.65</v>
      </c>
      <c r="S36" s="12">
        <v>5.92</v>
      </c>
      <c r="T36" s="12">
        <v>5.22</v>
      </c>
      <c r="U36" s="12">
        <v>4.95</v>
      </c>
      <c r="V36" s="12">
        <v>5.57</v>
      </c>
      <c r="W36" s="12">
        <v>5.48</v>
      </c>
      <c r="X36" s="12">
        <v>4.97</v>
      </c>
      <c r="Y36" s="12">
        <v>5.3</v>
      </c>
      <c r="Z36" s="12">
        <v>5.83</v>
      </c>
      <c r="AA36" s="12">
        <v>5.57</v>
      </c>
      <c r="AB36" s="12">
        <v>5.89</v>
      </c>
      <c r="AC36" s="12">
        <v>5.23</v>
      </c>
      <c r="AD36" s="12">
        <v>5.46</v>
      </c>
      <c r="AE36" s="12">
        <v>5.63</v>
      </c>
      <c r="AF36" s="12">
        <v>4.9800000000000004</v>
      </c>
    </row>
    <row r="37" spans="1:32">
      <c r="A37" s="23"/>
      <c r="B37" s="13" t="s">
        <v>1533</v>
      </c>
      <c r="C37" s="15" t="s">
        <v>485</v>
      </c>
      <c r="D37" s="15" t="s">
        <v>485</v>
      </c>
      <c r="E37" s="15" t="s">
        <v>485</v>
      </c>
      <c r="F37" s="15" t="s">
        <v>485</v>
      </c>
      <c r="G37" s="15" t="s">
        <v>485</v>
      </c>
      <c r="H37" s="15" t="s">
        <v>485</v>
      </c>
      <c r="I37" s="15" t="s">
        <v>485</v>
      </c>
      <c r="J37" s="15" t="s">
        <v>485</v>
      </c>
      <c r="K37" s="15" t="s">
        <v>485</v>
      </c>
      <c r="L37" s="15" t="s">
        <v>485</v>
      </c>
      <c r="M37" s="15" t="s">
        <v>485</v>
      </c>
      <c r="N37" s="15" t="s">
        <v>485</v>
      </c>
      <c r="O37" s="15" t="s">
        <v>485</v>
      </c>
      <c r="P37" s="15" t="s">
        <v>485</v>
      </c>
      <c r="Q37" s="15" t="s">
        <v>485</v>
      </c>
      <c r="R37" s="15" t="s">
        <v>485</v>
      </c>
      <c r="S37" s="15" t="s">
        <v>485</v>
      </c>
      <c r="T37" s="15" t="s">
        <v>485</v>
      </c>
      <c r="U37" s="15" t="s">
        <v>485</v>
      </c>
      <c r="V37" s="15" t="s">
        <v>485</v>
      </c>
      <c r="W37" s="15" t="s">
        <v>485</v>
      </c>
      <c r="X37" s="15" t="s">
        <v>485</v>
      </c>
      <c r="Y37" s="15" t="s">
        <v>485</v>
      </c>
      <c r="Z37" s="15" t="s">
        <v>485</v>
      </c>
      <c r="AA37" s="15" t="s">
        <v>485</v>
      </c>
      <c r="AB37" s="15" t="s">
        <v>485</v>
      </c>
      <c r="AC37" s="15" t="s">
        <v>485</v>
      </c>
      <c r="AD37" s="15" t="s">
        <v>485</v>
      </c>
      <c r="AE37" s="15" t="s">
        <v>485</v>
      </c>
      <c r="AF37" s="15" t="s">
        <v>485</v>
      </c>
    </row>
  </sheetData>
  <mergeCells count="9">
    <mergeCell ref="H3:L3"/>
    <mergeCell ref="C8:AF8"/>
    <mergeCell ref="B3:F3"/>
    <mergeCell ref="B5:F5"/>
    <mergeCell ref="A10:A37"/>
    <mergeCell ref="H5:L5"/>
    <mergeCell ref="B10:B11"/>
    <mergeCell ref="H4:L4"/>
    <mergeCell ref="B4:F4"/>
  </mergeCells>
  <pageMargins left="0.75" right="0.75" top="1" bottom="1" header="0.5" footer="0.5"/>
</worksheet>
</file>

<file path=xl/worksheets/sheet2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B00-000000000000}">
  <dimension ref="A1:AF23"/>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12" customHeight="1">
      <c r="B3" s="19" t="s">
        <v>445</v>
      </c>
      <c r="C3" s="19"/>
      <c r="D3" s="19"/>
      <c r="E3" s="19"/>
      <c r="F3" s="19"/>
      <c r="H3" s="19" t="s">
        <v>446</v>
      </c>
      <c r="I3" s="19"/>
      <c r="J3" s="19"/>
      <c r="K3" s="19"/>
      <c r="L3" s="19"/>
    </row>
    <row r="4" spans="1:32" ht="27" customHeight="1">
      <c r="B4" s="19"/>
      <c r="C4" s="19"/>
      <c r="D4" s="19"/>
      <c r="E4" s="19"/>
      <c r="F4" s="19"/>
      <c r="H4" s="19"/>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HYPERLINK("#Content!A224","&lt;&lt;Back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1819</v>
      </c>
      <c r="C12" s="12">
        <v>7035</v>
      </c>
      <c r="D12" s="12">
        <v>289</v>
      </c>
      <c r="E12" s="12">
        <v>197</v>
      </c>
      <c r="F12" s="12">
        <v>233</v>
      </c>
      <c r="G12" s="12">
        <v>376</v>
      </c>
      <c r="H12" s="12">
        <v>313</v>
      </c>
      <c r="I12" s="12">
        <v>395</v>
      </c>
      <c r="J12" s="12">
        <v>83</v>
      </c>
      <c r="K12" s="12">
        <v>177</v>
      </c>
      <c r="L12" s="12">
        <v>227</v>
      </c>
      <c r="M12" s="12">
        <v>245</v>
      </c>
      <c r="N12" s="12">
        <v>315</v>
      </c>
      <c r="O12" s="12">
        <v>278</v>
      </c>
      <c r="P12" s="12">
        <v>264</v>
      </c>
      <c r="Q12" s="12">
        <v>223</v>
      </c>
      <c r="R12" s="12">
        <v>73</v>
      </c>
      <c r="S12" s="12">
        <v>84</v>
      </c>
      <c r="T12" s="12">
        <v>199</v>
      </c>
      <c r="U12" s="12">
        <v>137</v>
      </c>
      <c r="V12" s="12">
        <v>238</v>
      </c>
      <c r="W12" s="12">
        <v>108</v>
      </c>
      <c r="X12" s="12">
        <v>433</v>
      </c>
      <c r="Y12" s="12">
        <v>319</v>
      </c>
      <c r="Z12" s="12">
        <v>231</v>
      </c>
      <c r="AA12" s="12">
        <v>258</v>
      </c>
      <c r="AB12" s="12">
        <v>205</v>
      </c>
      <c r="AC12" s="12">
        <v>211</v>
      </c>
      <c r="AD12" s="12">
        <v>262</v>
      </c>
      <c r="AE12" s="12">
        <v>273</v>
      </c>
      <c r="AF12" s="12">
        <v>473</v>
      </c>
    </row>
    <row r="13" spans="1:32">
      <c r="A13" s="23"/>
      <c r="B13" s="13" t="s">
        <v>1820</v>
      </c>
      <c r="C13" s="14">
        <v>0.27</v>
      </c>
      <c r="D13" s="14">
        <v>0.28999999999999998</v>
      </c>
      <c r="E13" s="14">
        <v>0.19</v>
      </c>
      <c r="F13" s="14">
        <v>0.23</v>
      </c>
      <c r="G13" s="14">
        <v>0.37</v>
      </c>
      <c r="H13" s="14">
        <v>0.26</v>
      </c>
      <c r="I13" s="14">
        <v>0.26</v>
      </c>
      <c r="J13" s="14">
        <v>0.28000000000000003</v>
      </c>
      <c r="K13" s="14">
        <v>0.18</v>
      </c>
      <c r="L13" s="14">
        <v>0.23</v>
      </c>
      <c r="M13" s="14">
        <v>0.24</v>
      </c>
      <c r="N13" s="14">
        <v>0.32</v>
      </c>
      <c r="O13" s="14">
        <v>0.27</v>
      </c>
      <c r="P13" s="14">
        <v>0.26</v>
      </c>
      <c r="Q13" s="14">
        <v>0.22</v>
      </c>
      <c r="R13" s="14">
        <v>0.15</v>
      </c>
      <c r="S13" s="14">
        <v>0.08</v>
      </c>
      <c r="T13" s="14">
        <v>0.2</v>
      </c>
      <c r="U13" s="14">
        <v>0.27</v>
      </c>
      <c r="V13" s="14">
        <v>0.24</v>
      </c>
      <c r="W13" s="14">
        <v>0.21</v>
      </c>
      <c r="X13" s="14">
        <v>0.42</v>
      </c>
      <c r="Y13" s="14">
        <v>0.32</v>
      </c>
      <c r="Z13" s="14">
        <v>0.23</v>
      </c>
      <c r="AA13" s="14">
        <v>0.25</v>
      </c>
      <c r="AB13" s="14">
        <v>0.2</v>
      </c>
      <c r="AC13" s="14">
        <v>0.21</v>
      </c>
      <c r="AD13" s="14">
        <v>0.26</v>
      </c>
      <c r="AE13" s="14">
        <v>0.27</v>
      </c>
      <c r="AF13" s="14">
        <v>0.44</v>
      </c>
    </row>
    <row r="14" spans="1:32">
      <c r="A14" s="23"/>
      <c r="B14" s="11" t="s">
        <v>1821</v>
      </c>
      <c r="C14" s="12">
        <v>10126</v>
      </c>
      <c r="D14" s="12">
        <v>458</v>
      </c>
      <c r="E14" s="12">
        <v>327</v>
      </c>
      <c r="F14" s="12">
        <v>506</v>
      </c>
      <c r="G14" s="12">
        <v>330</v>
      </c>
      <c r="H14" s="12">
        <v>620</v>
      </c>
      <c r="I14" s="12">
        <v>762</v>
      </c>
      <c r="J14" s="12">
        <v>142</v>
      </c>
      <c r="K14" s="12">
        <v>355</v>
      </c>
      <c r="L14" s="12">
        <v>578</v>
      </c>
      <c r="M14" s="12">
        <v>344</v>
      </c>
      <c r="N14" s="12">
        <v>378</v>
      </c>
      <c r="O14" s="12">
        <v>319</v>
      </c>
      <c r="P14" s="12">
        <v>395</v>
      </c>
      <c r="Q14" s="12">
        <v>375</v>
      </c>
      <c r="R14" s="12">
        <v>168</v>
      </c>
      <c r="S14" s="12">
        <v>394</v>
      </c>
      <c r="T14" s="12">
        <v>289</v>
      </c>
      <c r="U14" s="12">
        <v>259</v>
      </c>
      <c r="V14" s="12">
        <v>380</v>
      </c>
      <c r="W14" s="12">
        <v>169</v>
      </c>
      <c r="X14" s="12">
        <v>301</v>
      </c>
      <c r="Y14" s="12">
        <v>341</v>
      </c>
      <c r="Z14" s="12">
        <v>400</v>
      </c>
      <c r="AA14" s="12">
        <v>303</v>
      </c>
      <c r="AB14" s="12">
        <v>312</v>
      </c>
      <c r="AC14" s="12">
        <v>355</v>
      </c>
      <c r="AD14" s="12">
        <v>349</v>
      </c>
      <c r="AE14" s="12">
        <v>325</v>
      </c>
      <c r="AF14" s="12">
        <v>281</v>
      </c>
    </row>
    <row r="15" spans="1:32">
      <c r="A15" s="23"/>
      <c r="B15" s="13" t="s">
        <v>1821</v>
      </c>
      <c r="C15" s="14">
        <v>0.38</v>
      </c>
      <c r="D15" s="14">
        <v>0.45</v>
      </c>
      <c r="E15" s="14">
        <v>0.31</v>
      </c>
      <c r="F15" s="14">
        <v>0.5</v>
      </c>
      <c r="G15" s="14">
        <v>0.33</v>
      </c>
      <c r="H15" s="14">
        <v>0.51</v>
      </c>
      <c r="I15" s="14">
        <v>0.51</v>
      </c>
      <c r="J15" s="14">
        <v>0.48</v>
      </c>
      <c r="K15" s="14">
        <v>0.35</v>
      </c>
      <c r="L15" s="14">
        <v>0.57000000000000006</v>
      </c>
      <c r="M15" s="14">
        <v>0.34</v>
      </c>
      <c r="N15" s="14">
        <v>0.38</v>
      </c>
      <c r="O15" s="14">
        <v>0.32</v>
      </c>
      <c r="P15" s="14">
        <v>0.39</v>
      </c>
      <c r="Q15" s="14">
        <v>0.37</v>
      </c>
      <c r="R15" s="14">
        <v>0.34</v>
      </c>
      <c r="S15" s="14">
        <v>0.39</v>
      </c>
      <c r="T15" s="14">
        <v>0.28999999999999998</v>
      </c>
      <c r="U15" s="14">
        <v>0.52</v>
      </c>
      <c r="V15" s="14">
        <v>0.38</v>
      </c>
      <c r="W15" s="14">
        <v>0.34</v>
      </c>
      <c r="X15" s="14">
        <v>0.3</v>
      </c>
      <c r="Y15" s="14">
        <v>0.34</v>
      </c>
      <c r="Z15" s="14">
        <v>0.39</v>
      </c>
      <c r="AA15" s="14">
        <v>0.28999999999999998</v>
      </c>
      <c r="AB15" s="14">
        <v>0.3</v>
      </c>
      <c r="AC15" s="14">
        <v>0.35</v>
      </c>
      <c r="AD15" s="14">
        <v>0.35</v>
      </c>
      <c r="AE15" s="14">
        <v>0.32</v>
      </c>
      <c r="AF15" s="14">
        <v>0.26</v>
      </c>
    </row>
    <row r="16" spans="1:32">
      <c r="A16" s="23"/>
      <c r="B16" s="11" t="s">
        <v>1822</v>
      </c>
      <c r="C16" s="12">
        <v>6474</v>
      </c>
      <c r="D16" s="12">
        <v>246</v>
      </c>
      <c r="E16" s="12">
        <v>352</v>
      </c>
      <c r="F16" s="12">
        <v>253</v>
      </c>
      <c r="G16" s="12">
        <v>253</v>
      </c>
      <c r="H16" s="12">
        <v>214</v>
      </c>
      <c r="I16" s="12">
        <v>269</v>
      </c>
      <c r="J16" s="12">
        <v>55</v>
      </c>
      <c r="K16" s="12">
        <v>281</v>
      </c>
      <c r="L16" s="12">
        <v>144</v>
      </c>
      <c r="M16" s="12">
        <v>198</v>
      </c>
      <c r="N16" s="12">
        <v>158</v>
      </c>
      <c r="O16" s="12">
        <v>238</v>
      </c>
      <c r="P16" s="12">
        <v>317</v>
      </c>
      <c r="Q16" s="12">
        <v>311</v>
      </c>
      <c r="R16" s="12">
        <v>103</v>
      </c>
      <c r="S16" s="12">
        <v>238</v>
      </c>
      <c r="T16" s="12">
        <v>166</v>
      </c>
      <c r="U16" s="12">
        <v>68</v>
      </c>
      <c r="V16" s="12">
        <v>283</v>
      </c>
      <c r="W16" s="12">
        <v>127</v>
      </c>
      <c r="X16" s="12">
        <v>266</v>
      </c>
      <c r="Y16" s="12">
        <v>247</v>
      </c>
      <c r="Z16" s="12">
        <v>326</v>
      </c>
      <c r="AA16" s="12">
        <v>282</v>
      </c>
      <c r="AB16" s="12">
        <v>407</v>
      </c>
      <c r="AC16" s="12">
        <v>177</v>
      </c>
      <c r="AD16" s="12">
        <v>272</v>
      </c>
      <c r="AE16" s="12">
        <v>353</v>
      </c>
      <c r="AF16" s="12">
        <v>304</v>
      </c>
    </row>
    <row r="17" spans="1:32">
      <c r="A17" s="23"/>
      <c r="B17" s="13" t="s">
        <v>1823</v>
      </c>
      <c r="C17" s="14">
        <v>0.24</v>
      </c>
      <c r="D17" s="14">
        <v>0.24</v>
      </c>
      <c r="E17" s="14">
        <v>0.34</v>
      </c>
      <c r="F17" s="14">
        <v>0.25</v>
      </c>
      <c r="G17" s="14">
        <v>0.25</v>
      </c>
      <c r="H17" s="14">
        <v>0.18</v>
      </c>
      <c r="I17" s="14">
        <v>0.18</v>
      </c>
      <c r="J17" s="14">
        <v>0.19</v>
      </c>
      <c r="K17" s="14">
        <v>0.28000000000000003</v>
      </c>
      <c r="L17" s="14">
        <v>0.14000000000000001</v>
      </c>
      <c r="M17" s="14">
        <v>0.2</v>
      </c>
      <c r="N17" s="14">
        <v>0.16</v>
      </c>
      <c r="O17" s="14">
        <v>0.24</v>
      </c>
      <c r="P17" s="14">
        <v>0.31</v>
      </c>
      <c r="Q17" s="14">
        <v>0.3</v>
      </c>
      <c r="R17" s="14">
        <v>0.2</v>
      </c>
      <c r="S17" s="14">
        <v>0.24</v>
      </c>
      <c r="T17" s="14">
        <v>0.17</v>
      </c>
      <c r="U17" s="14">
        <v>0.13</v>
      </c>
      <c r="V17" s="14">
        <v>0.28000000000000003</v>
      </c>
      <c r="W17" s="14">
        <v>0.25</v>
      </c>
      <c r="X17" s="14">
        <v>0.26</v>
      </c>
      <c r="Y17" s="14">
        <v>0.24</v>
      </c>
      <c r="Z17" s="14">
        <v>0.32</v>
      </c>
      <c r="AA17" s="14">
        <v>0.27</v>
      </c>
      <c r="AB17" s="14">
        <v>0.39</v>
      </c>
      <c r="AC17" s="14">
        <v>0.18</v>
      </c>
      <c r="AD17" s="14">
        <v>0.27</v>
      </c>
      <c r="AE17" s="14">
        <v>0.35</v>
      </c>
      <c r="AF17" s="14">
        <v>0.28000000000000003</v>
      </c>
    </row>
    <row r="18" spans="1:32">
      <c r="A18" s="23"/>
      <c r="B18" s="11" t="s">
        <v>1515</v>
      </c>
      <c r="C18" s="12">
        <v>1205</v>
      </c>
      <c r="D18" s="12">
        <v>7</v>
      </c>
      <c r="E18" s="12">
        <v>74</v>
      </c>
      <c r="F18" s="12">
        <v>5</v>
      </c>
      <c r="G18" s="12">
        <v>16</v>
      </c>
      <c r="H18" s="12">
        <v>16</v>
      </c>
      <c r="I18" s="12">
        <v>25</v>
      </c>
      <c r="J18" s="12">
        <v>9</v>
      </c>
      <c r="K18" s="12">
        <v>66</v>
      </c>
      <c r="L18" s="12">
        <v>7</v>
      </c>
      <c r="M18" s="12">
        <v>107</v>
      </c>
      <c r="N18" s="12">
        <v>85</v>
      </c>
      <c r="O18" s="12">
        <v>38</v>
      </c>
      <c r="P18" s="12">
        <v>15</v>
      </c>
      <c r="Q18" s="12">
        <v>89</v>
      </c>
      <c r="R18" s="12">
        <v>96</v>
      </c>
      <c r="S18" s="12">
        <v>36</v>
      </c>
      <c r="T18" s="12">
        <v>83</v>
      </c>
      <c r="U18" s="12">
        <v>13</v>
      </c>
      <c r="V18" s="12">
        <v>77</v>
      </c>
      <c r="W18" s="12">
        <v>31</v>
      </c>
      <c r="X18" s="12">
        <v>7</v>
      </c>
      <c r="Y18" s="12">
        <v>67</v>
      </c>
      <c r="Z18" s="12">
        <v>23</v>
      </c>
      <c r="AA18" s="12">
        <v>103</v>
      </c>
      <c r="AB18" s="12">
        <v>36</v>
      </c>
      <c r="AC18" s="12">
        <v>159</v>
      </c>
      <c r="AD18" s="12">
        <v>51</v>
      </c>
      <c r="AE18" s="12">
        <v>12</v>
      </c>
      <c r="AF18" s="12">
        <v>4</v>
      </c>
    </row>
    <row r="19" spans="1:32">
      <c r="A19" s="23"/>
      <c r="B19" s="13" t="s">
        <v>1516</v>
      </c>
      <c r="C19" s="14">
        <v>0.05</v>
      </c>
      <c r="D19" s="14">
        <v>0.01</v>
      </c>
      <c r="E19" s="14">
        <v>7.0000000000000007E-2</v>
      </c>
      <c r="F19" s="14">
        <v>0.01</v>
      </c>
      <c r="G19" s="14">
        <v>0.02</v>
      </c>
      <c r="H19" s="14">
        <v>0.01</v>
      </c>
      <c r="I19" s="14">
        <v>0.02</v>
      </c>
      <c r="J19" s="14">
        <v>0.03</v>
      </c>
      <c r="K19" s="14">
        <v>7.0000000000000007E-2</v>
      </c>
      <c r="L19" s="14">
        <v>0.01</v>
      </c>
      <c r="M19" s="14">
        <v>0.1</v>
      </c>
      <c r="N19" s="14">
        <v>0.08</v>
      </c>
      <c r="O19" s="14">
        <v>0.04</v>
      </c>
      <c r="P19" s="14">
        <v>0.02</v>
      </c>
      <c r="Q19" s="14">
        <v>0.09</v>
      </c>
      <c r="R19" s="14">
        <v>0.19</v>
      </c>
      <c r="S19" s="14">
        <v>0.04</v>
      </c>
      <c r="T19" s="14">
        <v>0.08</v>
      </c>
      <c r="U19" s="14">
        <v>0.03</v>
      </c>
      <c r="V19" s="14">
        <v>7.0000000000000007E-2</v>
      </c>
      <c r="W19" s="14">
        <v>0.06</v>
      </c>
      <c r="X19" s="14">
        <v>0.01</v>
      </c>
      <c r="Y19" s="14">
        <v>7.0000000000000007E-2</v>
      </c>
      <c r="Z19" s="14">
        <v>0.02</v>
      </c>
      <c r="AA19" s="14">
        <v>0.1</v>
      </c>
      <c r="AB19" s="14">
        <v>0.04</v>
      </c>
      <c r="AC19" s="14">
        <v>0.16</v>
      </c>
      <c r="AD19" s="14">
        <v>0.05</v>
      </c>
      <c r="AE19" s="14">
        <v>0.01</v>
      </c>
      <c r="AF19" s="14">
        <v>0.01</v>
      </c>
    </row>
    <row r="20" spans="1:32">
      <c r="A20" s="23"/>
      <c r="B20" s="11" t="s">
        <v>497</v>
      </c>
      <c r="C20" s="12">
        <v>1515</v>
      </c>
      <c r="D20" s="12">
        <v>6</v>
      </c>
      <c r="E20" s="12">
        <v>94</v>
      </c>
      <c r="F20" s="12">
        <v>11</v>
      </c>
      <c r="G20" s="12">
        <v>29</v>
      </c>
      <c r="H20" s="12">
        <v>48</v>
      </c>
      <c r="I20" s="12">
        <v>52</v>
      </c>
      <c r="J20" s="12">
        <v>5</v>
      </c>
      <c r="K20" s="12">
        <v>124</v>
      </c>
      <c r="L20" s="12">
        <v>51</v>
      </c>
      <c r="M20" s="12">
        <v>117</v>
      </c>
      <c r="N20" s="12">
        <v>64</v>
      </c>
      <c r="O20" s="12">
        <v>133</v>
      </c>
      <c r="P20" s="12">
        <v>20</v>
      </c>
      <c r="Q20" s="12">
        <v>26</v>
      </c>
      <c r="R20" s="12">
        <v>62</v>
      </c>
      <c r="S20" s="12">
        <v>253</v>
      </c>
      <c r="T20" s="12">
        <v>266</v>
      </c>
      <c r="U20" s="12">
        <v>26</v>
      </c>
      <c r="V20" s="12">
        <v>33</v>
      </c>
      <c r="W20" s="12">
        <v>68</v>
      </c>
      <c r="X20" s="12">
        <v>9</v>
      </c>
      <c r="Y20" s="12">
        <v>33</v>
      </c>
      <c r="Z20" s="12">
        <v>37</v>
      </c>
      <c r="AA20" s="12">
        <v>93</v>
      </c>
      <c r="AB20" s="12">
        <v>71</v>
      </c>
      <c r="AC20" s="12">
        <v>102</v>
      </c>
      <c r="AD20" s="12">
        <v>69</v>
      </c>
      <c r="AE20" s="12">
        <v>45</v>
      </c>
      <c r="AF20" s="12">
        <v>10</v>
      </c>
    </row>
    <row r="21" spans="1:32">
      <c r="A21" s="23"/>
      <c r="B21" s="13" t="s">
        <v>498</v>
      </c>
      <c r="C21" s="14">
        <v>0.06</v>
      </c>
      <c r="D21" s="14">
        <v>0.01</v>
      </c>
      <c r="E21" s="14">
        <v>0.09</v>
      </c>
      <c r="F21" s="14">
        <v>0.01</v>
      </c>
      <c r="G21" s="14">
        <v>0.03</v>
      </c>
      <c r="H21" s="14">
        <v>0.04</v>
      </c>
      <c r="I21" s="14">
        <v>0.03</v>
      </c>
      <c r="J21" s="14">
        <v>0.02</v>
      </c>
      <c r="K21" s="14">
        <v>0.12</v>
      </c>
      <c r="L21" s="14">
        <v>0.05</v>
      </c>
      <c r="M21" s="14">
        <v>0.12</v>
      </c>
      <c r="N21" s="14">
        <v>0.06</v>
      </c>
      <c r="O21" s="14">
        <v>0.13</v>
      </c>
      <c r="P21" s="14">
        <v>0.02</v>
      </c>
      <c r="Q21" s="14">
        <v>0.02</v>
      </c>
      <c r="R21" s="14">
        <v>0.12</v>
      </c>
      <c r="S21" s="14">
        <v>0.25</v>
      </c>
      <c r="T21" s="14">
        <v>0.26</v>
      </c>
      <c r="U21" s="14">
        <v>0.05</v>
      </c>
      <c r="V21" s="14">
        <v>0.03</v>
      </c>
      <c r="W21" s="14">
        <v>0.14000000000000001</v>
      </c>
      <c r="X21" s="14">
        <v>0.01</v>
      </c>
      <c r="Y21" s="14">
        <v>0.03</v>
      </c>
      <c r="Z21" s="14">
        <v>0.04</v>
      </c>
      <c r="AA21" s="14">
        <v>0.09</v>
      </c>
      <c r="AB21" s="14">
        <v>7.0000000000000007E-2</v>
      </c>
      <c r="AC21" s="14">
        <v>0.1</v>
      </c>
      <c r="AD21" s="14">
        <v>7.0000000000000007E-2</v>
      </c>
      <c r="AE21" s="14">
        <v>0.05</v>
      </c>
      <c r="AF21" s="14">
        <v>0.01</v>
      </c>
    </row>
    <row r="22" spans="1:32">
      <c r="A22" s="23"/>
      <c r="B22" s="11" t="s">
        <v>1532</v>
      </c>
      <c r="C22" s="12">
        <v>5.37</v>
      </c>
      <c r="D22" s="12">
        <v>5.37</v>
      </c>
      <c r="E22" s="12">
        <v>5.94</v>
      </c>
      <c r="F22" s="12">
        <v>5.47</v>
      </c>
      <c r="G22" s="12">
        <v>5.04</v>
      </c>
      <c r="H22" s="12">
        <v>5.12</v>
      </c>
      <c r="I22" s="12">
        <v>5.1100000000000003</v>
      </c>
      <c r="J22" s="12">
        <v>5.09</v>
      </c>
      <c r="K22" s="12">
        <v>5.75</v>
      </c>
      <c r="L22" s="12">
        <v>5.14</v>
      </c>
      <c r="M22" s="12">
        <v>5.26</v>
      </c>
      <c r="N22" s="12">
        <v>4.93</v>
      </c>
      <c r="O22" s="12">
        <v>5.36</v>
      </c>
      <c r="P22" s="12">
        <v>5.73</v>
      </c>
      <c r="Q22" s="12">
        <v>5.73</v>
      </c>
      <c r="R22" s="12">
        <v>5.65</v>
      </c>
      <c r="S22" s="12">
        <v>5.92</v>
      </c>
      <c r="T22" s="12">
        <v>5.22</v>
      </c>
      <c r="U22" s="12">
        <v>4.95</v>
      </c>
      <c r="V22" s="12">
        <v>5.57</v>
      </c>
      <c r="W22" s="12">
        <v>5.48</v>
      </c>
      <c r="X22" s="12">
        <v>4.97</v>
      </c>
      <c r="Y22" s="12">
        <v>5.3</v>
      </c>
      <c r="Z22" s="12">
        <v>5.83</v>
      </c>
      <c r="AA22" s="12">
        <v>5.57</v>
      </c>
      <c r="AB22" s="12">
        <v>5.89</v>
      </c>
      <c r="AC22" s="12">
        <v>5.23</v>
      </c>
      <c r="AD22" s="12">
        <v>5.46</v>
      </c>
      <c r="AE22" s="12">
        <v>5.63</v>
      </c>
      <c r="AF22" s="12">
        <v>4.9800000000000004</v>
      </c>
    </row>
    <row r="23" spans="1:32">
      <c r="A23" s="23"/>
      <c r="B23" s="13" t="s">
        <v>1533</v>
      </c>
      <c r="C23" s="15" t="s">
        <v>485</v>
      </c>
      <c r="D23" s="15" t="s">
        <v>485</v>
      </c>
      <c r="E23" s="15" t="s">
        <v>485</v>
      </c>
      <c r="F23" s="15" t="s">
        <v>485</v>
      </c>
      <c r="G23" s="15" t="s">
        <v>485</v>
      </c>
      <c r="H23" s="15" t="s">
        <v>485</v>
      </c>
      <c r="I23" s="15" t="s">
        <v>485</v>
      </c>
      <c r="J23" s="15" t="s">
        <v>485</v>
      </c>
      <c r="K23" s="15" t="s">
        <v>485</v>
      </c>
      <c r="L23" s="15" t="s">
        <v>485</v>
      </c>
      <c r="M23" s="15" t="s">
        <v>485</v>
      </c>
      <c r="N23" s="15" t="s">
        <v>485</v>
      </c>
      <c r="O23" s="15" t="s">
        <v>485</v>
      </c>
      <c r="P23" s="15" t="s">
        <v>485</v>
      </c>
      <c r="Q23" s="15" t="s">
        <v>485</v>
      </c>
      <c r="R23" s="15" t="s">
        <v>485</v>
      </c>
      <c r="S23" s="15" t="s">
        <v>485</v>
      </c>
      <c r="T23" s="15" t="s">
        <v>485</v>
      </c>
      <c r="U23" s="15" t="s">
        <v>485</v>
      </c>
      <c r="V23" s="15" t="s">
        <v>485</v>
      </c>
      <c r="W23" s="15" t="s">
        <v>485</v>
      </c>
      <c r="X23" s="15" t="s">
        <v>485</v>
      </c>
      <c r="Y23" s="15" t="s">
        <v>485</v>
      </c>
      <c r="Z23" s="15" t="s">
        <v>485</v>
      </c>
      <c r="AA23" s="15" t="s">
        <v>485</v>
      </c>
      <c r="AB23" s="15" t="s">
        <v>485</v>
      </c>
      <c r="AC23" s="15" t="s">
        <v>485</v>
      </c>
      <c r="AD23" s="15" t="s">
        <v>485</v>
      </c>
      <c r="AE23" s="15" t="s">
        <v>485</v>
      </c>
      <c r="AF23" s="15" t="s">
        <v>485</v>
      </c>
    </row>
  </sheetData>
  <mergeCells count="9">
    <mergeCell ref="B10:B11"/>
    <mergeCell ref="H4:L4"/>
    <mergeCell ref="A10:A23"/>
    <mergeCell ref="B4:F4"/>
    <mergeCell ref="H3:L3"/>
    <mergeCell ref="C8:AF8"/>
    <mergeCell ref="B3:F3"/>
    <mergeCell ref="B5:F5"/>
    <mergeCell ref="H5:L5"/>
  </mergeCells>
  <pageMargins left="0.75" right="0.75" top="1" bottom="1" header="0.5" footer="0.5"/>
</worksheet>
</file>

<file path=xl/worksheets/sheet2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C00-000000000000}">
  <dimension ref="A1:AF27"/>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449</v>
      </c>
    </row>
    <row r="2" spans="1:32">
      <c r="C2" s="7" t="s">
        <v>450</v>
      </c>
      <c r="H2" s="7" t="s">
        <v>451</v>
      </c>
    </row>
    <row r="3" spans="1:32" ht="12" customHeight="1">
      <c r="B3" s="19" t="s">
        <v>447</v>
      </c>
      <c r="C3" s="19"/>
      <c r="D3" s="19"/>
      <c r="E3" s="19"/>
      <c r="F3" s="19"/>
      <c r="H3" s="19" t="s">
        <v>448</v>
      </c>
      <c r="I3" s="19"/>
      <c r="J3" s="19"/>
      <c r="K3" s="19"/>
      <c r="L3" s="19"/>
    </row>
    <row r="4" spans="1:32" ht="27" customHeight="1">
      <c r="B4" s="19"/>
      <c r="C4" s="19"/>
      <c r="D4" s="19"/>
      <c r="E4" s="19"/>
      <c r="F4" s="19"/>
      <c r="H4" s="19"/>
      <c r="I4" s="19"/>
      <c r="J4" s="19"/>
      <c r="K4" s="19"/>
      <c r="L4" s="19"/>
    </row>
    <row r="5" spans="1:32" ht="12" customHeight="1">
      <c r="B5" s="19" t="s">
        <v>452</v>
      </c>
      <c r="C5" s="19"/>
      <c r="D5" s="19"/>
      <c r="E5" s="19"/>
      <c r="F5" s="19"/>
      <c r="H5" s="19" t="s">
        <v>453</v>
      </c>
      <c r="I5" s="19"/>
      <c r="J5" s="19"/>
      <c r="K5" s="19"/>
      <c r="L5" s="19"/>
    </row>
    <row r="6" spans="1:32" ht="0.95" customHeight="1"/>
    <row r="7" spans="1:32" ht="0.95" customHeight="1"/>
    <row r="8" spans="1:3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spans="1:32" ht="18">
      <c r="A9" s="5" t="str">
        <f>HYPERLINK("#Content!A225","&lt;&lt;Back to content")</f>
        <v>&lt;&lt;Back to content</v>
      </c>
      <c r="C9" s="8" t="s">
        <v>454</v>
      </c>
      <c r="D9" s="8" t="s">
        <v>455</v>
      </c>
      <c r="E9" s="8" t="s">
        <v>456</v>
      </c>
      <c r="F9" s="8" t="s">
        <v>457</v>
      </c>
      <c r="G9" s="8" t="s">
        <v>458</v>
      </c>
      <c r="H9" s="8" t="s">
        <v>459</v>
      </c>
      <c r="I9" s="8" t="s">
        <v>460</v>
      </c>
      <c r="J9" s="8" t="s">
        <v>461</v>
      </c>
      <c r="K9" s="8" t="s">
        <v>462</v>
      </c>
      <c r="L9" s="8" t="s">
        <v>463</v>
      </c>
      <c r="M9" s="8" t="s">
        <v>464</v>
      </c>
      <c r="N9" s="8" t="s">
        <v>465</v>
      </c>
      <c r="O9" s="8" t="s">
        <v>466</v>
      </c>
      <c r="P9" s="8" t="s">
        <v>467</v>
      </c>
      <c r="Q9" s="8" t="s">
        <v>468</v>
      </c>
      <c r="R9" s="8" t="s">
        <v>469</v>
      </c>
      <c r="S9" s="8" t="s">
        <v>470</v>
      </c>
      <c r="T9" s="8" t="s">
        <v>471</v>
      </c>
      <c r="U9" s="8" t="s">
        <v>472</v>
      </c>
      <c r="V9" s="8" t="s">
        <v>473</v>
      </c>
      <c r="W9" s="8" t="s">
        <v>474</v>
      </c>
      <c r="X9" s="8" t="s">
        <v>475</v>
      </c>
      <c r="Y9" s="8" t="s">
        <v>476</v>
      </c>
      <c r="Z9" s="8" t="s">
        <v>477</v>
      </c>
      <c r="AA9" s="8" t="s">
        <v>478</v>
      </c>
      <c r="AB9" s="8" t="s">
        <v>479</v>
      </c>
      <c r="AC9" s="8" t="s">
        <v>480</v>
      </c>
      <c r="AD9" s="8" t="s">
        <v>481</v>
      </c>
      <c r="AE9" s="8" t="s">
        <v>482</v>
      </c>
      <c r="AF9" s="8" t="s">
        <v>483</v>
      </c>
    </row>
    <row r="10" spans="1:32">
      <c r="A10" s="23"/>
      <c r="B10" s="18" t="s">
        <v>484</v>
      </c>
      <c r="C10" s="10">
        <v>26354</v>
      </c>
      <c r="D10" s="10">
        <v>1006</v>
      </c>
      <c r="E10" s="10">
        <v>1044</v>
      </c>
      <c r="F10" s="10">
        <v>1007</v>
      </c>
      <c r="G10" s="10">
        <v>1003</v>
      </c>
      <c r="H10" s="10">
        <v>1210</v>
      </c>
      <c r="I10" s="10">
        <v>1504</v>
      </c>
      <c r="J10" s="10">
        <v>294</v>
      </c>
      <c r="K10" s="10">
        <v>1004</v>
      </c>
      <c r="L10" s="10">
        <v>1007</v>
      </c>
      <c r="M10" s="10">
        <v>1011</v>
      </c>
      <c r="N10" s="10">
        <v>1000</v>
      </c>
      <c r="O10" s="10">
        <v>1006</v>
      </c>
      <c r="P10" s="10">
        <v>1011</v>
      </c>
      <c r="Q10" s="10">
        <v>1024</v>
      </c>
      <c r="R10" s="10">
        <v>502</v>
      </c>
      <c r="S10" s="10">
        <v>1005</v>
      </c>
      <c r="T10" s="10">
        <v>1004</v>
      </c>
      <c r="U10" s="10">
        <v>503</v>
      </c>
      <c r="V10" s="10">
        <v>1011</v>
      </c>
      <c r="W10" s="10">
        <v>503</v>
      </c>
      <c r="X10" s="10">
        <v>1016</v>
      </c>
      <c r="Y10" s="10">
        <v>1007</v>
      </c>
      <c r="Z10" s="10">
        <v>1017</v>
      </c>
      <c r="AA10" s="10">
        <v>1040</v>
      </c>
      <c r="AB10" s="10">
        <v>1031</v>
      </c>
      <c r="AC10" s="10">
        <v>1005</v>
      </c>
      <c r="AD10" s="10">
        <v>1002</v>
      </c>
      <c r="AE10" s="10">
        <v>1008</v>
      </c>
      <c r="AF10" s="10">
        <v>1073</v>
      </c>
    </row>
    <row r="11" spans="1:32">
      <c r="A11" s="22"/>
      <c r="B11" s="2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23"/>
      <c r="B12" s="11" t="s">
        <v>1824</v>
      </c>
      <c r="C12" s="12">
        <v>1689</v>
      </c>
      <c r="D12" s="12">
        <v>56</v>
      </c>
      <c r="E12" s="12">
        <v>74</v>
      </c>
      <c r="F12" s="12">
        <v>46</v>
      </c>
      <c r="G12" s="12">
        <v>92</v>
      </c>
      <c r="H12" s="12">
        <v>78</v>
      </c>
      <c r="I12" s="12">
        <v>101</v>
      </c>
      <c r="J12" s="12">
        <v>23</v>
      </c>
      <c r="K12" s="12">
        <v>54</v>
      </c>
      <c r="L12" s="12">
        <v>34</v>
      </c>
      <c r="M12" s="12">
        <v>29</v>
      </c>
      <c r="N12" s="12">
        <v>67</v>
      </c>
      <c r="O12" s="12">
        <v>78</v>
      </c>
      <c r="P12" s="12">
        <v>80</v>
      </c>
      <c r="Q12" s="12">
        <v>39</v>
      </c>
      <c r="R12" s="12">
        <v>31</v>
      </c>
      <c r="S12" s="12">
        <v>16</v>
      </c>
      <c r="T12" s="12">
        <v>78</v>
      </c>
      <c r="U12" s="12">
        <v>33</v>
      </c>
      <c r="V12" s="12">
        <v>49</v>
      </c>
      <c r="W12" s="12">
        <v>45</v>
      </c>
      <c r="X12" s="12">
        <v>115</v>
      </c>
      <c r="Y12" s="12">
        <v>68</v>
      </c>
      <c r="Z12" s="12">
        <v>45</v>
      </c>
      <c r="AA12" s="12">
        <v>55</v>
      </c>
      <c r="AB12" s="12">
        <v>95</v>
      </c>
      <c r="AC12" s="12">
        <v>68</v>
      </c>
      <c r="AD12" s="12">
        <v>55</v>
      </c>
      <c r="AE12" s="12">
        <v>69</v>
      </c>
      <c r="AF12" s="12">
        <v>125</v>
      </c>
    </row>
    <row r="13" spans="1:32">
      <c r="A13" s="23"/>
      <c r="B13" s="13" t="s">
        <v>1825</v>
      </c>
      <c r="C13" s="14">
        <v>0.06</v>
      </c>
      <c r="D13" s="14">
        <v>0.05</v>
      </c>
      <c r="E13" s="14">
        <v>0.08</v>
      </c>
      <c r="F13" s="14">
        <v>0.04</v>
      </c>
      <c r="G13" s="14">
        <v>0.09</v>
      </c>
      <c r="H13" s="14">
        <v>7.0000000000000007E-2</v>
      </c>
      <c r="I13" s="14">
        <v>7.0000000000000007E-2</v>
      </c>
      <c r="J13" s="14">
        <v>7.0000000000000007E-2</v>
      </c>
      <c r="K13" s="14">
        <v>0.05</v>
      </c>
      <c r="L13" s="14">
        <v>0.04</v>
      </c>
      <c r="M13" s="14">
        <v>0.02</v>
      </c>
      <c r="N13" s="14">
        <v>7.0000000000000007E-2</v>
      </c>
      <c r="O13" s="14">
        <v>7.0000000000000007E-2</v>
      </c>
      <c r="P13" s="14">
        <v>0.08</v>
      </c>
      <c r="Q13" s="14">
        <v>0.03</v>
      </c>
      <c r="R13" s="14">
        <v>0.06</v>
      </c>
      <c r="S13" s="14">
        <v>0.01</v>
      </c>
      <c r="T13" s="14">
        <v>0.08</v>
      </c>
      <c r="U13" s="14">
        <v>7.0000000000000007E-2</v>
      </c>
      <c r="V13" s="14">
        <v>0.04</v>
      </c>
      <c r="W13" s="14">
        <v>0.09</v>
      </c>
      <c r="X13" s="14">
        <v>0.11</v>
      </c>
      <c r="Y13" s="14">
        <v>7.0000000000000007E-2</v>
      </c>
      <c r="Z13" s="14">
        <v>0.04</v>
      </c>
      <c r="AA13" s="14">
        <v>0.05</v>
      </c>
      <c r="AB13" s="14">
        <v>0.09</v>
      </c>
      <c r="AC13" s="14">
        <v>7.0000000000000007E-2</v>
      </c>
      <c r="AD13" s="14">
        <v>0.05</v>
      </c>
      <c r="AE13" s="14">
        <v>7.0000000000000007E-2</v>
      </c>
      <c r="AF13" s="14">
        <v>0.12</v>
      </c>
    </row>
    <row r="14" spans="1:32">
      <c r="A14" s="23"/>
      <c r="B14" s="11" t="s">
        <v>1826</v>
      </c>
      <c r="C14" s="12">
        <v>5346</v>
      </c>
      <c r="D14" s="12">
        <v>232</v>
      </c>
      <c r="E14" s="12">
        <v>122</v>
      </c>
      <c r="F14" s="12">
        <v>186</v>
      </c>
      <c r="G14" s="12">
        <v>283</v>
      </c>
      <c r="H14" s="12">
        <v>235</v>
      </c>
      <c r="I14" s="12">
        <v>295</v>
      </c>
      <c r="J14" s="12">
        <v>60</v>
      </c>
      <c r="K14" s="12">
        <v>123</v>
      </c>
      <c r="L14" s="12">
        <v>193</v>
      </c>
      <c r="M14" s="12">
        <v>216</v>
      </c>
      <c r="N14" s="12">
        <v>248</v>
      </c>
      <c r="O14" s="12">
        <v>199</v>
      </c>
      <c r="P14" s="12">
        <v>184</v>
      </c>
      <c r="Q14" s="12">
        <v>185</v>
      </c>
      <c r="R14" s="12">
        <v>42</v>
      </c>
      <c r="S14" s="12">
        <v>69</v>
      </c>
      <c r="T14" s="12">
        <v>122</v>
      </c>
      <c r="U14" s="12">
        <v>104</v>
      </c>
      <c r="V14" s="12">
        <v>189</v>
      </c>
      <c r="W14" s="12">
        <v>62</v>
      </c>
      <c r="X14" s="12">
        <v>318</v>
      </c>
      <c r="Y14" s="12">
        <v>251</v>
      </c>
      <c r="Z14" s="12">
        <v>186</v>
      </c>
      <c r="AA14" s="12">
        <v>203</v>
      </c>
      <c r="AB14" s="12">
        <v>110</v>
      </c>
      <c r="AC14" s="12">
        <v>143</v>
      </c>
      <c r="AD14" s="12">
        <v>207</v>
      </c>
      <c r="AE14" s="12">
        <v>205</v>
      </c>
      <c r="AF14" s="12">
        <v>348</v>
      </c>
    </row>
    <row r="15" spans="1:32">
      <c r="A15" s="23"/>
      <c r="B15" s="13" t="s">
        <v>1826</v>
      </c>
      <c r="C15" s="14">
        <v>0.21</v>
      </c>
      <c r="D15" s="14">
        <v>0.23</v>
      </c>
      <c r="E15" s="14">
        <v>0.12</v>
      </c>
      <c r="F15" s="14">
        <v>0.19</v>
      </c>
      <c r="G15" s="14">
        <v>0.28000000000000003</v>
      </c>
      <c r="H15" s="14">
        <v>0.19</v>
      </c>
      <c r="I15" s="14">
        <v>0.19</v>
      </c>
      <c r="J15" s="14">
        <v>0.21</v>
      </c>
      <c r="K15" s="14">
        <v>0.13</v>
      </c>
      <c r="L15" s="14">
        <v>0.19</v>
      </c>
      <c r="M15" s="14">
        <v>0.22</v>
      </c>
      <c r="N15" s="14">
        <v>0.25</v>
      </c>
      <c r="O15" s="14">
        <v>0.2</v>
      </c>
      <c r="P15" s="14">
        <v>0.18</v>
      </c>
      <c r="Q15" s="14">
        <v>0.18</v>
      </c>
      <c r="R15" s="14">
        <v>0.08</v>
      </c>
      <c r="S15" s="14">
        <v>7.0000000000000007E-2</v>
      </c>
      <c r="T15" s="14">
        <v>0.12</v>
      </c>
      <c r="U15" s="14">
        <v>0.2</v>
      </c>
      <c r="V15" s="14">
        <v>0.19</v>
      </c>
      <c r="W15" s="14">
        <v>0.13</v>
      </c>
      <c r="X15" s="14">
        <v>0.32</v>
      </c>
      <c r="Y15" s="14">
        <v>0.24</v>
      </c>
      <c r="Z15" s="14">
        <v>0.18</v>
      </c>
      <c r="AA15" s="14">
        <v>0.19</v>
      </c>
      <c r="AB15" s="14">
        <v>0.11</v>
      </c>
      <c r="AC15" s="14">
        <v>0.14000000000000001</v>
      </c>
      <c r="AD15" s="14">
        <v>0.2</v>
      </c>
      <c r="AE15" s="14">
        <v>0.2</v>
      </c>
      <c r="AF15" s="14">
        <v>0.33</v>
      </c>
    </row>
    <row r="16" spans="1:32">
      <c r="A16" s="23"/>
      <c r="B16" s="11" t="s">
        <v>1827</v>
      </c>
      <c r="C16" s="12">
        <v>10126</v>
      </c>
      <c r="D16" s="12">
        <v>458</v>
      </c>
      <c r="E16" s="12">
        <v>326</v>
      </c>
      <c r="F16" s="12">
        <v>506</v>
      </c>
      <c r="G16" s="12">
        <v>330</v>
      </c>
      <c r="H16" s="12">
        <v>620</v>
      </c>
      <c r="I16" s="12">
        <v>762</v>
      </c>
      <c r="J16" s="12">
        <v>142</v>
      </c>
      <c r="K16" s="12">
        <v>355</v>
      </c>
      <c r="L16" s="12">
        <v>578</v>
      </c>
      <c r="M16" s="12">
        <v>344</v>
      </c>
      <c r="N16" s="12">
        <v>378</v>
      </c>
      <c r="O16" s="12">
        <v>319</v>
      </c>
      <c r="P16" s="12">
        <v>395</v>
      </c>
      <c r="Q16" s="12">
        <v>375</v>
      </c>
      <c r="R16" s="12">
        <v>168</v>
      </c>
      <c r="S16" s="12">
        <v>394</v>
      </c>
      <c r="T16" s="12">
        <v>289</v>
      </c>
      <c r="U16" s="12">
        <v>259</v>
      </c>
      <c r="V16" s="12">
        <v>380</v>
      </c>
      <c r="W16" s="12">
        <v>169</v>
      </c>
      <c r="X16" s="12">
        <v>301</v>
      </c>
      <c r="Y16" s="12">
        <v>342</v>
      </c>
      <c r="Z16" s="12">
        <v>401</v>
      </c>
      <c r="AA16" s="12">
        <v>303</v>
      </c>
      <c r="AB16" s="12">
        <v>312</v>
      </c>
      <c r="AC16" s="12">
        <v>355</v>
      </c>
      <c r="AD16" s="12">
        <v>349</v>
      </c>
      <c r="AE16" s="12">
        <v>325</v>
      </c>
      <c r="AF16" s="12">
        <v>281</v>
      </c>
    </row>
    <row r="17" spans="1:32">
      <c r="A17" s="23"/>
      <c r="B17" s="13" t="s">
        <v>1827</v>
      </c>
      <c r="C17" s="14">
        <v>0.38</v>
      </c>
      <c r="D17" s="14">
        <v>0.46</v>
      </c>
      <c r="E17" s="14">
        <v>0.31</v>
      </c>
      <c r="F17" s="14">
        <v>0.5</v>
      </c>
      <c r="G17" s="14">
        <v>0.33</v>
      </c>
      <c r="H17" s="14">
        <v>0.51</v>
      </c>
      <c r="I17" s="14">
        <v>0.51</v>
      </c>
      <c r="J17" s="14">
        <v>0.48</v>
      </c>
      <c r="K17" s="14">
        <v>0.35</v>
      </c>
      <c r="L17" s="14">
        <v>0.57000000000000006</v>
      </c>
      <c r="M17" s="14">
        <v>0.34</v>
      </c>
      <c r="N17" s="14">
        <v>0.38</v>
      </c>
      <c r="O17" s="14">
        <v>0.32</v>
      </c>
      <c r="P17" s="14">
        <v>0.39</v>
      </c>
      <c r="Q17" s="14">
        <v>0.37</v>
      </c>
      <c r="R17" s="14">
        <v>0.34</v>
      </c>
      <c r="S17" s="14">
        <v>0.39</v>
      </c>
      <c r="T17" s="14">
        <v>0.28999999999999998</v>
      </c>
      <c r="U17" s="14">
        <v>0.52</v>
      </c>
      <c r="V17" s="14">
        <v>0.38</v>
      </c>
      <c r="W17" s="14">
        <v>0.34</v>
      </c>
      <c r="X17" s="14">
        <v>0.3</v>
      </c>
      <c r="Y17" s="14">
        <v>0.34</v>
      </c>
      <c r="Z17" s="14">
        <v>0.39</v>
      </c>
      <c r="AA17" s="14">
        <v>0.28999999999999998</v>
      </c>
      <c r="AB17" s="14">
        <v>0.3</v>
      </c>
      <c r="AC17" s="14">
        <v>0.35</v>
      </c>
      <c r="AD17" s="14">
        <v>0.35</v>
      </c>
      <c r="AE17" s="14">
        <v>0.32</v>
      </c>
      <c r="AF17" s="14">
        <v>0.26</v>
      </c>
    </row>
    <row r="18" spans="1:32">
      <c r="A18" s="23"/>
      <c r="B18" s="11" t="s">
        <v>1828</v>
      </c>
      <c r="C18" s="12">
        <v>4949</v>
      </c>
      <c r="D18" s="12">
        <v>198</v>
      </c>
      <c r="E18" s="12">
        <v>226</v>
      </c>
      <c r="F18" s="12">
        <v>192</v>
      </c>
      <c r="G18" s="12">
        <v>224</v>
      </c>
      <c r="H18" s="12">
        <v>185</v>
      </c>
      <c r="I18" s="12">
        <v>233</v>
      </c>
      <c r="J18" s="12">
        <v>47</v>
      </c>
      <c r="K18" s="12">
        <v>204</v>
      </c>
      <c r="L18" s="12">
        <v>127</v>
      </c>
      <c r="M18" s="12">
        <v>181</v>
      </c>
      <c r="N18" s="12">
        <v>129</v>
      </c>
      <c r="O18" s="12">
        <v>150</v>
      </c>
      <c r="P18" s="12">
        <v>175</v>
      </c>
      <c r="Q18" s="12">
        <v>249</v>
      </c>
      <c r="R18" s="12">
        <v>58</v>
      </c>
      <c r="S18" s="12">
        <v>187</v>
      </c>
      <c r="T18" s="12">
        <v>104</v>
      </c>
      <c r="U18" s="12">
        <v>58</v>
      </c>
      <c r="V18" s="12">
        <v>220</v>
      </c>
      <c r="W18" s="12">
        <v>87</v>
      </c>
      <c r="X18" s="12">
        <v>237</v>
      </c>
      <c r="Y18" s="12">
        <v>185</v>
      </c>
      <c r="Z18" s="12">
        <v>221</v>
      </c>
      <c r="AA18" s="12">
        <v>187</v>
      </c>
      <c r="AB18" s="12">
        <v>304</v>
      </c>
      <c r="AC18" s="12">
        <v>113</v>
      </c>
      <c r="AD18" s="12">
        <v>220</v>
      </c>
      <c r="AE18" s="12">
        <v>298</v>
      </c>
      <c r="AF18" s="12">
        <v>259</v>
      </c>
    </row>
    <row r="19" spans="1:32">
      <c r="A19" s="23"/>
      <c r="B19" s="13" t="s">
        <v>1828</v>
      </c>
      <c r="C19" s="14">
        <v>0.18</v>
      </c>
      <c r="D19" s="14">
        <v>0.19</v>
      </c>
      <c r="E19" s="14">
        <v>0.21</v>
      </c>
      <c r="F19" s="14">
        <v>0.19</v>
      </c>
      <c r="G19" s="14">
        <v>0.22</v>
      </c>
      <c r="H19" s="14">
        <v>0.15</v>
      </c>
      <c r="I19" s="14">
        <v>0.15</v>
      </c>
      <c r="J19" s="14">
        <v>0.16</v>
      </c>
      <c r="K19" s="14">
        <v>0.21</v>
      </c>
      <c r="L19" s="14">
        <v>0.12</v>
      </c>
      <c r="M19" s="14">
        <v>0.18</v>
      </c>
      <c r="N19" s="14">
        <v>0.13</v>
      </c>
      <c r="O19" s="14">
        <v>0.15</v>
      </c>
      <c r="P19" s="14">
        <v>0.17</v>
      </c>
      <c r="Q19" s="14">
        <v>0.24</v>
      </c>
      <c r="R19" s="14">
        <v>0.12</v>
      </c>
      <c r="S19" s="14">
        <v>0.19</v>
      </c>
      <c r="T19" s="14">
        <v>0.1</v>
      </c>
      <c r="U19" s="14">
        <v>0.12</v>
      </c>
      <c r="V19" s="14">
        <v>0.22</v>
      </c>
      <c r="W19" s="14">
        <v>0.17</v>
      </c>
      <c r="X19" s="14">
        <v>0.23</v>
      </c>
      <c r="Y19" s="14">
        <v>0.19</v>
      </c>
      <c r="Z19" s="14">
        <v>0.22</v>
      </c>
      <c r="AA19" s="14">
        <v>0.18</v>
      </c>
      <c r="AB19" s="14">
        <v>0.3</v>
      </c>
      <c r="AC19" s="14">
        <v>0.11</v>
      </c>
      <c r="AD19" s="14">
        <v>0.22</v>
      </c>
      <c r="AE19" s="14">
        <v>0.3</v>
      </c>
      <c r="AF19" s="14">
        <v>0.24</v>
      </c>
    </row>
    <row r="20" spans="1:32">
      <c r="A20" s="23"/>
      <c r="B20" s="11" t="s">
        <v>1829</v>
      </c>
      <c r="C20" s="12">
        <v>1525</v>
      </c>
      <c r="D20" s="12">
        <v>48</v>
      </c>
      <c r="E20" s="12">
        <v>125</v>
      </c>
      <c r="F20" s="12">
        <v>61</v>
      </c>
      <c r="G20" s="12">
        <v>29</v>
      </c>
      <c r="H20" s="12">
        <v>29</v>
      </c>
      <c r="I20" s="12">
        <v>37</v>
      </c>
      <c r="J20" s="12">
        <v>7</v>
      </c>
      <c r="K20" s="12">
        <v>78</v>
      </c>
      <c r="L20" s="12">
        <v>17</v>
      </c>
      <c r="M20" s="12">
        <v>17</v>
      </c>
      <c r="N20" s="12">
        <v>30</v>
      </c>
      <c r="O20" s="12">
        <v>88</v>
      </c>
      <c r="P20" s="12">
        <v>143</v>
      </c>
      <c r="Q20" s="12">
        <v>63</v>
      </c>
      <c r="R20" s="12">
        <v>45</v>
      </c>
      <c r="S20" s="12">
        <v>51</v>
      </c>
      <c r="T20" s="12">
        <v>61</v>
      </c>
      <c r="U20" s="12">
        <v>10</v>
      </c>
      <c r="V20" s="12">
        <v>63</v>
      </c>
      <c r="W20" s="12">
        <v>40</v>
      </c>
      <c r="X20" s="12">
        <v>29</v>
      </c>
      <c r="Y20" s="12">
        <v>63</v>
      </c>
      <c r="Z20" s="12">
        <v>105</v>
      </c>
      <c r="AA20" s="12">
        <v>95</v>
      </c>
      <c r="AB20" s="12">
        <v>103</v>
      </c>
      <c r="AC20" s="12">
        <v>65</v>
      </c>
      <c r="AD20" s="12">
        <v>52</v>
      </c>
      <c r="AE20" s="12">
        <v>55</v>
      </c>
      <c r="AF20" s="12">
        <v>44</v>
      </c>
    </row>
    <row r="21" spans="1:32">
      <c r="A21" s="23"/>
      <c r="B21" s="13" t="s">
        <v>1830</v>
      </c>
      <c r="C21" s="14">
        <v>0.06</v>
      </c>
      <c r="D21" s="14">
        <v>0.05</v>
      </c>
      <c r="E21" s="14">
        <v>0.12</v>
      </c>
      <c r="F21" s="14">
        <v>0.06</v>
      </c>
      <c r="G21" s="14">
        <v>0.03</v>
      </c>
      <c r="H21" s="14">
        <v>0.03</v>
      </c>
      <c r="I21" s="14">
        <v>0.02</v>
      </c>
      <c r="J21" s="14">
        <v>0.03</v>
      </c>
      <c r="K21" s="14">
        <v>7.0000000000000007E-2</v>
      </c>
      <c r="L21" s="14">
        <v>0.02</v>
      </c>
      <c r="M21" s="14">
        <v>0.01</v>
      </c>
      <c r="N21" s="14">
        <v>0.03</v>
      </c>
      <c r="O21" s="14">
        <v>0.09</v>
      </c>
      <c r="P21" s="14">
        <v>0.14000000000000001</v>
      </c>
      <c r="Q21" s="14">
        <v>0.06</v>
      </c>
      <c r="R21" s="14">
        <v>0.09</v>
      </c>
      <c r="S21" s="14">
        <v>0.05</v>
      </c>
      <c r="T21" s="14">
        <v>0.06</v>
      </c>
      <c r="U21" s="14">
        <v>0.01</v>
      </c>
      <c r="V21" s="14">
        <v>0.06</v>
      </c>
      <c r="W21" s="14">
        <v>0.08</v>
      </c>
      <c r="X21" s="14">
        <v>0.02</v>
      </c>
      <c r="Y21" s="14">
        <v>0.06</v>
      </c>
      <c r="Z21" s="14">
        <v>0.11</v>
      </c>
      <c r="AA21" s="14">
        <v>0.1</v>
      </c>
      <c r="AB21" s="14">
        <v>0.1</v>
      </c>
      <c r="AC21" s="14">
        <v>7.0000000000000007E-2</v>
      </c>
      <c r="AD21" s="14">
        <v>0.06</v>
      </c>
      <c r="AE21" s="14">
        <v>0.06</v>
      </c>
      <c r="AF21" s="14">
        <v>0.04</v>
      </c>
    </row>
    <row r="22" spans="1:32">
      <c r="A22" s="23"/>
      <c r="B22" s="11" t="s">
        <v>1530</v>
      </c>
      <c r="C22" s="12">
        <v>1205</v>
      </c>
      <c r="D22" s="12">
        <v>7</v>
      </c>
      <c r="E22" s="12">
        <v>74</v>
      </c>
      <c r="F22" s="12">
        <v>5</v>
      </c>
      <c r="G22" s="12">
        <v>16</v>
      </c>
      <c r="H22" s="12">
        <v>16</v>
      </c>
      <c r="I22" s="12">
        <v>25</v>
      </c>
      <c r="J22" s="12">
        <v>9</v>
      </c>
      <c r="K22" s="12">
        <v>66</v>
      </c>
      <c r="L22" s="12">
        <v>7</v>
      </c>
      <c r="M22" s="12">
        <v>107</v>
      </c>
      <c r="N22" s="12">
        <v>85</v>
      </c>
      <c r="O22" s="12">
        <v>38</v>
      </c>
      <c r="P22" s="12">
        <v>15</v>
      </c>
      <c r="Q22" s="12">
        <v>89</v>
      </c>
      <c r="R22" s="12">
        <v>96</v>
      </c>
      <c r="S22" s="12">
        <v>36</v>
      </c>
      <c r="T22" s="12">
        <v>83</v>
      </c>
      <c r="U22" s="12">
        <v>13</v>
      </c>
      <c r="V22" s="12">
        <v>77</v>
      </c>
      <c r="W22" s="12">
        <v>31</v>
      </c>
      <c r="X22" s="12">
        <v>7</v>
      </c>
      <c r="Y22" s="12">
        <v>67</v>
      </c>
      <c r="Z22" s="12">
        <v>23</v>
      </c>
      <c r="AA22" s="12">
        <v>103</v>
      </c>
      <c r="AB22" s="12">
        <v>36</v>
      </c>
      <c r="AC22" s="12">
        <v>159</v>
      </c>
      <c r="AD22" s="12">
        <v>51</v>
      </c>
      <c r="AE22" s="12">
        <v>12</v>
      </c>
      <c r="AF22" s="12">
        <v>4</v>
      </c>
    </row>
    <row r="23" spans="1:32">
      <c r="A23" s="23"/>
      <c r="B23" s="13" t="s">
        <v>1531</v>
      </c>
      <c r="C23" s="14">
        <v>0.05</v>
      </c>
      <c r="D23" s="14">
        <v>0.01</v>
      </c>
      <c r="E23" s="14">
        <v>7.0000000000000007E-2</v>
      </c>
      <c r="F23" s="14">
        <v>0.01</v>
      </c>
      <c r="G23" s="14">
        <v>0.02</v>
      </c>
      <c r="H23" s="14">
        <v>0.01</v>
      </c>
      <c r="I23" s="14">
        <v>0.02</v>
      </c>
      <c r="J23" s="14">
        <v>0.03</v>
      </c>
      <c r="K23" s="14">
        <v>7.0000000000000007E-2</v>
      </c>
      <c r="L23" s="14">
        <v>0.01</v>
      </c>
      <c r="M23" s="14">
        <v>0.11</v>
      </c>
      <c r="N23" s="14">
        <v>0.08</v>
      </c>
      <c r="O23" s="14">
        <v>0.04</v>
      </c>
      <c r="P23" s="14">
        <v>0.02</v>
      </c>
      <c r="Q23" s="14">
        <v>0.09</v>
      </c>
      <c r="R23" s="14">
        <v>0.19</v>
      </c>
      <c r="S23" s="14">
        <v>0.04</v>
      </c>
      <c r="T23" s="14">
        <v>0.08</v>
      </c>
      <c r="U23" s="14">
        <v>0.03</v>
      </c>
      <c r="V23" s="14">
        <v>0.08</v>
      </c>
      <c r="W23" s="14">
        <v>0.06</v>
      </c>
      <c r="X23" s="14">
        <v>0.01</v>
      </c>
      <c r="Y23" s="14">
        <v>7.0000000000000007E-2</v>
      </c>
      <c r="Z23" s="14">
        <v>0.02</v>
      </c>
      <c r="AA23" s="14">
        <v>0.1</v>
      </c>
      <c r="AB23" s="14">
        <v>0.03</v>
      </c>
      <c r="AC23" s="14">
        <v>0.16</v>
      </c>
      <c r="AD23" s="14">
        <v>0.05</v>
      </c>
      <c r="AE23" s="14">
        <v>0.01</v>
      </c>
      <c r="AF23" s="15" t="s">
        <v>485</v>
      </c>
    </row>
    <row r="24" spans="1:32">
      <c r="A24" s="23"/>
      <c r="B24" s="11" t="s">
        <v>497</v>
      </c>
      <c r="C24" s="12">
        <v>1515</v>
      </c>
      <c r="D24" s="12">
        <v>6</v>
      </c>
      <c r="E24" s="12">
        <v>94</v>
      </c>
      <c r="F24" s="12">
        <v>11</v>
      </c>
      <c r="G24" s="12">
        <v>29</v>
      </c>
      <c r="H24" s="12">
        <v>48</v>
      </c>
      <c r="I24" s="12">
        <v>52</v>
      </c>
      <c r="J24" s="12">
        <v>5</v>
      </c>
      <c r="K24" s="12">
        <v>124</v>
      </c>
      <c r="L24" s="12">
        <v>51</v>
      </c>
      <c r="M24" s="12">
        <v>117</v>
      </c>
      <c r="N24" s="12">
        <v>64</v>
      </c>
      <c r="O24" s="12">
        <v>133</v>
      </c>
      <c r="P24" s="12">
        <v>20</v>
      </c>
      <c r="Q24" s="12">
        <v>26</v>
      </c>
      <c r="R24" s="12">
        <v>62</v>
      </c>
      <c r="S24" s="12">
        <v>253</v>
      </c>
      <c r="T24" s="12">
        <v>266</v>
      </c>
      <c r="U24" s="12">
        <v>26</v>
      </c>
      <c r="V24" s="12">
        <v>33</v>
      </c>
      <c r="W24" s="12">
        <v>68</v>
      </c>
      <c r="X24" s="12">
        <v>9</v>
      </c>
      <c r="Y24" s="12">
        <v>33</v>
      </c>
      <c r="Z24" s="12">
        <v>37</v>
      </c>
      <c r="AA24" s="12">
        <v>93</v>
      </c>
      <c r="AB24" s="12">
        <v>71</v>
      </c>
      <c r="AC24" s="12">
        <v>102</v>
      </c>
      <c r="AD24" s="12">
        <v>69</v>
      </c>
      <c r="AE24" s="12">
        <v>45</v>
      </c>
      <c r="AF24" s="12">
        <v>10</v>
      </c>
    </row>
    <row r="25" spans="1:32">
      <c r="A25" s="23"/>
      <c r="B25" s="13" t="s">
        <v>498</v>
      </c>
      <c r="C25" s="14">
        <v>0.06</v>
      </c>
      <c r="D25" s="14">
        <v>0.01</v>
      </c>
      <c r="E25" s="14">
        <v>0.09</v>
      </c>
      <c r="F25" s="14">
        <v>0.01</v>
      </c>
      <c r="G25" s="14">
        <v>0.03</v>
      </c>
      <c r="H25" s="14">
        <v>0.04</v>
      </c>
      <c r="I25" s="14">
        <v>0.04</v>
      </c>
      <c r="J25" s="14">
        <v>0.02</v>
      </c>
      <c r="K25" s="14">
        <v>0.12</v>
      </c>
      <c r="L25" s="14">
        <v>0.05</v>
      </c>
      <c r="M25" s="14">
        <v>0.12</v>
      </c>
      <c r="N25" s="14">
        <v>0.06</v>
      </c>
      <c r="O25" s="14">
        <v>0.13</v>
      </c>
      <c r="P25" s="14">
        <v>0.02</v>
      </c>
      <c r="Q25" s="14">
        <v>0.03</v>
      </c>
      <c r="R25" s="14">
        <v>0.12</v>
      </c>
      <c r="S25" s="14">
        <v>0.25</v>
      </c>
      <c r="T25" s="14">
        <v>0.27</v>
      </c>
      <c r="U25" s="14">
        <v>0.05</v>
      </c>
      <c r="V25" s="14">
        <v>0.03</v>
      </c>
      <c r="W25" s="14">
        <v>0.13</v>
      </c>
      <c r="X25" s="14">
        <v>0.01</v>
      </c>
      <c r="Y25" s="14">
        <v>0.03</v>
      </c>
      <c r="Z25" s="14">
        <v>0.04</v>
      </c>
      <c r="AA25" s="14">
        <v>0.09</v>
      </c>
      <c r="AB25" s="14">
        <v>7.0000000000000007E-2</v>
      </c>
      <c r="AC25" s="14">
        <v>0.1</v>
      </c>
      <c r="AD25" s="14">
        <v>7.0000000000000007E-2</v>
      </c>
      <c r="AE25" s="14">
        <v>0.04</v>
      </c>
      <c r="AF25" s="14">
        <v>0.01</v>
      </c>
    </row>
    <row r="26" spans="1:32">
      <c r="A26" s="23"/>
      <c r="B26" s="11" t="s">
        <v>1532</v>
      </c>
      <c r="C26" s="12">
        <v>5.37</v>
      </c>
      <c r="D26" s="12">
        <v>5.37</v>
      </c>
      <c r="E26" s="12">
        <v>5.94</v>
      </c>
      <c r="F26" s="12">
        <v>5.47</v>
      </c>
      <c r="G26" s="12">
        <v>5.04</v>
      </c>
      <c r="H26" s="12">
        <v>5.12</v>
      </c>
      <c r="I26" s="12">
        <v>5.1100000000000003</v>
      </c>
      <c r="J26" s="12">
        <v>5.09</v>
      </c>
      <c r="K26" s="12">
        <v>5.75</v>
      </c>
      <c r="L26" s="12">
        <v>5.14</v>
      </c>
      <c r="M26" s="12">
        <v>5.26</v>
      </c>
      <c r="N26" s="12">
        <v>4.93</v>
      </c>
      <c r="O26" s="12">
        <v>5.36</v>
      </c>
      <c r="P26" s="12">
        <v>5.73</v>
      </c>
      <c r="Q26" s="12">
        <v>5.73</v>
      </c>
      <c r="R26" s="12">
        <v>5.65</v>
      </c>
      <c r="S26" s="12">
        <v>5.92</v>
      </c>
      <c r="T26" s="12">
        <v>5.22</v>
      </c>
      <c r="U26" s="12">
        <v>4.95</v>
      </c>
      <c r="V26" s="12">
        <v>5.57</v>
      </c>
      <c r="W26" s="12">
        <v>5.48</v>
      </c>
      <c r="X26" s="12">
        <v>4.97</v>
      </c>
      <c r="Y26" s="12">
        <v>5.3</v>
      </c>
      <c r="Z26" s="12">
        <v>5.83</v>
      </c>
      <c r="AA26" s="12">
        <v>5.57</v>
      </c>
      <c r="AB26" s="12">
        <v>5.89</v>
      </c>
      <c r="AC26" s="12">
        <v>5.23</v>
      </c>
      <c r="AD26" s="12">
        <v>5.46</v>
      </c>
      <c r="AE26" s="12">
        <v>5.63</v>
      </c>
      <c r="AF26" s="12">
        <v>4.9800000000000004</v>
      </c>
    </row>
    <row r="27" spans="1:32">
      <c r="A27" s="23"/>
      <c r="B27" s="13" t="s">
        <v>1533</v>
      </c>
      <c r="C27" s="15" t="s">
        <v>485</v>
      </c>
      <c r="D27" s="15" t="s">
        <v>485</v>
      </c>
      <c r="E27" s="15" t="s">
        <v>485</v>
      </c>
      <c r="F27" s="15" t="s">
        <v>485</v>
      </c>
      <c r="G27" s="15" t="s">
        <v>485</v>
      </c>
      <c r="H27" s="15" t="s">
        <v>485</v>
      </c>
      <c r="I27" s="15" t="s">
        <v>485</v>
      </c>
      <c r="J27" s="15" t="s">
        <v>485</v>
      </c>
      <c r="K27" s="15" t="s">
        <v>485</v>
      </c>
      <c r="L27" s="15" t="s">
        <v>485</v>
      </c>
      <c r="M27" s="15" t="s">
        <v>485</v>
      </c>
      <c r="N27" s="15" t="s">
        <v>485</v>
      </c>
      <c r="O27" s="15" t="s">
        <v>485</v>
      </c>
      <c r="P27" s="15" t="s">
        <v>485</v>
      </c>
      <c r="Q27" s="15" t="s">
        <v>485</v>
      </c>
      <c r="R27" s="15" t="s">
        <v>485</v>
      </c>
      <c r="S27" s="15" t="s">
        <v>485</v>
      </c>
      <c r="T27" s="15" t="s">
        <v>485</v>
      </c>
      <c r="U27" s="15" t="s">
        <v>485</v>
      </c>
      <c r="V27" s="15" t="s">
        <v>485</v>
      </c>
      <c r="W27" s="15" t="s">
        <v>485</v>
      </c>
      <c r="X27" s="15" t="s">
        <v>485</v>
      </c>
      <c r="Y27" s="15" t="s">
        <v>485</v>
      </c>
      <c r="Z27" s="15" t="s">
        <v>485</v>
      </c>
      <c r="AA27" s="15" t="s">
        <v>485</v>
      </c>
      <c r="AB27" s="15" t="s">
        <v>485</v>
      </c>
      <c r="AC27" s="15" t="s">
        <v>485</v>
      </c>
      <c r="AD27" s="15" t="s">
        <v>485</v>
      </c>
      <c r="AE27" s="15" t="s">
        <v>485</v>
      </c>
      <c r="AF27" s="15" t="s">
        <v>485</v>
      </c>
    </row>
  </sheetData>
  <mergeCells count="9">
    <mergeCell ref="H3:L3"/>
    <mergeCell ref="C8:AF8"/>
    <mergeCell ref="B3:F3"/>
    <mergeCell ref="B5:F5"/>
    <mergeCell ref="A10:A27"/>
    <mergeCell ref="B10:B11"/>
    <mergeCell ref="H4:L4"/>
    <mergeCell ref="B4:F4"/>
    <mergeCell ref="H5:L5"/>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e6d735e-8e15-4fea-907e-58913c344cbe">
      <Terms xmlns="http://schemas.microsoft.com/office/infopath/2007/PartnerControls"/>
    </lcf76f155ced4ddcb4097134ff3c332f>
    <TaxCatchAll xmlns="91205cbf-0c9f-43ab-933a-e4a5a41668e1"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23C2954C70395469213D10ED2DE8CAC" ma:contentTypeVersion="5" ma:contentTypeDescription="Create a new document." ma:contentTypeScope="" ma:versionID="bb0ed68957ae212b7423277ec7b70443">
  <xsd:schema xmlns:xsd="http://www.w3.org/2001/XMLSchema" xmlns:xs="http://www.w3.org/2001/XMLSchema" xmlns:p="http://schemas.microsoft.com/office/2006/metadata/properties" xmlns:ns2="7ca256b9-04a5-4660-9d2f-339daa127c25" xmlns:ns3="eea9c9fa-60eb-41dd-a97a-da7e6a8088b5" xmlns:ns4="7e6d735e-8e15-4fea-907e-58913c344cbe" xmlns:ns5="91205cbf-0c9f-43ab-933a-e4a5a41668e1" targetNamespace="http://schemas.microsoft.com/office/2006/metadata/properties" ma:root="true" ma:fieldsID="038dcd2fd09b763bb7d4644801ca706b" ns2:_="" ns3:_="" ns4:_="" ns5:_="">
    <xsd:import namespace="7ca256b9-04a5-4660-9d2f-339daa127c25"/>
    <xsd:import namespace="eea9c9fa-60eb-41dd-a97a-da7e6a8088b5"/>
    <xsd:import namespace="7e6d735e-8e15-4fea-907e-58913c344cbe"/>
    <xsd:import namespace="91205cbf-0c9f-43ab-933a-e4a5a41668e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MediaServiceOCR" minOccurs="0"/>
                <xsd:element ref="ns2:MediaServiceGenerationTime" minOccurs="0"/>
                <xsd:element ref="ns2:MediaServiceEventHashCode" minOccurs="0"/>
                <xsd:element ref="ns2:MediaServiceObjectDetectorVersions" minOccurs="0"/>
                <xsd:element ref="ns4:MediaServiceSearchProperties" minOccurs="0"/>
                <xsd:element ref="ns4:lcf76f155ced4ddcb4097134ff3c332f" minOccurs="0"/>
                <xsd:element ref="ns5: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ca256b9-04a5-4660-9d2f-339daa127c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ea9c9fa-60eb-41dd-a97a-da7e6a8088b5"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e6d735e-8e15-4fea-907e-58913c344cbe" elementFormDefault="qualified">
    <xsd:import namespace="http://schemas.microsoft.com/office/2006/documentManagement/types"/>
    <xsd:import namespace="http://schemas.microsoft.com/office/infopath/2007/PartnerControls"/>
    <xsd:element name="MediaServiceSearchProperties" ma:index="20" nillable="true" ma:displayName="MediaServiceSearchProperties" ma:hidden="true" ma:internalName="MediaServiceSearchProperties" ma:readOnly="true">
      <xsd:simpleType>
        <xsd:restriction base="dms:Note"/>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8c41be98-d9ca-4af1-9b61-9963f450c58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91205cbf-0c9f-43ab-933a-e4a5a41668e1"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e6ee7ac2-601a-4c39-9a66-70442b9c1f2c}" ma:internalName="TaxCatchAll" ma:showField="CatchAllData" ma:web="91205cbf-0c9f-43ab-933a-e4a5a41668e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F289AA4-6B57-4599-B2AF-FB2E4723AD02}"/>
</file>

<file path=customXml/itemProps2.xml><?xml version="1.0" encoding="utf-8"?>
<ds:datastoreItem xmlns:ds="http://schemas.openxmlformats.org/officeDocument/2006/customXml" ds:itemID="{F0A59487-7BAC-457C-8D7A-B0C16D28C383}"/>
</file>

<file path=customXml/itemProps3.xml><?xml version="1.0" encoding="utf-8"?>
<ds:datastoreItem xmlns:ds="http://schemas.openxmlformats.org/officeDocument/2006/customXml" ds:itemID="{BAE837EB-998E-4288-9720-2E298B90692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Emanuil Diamandiev (BMR)</cp:lastModifiedBy>
  <cp:revision/>
  <dcterms:created xsi:type="dcterms:W3CDTF">2025-02-28T08:48:46Z</dcterms:created>
  <dcterms:modified xsi:type="dcterms:W3CDTF">2025-04-15T15:49:00Z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0x010100123C2954C70395469213D10ED2DE8CAC</vt:lpwstr>
  </property>
  <property fmtid="{D5CDD505-2E9C-101B-9397-08002B2CF9AE}" pid="3" name="MediaServiceImageTags">
    <vt:lpwstr/>
  </property>
</Properties>
</file>